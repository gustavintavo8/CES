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O277906\Desktop\Examen\CES_Enero_2022-23\"/>
    </mc:Choice>
  </mc:AlternateContent>
  <bookViews>
    <workbookView xWindow="0" yWindow="0" windowWidth="11370" windowHeight="9600" activeTab="5"/>
  </bookViews>
  <sheets>
    <sheet name="Hoja1" sheetId="11" r:id="rId1"/>
    <sheet name="Hoja2" sheetId="12" r:id="rId2"/>
    <sheet name="Histograma" sheetId="6" r:id="rId3"/>
    <sheet name="Hoja4" sheetId="3" r:id="rId4"/>
    <sheet name="Hoja5" sheetId="14" r:id="rId5"/>
    <sheet name="Hoja6" sheetId="13" r:id="rId6"/>
  </sheets>
  <definedNames>
    <definedName name="_xlchart.0" hidden="1">Hoja1!$G$10:$G$7457</definedName>
    <definedName name="_xlchart.1" hidden="1">Hoja1!$G$9</definedName>
    <definedName name="DataCollector01" localSheetId="1">Hoja2!$A$1:$X$258</definedName>
    <definedName name="info" localSheetId="0">Hoja1!$A$1:$F$7457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9" i="13" l="1"/>
  <c r="H26" i="13"/>
  <c r="C33" i="13"/>
  <c r="B14" i="13"/>
  <c r="B13" i="13"/>
  <c r="B12" i="13"/>
  <c r="B33" i="13"/>
  <c r="A33" i="13"/>
  <c r="B10" i="13"/>
  <c r="B9" i="13"/>
  <c r="B8" i="13"/>
  <c r="A30" i="13"/>
  <c r="B30" i="13"/>
  <c r="I26" i="13"/>
  <c r="F26" i="13"/>
  <c r="G26" i="13"/>
  <c r="D26" i="13"/>
  <c r="C26" i="13"/>
  <c r="B26" i="13"/>
  <c r="B5" i="13"/>
  <c r="I10" i="13" s="1"/>
  <c r="B15" i="14"/>
  <c r="B16" i="14"/>
  <c r="B17" i="14"/>
  <c r="B18" i="14"/>
  <c r="B19" i="14"/>
  <c r="B20" i="14"/>
  <c r="B21" i="14"/>
  <c r="B22" i="14"/>
  <c r="B23" i="14"/>
  <c r="B24" i="14"/>
  <c r="B25" i="14"/>
  <c r="C16" i="14"/>
  <c r="C15" i="14"/>
  <c r="C14" i="14"/>
  <c r="I8" i="13" l="1"/>
  <c r="H24" i="3"/>
  <c r="G24" i="3"/>
  <c r="F24" i="3"/>
  <c r="E24" i="3"/>
  <c r="H23" i="3"/>
  <c r="G23" i="3"/>
  <c r="F23" i="3"/>
  <c r="E23" i="3"/>
  <c r="H22" i="3"/>
  <c r="G22" i="3"/>
  <c r="F22" i="3"/>
  <c r="E22" i="3"/>
  <c r="H21" i="3"/>
  <c r="G21" i="3"/>
  <c r="F21" i="3"/>
  <c r="E21" i="3"/>
  <c r="I20" i="3"/>
  <c r="H20" i="3"/>
  <c r="G20" i="3"/>
  <c r="F20" i="3"/>
  <c r="E20" i="3"/>
  <c r="H19" i="3"/>
  <c r="G19" i="3"/>
  <c r="F19" i="3"/>
  <c r="E19" i="3"/>
  <c r="H18" i="3"/>
  <c r="G18" i="3"/>
  <c r="F18" i="3"/>
  <c r="E18" i="3"/>
  <c r="M17" i="3"/>
  <c r="H17" i="3"/>
  <c r="G17" i="3"/>
  <c r="F17" i="3"/>
  <c r="E17" i="3"/>
  <c r="M16" i="3"/>
  <c r="D14" i="3"/>
  <c r="G11" i="3"/>
  <c r="J10" i="3"/>
  <c r="G10" i="3"/>
  <c r="K9" i="3"/>
  <c r="J9" i="3"/>
  <c r="I9" i="3"/>
  <c r="G9" i="3"/>
  <c r="I23" i="3" s="1"/>
  <c r="K8" i="3"/>
  <c r="J8" i="3"/>
  <c r="I8" i="3"/>
  <c r="H8" i="3"/>
  <c r="G8" i="3"/>
  <c r="I22" i="3" s="1"/>
  <c r="J7" i="3"/>
  <c r="I7" i="3"/>
  <c r="G7" i="3"/>
  <c r="I6" i="3"/>
  <c r="H6" i="3"/>
  <c r="G6" i="3"/>
  <c r="K6" i="3" s="1"/>
  <c r="K5" i="3"/>
  <c r="H5" i="3"/>
  <c r="G5" i="3"/>
  <c r="J4" i="3"/>
  <c r="G4" i="3"/>
  <c r="K3" i="3"/>
  <c r="J3" i="3"/>
  <c r="I3" i="3"/>
  <c r="G3" i="3"/>
  <c r="I17" i="3" s="1"/>
  <c r="P1" i="3"/>
  <c r="E22" i="6"/>
  <c r="E21" i="6"/>
  <c r="E20" i="6"/>
  <c r="E19" i="6"/>
  <c r="E18" i="6"/>
  <c r="F18" i="6" s="1"/>
  <c r="E17" i="6"/>
  <c r="E16" i="6"/>
  <c r="F16" i="6" s="1"/>
  <c r="E15" i="6"/>
  <c r="E14" i="6"/>
  <c r="E13" i="6"/>
  <c r="F13" i="6" s="1"/>
  <c r="E12" i="6"/>
  <c r="F12" i="6" s="1"/>
  <c r="E11" i="6"/>
  <c r="E10" i="6"/>
  <c r="E9" i="6"/>
  <c r="F9" i="6" s="1"/>
  <c r="F8" i="6"/>
  <c r="E8" i="6"/>
  <c r="E7" i="6"/>
  <c r="E6" i="6"/>
  <c r="F6" i="6" s="1"/>
  <c r="E5" i="6"/>
  <c r="F5" i="6" s="1"/>
  <c r="D5" i="6"/>
  <c r="D6" i="6" s="1"/>
  <c r="D7" i="6" s="1"/>
  <c r="D8" i="6" s="1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B2" i="6"/>
  <c r="F22" i="6" s="1"/>
  <c r="AA8" i="12"/>
  <c r="AA10" i="12" s="1"/>
  <c r="AA7" i="12"/>
  <c r="AA6" i="12"/>
  <c r="AA5" i="12"/>
  <c r="AA4" i="12"/>
  <c r="F7457" i="11"/>
  <c r="G7457" i="11" s="1"/>
  <c r="F7456" i="11"/>
  <c r="G7456" i="11" s="1"/>
  <c r="G7455" i="11"/>
  <c r="F7455" i="11"/>
  <c r="G7454" i="11"/>
  <c r="F7454" i="11"/>
  <c r="F7453" i="11"/>
  <c r="G7453" i="11" s="1"/>
  <c r="F7452" i="11"/>
  <c r="G7452" i="11" s="1"/>
  <c r="G7451" i="11"/>
  <c r="F7451" i="11"/>
  <c r="F7450" i="11"/>
  <c r="G7450" i="11" s="1"/>
  <c r="G7449" i="11"/>
  <c r="F7449" i="11"/>
  <c r="F7448" i="11"/>
  <c r="G7448" i="11" s="1"/>
  <c r="F7447" i="11"/>
  <c r="G7447" i="11" s="1"/>
  <c r="F7446" i="11"/>
  <c r="G7446" i="11" s="1"/>
  <c r="G7445" i="11"/>
  <c r="F7445" i="11"/>
  <c r="F7444" i="11"/>
  <c r="G7444" i="11" s="1"/>
  <c r="G7443" i="11"/>
  <c r="F7443" i="11"/>
  <c r="G7442" i="11"/>
  <c r="F7442" i="11"/>
  <c r="F7441" i="11"/>
  <c r="G7441" i="11" s="1"/>
  <c r="F7440" i="11"/>
  <c r="G7440" i="11" s="1"/>
  <c r="F7439" i="11"/>
  <c r="G7439" i="11" s="1"/>
  <c r="F7438" i="11"/>
  <c r="G7438" i="11" s="1"/>
  <c r="G7437" i="11"/>
  <c r="F7437" i="11"/>
  <c r="G7436" i="11"/>
  <c r="F7436" i="11"/>
  <c r="F7435" i="11"/>
  <c r="G7435" i="11" s="1"/>
  <c r="G7434" i="11"/>
  <c r="F7434" i="11"/>
  <c r="F7433" i="11"/>
  <c r="G7433" i="11" s="1"/>
  <c r="F7432" i="11"/>
  <c r="G7432" i="11" s="1"/>
  <c r="G7431" i="11"/>
  <c r="F7431" i="11"/>
  <c r="G7430" i="11"/>
  <c r="F7430" i="11"/>
  <c r="F7429" i="11"/>
  <c r="G7429" i="11" s="1"/>
  <c r="F7428" i="11"/>
  <c r="G7428" i="11" s="1"/>
  <c r="G7427" i="11"/>
  <c r="F7427" i="11"/>
  <c r="F7426" i="11"/>
  <c r="G7426" i="11" s="1"/>
  <c r="G7425" i="11"/>
  <c r="F7425" i="11"/>
  <c r="F7424" i="11"/>
  <c r="G7424" i="11" s="1"/>
  <c r="F7423" i="11"/>
  <c r="G7423" i="11" s="1"/>
  <c r="G7422" i="11"/>
  <c r="F7422" i="11"/>
  <c r="F7421" i="11"/>
  <c r="G7421" i="11" s="1"/>
  <c r="F7420" i="11"/>
  <c r="G7420" i="11" s="1"/>
  <c r="G7419" i="11"/>
  <c r="F7419" i="11"/>
  <c r="G7418" i="11"/>
  <c r="F7418" i="11"/>
  <c r="F7417" i="11"/>
  <c r="G7417" i="11" s="1"/>
  <c r="F7416" i="11"/>
  <c r="G7416" i="11" s="1"/>
  <c r="G7415" i="11"/>
  <c r="F7415" i="11"/>
  <c r="F7414" i="11"/>
  <c r="G7414" i="11" s="1"/>
  <c r="G7413" i="11"/>
  <c r="F7413" i="11"/>
  <c r="G7412" i="11"/>
  <c r="F7412" i="11"/>
  <c r="F7411" i="11"/>
  <c r="G7411" i="11" s="1"/>
  <c r="F7410" i="11"/>
  <c r="G7410" i="11" s="1"/>
  <c r="G7409" i="11"/>
  <c r="F7409" i="11"/>
  <c r="F7408" i="11"/>
  <c r="G7408" i="11" s="1"/>
  <c r="G7407" i="11"/>
  <c r="F7407" i="11"/>
  <c r="F7406" i="11"/>
  <c r="G7406" i="11" s="1"/>
  <c r="F7405" i="11"/>
  <c r="G7405" i="11" s="1"/>
  <c r="F7404" i="11"/>
  <c r="G7404" i="11" s="1"/>
  <c r="F7403" i="11"/>
  <c r="G7403" i="11" s="1"/>
  <c r="F7402" i="11"/>
  <c r="G7402" i="11" s="1"/>
  <c r="F7401" i="11"/>
  <c r="G7401" i="11" s="1"/>
  <c r="G7400" i="11"/>
  <c r="F7400" i="11"/>
  <c r="F7399" i="11"/>
  <c r="G7399" i="11" s="1"/>
  <c r="F7398" i="11"/>
  <c r="G7398" i="11" s="1"/>
  <c r="F7397" i="11"/>
  <c r="G7397" i="11" s="1"/>
  <c r="F7396" i="11"/>
  <c r="G7396" i="11" s="1"/>
  <c r="G7395" i="11"/>
  <c r="F7395" i="11"/>
  <c r="F7394" i="11"/>
  <c r="G7394" i="11" s="1"/>
  <c r="F7393" i="11"/>
  <c r="G7393" i="11" s="1"/>
  <c r="F7392" i="11"/>
  <c r="G7392" i="11" s="1"/>
  <c r="G7391" i="11"/>
  <c r="F7391" i="11"/>
  <c r="F7390" i="11"/>
  <c r="G7390" i="11" s="1"/>
  <c r="G7389" i="11"/>
  <c r="F7389" i="11"/>
  <c r="G7388" i="11"/>
  <c r="F7388" i="11"/>
  <c r="F7387" i="11"/>
  <c r="G7387" i="11" s="1"/>
  <c r="F7386" i="11"/>
  <c r="G7386" i="11" s="1"/>
  <c r="F7385" i="11"/>
  <c r="G7385" i="11" s="1"/>
  <c r="F7384" i="11"/>
  <c r="G7384" i="11" s="1"/>
  <c r="G7383" i="11"/>
  <c r="F7383" i="11"/>
  <c r="G7382" i="11"/>
  <c r="F7382" i="11"/>
  <c r="F7381" i="11"/>
  <c r="G7381" i="11" s="1"/>
  <c r="G7380" i="11"/>
  <c r="F7380" i="11"/>
  <c r="F7379" i="11"/>
  <c r="G7379" i="11" s="1"/>
  <c r="F7378" i="11"/>
  <c r="G7378" i="11" s="1"/>
  <c r="F7377" i="11"/>
  <c r="G7377" i="11" s="1"/>
  <c r="G7376" i="11"/>
  <c r="F7376" i="11"/>
  <c r="F7375" i="11"/>
  <c r="G7375" i="11" s="1"/>
  <c r="F7374" i="11"/>
  <c r="G7374" i="11" s="1"/>
  <c r="F7373" i="11"/>
  <c r="G7373" i="11" s="1"/>
  <c r="F7372" i="11"/>
  <c r="G7372" i="11" s="1"/>
  <c r="G7371" i="11"/>
  <c r="F7371" i="11"/>
  <c r="F7370" i="11"/>
  <c r="G7370" i="11" s="1"/>
  <c r="F7369" i="11"/>
  <c r="G7369" i="11" s="1"/>
  <c r="G7368" i="11"/>
  <c r="F7368" i="11"/>
  <c r="F7367" i="11"/>
  <c r="G7367" i="11" s="1"/>
  <c r="F7366" i="11"/>
  <c r="G7366" i="11" s="1"/>
  <c r="G7365" i="11"/>
  <c r="F7365" i="11"/>
  <c r="G7364" i="11"/>
  <c r="F7364" i="11"/>
  <c r="F7363" i="11"/>
  <c r="G7363" i="11" s="1"/>
  <c r="F7362" i="11"/>
  <c r="G7362" i="11" s="1"/>
  <c r="G7361" i="11"/>
  <c r="F7361" i="11"/>
  <c r="F7360" i="11"/>
  <c r="G7360" i="11" s="1"/>
  <c r="G7359" i="11"/>
  <c r="F7359" i="11"/>
  <c r="F7358" i="11"/>
  <c r="G7358" i="11" s="1"/>
  <c r="F7357" i="11"/>
  <c r="G7357" i="11" s="1"/>
  <c r="F7356" i="11"/>
  <c r="G7356" i="11" s="1"/>
  <c r="G7355" i="11"/>
  <c r="F7355" i="11"/>
  <c r="F7354" i="11"/>
  <c r="G7354" i="11" s="1"/>
  <c r="G7353" i="11"/>
  <c r="F7353" i="11"/>
  <c r="F7352" i="11"/>
  <c r="G7352" i="11" s="1"/>
  <c r="F7351" i="11"/>
  <c r="G7351" i="11" s="1"/>
  <c r="F7350" i="11"/>
  <c r="G7350" i="11" s="1"/>
  <c r="F7349" i="11"/>
  <c r="G7349" i="11" s="1"/>
  <c r="F7348" i="11"/>
  <c r="G7348" i="11" s="1"/>
  <c r="G7347" i="11"/>
  <c r="F7347" i="11"/>
  <c r="G7346" i="11"/>
  <c r="F7346" i="11"/>
  <c r="F7345" i="11"/>
  <c r="G7345" i="11" s="1"/>
  <c r="F7344" i="11"/>
  <c r="G7344" i="11" s="1"/>
  <c r="G7343" i="11"/>
  <c r="F7343" i="11"/>
  <c r="F7342" i="11"/>
  <c r="G7342" i="11" s="1"/>
  <c r="G7341" i="11"/>
  <c r="F7341" i="11"/>
  <c r="F7340" i="11"/>
  <c r="G7340" i="11" s="1"/>
  <c r="F7339" i="11"/>
  <c r="G7339" i="11" s="1"/>
  <c r="F7338" i="11"/>
  <c r="G7338" i="11" s="1"/>
  <c r="G7337" i="11"/>
  <c r="F7337" i="11"/>
  <c r="F7336" i="11"/>
  <c r="G7336" i="11" s="1"/>
  <c r="G7335" i="11"/>
  <c r="F7335" i="11"/>
  <c r="G7334" i="11"/>
  <c r="F7334" i="11"/>
  <c r="F7333" i="11"/>
  <c r="G7333" i="11" s="1"/>
  <c r="F7332" i="11"/>
  <c r="G7332" i="11" s="1"/>
  <c r="F7331" i="11"/>
  <c r="G7331" i="11" s="1"/>
  <c r="F7330" i="11"/>
  <c r="G7330" i="11" s="1"/>
  <c r="G7329" i="11"/>
  <c r="F7329" i="11"/>
  <c r="G7328" i="11"/>
  <c r="F7328" i="11"/>
  <c r="F7327" i="11"/>
  <c r="G7327" i="11" s="1"/>
  <c r="G7326" i="11"/>
  <c r="F7326" i="11"/>
  <c r="F7325" i="11"/>
  <c r="G7325" i="11" s="1"/>
  <c r="F7324" i="11"/>
  <c r="G7324" i="11" s="1"/>
  <c r="G7323" i="11"/>
  <c r="F7323" i="11"/>
  <c r="G7322" i="11"/>
  <c r="F7322" i="11"/>
  <c r="F7321" i="11"/>
  <c r="G7321" i="11" s="1"/>
  <c r="F7320" i="11"/>
  <c r="G7320" i="11" s="1"/>
  <c r="G7319" i="11"/>
  <c r="F7319" i="11"/>
  <c r="F7318" i="11"/>
  <c r="G7318" i="11" s="1"/>
  <c r="G7317" i="11"/>
  <c r="F7317" i="11"/>
  <c r="F7316" i="11"/>
  <c r="G7316" i="11" s="1"/>
  <c r="F7315" i="11"/>
  <c r="G7315" i="11" s="1"/>
  <c r="G7314" i="11"/>
  <c r="F7314" i="11"/>
  <c r="F7313" i="11"/>
  <c r="G7313" i="11" s="1"/>
  <c r="F7312" i="11"/>
  <c r="G7312" i="11" s="1"/>
  <c r="G7311" i="11"/>
  <c r="F7311" i="11"/>
  <c r="G7310" i="11"/>
  <c r="F7310" i="11"/>
  <c r="F7309" i="11"/>
  <c r="G7309" i="11" s="1"/>
  <c r="F7308" i="11"/>
  <c r="G7308" i="11" s="1"/>
  <c r="G7307" i="11"/>
  <c r="F7307" i="11"/>
  <c r="F7306" i="11"/>
  <c r="G7306" i="11" s="1"/>
  <c r="G7305" i="11"/>
  <c r="F7305" i="11"/>
  <c r="G7304" i="11"/>
  <c r="F7304" i="11"/>
  <c r="F7303" i="11"/>
  <c r="G7303" i="11" s="1"/>
  <c r="F7302" i="11"/>
  <c r="G7302" i="11" s="1"/>
  <c r="G7301" i="11"/>
  <c r="F7301" i="11"/>
  <c r="F7300" i="11"/>
  <c r="G7300" i="11" s="1"/>
  <c r="G7299" i="11"/>
  <c r="F7299" i="11"/>
  <c r="F7298" i="11"/>
  <c r="G7298" i="11" s="1"/>
  <c r="F7297" i="11"/>
  <c r="G7297" i="11" s="1"/>
  <c r="F7296" i="11"/>
  <c r="G7296" i="11" s="1"/>
  <c r="F7295" i="11"/>
  <c r="G7295" i="11" s="1"/>
  <c r="F7294" i="11"/>
  <c r="G7294" i="11" s="1"/>
  <c r="F7293" i="11"/>
  <c r="G7293" i="11" s="1"/>
  <c r="G7292" i="11"/>
  <c r="F7292" i="11"/>
  <c r="F7291" i="11"/>
  <c r="G7291" i="11" s="1"/>
  <c r="F7290" i="11"/>
  <c r="G7290" i="11" s="1"/>
  <c r="F7289" i="11"/>
  <c r="G7289" i="11" s="1"/>
  <c r="F7288" i="11"/>
  <c r="G7288" i="11" s="1"/>
  <c r="G7287" i="11"/>
  <c r="F7287" i="11"/>
  <c r="F7286" i="11"/>
  <c r="G7286" i="11" s="1"/>
  <c r="F7285" i="11"/>
  <c r="G7285" i="11" s="1"/>
  <c r="G7284" i="11"/>
  <c r="F7284" i="11"/>
  <c r="F7283" i="11"/>
  <c r="G7283" i="11" s="1"/>
  <c r="F7282" i="11"/>
  <c r="G7282" i="11" s="1"/>
  <c r="G7281" i="11"/>
  <c r="F7281" i="11"/>
  <c r="G7280" i="11"/>
  <c r="F7280" i="11"/>
  <c r="F7279" i="11"/>
  <c r="G7279" i="11" s="1"/>
  <c r="F7278" i="11"/>
  <c r="G7278" i="11" s="1"/>
  <c r="G7277" i="11"/>
  <c r="F7277" i="11"/>
  <c r="F7276" i="11"/>
  <c r="G7276" i="11" s="1"/>
  <c r="G7275" i="11"/>
  <c r="F7275" i="11"/>
  <c r="G7274" i="11"/>
  <c r="F7274" i="11"/>
  <c r="F7273" i="11"/>
  <c r="G7273" i="11" s="1"/>
  <c r="F7272" i="11"/>
  <c r="G7272" i="11" s="1"/>
  <c r="G7271" i="11"/>
  <c r="F7271" i="11"/>
  <c r="F7270" i="11"/>
  <c r="G7270" i="11" s="1"/>
  <c r="G7269" i="11"/>
  <c r="F7269" i="11"/>
  <c r="G7268" i="11"/>
  <c r="F7268" i="11"/>
  <c r="F7267" i="11"/>
  <c r="G7267" i="11" s="1"/>
  <c r="G7266" i="11"/>
  <c r="F7266" i="11"/>
  <c r="F7265" i="11"/>
  <c r="G7265" i="11" s="1"/>
  <c r="F7264" i="11"/>
  <c r="G7264" i="11" s="1"/>
  <c r="G7263" i="11"/>
  <c r="F7263" i="11"/>
  <c r="G7262" i="11"/>
  <c r="F7262" i="11"/>
  <c r="F7261" i="11"/>
  <c r="G7261" i="11" s="1"/>
  <c r="G7260" i="11"/>
  <c r="F7260" i="11"/>
  <c r="G7259" i="11"/>
  <c r="F7259" i="11"/>
  <c r="F7258" i="11"/>
  <c r="G7258" i="11" s="1"/>
  <c r="F7257" i="11"/>
  <c r="G7257" i="11" s="1"/>
  <c r="G7256" i="11"/>
  <c r="F7256" i="11"/>
  <c r="F7255" i="11"/>
  <c r="G7255" i="11" s="1"/>
  <c r="F7254" i="11"/>
  <c r="G7254" i="11" s="1"/>
  <c r="F7253" i="11"/>
  <c r="G7253" i="11" s="1"/>
  <c r="F7252" i="11"/>
  <c r="G7252" i="11" s="1"/>
  <c r="G7251" i="11"/>
  <c r="F7251" i="11"/>
  <c r="G7250" i="11"/>
  <c r="F7250" i="11"/>
  <c r="F7249" i="11"/>
  <c r="G7249" i="11" s="1"/>
  <c r="G7248" i="11"/>
  <c r="F7248" i="11"/>
  <c r="F7247" i="11"/>
  <c r="G7247" i="11" s="1"/>
  <c r="F7246" i="11"/>
  <c r="G7246" i="11" s="1"/>
  <c r="F7245" i="11"/>
  <c r="G7245" i="11" s="1"/>
  <c r="G7244" i="11"/>
  <c r="F7244" i="11"/>
  <c r="F7243" i="11"/>
  <c r="G7243" i="11" s="1"/>
  <c r="G7242" i="11"/>
  <c r="F7242" i="11"/>
  <c r="G7241" i="11"/>
  <c r="F7241" i="11"/>
  <c r="F7240" i="11"/>
  <c r="G7240" i="11" s="1"/>
  <c r="G7239" i="11"/>
  <c r="F7239" i="11"/>
  <c r="F7238" i="11"/>
  <c r="G7238" i="11" s="1"/>
  <c r="F7237" i="11"/>
  <c r="G7237" i="11" s="1"/>
  <c r="F7236" i="11"/>
  <c r="G7236" i="11" s="1"/>
  <c r="F7235" i="11"/>
  <c r="G7235" i="11" s="1"/>
  <c r="F7234" i="11"/>
  <c r="G7234" i="11" s="1"/>
  <c r="G7233" i="11"/>
  <c r="F7233" i="11"/>
  <c r="F7232" i="11"/>
  <c r="G7232" i="11" s="1"/>
  <c r="F7231" i="11"/>
  <c r="G7231" i="11" s="1"/>
  <c r="G7230" i="11"/>
  <c r="F7230" i="11"/>
  <c r="F7229" i="11"/>
  <c r="G7229" i="11" s="1"/>
  <c r="F7228" i="11"/>
  <c r="G7228" i="11" s="1"/>
  <c r="G7227" i="11"/>
  <c r="F7227" i="11"/>
  <c r="G7226" i="11"/>
  <c r="F7226" i="11"/>
  <c r="F7225" i="11"/>
  <c r="G7225" i="11" s="1"/>
  <c r="F7224" i="11"/>
  <c r="G7224" i="11" s="1"/>
  <c r="G7223" i="11"/>
  <c r="F7223" i="11"/>
  <c r="F7222" i="11"/>
  <c r="G7222" i="11" s="1"/>
  <c r="G7221" i="11"/>
  <c r="F7221" i="11"/>
  <c r="G7220" i="11"/>
  <c r="F7220" i="11"/>
  <c r="F7219" i="11"/>
  <c r="G7219" i="11" s="1"/>
  <c r="F7218" i="11"/>
  <c r="G7218" i="11" s="1"/>
  <c r="G7217" i="11"/>
  <c r="F7217" i="11"/>
  <c r="F7216" i="11"/>
  <c r="G7216" i="11" s="1"/>
  <c r="G7215" i="11"/>
  <c r="F7215" i="11"/>
  <c r="G7214" i="11"/>
  <c r="F7214" i="11"/>
  <c r="F7213" i="11"/>
  <c r="G7213" i="11" s="1"/>
  <c r="G7212" i="11"/>
  <c r="F7212" i="11"/>
  <c r="F7211" i="11"/>
  <c r="G7211" i="11" s="1"/>
  <c r="F7210" i="11"/>
  <c r="G7210" i="11" s="1"/>
  <c r="G7209" i="11"/>
  <c r="F7209" i="11"/>
  <c r="G7208" i="11"/>
  <c r="F7208" i="11"/>
  <c r="F7207" i="11"/>
  <c r="G7207" i="11" s="1"/>
  <c r="G7206" i="11"/>
  <c r="F7206" i="11"/>
  <c r="G7205" i="11"/>
  <c r="F7205" i="11"/>
  <c r="F7204" i="11"/>
  <c r="G7204" i="11" s="1"/>
  <c r="F7203" i="11"/>
  <c r="G7203" i="11" s="1"/>
  <c r="G7202" i="11"/>
  <c r="F7202" i="11"/>
  <c r="F7201" i="11"/>
  <c r="G7201" i="11" s="1"/>
  <c r="F7200" i="11"/>
  <c r="G7200" i="11" s="1"/>
  <c r="F7199" i="11"/>
  <c r="G7199" i="11" s="1"/>
  <c r="F7198" i="11"/>
  <c r="G7198" i="11" s="1"/>
  <c r="G7197" i="11"/>
  <c r="F7197" i="11"/>
  <c r="G7196" i="11"/>
  <c r="F7196" i="11"/>
  <c r="F7195" i="11"/>
  <c r="G7195" i="11" s="1"/>
  <c r="G7194" i="11"/>
  <c r="F7194" i="11"/>
  <c r="F7193" i="11"/>
  <c r="G7193" i="11" s="1"/>
  <c r="F7192" i="11"/>
  <c r="G7192" i="11" s="1"/>
  <c r="F7191" i="11"/>
  <c r="G7191" i="11" s="1"/>
  <c r="G7190" i="11"/>
  <c r="F7190" i="11"/>
  <c r="F7189" i="11"/>
  <c r="G7189" i="11" s="1"/>
  <c r="G7188" i="11"/>
  <c r="F7188" i="11"/>
  <c r="G7187" i="11"/>
  <c r="F7187" i="11"/>
  <c r="F7186" i="11"/>
  <c r="G7186" i="11" s="1"/>
  <c r="G7185" i="11"/>
  <c r="F7185" i="11"/>
  <c r="F7184" i="11"/>
  <c r="G7184" i="11" s="1"/>
  <c r="F7183" i="11"/>
  <c r="G7183" i="11" s="1"/>
  <c r="F7182" i="11"/>
  <c r="G7182" i="11" s="1"/>
  <c r="F7181" i="11"/>
  <c r="G7181" i="11" s="1"/>
  <c r="F7180" i="11"/>
  <c r="G7180" i="11" s="1"/>
  <c r="G7179" i="11"/>
  <c r="F7179" i="11"/>
  <c r="F7178" i="11"/>
  <c r="G7178" i="11" s="1"/>
  <c r="F7177" i="11"/>
  <c r="G7177" i="11" s="1"/>
  <c r="G7176" i="11"/>
  <c r="F7176" i="11"/>
  <c r="F7175" i="11"/>
  <c r="G7175" i="11" s="1"/>
  <c r="F7174" i="11"/>
  <c r="G7174" i="11" s="1"/>
  <c r="G7173" i="11"/>
  <c r="F7173" i="11"/>
  <c r="G7172" i="11"/>
  <c r="F7172" i="11"/>
  <c r="F7171" i="11"/>
  <c r="G7171" i="11" s="1"/>
  <c r="F7170" i="11"/>
  <c r="G7170" i="11" s="1"/>
  <c r="G7169" i="11"/>
  <c r="F7169" i="11"/>
  <c r="F7168" i="11"/>
  <c r="G7168" i="11" s="1"/>
  <c r="G7167" i="11"/>
  <c r="F7167" i="11"/>
  <c r="G7166" i="11"/>
  <c r="F7166" i="11"/>
  <c r="F7165" i="11"/>
  <c r="G7165" i="11" s="1"/>
  <c r="F7164" i="11"/>
  <c r="G7164" i="11" s="1"/>
  <c r="G7163" i="11"/>
  <c r="F7163" i="11"/>
  <c r="F7162" i="11"/>
  <c r="G7162" i="11" s="1"/>
  <c r="G7161" i="11"/>
  <c r="F7161" i="11"/>
  <c r="G7160" i="11"/>
  <c r="F7160" i="11"/>
  <c r="F7159" i="11"/>
  <c r="G7159" i="11" s="1"/>
  <c r="G7158" i="11"/>
  <c r="F7158" i="11"/>
  <c r="F7157" i="11"/>
  <c r="G7157" i="11" s="1"/>
  <c r="F7156" i="11"/>
  <c r="G7156" i="11" s="1"/>
  <c r="G7155" i="11"/>
  <c r="F7155" i="11"/>
  <c r="G7154" i="11"/>
  <c r="F7154" i="11"/>
  <c r="F7153" i="11"/>
  <c r="G7153" i="11" s="1"/>
  <c r="G7152" i="11"/>
  <c r="F7152" i="11"/>
  <c r="G7151" i="11"/>
  <c r="F7151" i="11"/>
  <c r="F7150" i="11"/>
  <c r="G7150" i="11" s="1"/>
  <c r="F7149" i="11"/>
  <c r="G7149" i="11" s="1"/>
  <c r="G7148" i="11"/>
  <c r="F7148" i="11"/>
  <c r="F7147" i="11"/>
  <c r="G7147" i="11" s="1"/>
  <c r="F7146" i="11"/>
  <c r="G7146" i="11" s="1"/>
  <c r="F7145" i="11"/>
  <c r="G7145" i="11" s="1"/>
  <c r="F7144" i="11"/>
  <c r="G7144" i="11" s="1"/>
  <c r="G7143" i="11"/>
  <c r="F7143" i="11"/>
  <c r="G7142" i="11"/>
  <c r="F7142" i="11"/>
  <c r="F7141" i="11"/>
  <c r="G7141" i="11" s="1"/>
  <c r="G7140" i="11"/>
  <c r="F7140" i="11"/>
  <c r="F7139" i="11"/>
  <c r="G7139" i="11" s="1"/>
  <c r="F7138" i="11"/>
  <c r="G7138" i="11" s="1"/>
  <c r="F7137" i="11"/>
  <c r="G7137" i="11" s="1"/>
  <c r="G7136" i="11"/>
  <c r="F7136" i="11"/>
  <c r="F7135" i="11"/>
  <c r="G7135" i="11" s="1"/>
  <c r="G7134" i="11"/>
  <c r="F7134" i="11"/>
  <c r="G7133" i="11"/>
  <c r="F7133" i="11"/>
  <c r="F7132" i="11"/>
  <c r="G7132" i="11" s="1"/>
  <c r="G7131" i="11"/>
  <c r="F7131" i="11"/>
  <c r="F7130" i="11"/>
  <c r="G7130" i="11" s="1"/>
  <c r="F7129" i="11"/>
  <c r="G7129" i="11" s="1"/>
  <c r="F7128" i="11"/>
  <c r="G7128" i="11" s="1"/>
  <c r="F7127" i="11"/>
  <c r="G7127" i="11" s="1"/>
  <c r="F7126" i="11"/>
  <c r="G7126" i="11" s="1"/>
  <c r="G7125" i="11"/>
  <c r="F7125" i="11"/>
  <c r="F7124" i="11"/>
  <c r="G7124" i="11" s="1"/>
  <c r="G7123" i="11"/>
  <c r="F7123" i="11"/>
  <c r="G7122" i="11"/>
  <c r="F7122" i="11"/>
  <c r="F7121" i="11"/>
  <c r="G7121" i="11" s="1"/>
  <c r="G7120" i="11"/>
  <c r="F7120" i="11"/>
  <c r="G7119" i="11"/>
  <c r="F7119" i="11"/>
  <c r="F7118" i="11"/>
  <c r="G7118" i="11" s="1"/>
  <c r="G7117" i="11"/>
  <c r="F7117" i="11"/>
  <c r="G7116" i="11"/>
  <c r="F7116" i="11"/>
  <c r="F7115" i="11"/>
  <c r="G7115" i="11" s="1"/>
  <c r="G7114" i="11"/>
  <c r="F7114" i="11"/>
  <c r="G7113" i="11"/>
  <c r="F7113" i="11"/>
  <c r="F7112" i="11"/>
  <c r="G7112" i="11" s="1"/>
  <c r="F7111" i="11"/>
  <c r="G7111" i="11" s="1"/>
  <c r="G7110" i="11"/>
  <c r="F7110" i="11"/>
  <c r="F7109" i="11"/>
  <c r="G7109" i="11" s="1"/>
  <c r="G7108" i="11"/>
  <c r="F7108" i="11"/>
  <c r="G7107" i="11"/>
  <c r="F7107" i="11"/>
  <c r="F7106" i="11"/>
  <c r="G7106" i="11" s="1"/>
  <c r="F7105" i="11"/>
  <c r="G7105" i="11" s="1"/>
  <c r="G7104" i="11"/>
  <c r="F7104" i="11"/>
  <c r="F7103" i="11"/>
  <c r="G7103" i="11" s="1"/>
  <c r="G7102" i="11"/>
  <c r="F7102" i="11"/>
  <c r="G7101" i="11"/>
  <c r="F7101" i="11"/>
  <c r="F7100" i="11"/>
  <c r="G7100" i="11" s="1"/>
  <c r="G7099" i="11"/>
  <c r="F7099" i="11"/>
  <c r="G7098" i="11"/>
  <c r="F7098" i="11"/>
  <c r="F7097" i="11"/>
  <c r="G7097" i="11" s="1"/>
  <c r="G7096" i="11"/>
  <c r="F7096" i="11"/>
  <c r="G7095" i="11"/>
  <c r="F7095" i="11"/>
  <c r="F7094" i="11"/>
  <c r="G7094" i="11" s="1"/>
  <c r="F7093" i="11"/>
  <c r="G7093" i="11" s="1"/>
  <c r="G7092" i="11"/>
  <c r="F7092" i="11"/>
  <c r="F7091" i="11"/>
  <c r="G7091" i="11" s="1"/>
  <c r="G7090" i="11"/>
  <c r="F7090" i="11"/>
  <c r="G7089" i="11"/>
  <c r="F7089" i="11"/>
  <c r="F7088" i="11"/>
  <c r="G7088" i="11" s="1"/>
  <c r="F7087" i="11"/>
  <c r="G7087" i="11" s="1"/>
  <c r="G7086" i="11"/>
  <c r="F7086" i="11"/>
  <c r="F7085" i="11"/>
  <c r="G7085" i="11" s="1"/>
  <c r="G7084" i="11"/>
  <c r="F7084" i="11"/>
  <c r="G7083" i="11"/>
  <c r="F7083" i="11"/>
  <c r="F7082" i="11"/>
  <c r="G7082" i="11" s="1"/>
  <c r="G7081" i="11"/>
  <c r="F7081" i="11"/>
  <c r="G7080" i="11"/>
  <c r="F7080" i="11"/>
  <c r="F7079" i="11"/>
  <c r="G7079" i="11" s="1"/>
  <c r="G7078" i="11"/>
  <c r="F7078" i="11"/>
  <c r="G7077" i="11"/>
  <c r="F7077" i="11"/>
  <c r="F7076" i="11"/>
  <c r="G7076" i="11" s="1"/>
  <c r="F7075" i="11"/>
  <c r="G7075" i="11" s="1"/>
  <c r="G7074" i="11"/>
  <c r="F7074" i="11"/>
  <c r="F7073" i="11"/>
  <c r="G7073" i="11" s="1"/>
  <c r="G7072" i="11"/>
  <c r="F7072" i="11"/>
  <c r="G7071" i="11"/>
  <c r="F7071" i="11"/>
  <c r="F7070" i="11"/>
  <c r="G7070" i="11" s="1"/>
  <c r="F7069" i="11"/>
  <c r="G7069" i="11" s="1"/>
  <c r="G7068" i="11"/>
  <c r="F7068" i="11"/>
  <c r="F7067" i="11"/>
  <c r="G7067" i="11" s="1"/>
  <c r="G7066" i="11"/>
  <c r="F7066" i="11"/>
  <c r="G7065" i="11"/>
  <c r="F7065" i="11"/>
  <c r="F7064" i="11"/>
  <c r="G7064" i="11" s="1"/>
  <c r="G7063" i="11"/>
  <c r="F7063" i="11"/>
  <c r="G7062" i="11"/>
  <c r="F7062" i="11"/>
  <c r="F7061" i="11"/>
  <c r="G7061" i="11" s="1"/>
  <c r="G7060" i="11"/>
  <c r="F7060" i="11"/>
  <c r="G7059" i="11"/>
  <c r="F7059" i="11"/>
  <c r="F7058" i="11"/>
  <c r="G7058" i="11" s="1"/>
  <c r="F7057" i="11"/>
  <c r="G7057" i="11" s="1"/>
  <c r="G7056" i="11"/>
  <c r="F7056" i="11"/>
  <c r="F7055" i="11"/>
  <c r="G7055" i="11" s="1"/>
  <c r="G7054" i="11"/>
  <c r="F7054" i="11"/>
  <c r="G7053" i="11"/>
  <c r="F7053" i="11"/>
  <c r="F7052" i="11"/>
  <c r="G7052" i="11" s="1"/>
  <c r="F7051" i="11"/>
  <c r="G7051" i="11" s="1"/>
  <c r="G7050" i="11"/>
  <c r="F7050" i="11"/>
  <c r="F7049" i="11"/>
  <c r="G7049" i="11" s="1"/>
  <c r="G7048" i="11"/>
  <c r="F7048" i="11"/>
  <c r="G7047" i="11"/>
  <c r="F7047" i="11"/>
  <c r="F7046" i="11"/>
  <c r="G7046" i="11" s="1"/>
  <c r="G7045" i="11"/>
  <c r="F7045" i="11"/>
  <c r="G7044" i="11"/>
  <c r="F7044" i="11"/>
  <c r="F7043" i="11"/>
  <c r="G7043" i="11" s="1"/>
  <c r="G7042" i="11"/>
  <c r="F7042" i="11"/>
  <c r="G7041" i="11"/>
  <c r="F7041" i="11"/>
  <c r="F7040" i="11"/>
  <c r="G7040" i="11" s="1"/>
  <c r="F7039" i="11"/>
  <c r="G7039" i="11" s="1"/>
  <c r="G7038" i="11"/>
  <c r="F7038" i="11"/>
  <c r="F7037" i="11"/>
  <c r="G7037" i="11" s="1"/>
  <c r="G7036" i="11"/>
  <c r="F7036" i="11"/>
  <c r="G7035" i="11"/>
  <c r="F7035" i="11"/>
  <c r="F7034" i="11"/>
  <c r="G7034" i="11" s="1"/>
  <c r="F7033" i="11"/>
  <c r="G7033" i="11" s="1"/>
  <c r="G7032" i="11"/>
  <c r="F7032" i="11"/>
  <c r="F7031" i="11"/>
  <c r="G7031" i="11" s="1"/>
  <c r="G7030" i="11"/>
  <c r="F7030" i="11"/>
  <c r="G7029" i="11"/>
  <c r="F7029" i="11"/>
  <c r="F7028" i="11"/>
  <c r="G7028" i="11" s="1"/>
  <c r="G7027" i="11"/>
  <c r="F7027" i="11"/>
  <c r="G7026" i="11"/>
  <c r="F7026" i="11"/>
  <c r="F7025" i="11"/>
  <c r="G7025" i="11" s="1"/>
  <c r="G7024" i="11"/>
  <c r="F7024" i="11"/>
  <c r="G7023" i="11"/>
  <c r="F7023" i="11"/>
  <c r="F7022" i="11"/>
  <c r="G7022" i="11" s="1"/>
  <c r="F7021" i="11"/>
  <c r="G7021" i="11" s="1"/>
  <c r="G7020" i="11"/>
  <c r="F7020" i="11"/>
  <c r="F7019" i="11"/>
  <c r="G7019" i="11" s="1"/>
  <c r="G7018" i="11"/>
  <c r="F7018" i="11"/>
  <c r="G7017" i="11"/>
  <c r="F7017" i="11"/>
  <c r="F7016" i="11"/>
  <c r="G7016" i="11" s="1"/>
  <c r="F7015" i="11"/>
  <c r="G7015" i="11" s="1"/>
  <c r="G7014" i="11"/>
  <c r="F7014" i="11"/>
  <c r="F7013" i="11"/>
  <c r="G7013" i="11" s="1"/>
  <c r="G7012" i="11"/>
  <c r="F7012" i="11"/>
  <c r="G7011" i="11"/>
  <c r="F7011" i="11"/>
  <c r="F7010" i="11"/>
  <c r="G7010" i="11" s="1"/>
  <c r="G7009" i="11"/>
  <c r="F7009" i="11"/>
  <c r="G7008" i="11"/>
  <c r="F7008" i="11"/>
  <c r="F7007" i="11"/>
  <c r="G7007" i="11" s="1"/>
  <c r="G7006" i="11"/>
  <c r="F7006" i="11"/>
  <c r="G7005" i="11"/>
  <c r="F7005" i="11"/>
  <c r="F7004" i="11"/>
  <c r="G7004" i="11" s="1"/>
  <c r="F7003" i="11"/>
  <c r="G7003" i="11" s="1"/>
  <c r="G7002" i="11"/>
  <c r="F7002" i="11"/>
  <c r="F7001" i="11"/>
  <c r="G7001" i="11" s="1"/>
  <c r="G7000" i="11"/>
  <c r="F7000" i="11"/>
  <c r="G6999" i="11"/>
  <c r="F6999" i="11"/>
  <c r="F6998" i="11"/>
  <c r="G6998" i="11" s="1"/>
  <c r="F6997" i="11"/>
  <c r="G6997" i="11" s="1"/>
  <c r="G6996" i="11"/>
  <c r="F6996" i="11"/>
  <c r="F6995" i="11"/>
  <c r="G6995" i="11" s="1"/>
  <c r="G6994" i="11"/>
  <c r="F6994" i="11"/>
  <c r="G6993" i="11"/>
  <c r="F6993" i="11"/>
  <c r="F6992" i="11"/>
  <c r="G6992" i="11" s="1"/>
  <c r="G6991" i="11"/>
  <c r="F6991" i="11"/>
  <c r="G6990" i="11"/>
  <c r="F6990" i="11"/>
  <c r="F6989" i="11"/>
  <c r="G6989" i="11" s="1"/>
  <c r="G6988" i="11"/>
  <c r="F6988" i="11"/>
  <c r="G6987" i="11"/>
  <c r="F6987" i="11"/>
  <c r="F6986" i="11"/>
  <c r="G6986" i="11" s="1"/>
  <c r="F6985" i="11"/>
  <c r="G6985" i="11" s="1"/>
  <c r="G6984" i="11"/>
  <c r="F6984" i="11"/>
  <c r="F6983" i="11"/>
  <c r="G6983" i="11" s="1"/>
  <c r="G6982" i="11"/>
  <c r="F6982" i="11"/>
  <c r="G6981" i="11"/>
  <c r="F6981" i="11"/>
  <c r="F6980" i="11"/>
  <c r="G6980" i="11" s="1"/>
  <c r="F6979" i="11"/>
  <c r="G6979" i="11" s="1"/>
  <c r="G6978" i="11"/>
  <c r="F6978" i="11"/>
  <c r="F6977" i="11"/>
  <c r="G6977" i="11" s="1"/>
  <c r="G6976" i="11"/>
  <c r="F6976" i="11"/>
  <c r="G6975" i="11"/>
  <c r="F6975" i="11"/>
  <c r="F6974" i="11"/>
  <c r="G6974" i="11" s="1"/>
  <c r="G6973" i="11"/>
  <c r="F6973" i="11"/>
  <c r="G6972" i="11"/>
  <c r="F6972" i="11"/>
  <c r="F6971" i="11"/>
  <c r="G6971" i="11" s="1"/>
  <c r="G6970" i="11"/>
  <c r="F6970" i="11"/>
  <c r="G6969" i="11"/>
  <c r="F6969" i="11"/>
  <c r="F6968" i="11"/>
  <c r="G6968" i="11" s="1"/>
  <c r="F6967" i="11"/>
  <c r="G6967" i="11" s="1"/>
  <c r="G6966" i="11"/>
  <c r="F6966" i="11"/>
  <c r="F6965" i="11"/>
  <c r="G6965" i="11" s="1"/>
  <c r="G6964" i="11"/>
  <c r="F6964" i="11"/>
  <c r="G6963" i="11"/>
  <c r="F6963" i="11"/>
  <c r="F6962" i="11"/>
  <c r="G6962" i="11" s="1"/>
  <c r="F6961" i="11"/>
  <c r="G6961" i="11" s="1"/>
  <c r="G6960" i="11"/>
  <c r="F6960" i="11"/>
  <c r="F6959" i="11"/>
  <c r="G6959" i="11" s="1"/>
  <c r="G6958" i="11"/>
  <c r="F6958" i="11"/>
  <c r="G6957" i="11"/>
  <c r="F6957" i="11"/>
  <c r="F6956" i="11"/>
  <c r="G6956" i="11" s="1"/>
  <c r="G6955" i="11"/>
  <c r="F6955" i="11"/>
  <c r="G6954" i="11"/>
  <c r="F6954" i="11"/>
  <c r="F6953" i="11"/>
  <c r="G6953" i="11" s="1"/>
  <c r="G6952" i="11"/>
  <c r="F6952" i="11"/>
  <c r="G6951" i="11"/>
  <c r="F6951" i="11"/>
  <c r="F6950" i="11"/>
  <c r="G6950" i="11" s="1"/>
  <c r="F6949" i="11"/>
  <c r="G6949" i="11" s="1"/>
  <c r="G6948" i="11"/>
  <c r="F6948" i="11"/>
  <c r="F6947" i="11"/>
  <c r="G6947" i="11" s="1"/>
  <c r="G6946" i="11"/>
  <c r="F6946" i="11"/>
  <c r="G6945" i="11"/>
  <c r="F6945" i="11"/>
  <c r="F6944" i="11"/>
  <c r="G6944" i="11" s="1"/>
  <c r="F6943" i="11"/>
  <c r="G6943" i="11" s="1"/>
  <c r="G6942" i="11"/>
  <c r="F6942" i="11"/>
  <c r="F6941" i="11"/>
  <c r="G6941" i="11" s="1"/>
  <c r="G6940" i="11"/>
  <c r="F6940" i="11"/>
  <c r="G6939" i="11"/>
  <c r="F6939" i="11"/>
  <c r="F6938" i="11"/>
  <c r="G6938" i="11" s="1"/>
  <c r="G6937" i="11"/>
  <c r="F6937" i="11"/>
  <c r="G6936" i="11"/>
  <c r="F6936" i="11"/>
  <c r="F6935" i="11"/>
  <c r="G6935" i="11" s="1"/>
  <c r="G6934" i="11"/>
  <c r="F6934" i="11"/>
  <c r="G6933" i="11"/>
  <c r="F6933" i="11"/>
  <c r="F6932" i="11"/>
  <c r="G6932" i="11" s="1"/>
  <c r="F6931" i="11"/>
  <c r="G6931" i="11" s="1"/>
  <c r="G6930" i="11"/>
  <c r="F6930" i="11"/>
  <c r="F6929" i="11"/>
  <c r="G6929" i="11" s="1"/>
  <c r="G6928" i="11"/>
  <c r="F6928" i="11"/>
  <c r="G6927" i="11"/>
  <c r="F6927" i="11"/>
  <c r="F6926" i="11"/>
  <c r="G6926" i="11" s="1"/>
  <c r="F6925" i="11"/>
  <c r="G6925" i="11" s="1"/>
  <c r="G6924" i="11"/>
  <c r="F6924" i="11"/>
  <c r="F6923" i="11"/>
  <c r="G6923" i="11" s="1"/>
  <c r="G6922" i="11"/>
  <c r="F6922" i="11"/>
  <c r="G6921" i="11"/>
  <c r="F6921" i="11"/>
  <c r="F6920" i="11"/>
  <c r="G6920" i="11" s="1"/>
  <c r="G6919" i="11"/>
  <c r="F6919" i="11"/>
  <c r="G6918" i="11"/>
  <c r="F6918" i="11"/>
  <c r="F6917" i="11"/>
  <c r="G6917" i="11" s="1"/>
  <c r="G6916" i="11"/>
  <c r="F6916" i="11"/>
  <c r="G6915" i="11"/>
  <c r="F6915" i="11"/>
  <c r="F6914" i="11"/>
  <c r="G6914" i="11" s="1"/>
  <c r="F6913" i="11"/>
  <c r="G6913" i="11" s="1"/>
  <c r="G6912" i="11"/>
  <c r="F6912" i="11"/>
  <c r="F6911" i="11"/>
  <c r="G6911" i="11" s="1"/>
  <c r="G6910" i="11"/>
  <c r="F6910" i="11"/>
  <c r="G6909" i="11"/>
  <c r="F6909" i="11"/>
  <c r="F6908" i="11"/>
  <c r="G6908" i="11" s="1"/>
  <c r="F6907" i="11"/>
  <c r="G6907" i="11" s="1"/>
  <c r="G6906" i="11"/>
  <c r="F6906" i="11"/>
  <c r="F6905" i="11"/>
  <c r="G6905" i="11" s="1"/>
  <c r="G6904" i="11"/>
  <c r="F6904" i="11"/>
  <c r="G6903" i="11"/>
  <c r="F6903" i="11"/>
  <c r="G6902" i="11"/>
  <c r="F6902" i="11"/>
  <c r="G6901" i="11"/>
  <c r="F6901" i="11"/>
  <c r="G6900" i="11"/>
  <c r="F6900" i="11"/>
  <c r="G6899" i="11"/>
  <c r="F6899" i="11"/>
  <c r="G6898" i="11"/>
  <c r="F6898" i="11"/>
  <c r="G6897" i="11"/>
  <c r="F6897" i="11"/>
  <c r="G6896" i="11"/>
  <c r="F6896" i="11"/>
  <c r="G6895" i="11"/>
  <c r="F6895" i="11"/>
  <c r="G6894" i="11"/>
  <c r="F6894" i="11"/>
  <c r="G6893" i="11"/>
  <c r="F6893" i="11"/>
  <c r="G6892" i="11"/>
  <c r="F6892" i="11"/>
  <c r="G6891" i="11"/>
  <c r="F6891" i="11"/>
  <c r="G6890" i="11"/>
  <c r="F6890" i="11"/>
  <c r="G6889" i="11"/>
  <c r="F6889" i="11"/>
  <c r="G6888" i="11"/>
  <c r="F6888" i="11"/>
  <c r="G6887" i="11"/>
  <c r="F6887" i="11"/>
  <c r="G6886" i="11"/>
  <c r="F6886" i="11"/>
  <c r="G6885" i="11"/>
  <c r="F6885" i="11"/>
  <c r="G6884" i="11"/>
  <c r="F6884" i="11"/>
  <c r="G6883" i="11"/>
  <c r="F6883" i="11"/>
  <c r="G6882" i="11"/>
  <c r="F6882" i="11"/>
  <c r="G6881" i="11"/>
  <c r="F6881" i="11"/>
  <c r="G6880" i="11"/>
  <c r="F6880" i="11"/>
  <c r="G6879" i="11"/>
  <c r="F6879" i="11"/>
  <c r="G6878" i="11"/>
  <c r="F6878" i="11"/>
  <c r="G6877" i="11"/>
  <c r="F6877" i="11"/>
  <c r="G6876" i="11"/>
  <c r="F6876" i="11"/>
  <c r="G6875" i="11"/>
  <c r="F6875" i="11"/>
  <c r="G6874" i="11"/>
  <c r="F6874" i="11"/>
  <c r="G6873" i="11"/>
  <c r="F6873" i="11"/>
  <c r="G6872" i="11"/>
  <c r="F6872" i="11"/>
  <c r="G6871" i="11"/>
  <c r="F6871" i="11"/>
  <c r="G6870" i="11"/>
  <c r="F6870" i="11"/>
  <c r="G6869" i="11"/>
  <c r="F6869" i="11"/>
  <c r="G6868" i="11"/>
  <c r="F6868" i="11"/>
  <c r="G6867" i="11"/>
  <c r="F6867" i="11"/>
  <c r="G6866" i="11"/>
  <c r="F6866" i="11"/>
  <c r="G6865" i="11"/>
  <c r="F6865" i="11"/>
  <c r="G6864" i="11"/>
  <c r="F6864" i="11"/>
  <c r="G6863" i="11"/>
  <c r="F6863" i="11"/>
  <c r="G6862" i="11"/>
  <c r="F6862" i="11"/>
  <c r="G6861" i="11"/>
  <c r="F6861" i="11"/>
  <c r="G6860" i="11"/>
  <c r="F6860" i="11"/>
  <c r="G6859" i="11"/>
  <c r="F6859" i="11"/>
  <c r="G6858" i="11"/>
  <c r="F6858" i="11"/>
  <c r="G6857" i="11"/>
  <c r="F6857" i="11"/>
  <c r="G6856" i="11"/>
  <c r="F6856" i="11"/>
  <c r="G6855" i="11"/>
  <c r="F6855" i="11"/>
  <c r="G6854" i="11"/>
  <c r="F6854" i="11"/>
  <c r="G6853" i="11"/>
  <c r="F6853" i="11"/>
  <c r="G6852" i="11"/>
  <c r="F6852" i="11"/>
  <c r="G6851" i="11"/>
  <c r="F6851" i="11"/>
  <c r="G6850" i="11"/>
  <c r="F6850" i="11"/>
  <c r="G6849" i="11"/>
  <c r="F6849" i="11"/>
  <c r="G6848" i="11"/>
  <c r="F6848" i="11"/>
  <c r="G6847" i="11"/>
  <c r="F6847" i="11"/>
  <c r="G6846" i="11"/>
  <c r="F6846" i="11"/>
  <c r="G6845" i="11"/>
  <c r="F6845" i="11"/>
  <c r="G6844" i="11"/>
  <c r="F6844" i="11"/>
  <c r="G6843" i="11"/>
  <c r="F6843" i="11"/>
  <c r="G6842" i="11"/>
  <c r="F6842" i="11"/>
  <c r="G6841" i="11"/>
  <c r="F6841" i="11"/>
  <c r="G6840" i="11"/>
  <c r="F6840" i="11"/>
  <c r="G6839" i="11"/>
  <c r="F6839" i="11"/>
  <c r="G6838" i="11"/>
  <c r="F6838" i="11"/>
  <c r="G6837" i="11"/>
  <c r="F6837" i="11"/>
  <c r="G6836" i="11"/>
  <c r="F6836" i="11"/>
  <c r="G6835" i="11"/>
  <c r="F6835" i="11"/>
  <c r="G6834" i="11"/>
  <c r="F6834" i="11"/>
  <c r="G6833" i="11"/>
  <c r="F6833" i="11"/>
  <c r="G6832" i="11"/>
  <c r="F6832" i="11"/>
  <c r="G6831" i="11"/>
  <c r="F6831" i="11"/>
  <c r="G6830" i="11"/>
  <c r="F6830" i="11"/>
  <c r="G6829" i="11"/>
  <c r="F6829" i="11"/>
  <c r="G6828" i="11"/>
  <c r="F6828" i="11"/>
  <c r="G6827" i="11"/>
  <c r="F6827" i="11"/>
  <c r="G6826" i="11"/>
  <c r="F6826" i="11"/>
  <c r="G6825" i="11"/>
  <c r="F6825" i="11"/>
  <c r="G6824" i="11"/>
  <c r="F6824" i="11"/>
  <c r="G6823" i="11"/>
  <c r="F6823" i="11"/>
  <c r="G6822" i="11"/>
  <c r="F6822" i="11"/>
  <c r="G6821" i="11"/>
  <c r="F6821" i="11"/>
  <c r="G6820" i="11"/>
  <c r="F6820" i="11"/>
  <c r="G6819" i="11"/>
  <c r="F6819" i="11"/>
  <c r="G6818" i="11"/>
  <c r="F6818" i="11"/>
  <c r="G6817" i="11"/>
  <c r="F6817" i="11"/>
  <c r="G6816" i="11"/>
  <c r="F6816" i="11"/>
  <c r="G6815" i="11"/>
  <c r="F6815" i="11"/>
  <c r="G6814" i="11"/>
  <c r="F6814" i="11"/>
  <c r="G6813" i="11"/>
  <c r="F6813" i="11"/>
  <c r="G6812" i="11"/>
  <c r="F6812" i="11"/>
  <c r="G6811" i="11"/>
  <c r="F6811" i="11"/>
  <c r="G6810" i="11"/>
  <c r="F6810" i="11"/>
  <c r="G6809" i="11"/>
  <c r="F6809" i="11"/>
  <c r="G6808" i="11"/>
  <c r="F6808" i="11"/>
  <c r="G6807" i="11"/>
  <c r="F6807" i="11"/>
  <c r="G6806" i="11"/>
  <c r="F6806" i="11"/>
  <c r="G6805" i="11"/>
  <c r="F6805" i="11"/>
  <c r="G6804" i="11"/>
  <c r="F6804" i="11"/>
  <c r="G6803" i="11"/>
  <c r="F6803" i="11"/>
  <c r="G6802" i="11"/>
  <c r="F6802" i="11"/>
  <c r="G6801" i="11"/>
  <c r="F6801" i="11"/>
  <c r="G6800" i="11"/>
  <c r="F6800" i="11"/>
  <c r="G6799" i="11"/>
  <c r="F6799" i="11"/>
  <c r="G6798" i="11"/>
  <c r="F6798" i="11"/>
  <c r="G6797" i="11"/>
  <c r="F6797" i="11"/>
  <c r="G6796" i="11"/>
  <c r="F6796" i="11"/>
  <c r="G6795" i="11"/>
  <c r="F6795" i="11"/>
  <c r="G6794" i="11"/>
  <c r="F6794" i="11"/>
  <c r="G6793" i="11"/>
  <c r="F6793" i="11"/>
  <c r="G6792" i="11"/>
  <c r="F6792" i="11"/>
  <c r="G6791" i="11"/>
  <c r="F6791" i="11"/>
  <c r="G6790" i="11"/>
  <c r="F6790" i="11"/>
  <c r="G6789" i="11"/>
  <c r="F6789" i="11"/>
  <c r="G6788" i="11"/>
  <c r="F6788" i="11"/>
  <c r="G6787" i="11"/>
  <c r="F6787" i="11"/>
  <c r="G6786" i="11"/>
  <c r="F6786" i="11"/>
  <c r="G6785" i="11"/>
  <c r="F6785" i="11"/>
  <c r="G6784" i="11"/>
  <c r="F6784" i="11"/>
  <c r="G6783" i="11"/>
  <c r="F6783" i="11"/>
  <c r="G6782" i="11"/>
  <c r="F6782" i="11"/>
  <c r="G6781" i="11"/>
  <c r="F6781" i="11"/>
  <c r="G6780" i="11"/>
  <c r="F6780" i="11"/>
  <c r="G6779" i="11"/>
  <c r="F6779" i="11"/>
  <c r="G6778" i="11"/>
  <c r="F6778" i="11"/>
  <c r="G6777" i="11"/>
  <c r="F6777" i="11"/>
  <c r="G6776" i="11"/>
  <c r="F6776" i="11"/>
  <c r="G6775" i="11"/>
  <c r="F6775" i="11"/>
  <c r="G6774" i="11"/>
  <c r="F6774" i="11"/>
  <c r="G6773" i="11"/>
  <c r="F6773" i="11"/>
  <c r="G6772" i="11"/>
  <c r="F6772" i="11"/>
  <c r="G6771" i="11"/>
  <c r="F6771" i="11"/>
  <c r="G6770" i="11"/>
  <c r="F6770" i="11"/>
  <c r="G6769" i="11"/>
  <c r="F6769" i="11"/>
  <c r="G6768" i="11"/>
  <c r="F6768" i="11"/>
  <c r="G6767" i="11"/>
  <c r="F6767" i="11"/>
  <c r="G6766" i="11"/>
  <c r="F6766" i="11"/>
  <c r="G6765" i="11"/>
  <c r="F6765" i="11"/>
  <c r="G6764" i="11"/>
  <c r="F6764" i="11"/>
  <c r="G6763" i="11"/>
  <c r="F6763" i="11"/>
  <c r="G6762" i="11"/>
  <c r="F6762" i="11"/>
  <c r="G6761" i="11"/>
  <c r="F6761" i="11"/>
  <c r="G6760" i="11"/>
  <c r="F6760" i="11"/>
  <c r="G6759" i="11"/>
  <c r="F6759" i="11"/>
  <c r="G6758" i="11"/>
  <c r="F6758" i="11"/>
  <c r="G6757" i="11"/>
  <c r="F6757" i="11"/>
  <c r="G6756" i="11"/>
  <c r="F6756" i="11"/>
  <c r="G6755" i="11"/>
  <c r="F6755" i="11"/>
  <c r="G6754" i="11"/>
  <c r="F6754" i="11"/>
  <c r="G6753" i="11"/>
  <c r="F6753" i="11"/>
  <c r="G6752" i="11"/>
  <c r="F6752" i="11"/>
  <c r="G6751" i="11"/>
  <c r="F6751" i="11"/>
  <c r="G6750" i="11"/>
  <c r="F6750" i="11"/>
  <c r="G6749" i="11"/>
  <c r="F6749" i="11"/>
  <c r="G6748" i="11"/>
  <c r="F6748" i="11"/>
  <c r="G6747" i="11"/>
  <c r="F6747" i="11"/>
  <c r="G6746" i="11"/>
  <c r="F6746" i="11"/>
  <c r="G6745" i="11"/>
  <c r="F6745" i="11"/>
  <c r="G6744" i="11"/>
  <c r="F6744" i="11"/>
  <c r="G6743" i="11"/>
  <c r="F6743" i="11"/>
  <c r="G6742" i="11"/>
  <c r="F6742" i="11"/>
  <c r="G6741" i="11"/>
  <c r="F6741" i="11"/>
  <c r="G6740" i="11"/>
  <c r="F6740" i="11"/>
  <c r="G6739" i="11"/>
  <c r="F6739" i="11"/>
  <c r="G6738" i="11"/>
  <c r="F6738" i="11"/>
  <c r="G6737" i="11"/>
  <c r="F6737" i="11"/>
  <c r="G6736" i="11"/>
  <c r="F6736" i="11"/>
  <c r="G6735" i="11"/>
  <c r="F6735" i="11"/>
  <c r="G6734" i="11"/>
  <c r="F6734" i="11"/>
  <c r="G6733" i="11"/>
  <c r="F6733" i="11"/>
  <c r="G6732" i="11"/>
  <c r="F6732" i="11"/>
  <c r="G6731" i="11"/>
  <c r="F6731" i="11"/>
  <c r="G6730" i="11"/>
  <c r="F6730" i="11"/>
  <c r="G6729" i="11"/>
  <c r="F6729" i="11"/>
  <c r="G6728" i="11"/>
  <c r="F6728" i="11"/>
  <c r="G6727" i="11"/>
  <c r="F6727" i="11"/>
  <c r="G6726" i="11"/>
  <c r="F6726" i="11"/>
  <c r="G6725" i="11"/>
  <c r="F6725" i="11"/>
  <c r="G6724" i="11"/>
  <c r="F6724" i="11"/>
  <c r="G6723" i="11"/>
  <c r="F6723" i="11"/>
  <c r="G6722" i="11"/>
  <c r="F6722" i="11"/>
  <c r="G6721" i="11"/>
  <c r="F6721" i="11"/>
  <c r="G6720" i="11"/>
  <c r="F6720" i="11"/>
  <c r="G6719" i="11"/>
  <c r="F6719" i="11"/>
  <c r="G6718" i="11"/>
  <c r="F6718" i="11"/>
  <c r="G6717" i="11"/>
  <c r="F6717" i="11"/>
  <c r="G6716" i="11"/>
  <c r="F6716" i="11"/>
  <c r="G6715" i="11"/>
  <c r="F6715" i="11"/>
  <c r="G6714" i="11"/>
  <c r="F6714" i="11"/>
  <c r="G6713" i="11"/>
  <c r="F6713" i="11"/>
  <c r="G6712" i="11"/>
  <c r="F6712" i="11"/>
  <c r="G6711" i="11"/>
  <c r="F6711" i="11"/>
  <c r="G6710" i="11"/>
  <c r="F6710" i="11"/>
  <c r="G6709" i="11"/>
  <c r="F6709" i="11"/>
  <c r="G6708" i="11"/>
  <c r="F6708" i="11"/>
  <c r="G6707" i="11"/>
  <c r="F6707" i="11"/>
  <c r="G6706" i="11"/>
  <c r="F6706" i="11"/>
  <c r="G6705" i="11"/>
  <c r="F6705" i="11"/>
  <c r="G6704" i="11"/>
  <c r="F6704" i="11"/>
  <c r="G6703" i="11"/>
  <c r="F6703" i="11"/>
  <c r="G6702" i="11"/>
  <c r="F6702" i="11"/>
  <c r="G6701" i="11"/>
  <c r="F6701" i="11"/>
  <c r="G6700" i="11"/>
  <c r="F6700" i="11"/>
  <c r="G6699" i="11"/>
  <c r="F6699" i="11"/>
  <c r="G6698" i="11"/>
  <c r="F6698" i="11"/>
  <c r="G6697" i="11"/>
  <c r="F6697" i="11"/>
  <c r="G6696" i="11"/>
  <c r="F6696" i="11"/>
  <c r="G6695" i="11"/>
  <c r="F6695" i="11"/>
  <c r="G6694" i="11"/>
  <c r="F6694" i="11"/>
  <c r="G6693" i="11"/>
  <c r="F6693" i="11"/>
  <c r="G6692" i="11"/>
  <c r="F6692" i="11"/>
  <c r="G6691" i="11"/>
  <c r="F6691" i="11"/>
  <c r="G6690" i="11"/>
  <c r="F6690" i="11"/>
  <c r="G6689" i="11"/>
  <c r="F6689" i="11"/>
  <c r="G6688" i="11"/>
  <c r="F6688" i="11"/>
  <c r="G6687" i="11"/>
  <c r="F6687" i="11"/>
  <c r="G6686" i="11"/>
  <c r="F6686" i="11"/>
  <c r="G6685" i="11"/>
  <c r="F6685" i="11"/>
  <c r="G6684" i="11"/>
  <c r="F6684" i="11"/>
  <c r="G6683" i="11"/>
  <c r="F6683" i="11"/>
  <c r="G6682" i="11"/>
  <c r="F6682" i="11"/>
  <c r="G6681" i="11"/>
  <c r="F6681" i="11"/>
  <c r="G6680" i="11"/>
  <c r="F6680" i="11"/>
  <c r="G6679" i="11"/>
  <c r="F6679" i="11"/>
  <c r="G6678" i="11"/>
  <c r="F6678" i="11"/>
  <c r="G6677" i="11"/>
  <c r="F6677" i="11"/>
  <c r="G6676" i="11"/>
  <c r="F6676" i="11"/>
  <c r="G6675" i="11"/>
  <c r="F6675" i="11"/>
  <c r="G6674" i="11"/>
  <c r="F6674" i="11"/>
  <c r="G6673" i="11"/>
  <c r="F6673" i="11"/>
  <c r="G6672" i="11"/>
  <c r="F6672" i="11"/>
  <c r="G6671" i="11"/>
  <c r="F6671" i="11"/>
  <c r="G6670" i="11"/>
  <c r="F6670" i="11"/>
  <c r="G6669" i="11"/>
  <c r="F6669" i="11"/>
  <c r="G6668" i="11"/>
  <c r="F6668" i="11"/>
  <c r="G6667" i="11"/>
  <c r="F6667" i="11"/>
  <c r="G6666" i="11"/>
  <c r="F6666" i="11"/>
  <c r="G6665" i="11"/>
  <c r="F6665" i="11"/>
  <c r="G6664" i="11"/>
  <c r="F6664" i="11"/>
  <c r="G6663" i="11"/>
  <c r="F6663" i="11"/>
  <c r="G6662" i="11"/>
  <c r="F6662" i="11"/>
  <c r="G6661" i="11"/>
  <c r="F6661" i="11"/>
  <c r="G6660" i="11"/>
  <c r="F6660" i="11"/>
  <c r="G6659" i="11"/>
  <c r="F6659" i="11"/>
  <c r="G6658" i="11"/>
  <c r="F6658" i="11"/>
  <c r="G6657" i="11"/>
  <c r="F6657" i="11"/>
  <c r="G6656" i="11"/>
  <c r="F6656" i="11"/>
  <c r="G6655" i="11"/>
  <c r="F6655" i="11"/>
  <c r="G6654" i="11"/>
  <c r="F6654" i="11"/>
  <c r="G6653" i="11"/>
  <c r="F6653" i="11"/>
  <c r="G6652" i="11"/>
  <c r="F6652" i="11"/>
  <c r="G6651" i="11"/>
  <c r="F6651" i="11"/>
  <c r="G6650" i="11"/>
  <c r="F6650" i="11"/>
  <c r="G6649" i="11"/>
  <c r="F6649" i="11"/>
  <c r="G6648" i="11"/>
  <c r="F6648" i="11"/>
  <c r="G6647" i="11"/>
  <c r="F6647" i="11"/>
  <c r="G6646" i="11"/>
  <c r="F6646" i="11"/>
  <c r="G6645" i="11"/>
  <c r="F6645" i="11"/>
  <c r="G6644" i="11"/>
  <c r="F6644" i="11"/>
  <c r="G6643" i="11"/>
  <c r="F6643" i="11"/>
  <c r="G6642" i="11"/>
  <c r="F6642" i="11"/>
  <c r="G6641" i="11"/>
  <c r="F6641" i="11"/>
  <c r="G6640" i="11"/>
  <c r="F6640" i="11"/>
  <c r="G6639" i="11"/>
  <c r="F6639" i="11"/>
  <c r="G6638" i="11"/>
  <c r="F6638" i="11"/>
  <c r="G6637" i="11"/>
  <c r="F6637" i="11"/>
  <c r="G6636" i="11"/>
  <c r="F6636" i="11"/>
  <c r="G6635" i="11"/>
  <c r="F6635" i="11"/>
  <c r="G6634" i="11"/>
  <c r="F6634" i="11"/>
  <c r="G6633" i="11"/>
  <c r="F6633" i="11"/>
  <c r="G6632" i="11"/>
  <c r="F6632" i="11"/>
  <c r="G6631" i="11"/>
  <c r="F6631" i="11"/>
  <c r="G6630" i="11"/>
  <c r="F6630" i="11"/>
  <c r="G6629" i="11"/>
  <c r="F6629" i="11"/>
  <c r="G6628" i="11"/>
  <c r="F6628" i="11"/>
  <c r="G6627" i="11"/>
  <c r="F6627" i="11"/>
  <c r="G6626" i="11"/>
  <c r="F6626" i="11"/>
  <c r="G6625" i="11"/>
  <c r="F6625" i="11"/>
  <c r="G6624" i="11"/>
  <c r="F6624" i="11"/>
  <c r="G6623" i="11"/>
  <c r="F6623" i="11"/>
  <c r="G6622" i="11"/>
  <c r="F6622" i="11"/>
  <c r="G6621" i="11"/>
  <c r="F6621" i="11"/>
  <c r="G6620" i="11"/>
  <c r="F6620" i="11"/>
  <c r="G6619" i="11"/>
  <c r="F6619" i="11"/>
  <c r="G6618" i="11"/>
  <c r="F6618" i="11"/>
  <c r="G6617" i="11"/>
  <c r="F6617" i="11"/>
  <c r="G6616" i="11"/>
  <c r="F6616" i="11"/>
  <c r="G6615" i="11"/>
  <c r="F6615" i="11"/>
  <c r="G6614" i="11"/>
  <c r="F6614" i="11"/>
  <c r="G6613" i="11"/>
  <c r="F6613" i="11"/>
  <c r="G6612" i="11"/>
  <c r="F6612" i="11"/>
  <c r="G6611" i="11"/>
  <c r="F6611" i="11"/>
  <c r="G6610" i="11"/>
  <c r="F6610" i="11"/>
  <c r="G6609" i="11"/>
  <c r="F6609" i="11"/>
  <c r="G6608" i="11"/>
  <c r="F6608" i="11"/>
  <c r="G6607" i="11"/>
  <c r="F6607" i="11"/>
  <c r="G6606" i="11"/>
  <c r="F6606" i="11"/>
  <c r="G6605" i="11"/>
  <c r="F6605" i="11"/>
  <c r="G6604" i="11"/>
  <c r="F6604" i="11"/>
  <c r="G6603" i="11"/>
  <c r="F6603" i="11"/>
  <c r="G6602" i="11"/>
  <c r="F6602" i="11"/>
  <c r="G6601" i="11"/>
  <c r="F6601" i="11"/>
  <c r="G6600" i="11"/>
  <c r="F6600" i="11"/>
  <c r="G6599" i="11"/>
  <c r="F6599" i="11"/>
  <c r="G6598" i="11"/>
  <c r="F6598" i="11"/>
  <c r="G6597" i="11"/>
  <c r="F6597" i="11"/>
  <c r="G6596" i="11"/>
  <c r="F6596" i="11"/>
  <c r="G6595" i="11"/>
  <c r="F6595" i="11"/>
  <c r="G6594" i="11"/>
  <c r="F6594" i="11"/>
  <c r="G6593" i="11"/>
  <c r="F6593" i="11"/>
  <c r="G6592" i="11"/>
  <c r="F6592" i="11"/>
  <c r="G6591" i="11"/>
  <c r="F6591" i="11"/>
  <c r="G6590" i="11"/>
  <c r="F6590" i="11"/>
  <c r="G6589" i="11"/>
  <c r="F6589" i="11"/>
  <c r="G6588" i="11"/>
  <c r="F6588" i="11"/>
  <c r="G6587" i="11"/>
  <c r="F6587" i="11"/>
  <c r="G6586" i="11"/>
  <c r="F6586" i="11"/>
  <c r="G6585" i="11"/>
  <c r="F6585" i="11"/>
  <c r="G6584" i="11"/>
  <c r="F6584" i="11"/>
  <c r="G6583" i="11"/>
  <c r="F6583" i="11"/>
  <c r="G6582" i="11"/>
  <c r="F6582" i="11"/>
  <c r="G6581" i="11"/>
  <c r="F6581" i="11"/>
  <c r="G6580" i="11"/>
  <c r="F6580" i="11"/>
  <c r="G6579" i="11"/>
  <c r="F6579" i="11"/>
  <c r="F6578" i="11"/>
  <c r="G6578" i="11" s="1"/>
  <c r="G6577" i="11"/>
  <c r="F6577" i="11"/>
  <c r="G6576" i="11"/>
  <c r="F6576" i="11"/>
  <c r="G6575" i="11"/>
  <c r="F6575" i="11"/>
  <c r="G6574" i="11"/>
  <c r="F6574" i="11"/>
  <c r="G6573" i="11"/>
  <c r="F6573" i="11"/>
  <c r="G6572" i="11"/>
  <c r="F6572" i="11"/>
  <c r="G6571" i="11"/>
  <c r="F6571" i="11"/>
  <c r="G6570" i="11"/>
  <c r="F6570" i="11"/>
  <c r="G6569" i="11"/>
  <c r="F6569" i="11"/>
  <c r="G6568" i="11"/>
  <c r="F6568" i="11"/>
  <c r="G6567" i="11"/>
  <c r="F6567" i="11"/>
  <c r="G6566" i="11"/>
  <c r="F6566" i="11"/>
  <c r="G6565" i="11"/>
  <c r="F6565" i="11"/>
  <c r="G6564" i="11"/>
  <c r="F6564" i="11"/>
  <c r="G6563" i="11"/>
  <c r="F6563" i="11"/>
  <c r="G6562" i="11"/>
  <c r="F6562" i="11"/>
  <c r="G6561" i="11"/>
  <c r="F6561" i="11"/>
  <c r="G6560" i="11"/>
  <c r="F6560" i="11"/>
  <c r="G6559" i="11"/>
  <c r="F6559" i="11"/>
  <c r="G6558" i="11"/>
  <c r="F6558" i="11"/>
  <c r="G6557" i="11"/>
  <c r="F6557" i="11"/>
  <c r="G6556" i="11"/>
  <c r="F6556" i="11"/>
  <c r="G6555" i="11"/>
  <c r="F6555" i="11"/>
  <c r="G6554" i="11"/>
  <c r="F6554" i="11"/>
  <c r="G6553" i="11"/>
  <c r="F6553" i="11"/>
  <c r="G6552" i="11"/>
  <c r="F6552" i="11"/>
  <c r="G6551" i="11"/>
  <c r="F6551" i="11"/>
  <c r="G6550" i="11"/>
  <c r="F6550" i="11"/>
  <c r="G6549" i="11"/>
  <c r="F6549" i="11"/>
  <c r="G6548" i="11"/>
  <c r="F6548" i="11"/>
  <c r="G6547" i="11"/>
  <c r="F6547" i="11"/>
  <c r="G6546" i="11"/>
  <c r="F6546" i="11"/>
  <c r="F6545" i="11"/>
  <c r="G6545" i="11" s="1"/>
  <c r="G6544" i="11"/>
  <c r="F6544" i="11"/>
  <c r="G6543" i="11"/>
  <c r="F6543" i="11"/>
  <c r="G6542" i="11"/>
  <c r="F6542" i="11"/>
  <c r="G6541" i="11"/>
  <c r="F6541" i="11"/>
  <c r="G6540" i="11"/>
  <c r="F6540" i="11"/>
  <c r="F6539" i="11"/>
  <c r="G6539" i="11" s="1"/>
  <c r="G6538" i="11"/>
  <c r="F6538" i="11"/>
  <c r="G6537" i="11"/>
  <c r="F6537" i="11"/>
  <c r="F6536" i="11"/>
  <c r="G6536" i="11" s="1"/>
  <c r="G6535" i="11"/>
  <c r="F6535" i="11"/>
  <c r="G6534" i="11"/>
  <c r="F6534" i="11"/>
  <c r="G6533" i="11"/>
  <c r="F6533" i="11"/>
  <c r="G6532" i="11"/>
  <c r="F6532" i="11"/>
  <c r="G6531" i="11"/>
  <c r="F6531" i="11"/>
  <c r="G6530" i="11"/>
  <c r="F6530" i="11"/>
  <c r="G6529" i="11"/>
  <c r="F6529" i="11"/>
  <c r="G6528" i="11"/>
  <c r="F6528" i="11"/>
  <c r="G6527" i="11"/>
  <c r="F6527" i="11"/>
  <c r="G6526" i="11"/>
  <c r="F6526" i="11"/>
  <c r="G6525" i="11"/>
  <c r="F6525" i="11"/>
  <c r="G6524" i="11"/>
  <c r="F6524" i="11"/>
  <c r="G6523" i="11"/>
  <c r="F6523" i="11"/>
  <c r="G6522" i="11"/>
  <c r="F6522" i="11"/>
  <c r="G6521" i="11"/>
  <c r="F6521" i="11"/>
  <c r="G6520" i="11"/>
  <c r="F6520" i="11"/>
  <c r="G6519" i="11"/>
  <c r="F6519" i="11"/>
  <c r="G6518" i="11"/>
  <c r="F6518" i="11"/>
  <c r="G6517" i="11"/>
  <c r="F6517" i="11"/>
  <c r="G6516" i="11"/>
  <c r="F6516" i="11"/>
  <c r="G6515" i="11"/>
  <c r="F6515" i="11"/>
  <c r="G6514" i="11"/>
  <c r="F6514" i="11"/>
  <c r="G6513" i="11"/>
  <c r="F6513" i="11"/>
  <c r="G6512" i="11"/>
  <c r="F6512" i="11"/>
  <c r="G6511" i="11"/>
  <c r="F6511" i="11"/>
  <c r="G6510" i="11"/>
  <c r="F6510" i="11"/>
  <c r="G6509" i="11"/>
  <c r="F6509" i="11"/>
  <c r="G6508" i="11"/>
  <c r="F6508" i="11"/>
  <c r="G6507" i="11"/>
  <c r="F6507" i="11"/>
  <c r="G6506" i="11"/>
  <c r="F6506" i="11"/>
  <c r="G6505" i="11"/>
  <c r="F6505" i="11"/>
  <c r="G6504" i="11"/>
  <c r="F6504" i="11"/>
  <c r="G6503" i="11"/>
  <c r="F6503" i="11"/>
  <c r="G6502" i="11"/>
  <c r="F6502" i="11"/>
  <c r="G6501" i="11"/>
  <c r="F6501" i="11"/>
  <c r="F6500" i="11"/>
  <c r="G6500" i="11" s="1"/>
  <c r="G6499" i="11"/>
  <c r="F6499" i="11"/>
  <c r="G6498" i="11"/>
  <c r="F6498" i="11"/>
  <c r="F6497" i="11"/>
  <c r="G6497" i="11" s="1"/>
  <c r="G6496" i="11"/>
  <c r="F6496" i="11"/>
  <c r="G6495" i="11"/>
  <c r="F6495" i="11"/>
  <c r="F6494" i="11"/>
  <c r="G6494" i="11" s="1"/>
  <c r="G6493" i="11"/>
  <c r="F6493" i="11"/>
  <c r="G6492" i="11"/>
  <c r="F6492" i="11"/>
  <c r="F6491" i="11"/>
  <c r="G6491" i="11" s="1"/>
  <c r="G6490" i="11"/>
  <c r="F6490" i="11"/>
  <c r="G6489" i="11"/>
  <c r="F6489" i="11"/>
  <c r="F6488" i="11"/>
  <c r="G6488" i="11" s="1"/>
  <c r="G6487" i="11"/>
  <c r="F6487" i="11"/>
  <c r="G6486" i="11"/>
  <c r="F6486" i="11"/>
  <c r="F6485" i="11"/>
  <c r="G6485" i="11" s="1"/>
  <c r="G6484" i="11"/>
  <c r="F6484" i="11"/>
  <c r="G6483" i="11"/>
  <c r="F6483" i="11"/>
  <c r="F6482" i="11"/>
  <c r="G6482" i="11" s="1"/>
  <c r="G6481" i="11"/>
  <c r="F6481" i="11"/>
  <c r="G6480" i="11"/>
  <c r="F6480" i="11"/>
  <c r="F6479" i="11"/>
  <c r="G6479" i="11" s="1"/>
  <c r="G6478" i="11"/>
  <c r="F6478" i="11"/>
  <c r="G6477" i="11"/>
  <c r="F6477" i="11"/>
  <c r="G6476" i="11"/>
  <c r="F6476" i="11"/>
  <c r="G6475" i="11"/>
  <c r="F6475" i="11"/>
  <c r="G6474" i="11"/>
  <c r="F6474" i="11"/>
  <c r="G6473" i="11"/>
  <c r="F6473" i="11"/>
  <c r="G6472" i="11"/>
  <c r="F6472" i="11"/>
  <c r="G6471" i="11"/>
  <c r="F6471" i="11"/>
  <c r="G6470" i="11"/>
  <c r="F6470" i="11"/>
  <c r="G6469" i="11"/>
  <c r="F6469" i="11"/>
  <c r="G6468" i="11"/>
  <c r="F6468" i="11"/>
  <c r="G6467" i="11"/>
  <c r="F6467" i="11"/>
  <c r="G6466" i="11"/>
  <c r="F6466" i="11"/>
  <c r="G6465" i="11"/>
  <c r="F6465" i="11"/>
  <c r="G6464" i="11"/>
  <c r="F6464" i="11"/>
  <c r="G6463" i="11"/>
  <c r="F6463" i="11"/>
  <c r="G6462" i="11"/>
  <c r="F6462" i="11"/>
  <c r="G6461" i="11"/>
  <c r="F6461" i="11"/>
  <c r="G6460" i="11"/>
  <c r="F6460" i="11"/>
  <c r="G6459" i="11"/>
  <c r="F6459" i="11"/>
  <c r="G6458" i="11"/>
  <c r="F6458" i="11"/>
  <c r="G6457" i="11"/>
  <c r="F6457" i="11"/>
  <c r="G6456" i="11"/>
  <c r="F6456" i="11"/>
  <c r="G6455" i="11"/>
  <c r="F6455" i="11"/>
  <c r="G6454" i="11"/>
  <c r="F6454" i="11"/>
  <c r="G6453" i="11"/>
  <c r="F6453" i="11"/>
  <c r="G6452" i="11"/>
  <c r="F6452" i="11"/>
  <c r="G6451" i="11"/>
  <c r="F6451" i="11"/>
  <c r="G6450" i="11"/>
  <c r="F6450" i="11"/>
  <c r="G6449" i="11"/>
  <c r="F6449" i="11"/>
  <c r="G6448" i="11"/>
  <c r="F6448" i="11"/>
  <c r="G6447" i="11"/>
  <c r="F6447" i="11"/>
  <c r="G6446" i="11"/>
  <c r="F6446" i="11"/>
  <c r="G6445" i="11"/>
  <c r="F6445" i="11"/>
  <c r="G6444" i="11"/>
  <c r="F6444" i="11"/>
  <c r="G6443" i="11"/>
  <c r="F6443" i="11"/>
  <c r="G6442" i="11"/>
  <c r="F6442" i="11"/>
  <c r="G6441" i="11"/>
  <c r="F6441" i="11"/>
  <c r="G6440" i="11"/>
  <c r="F6440" i="11"/>
  <c r="G6439" i="11"/>
  <c r="F6439" i="11"/>
  <c r="G6438" i="11"/>
  <c r="F6438" i="11"/>
  <c r="G6437" i="11"/>
  <c r="F6437" i="11"/>
  <c r="G6436" i="11"/>
  <c r="F6436" i="11"/>
  <c r="G6435" i="11"/>
  <c r="F6435" i="11"/>
  <c r="G6434" i="11"/>
  <c r="F6434" i="11"/>
  <c r="G6433" i="11"/>
  <c r="F6433" i="11"/>
  <c r="G6432" i="11"/>
  <c r="F6432" i="11"/>
  <c r="G6431" i="11"/>
  <c r="F6431" i="11"/>
  <c r="G6430" i="11"/>
  <c r="F6430" i="11"/>
  <c r="G6429" i="11"/>
  <c r="F6429" i="11"/>
  <c r="G6428" i="11"/>
  <c r="F6428" i="11"/>
  <c r="G6427" i="11"/>
  <c r="F6427" i="11"/>
  <c r="G6426" i="11"/>
  <c r="F6426" i="11"/>
  <c r="G6425" i="11"/>
  <c r="F6425" i="11"/>
  <c r="G6424" i="11"/>
  <c r="F6424" i="11"/>
  <c r="G6423" i="11"/>
  <c r="F6423" i="11"/>
  <c r="G6422" i="11"/>
  <c r="F6422" i="11"/>
  <c r="G6421" i="11"/>
  <c r="F6421" i="11"/>
  <c r="G6420" i="11"/>
  <c r="F6420" i="11"/>
  <c r="G6419" i="11"/>
  <c r="F6419" i="11"/>
  <c r="G6418" i="11"/>
  <c r="F6418" i="11"/>
  <c r="G6417" i="11"/>
  <c r="F6417" i="11"/>
  <c r="G6416" i="11"/>
  <c r="F6416" i="11"/>
  <c r="G6415" i="11"/>
  <c r="F6415" i="11"/>
  <c r="G6414" i="11"/>
  <c r="F6414" i="11"/>
  <c r="G6413" i="11"/>
  <c r="F6413" i="11"/>
  <c r="G6412" i="11"/>
  <c r="F6412" i="11"/>
  <c r="G6411" i="11"/>
  <c r="F6411" i="11"/>
  <c r="G6410" i="11"/>
  <c r="F6410" i="11"/>
  <c r="G6409" i="11"/>
  <c r="F6409" i="11"/>
  <c r="G6408" i="11"/>
  <c r="F6408" i="11"/>
  <c r="G6407" i="11"/>
  <c r="F6407" i="11"/>
  <c r="G6406" i="11"/>
  <c r="F6406" i="11"/>
  <c r="G6405" i="11"/>
  <c r="F6405" i="11"/>
  <c r="F6404" i="11"/>
  <c r="G6404" i="11" s="1"/>
  <c r="G6403" i="11"/>
  <c r="F6403" i="11"/>
  <c r="G6402" i="11"/>
  <c r="F6402" i="11"/>
  <c r="F6401" i="11"/>
  <c r="G6401" i="11" s="1"/>
  <c r="G6400" i="11"/>
  <c r="F6400" i="11"/>
  <c r="G6399" i="11"/>
  <c r="F6399" i="11"/>
  <c r="F6398" i="11"/>
  <c r="G6398" i="11" s="1"/>
  <c r="G6397" i="11"/>
  <c r="F6397" i="11"/>
  <c r="G6396" i="11"/>
  <c r="F6396" i="11"/>
  <c r="G6395" i="11"/>
  <c r="F6395" i="11"/>
  <c r="G6394" i="11"/>
  <c r="F6394" i="11"/>
  <c r="G6393" i="11"/>
  <c r="F6393" i="11"/>
  <c r="G6392" i="11"/>
  <c r="F6392" i="11"/>
  <c r="G6391" i="11"/>
  <c r="F6391" i="11"/>
  <c r="G6390" i="11"/>
  <c r="F6390" i="11"/>
  <c r="G6389" i="11"/>
  <c r="F6389" i="11"/>
  <c r="G6388" i="11"/>
  <c r="F6388" i="11"/>
  <c r="G6387" i="11"/>
  <c r="F6387" i="11"/>
  <c r="G6386" i="11"/>
  <c r="F6386" i="11"/>
  <c r="G6385" i="11"/>
  <c r="F6385" i="11"/>
  <c r="G6384" i="11"/>
  <c r="F6384" i="11"/>
  <c r="G6383" i="11"/>
  <c r="F6383" i="11"/>
  <c r="G6382" i="11"/>
  <c r="F6382" i="11"/>
  <c r="G6381" i="11"/>
  <c r="F6381" i="11"/>
  <c r="G6380" i="11"/>
  <c r="F6380" i="11"/>
  <c r="G6379" i="11"/>
  <c r="F6379" i="11"/>
  <c r="G6378" i="11"/>
  <c r="F6378" i="11"/>
  <c r="G6377" i="11"/>
  <c r="F6377" i="11"/>
  <c r="G6376" i="11"/>
  <c r="F6376" i="11"/>
  <c r="G6375" i="11"/>
  <c r="F6375" i="11"/>
  <c r="G6374" i="11"/>
  <c r="F6374" i="11"/>
  <c r="G6373" i="11"/>
  <c r="F6373" i="11"/>
  <c r="G6372" i="11"/>
  <c r="F6372" i="11"/>
  <c r="F6371" i="11"/>
  <c r="G6371" i="11" s="1"/>
  <c r="G6370" i="11"/>
  <c r="F6370" i="11"/>
  <c r="G6369" i="11"/>
  <c r="F6369" i="11"/>
  <c r="F6368" i="11"/>
  <c r="G6368" i="11" s="1"/>
  <c r="G6367" i="11"/>
  <c r="F6367" i="11"/>
  <c r="G6366" i="11"/>
  <c r="F6366" i="11"/>
  <c r="F6365" i="11"/>
  <c r="G6365" i="11" s="1"/>
  <c r="G6364" i="11"/>
  <c r="F6364" i="11"/>
  <c r="G6363" i="11"/>
  <c r="F6363" i="11"/>
  <c r="G6362" i="11"/>
  <c r="F6362" i="11"/>
  <c r="G6361" i="11"/>
  <c r="F6361" i="11"/>
  <c r="G6360" i="11"/>
  <c r="F6360" i="11"/>
  <c r="G6359" i="11"/>
  <c r="F6359" i="11"/>
  <c r="G6358" i="11"/>
  <c r="F6358" i="11"/>
  <c r="G6357" i="11"/>
  <c r="F6357" i="11"/>
  <c r="G6356" i="11"/>
  <c r="F6356" i="11"/>
  <c r="G6355" i="11"/>
  <c r="F6355" i="11"/>
  <c r="G6354" i="11"/>
  <c r="F6354" i="11"/>
  <c r="G6353" i="11"/>
  <c r="F6353" i="11"/>
  <c r="G6352" i="11"/>
  <c r="F6352" i="11"/>
  <c r="G6351" i="11"/>
  <c r="F6351" i="11"/>
  <c r="F6350" i="11"/>
  <c r="G6350" i="11" s="1"/>
  <c r="G6349" i="11"/>
  <c r="F6349" i="11"/>
  <c r="G6348" i="11"/>
  <c r="F6348" i="11"/>
  <c r="F6347" i="11"/>
  <c r="G6347" i="11" s="1"/>
  <c r="G6346" i="11"/>
  <c r="F6346" i="11"/>
  <c r="G6345" i="11"/>
  <c r="F6345" i="11"/>
  <c r="F6344" i="11"/>
  <c r="G6344" i="11" s="1"/>
  <c r="G6343" i="11"/>
  <c r="F6343" i="11"/>
  <c r="G6342" i="11"/>
  <c r="F6342" i="11"/>
  <c r="F6341" i="11"/>
  <c r="G6341" i="11" s="1"/>
  <c r="G6340" i="11"/>
  <c r="F6340" i="11"/>
  <c r="F6339" i="11"/>
  <c r="G6339" i="11" s="1"/>
  <c r="F6338" i="11"/>
  <c r="G6338" i="11" s="1"/>
  <c r="G6337" i="11"/>
  <c r="F6337" i="11"/>
  <c r="F6336" i="11"/>
  <c r="G6336" i="11" s="1"/>
  <c r="G6335" i="11"/>
  <c r="F6335" i="11"/>
  <c r="G6334" i="11"/>
  <c r="F6334" i="11"/>
  <c r="F6333" i="11"/>
  <c r="G6333" i="11" s="1"/>
  <c r="F6332" i="11"/>
  <c r="G6332" i="11" s="1"/>
  <c r="F6331" i="11"/>
  <c r="G6331" i="11" s="1"/>
  <c r="F6330" i="11"/>
  <c r="G6330" i="11" s="1"/>
  <c r="G6329" i="11"/>
  <c r="F6329" i="11"/>
  <c r="G6328" i="11"/>
  <c r="F6328" i="11"/>
  <c r="F6327" i="11"/>
  <c r="G6327" i="11" s="1"/>
  <c r="G6326" i="11"/>
  <c r="F6326" i="11"/>
  <c r="F6325" i="11"/>
  <c r="G6325" i="11" s="1"/>
  <c r="F6324" i="11"/>
  <c r="G6324" i="11" s="1"/>
  <c r="G6323" i="11"/>
  <c r="F6323" i="11"/>
  <c r="G6322" i="11"/>
  <c r="F6322" i="11"/>
  <c r="F6321" i="11"/>
  <c r="G6321" i="11" s="1"/>
  <c r="F6320" i="11"/>
  <c r="G6320" i="11" s="1"/>
  <c r="G6319" i="11"/>
  <c r="F6319" i="11"/>
  <c r="F6318" i="11"/>
  <c r="G6318" i="11" s="1"/>
  <c r="G6317" i="11"/>
  <c r="F6317" i="11"/>
  <c r="G6316" i="11"/>
  <c r="F6316" i="11"/>
  <c r="F6315" i="11"/>
  <c r="G6315" i="11" s="1"/>
  <c r="F6314" i="11"/>
  <c r="G6314" i="11" s="1"/>
  <c r="F6313" i="11"/>
  <c r="G6313" i="11" s="1"/>
  <c r="F6312" i="11"/>
  <c r="G6312" i="11" s="1"/>
  <c r="G6311" i="11"/>
  <c r="F6311" i="11"/>
  <c r="G6310" i="11"/>
  <c r="F6310" i="11"/>
  <c r="F6309" i="11"/>
  <c r="G6309" i="11" s="1"/>
  <c r="G6308" i="11"/>
  <c r="F6308" i="11"/>
  <c r="F6307" i="11"/>
  <c r="G6307" i="11" s="1"/>
  <c r="F6306" i="11"/>
  <c r="G6306" i="11" s="1"/>
  <c r="G6305" i="11"/>
  <c r="F6305" i="11"/>
  <c r="G6304" i="11"/>
  <c r="F6304" i="11"/>
  <c r="F6303" i="11"/>
  <c r="G6303" i="11" s="1"/>
  <c r="F6302" i="11"/>
  <c r="G6302" i="11" s="1"/>
  <c r="G6301" i="11"/>
  <c r="F6301" i="11"/>
  <c r="F6300" i="11"/>
  <c r="G6300" i="11" s="1"/>
  <c r="G6299" i="11"/>
  <c r="F6299" i="11"/>
  <c r="G6298" i="11"/>
  <c r="F6298" i="11"/>
  <c r="F6297" i="11"/>
  <c r="G6297" i="11" s="1"/>
  <c r="F6296" i="11"/>
  <c r="G6296" i="11" s="1"/>
  <c r="F6295" i="11"/>
  <c r="G6295" i="11" s="1"/>
  <c r="F6294" i="11"/>
  <c r="G6294" i="11" s="1"/>
  <c r="G6293" i="11"/>
  <c r="F6293" i="11"/>
  <c r="G6292" i="11"/>
  <c r="F6292" i="11"/>
  <c r="F6291" i="11"/>
  <c r="G6291" i="11" s="1"/>
  <c r="G6290" i="11"/>
  <c r="F6290" i="11"/>
  <c r="F6289" i="11"/>
  <c r="G6289" i="11" s="1"/>
  <c r="F6288" i="11"/>
  <c r="G6288" i="11" s="1"/>
  <c r="G6287" i="11"/>
  <c r="F6287" i="11"/>
  <c r="G6286" i="11"/>
  <c r="F6286" i="11"/>
  <c r="F6285" i="11"/>
  <c r="G6285" i="11" s="1"/>
  <c r="F6284" i="11"/>
  <c r="G6284" i="11" s="1"/>
  <c r="G6283" i="11"/>
  <c r="F6283" i="11"/>
  <c r="F6282" i="11"/>
  <c r="G6282" i="11" s="1"/>
  <c r="G6281" i="11"/>
  <c r="F6281" i="11"/>
  <c r="G6280" i="11"/>
  <c r="F6280" i="11"/>
  <c r="F6279" i="11"/>
  <c r="G6279" i="11" s="1"/>
  <c r="F6278" i="11"/>
  <c r="G6278" i="11" s="1"/>
  <c r="F6277" i="11"/>
  <c r="G6277" i="11" s="1"/>
  <c r="F6276" i="11"/>
  <c r="G6276" i="11" s="1"/>
  <c r="G6275" i="11"/>
  <c r="F6275" i="11"/>
  <c r="G6274" i="11"/>
  <c r="F6274" i="11"/>
  <c r="F6273" i="11"/>
  <c r="G6273" i="11" s="1"/>
  <c r="G6272" i="11"/>
  <c r="F6272" i="11"/>
  <c r="F6271" i="11"/>
  <c r="G6271" i="11" s="1"/>
  <c r="F6270" i="11"/>
  <c r="G6270" i="11" s="1"/>
  <c r="G6269" i="11"/>
  <c r="F6269" i="11"/>
  <c r="G6268" i="11"/>
  <c r="F6268" i="11"/>
  <c r="G6267" i="11"/>
  <c r="F6267" i="11"/>
  <c r="G6266" i="11"/>
  <c r="F6266" i="11"/>
  <c r="G6265" i="11"/>
  <c r="F6265" i="11"/>
  <c r="G6264" i="11"/>
  <c r="F6264" i="11"/>
  <c r="G6263" i="11"/>
  <c r="F6263" i="11"/>
  <c r="G6262" i="11"/>
  <c r="F6262" i="11"/>
  <c r="G6261" i="11"/>
  <c r="F6261" i="11"/>
  <c r="G6260" i="11"/>
  <c r="F6260" i="11"/>
  <c r="G6259" i="11"/>
  <c r="F6259" i="11"/>
  <c r="G6258" i="11"/>
  <c r="F6258" i="11"/>
  <c r="G6257" i="11"/>
  <c r="F6257" i="11"/>
  <c r="G6256" i="11"/>
  <c r="F6256" i="11"/>
  <c r="F6255" i="11"/>
  <c r="G6255" i="11" s="1"/>
  <c r="F6254" i="11"/>
  <c r="G6254" i="11" s="1"/>
  <c r="G6253" i="11"/>
  <c r="F6253" i="11"/>
  <c r="F6252" i="11"/>
  <c r="G6252" i="11" s="1"/>
  <c r="G6251" i="11"/>
  <c r="F6251" i="11"/>
  <c r="G6250" i="11"/>
  <c r="F6250" i="11"/>
  <c r="F6249" i="11"/>
  <c r="G6249" i="11" s="1"/>
  <c r="F6248" i="11"/>
  <c r="G6248" i="11" s="1"/>
  <c r="F6247" i="11"/>
  <c r="G6247" i="11" s="1"/>
  <c r="F6246" i="11"/>
  <c r="G6246" i="11" s="1"/>
  <c r="G6245" i="11"/>
  <c r="F6245" i="11"/>
  <c r="G6244" i="11"/>
  <c r="F6244" i="11"/>
  <c r="G6243" i="11"/>
  <c r="F6243" i="11"/>
  <c r="G6242" i="11"/>
  <c r="F6242" i="11"/>
  <c r="G6241" i="11"/>
  <c r="F6241" i="11"/>
  <c r="F6240" i="11"/>
  <c r="G6240" i="11" s="1"/>
  <c r="G6239" i="11"/>
  <c r="F6239" i="11"/>
  <c r="F6238" i="11"/>
  <c r="G6238" i="11" s="1"/>
  <c r="F6237" i="11"/>
  <c r="G6237" i="11" s="1"/>
  <c r="G6236" i="11"/>
  <c r="F6236" i="11"/>
  <c r="G6235" i="11"/>
  <c r="F6235" i="11"/>
  <c r="F6234" i="11"/>
  <c r="G6234" i="11" s="1"/>
  <c r="F6233" i="11"/>
  <c r="G6233" i="11" s="1"/>
  <c r="G6232" i="11"/>
  <c r="F6232" i="11"/>
  <c r="F6231" i="11"/>
  <c r="G6231" i="11" s="1"/>
  <c r="G6230" i="11"/>
  <c r="F6230" i="11"/>
  <c r="G6229" i="11"/>
  <c r="F6229" i="11"/>
  <c r="F6228" i="11"/>
  <c r="G6228" i="11" s="1"/>
  <c r="F6227" i="11"/>
  <c r="G6227" i="11" s="1"/>
  <c r="F6226" i="11"/>
  <c r="G6226" i="11" s="1"/>
  <c r="F6225" i="11"/>
  <c r="G6225" i="11" s="1"/>
  <c r="G6224" i="11"/>
  <c r="F6224" i="11"/>
  <c r="G6223" i="11"/>
  <c r="F6223" i="11"/>
  <c r="F6222" i="11"/>
  <c r="G6222" i="11" s="1"/>
  <c r="G6221" i="11"/>
  <c r="F6221" i="11"/>
  <c r="F6220" i="11"/>
  <c r="G6220" i="11" s="1"/>
  <c r="F6219" i="11"/>
  <c r="G6219" i="11" s="1"/>
  <c r="G6218" i="11"/>
  <c r="F6218" i="11"/>
  <c r="G6217" i="11"/>
  <c r="F6217" i="11"/>
  <c r="F6216" i="11"/>
  <c r="G6216" i="11" s="1"/>
  <c r="F6215" i="11"/>
  <c r="G6215" i="11" s="1"/>
  <c r="G6214" i="11"/>
  <c r="F6214" i="11"/>
  <c r="F6213" i="11"/>
  <c r="G6213" i="11" s="1"/>
  <c r="G6212" i="11"/>
  <c r="F6212" i="11"/>
  <c r="G6211" i="11"/>
  <c r="F6211" i="11"/>
  <c r="F6210" i="11"/>
  <c r="G6210" i="11" s="1"/>
  <c r="F6209" i="11"/>
  <c r="G6209" i="11" s="1"/>
  <c r="F6208" i="11"/>
  <c r="G6208" i="11" s="1"/>
  <c r="F6207" i="11"/>
  <c r="G6207" i="11" s="1"/>
  <c r="G6206" i="11"/>
  <c r="F6206" i="11"/>
  <c r="G6205" i="11"/>
  <c r="F6205" i="11"/>
  <c r="F6204" i="11"/>
  <c r="G6204" i="11" s="1"/>
  <c r="G6203" i="11"/>
  <c r="F6203" i="11"/>
  <c r="F6202" i="11"/>
  <c r="G6202" i="11" s="1"/>
  <c r="F6201" i="11"/>
  <c r="G6201" i="11" s="1"/>
  <c r="G6200" i="11"/>
  <c r="F6200" i="11"/>
  <c r="G6199" i="11"/>
  <c r="F6199" i="11"/>
  <c r="F6198" i="11"/>
  <c r="G6198" i="11" s="1"/>
  <c r="F6197" i="11"/>
  <c r="G6197" i="11" s="1"/>
  <c r="G6196" i="11"/>
  <c r="F6196" i="11"/>
  <c r="F6195" i="11"/>
  <c r="G6195" i="11" s="1"/>
  <c r="G6194" i="11"/>
  <c r="F6194" i="11"/>
  <c r="G6193" i="11"/>
  <c r="F6193" i="11"/>
  <c r="F6192" i="11"/>
  <c r="G6192" i="11" s="1"/>
  <c r="F6191" i="11"/>
  <c r="G6191" i="11" s="1"/>
  <c r="F6190" i="11"/>
  <c r="G6190" i="11" s="1"/>
  <c r="F6189" i="11"/>
  <c r="G6189" i="11" s="1"/>
  <c r="G6188" i="11"/>
  <c r="F6188" i="11"/>
  <c r="G6187" i="11"/>
  <c r="F6187" i="11"/>
  <c r="F6186" i="11"/>
  <c r="G6186" i="11" s="1"/>
  <c r="G6185" i="11"/>
  <c r="F6185" i="11"/>
  <c r="F6184" i="11"/>
  <c r="G6184" i="11" s="1"/>
  <c r="F6183" i="11"/>
  <c r="G6183" i="11" s="1"/>
  <c r="G6182" i="11"/>
  <c r="F6182" i="11"/>
  <c r="G6181" i="11"/>
  <c r="F6181" i="11"/>
  <c r="F6180" i="11"/>
  <c r="G6180" i="11" s="1"/>
  <c r="F6179" i="11"/>
  <c r="G6179" i="11" s="1"/>
  <c r="G6178" i="11"/>
  <c r="F6178" i="11"/>
  <c r="G6177" i="11"/>
  <c r="F6177" i="11"/>
  <c r="F6176" i="11"/>
  <c r="G6176" i="11" s="1"/>
  <c r="G6175" i="11"/>
  <c r="F6175" i="11"/>
  <c r="F6174" i="11"/>
  <c r="G6174" i="11" s="1"/>
  <c r="G6173" i="11"/>
  <c r="F6173" i="11"/>
  <c r="G6172" i="11"/>
  <c r="F6172" i="11"/>
  <c r="F6171" i="11"/>
  <c r="G6171" i="11" s="1"/>
  <c r="F6170" i="11"/>
  <c r="G6170" i="11" s="1"/>
  <c r="F6169" i="11"/>
  <c r="G6169" i="11" s="1"/>
  <c r="F6168" i="11"/>
  <c r="G6168" i="11" s="1"/>
  <c r="G6167" i="11"/>
  <c r="F6167" i="11"/>
  <c r="G6166" i="11"/>
  <c r="F6166" i="11"/>
  <c r="F6165" i="11"/>
  <c r="G6165" i="11" s="1"/>
  <c r="G6164" i="11"/>
  <c r="F6164" i="11"/>
  <c r="F6163" i="11"/>
  <c r="G6163" i="11" s="1"/>
  <c r="G6162" i="11"/>
  <c r="F6162" i="11"/>
  <c r="G6161" i="11"/>
  <c r="F6161" i="11"/>
  <c r="F6160" i="11"/>
  <c r="G6160" i="11" s="1"/>
  <c r="F6159" i="11"/>
  <c r="G6159" i="11" s="1"/>
  <c r="G6158" i="11"/>
  <c r="F6158" i="11"/>
  <c r="G6157" i="11"/>
  <c r="F6157" i="11"/>
  <c r="F6156" i="11"/>
  <c r="G6156" i="11" s="1"/>
  <c r="F6155" i="11"/>
  <c r="G6155" i="11" s="1"/>
  <c r="G6154" i="11"/>
  <c r="F6154" i="11"/>
  <c r="F6153" i="11"/>
  <c r="G6153" i="11" s="1"/>
  <c r="G6152" i="11"/>
  <c r="F6152" i="11"/>
  <c r="G6151" i="11"/>
  <c r="F6151" i="11"/>
  <c r="F6150" i="11"/>
  <c r="G6150" i="11" s="1"/>
  <c r="F6149" i="11"/>
  <c r="G6149" i="11" s="1"/>
  <c r="F6148" i="11"/>
  <c r="G6148" i="11" s="1"/>
  <c r="F6147" i="11"/>
  <c r="G6147" i="11" s="1"/>
  <c r="G6146" i="11"/>
  <c r="F6146" i="11"/>
  <c r="G6145" i="11"/>
  <c r="F6145" i="11"/>
  <c r="F6144" i="11"/>
  <c r="G6144" i="11" s="1"/>
  <c r="G6143" i="11"/>
  <c r="F6143" i="11"/>
  <c r="F6142" i="11"/>
  <c r="G6142" i="11" s="1"/>
  <c r="F6141" i="11"/>
  <c r="G6141" i="11" s="1"/>
  <c r="G6140" i="11"/>
  <c r="F6140" i="11"/>
  <c r="G6139" i="11"/>
  <c r="F6139" i="11"/>
  <c r="F6138" i="11"/>
  <c r="G6138" i="11" s="1"/>
  <c r="F6137" i="11"/>
  <c r="G6137" i="11" s="1"/>
  <c r="G6136" i="11"/>
  <c r="F6136" i="11"/>
  <c r="F6135" i="11"/>
  <c r="G6135" i="11" s="1"/>
  <c r="G6134" i="11"/>
  <c r="F6134" i="11"/>
  <c r="G6133" i="11"/>
  <c r="F6133" i="11"/>
  <c r="G6132" i="11"/>
  <c r="F6132" i="11"/>
  <c r="G6131" i="11"/>
  <c r="F6131" i="11"/>
  <c r="G6130" i="11"/>
  <c r="F6130" i="11"/>
  <c r="G6129" i="11"/>
  <c r="F6129" i="11"/>
  <c r="G6128" i="11"/>
  <c r="F6128" i="11"/>
  <c r="G6127" i="11"/>
  <c r="F6127" i="11"/>
  <c r="F6126" i="11"/>
  <c r="G6126" i="11" s="1"/>
  <c r="F6125" i="11"/>
  <c r="G6125" i="11" s="1"/>
  <c r="F6124" i="11"/>
  <c r="G6124" i="11" s="1"/>
  <c r="F6123" i="11"/>
  <c r="G6123" i="11" s="1"/>
  <c r="G6122" i="11"/>
  <c r="F6122" i="11"/>
  <c r="G6121" i="11"/>
  <c r="F6121" i="11"/>
  <c r="F6120" i="11"/>
  <c r="G6120" i="11" s="1"/>
  <c r="G6119" i="11"/>
  <c r="F6119" i="11"/>
  <c r="F6118" i="11"/>
  <c r="G6118" i="11" s="1"/>
  <c r="F6117" i="11"/>
  <c r="G6117" i="11" s="1"/>
  <c r="G6116" i="11"/>
  <c r="F6116" i="11"/>
  <c r="G6115" i="11"/>
  <c r="F6115" i="11"/>
  <c r="F6114" i="11"/>
  <c r="G6114" i="11" s="1"/>
  <c r="F6113" i="11"/>
  <c r="G6113" i="11" s="1"/>
  <c r="G6112" i="11"/>
  <c r="F6112" i="11"/>
  <c r="F6111" i="11"/>
  <c r="G6111" i="11" s="1"/>
  <c r="G6110" i="11"/>
  <c r="F6110" i="11"/>
  <c r="G6109" i="11"/>
  <c r="F6109" i="11"/>
  <c r="F6108" i="11"/>
  <c r="G6108" i="11" s="1"/>
  <c r="F6107" i="11"/>
  <c r="G6107" i="11" s="1"/>
  <c r="F6106" i="11"/>
  <c r="G6106" i="11" s="1"/>
  <c r="F6105" i="11"/>
  <c r="G6105" i="11" s="1"/>
  <c r="G6104" i="11"/>
  <c r="F6104" i="11"/>
  <c r="G6103" i="11"/>
  <c r="F6103" i="11"/>
  <c r="G6102" i="11"/>
  <c r="F6102" i="11"/>
  <c r="G6101" i="11"/>
  <c r="F6101" i="11"/>
  <c r="G6100" i="11"/>
  <c r="F6100" i="11"/>
  <c r="G6099" i="11"/>
  <c r="F6099" i="11"/>
  <c r="G6098" i="11"/>
  <c r="F6098" i="11"/>
  <c r="G6097" i="11"/>
  <c r="F6097" i="11"/>
  <c r="F6096" i="11"/>
  <c r="G6096" i="11" s="1"/>
  <c r="G6095" i="11"/>
  <c r="F6095" i="11"/>
  <c r="F6094" i="11"/>
  <c r="G6094" i="11" s="1"/>
  <c r="F6093" i="11"/>
  <c r="G6093" i="11" s="1"/>
  <c r="G6092" i="11"/>
  <c r="F6092" i="11"/>
  <c r="G6091" i="11"/>
  <c r="F6091" i="11"/>
  <c r="F6090" i="11"/>
  <c r="G6090" i="11" s="1"/>
  <c r="F6089" i="11"/>
  <c r="G6089" i="11" s="1"/>
  <c r="G6088" i="11"/>
  <c r="F6088" i="11"/>
  <c r="F6087" i="11"/>
  <c r="G6087" i="11" s="1"/>
  <c r="G6086" i="11"/>
  <c r="F6086" i="11"/>
  <c r="G6085" i="11"/>
  <c r="F6085" i="11"/>
  <c r="F6084" i="11"/>
  <c r="G6084" i="11" s="1"/>
  <c r="F6083" i="11"/>
  <c r="G6083" i="11" s="1"/>
  <c r="F6082" i="11"/>
  <c r="G6082" i="11" s="1"/>
  <c r="F6081" i="11"/>
  <c r="G6081" i="11" s="1"/>
  <c r="G6080" i="11"/>
  <c r="F6080" i="11"/>
  <c r="G6079" i="11"/>
  <c r="F6079" i="11"/>
  <c r="F6078" i="11"/>
  <c r="G6078" i="11" s="1"/>
  <c r="G6077" i="11"/>
  <c r="F6077" i="11"/>
  <c r="F6076" i="11"/>
  <c r="G6076" i="11" s="1"/>
  <c r="F6075" i="11"/>
  <c r="G6075" i="11" s="1"/>
  <c r="G6074" i="11"/>
  <c r="F6074" i="11"/>
  <c r="G6073" i="11"/>
  <c r="F6073" i="11"/>
  <c r="F6072" i="11"/>
  <c r="G6072" i="11" s="1"/>
  <c r="F6071" i="11"/>
  <c r="G6071" i="11" s="1"/>
  <c r="G6070" i="11"/>
  <c r="F6070" i="11"/>
  <c r="F6069" i="11"/>
  <c r="G6069" i="11" s="1"/>
  <c r="G6068" i="11"/>
  <c r="F6068" i="11"/>
  <c r="G6067" i="11"/>
  <c r="F6067" i="11"/>
  <c r="F6066" i="11"/>
  <c r="G6066" i="11" s="1"/>
  <c r="F6065" i="11"/>
  <c r="G6065" i="11" s="1"/>
  <c r="F6064" i="11"/>
  <c r="G6064" i="11" s="1"/>
  <c r="F6063" i="11"/>
  <c r="G6063" i="11" s="1"/>
  <c r="G6062" i="11"/>
  <c r="F6062" i="11"/>
  <c r="G6061" i="11"/>
  <c r="F6061" i="11"/>
  <c r="G6060" i="11"/>
  <c r="F6060" i="11"/>
  <c r="G6059" i="11"/>
  <c r="F6059" i="11"/>
  <c r="G6058" i="11"/>
  <c r="F6058" i="11"/>
  <c r="G6057" i="11"/>
  <c r="F6057" i="11"/>
  <c r="G6056" i="11"/>
  <c r="F6056" i="11"/>
  <c r="G6055" i="11"/>
  <c r="F6055" i="11"/>
  <c r="G6054" i="11"/>
  <c r="F6054" i="11"/>
  <c r="G6053" i="11"/>
  <c r="F6053" i="11"/>
  <c r="G6052" i="11"/>
  <c r="F6052" i="11"/>
  <c r="G6051" i="11"/>
  <c r="F6051" i="11"/>
  <c r="G6050" i="11"/>
  <c r="F6050" i="11"/>
  <c r="G6049" i="11"/>
  <c r="F6049" i="11"/>
  <c r="G6048" i="11"/>
  <c r="F6048" i="11"/>
  <c r="G6047" i="11"/>
  <c r="F6047" i="11"/>
  <c r="G6046" i="11"/>
  <c r="F6046" i="11"/>
  <c r="G6045" i="11"/>
  <c r="F6045" i="11"/>
  <c r="G6044" i="11"/>
  <c r="F6044" i="11"/>
  <c r="G6043" i="11"/>
  <c r="F6043" i="11"/>
  <c r="G6042" i="11"/>
  <c r="F6042" i="11"/>
  <c r="G6041" i="11"/>
  <c r="F6041" i="11"/>
  <c r="G6040" i="11"/>
  <c r="F6040" i="11"/>
  <c r="G6039" i="11"/>
  <c r="F6039" i="11"/>
  <c r="G6038" i="11"/>
  <c r="F6038" i="11"/>
  <c r="G6037" i="11"/>
  <c r="F6037" i="11"/>
  <c r="G6036" i="11"/>
  <c r="F6036" i="11"/>
  <c r="G6035" i="11"/>
  <c r="F6035" i="11"/>
  <c r="G6034" i="11"/>
  <c r="F6034" i="11"/>
  <c r="G6033" i="11"/>
  <c r="F6033" i="11"/>
  <c r="G6032" i="11"/>
  <c r="F6032" i="11"/>
  <c r="G6031" i="11"/>
  <c r="F6031" i="11"/>
  <c r="G6030" i="11"/>
  <c r="F6030" i="11"/>
  <c r="G6029" i="11"/>
  <c r="F6029" i="11"/>
  <c r="G6028" i="11"/>
  <c r="F6028" i="11"/>
  <c r="G6027" i="11"/>
  <c r="F6027" i="11"/>
  <c r="G6026" i="11"/>
  <c r="F6026" i="11"/>
  <c r="G6025" i="11"/>
  <c r="F6025" i="11"/>
  <c r="G6024" i="11"/>
  <c r="F6024" i="11"/>
  <c r="G6023" i="11"/>
  <c r="F6023" i="11"/>
  <c r="G6022" i="11"/>
  <c r="F6022" i="11"/>
  <c r="G6021" i="11"/>
  <c r="F6021" i="11"/>
  <c r="G6020" i="11"/>
  <c r="F6020" i="11"/>
  <c r="G6019" i="11"/>
  <c r="F6019" i="11"/>
  <c r="G6018" i="11"/>
  <c r="F6018" i="11"/>
  <c r="G6017" i="11"/>
  <c r="F6017" i="11"/>
  <c r="G6016" i="11"/>
  <c r="F6016" i="11"/>
  <c r="G6015" i="11"/>
  <c r="F6015" i="11"/>
  <c r="G6014" i="11"/>
  <c r="F6014" i="11"/>
  <c r="G6013" i="11"/>
  <c r="F6013" i="11"/>
  <c r="G6012" i="11"/>
  <c r="F6012" i="11"/>
  <c r="G6011" i="11"/>
  <c r="F6011" i="11"/>
  <c r="G6010" i="11"/>
  <c r="F6010" i="11"/>
  <c r="G6009" i="11"/>
  <c r="F6009" i="11"/>
  <c r="G6008" i="11"/>
  <c r="F6008" i="11"/>
  <c r="G6007" i="11"/>
  <c r="F6007" i="11"/>
  <c r="G6006" i="11"/>
  <c r="F6006" i="11"/>
  <c r="G6005" i="11"/>
  <c r="F6005" i="11"/>
  <c r="G6004" i="11"/>
  <c r="F6004" i="11"/>
  <c r="G6003" i="11"/>
  <c r="F6003" i="11"/>
  <c r="G6002" i="11"/>
  <c r="F6002" i="11"/>
  <c r="G6001" i="11"/>
  <c r="F6001" i="11"/>
  <c r="G6000" i="11"/>
  <c r="F6000" i="11"/>
  <c r="G5999" i="11"/>
  <c r="F5999" i="11"/>
  <c r="G5998" i="11"/>
  <c r="F5998" i="11"/>
  <c r="G5997" i="11"/>
  <c r="F5997" i="11"/>
  <c r="G5996" i="11"/>
  <c r="F5996" i="11"/>
  <c r="G5995" i="11"/>
  <c r="F5995" i="11"/>
  <c r="G5994" i="11"/>
  <c r="F5994" i="11"/>
  <c r="G5993" i="11"/>
  <c r="F5993" i="11"/>
  <c r="G5992" i="11"/>
  <c r="F5992" i="11"/>
  <c r="G5991" i="11"/>
  <c r="F5991" i="11"/>
  <c r="G5990" i="11"/>
  <c r="F5990" i="11"/>
  <c r="G5989" i="11"/>
  <c r="F5989" i="11"/>
  <c r="G5988" i="11"/>
  <c r="F5988" i="11"/>
  <c r="G5987" i="11"/>
  <c r="F5987" i="11"/>
  <c r="G5986" i="11"/>
  <c r="F5986" i="11"/>
  <c r="G5985" i="11"/>
  <c r="F5985" i="11"/>
  <c r="G5984" i="11"/>
  <c r="F5984" i="11"/>
  <c r="G5983" i="11"/>
  <c r="F5983" i="11"/>
  <c r="G5982" i="11"/>
  <c r="F5982" i="11"/>
  <c r="G5981" i="11"/>
  <c r="F5981" i="11"/>
  <c r="G5980" i="11"/>
  <c r="F5980" i="11"/>
  <c r="G5979" i="11"/>
  <c r="F5979" i="11"/>
  <c r="G5978" i="11"/>
  <c r="F5978" i="11"/>
  <c r="G5977" i="11"/>
  <c r="F5977" i="11"/>
  <c r="G5976" i="11"/>
  <c r="F5976" i="11"/>
  <c r="G5975" i="11"/>
  <c r="F5975" i="11"/>
  <c r="G5974" i="11"/>
  <c r="F5974" i="11"/>
  <c r="G5973" i="11"/>
  <c r="F5973" i="11"/>
  <c r="G5972" i="11"/>
  <c r="F5972" i="11"/>
  <c r="G5971" i="11"/>
  <c r="F5971" i="11"/>
  <c r="G5970" i="11"/>
  <c r="F5970" i="11"/>
  <c r="G5969" i="11"/>
  <c r="F5969" i="11"/>
  <c r="G5968" i="11"/>
  <c r="F5968" i="11"/>
  <c r="G5967" i="11"/>
  <c r="F5967" i="11"/>
  <c r="G5966" i="11"/>
  <c r="F5966" i="11"/>
  <c r="G5965" i="11"/>
  <c r="F5965" i="11"/>
  <c r="G5964" i="11"/>
  <c r="F5964" i="11"/>
  <c r="G5963" i="11"/>
  <c r="F5963" i="11"/>
  <c r="G5962" i="11"/>
  <c r="F5962" i="11"/>
  <c r="G5961" i="11"/>
  <c r="F5961" i="11"/>
  <c r="G5960" i="11"/>
  <c r="F5960" i="11"/>
  <c r="G5959" i="11"/>
  <c r="F5959" i="11"/>
  <c r="G5958" i="11"/>
  <c r="F5958" i="11"/>
  <c r="G5957" i="11"/>
  <c r="F5957" i="11"/>
  <c r="G5956" i="11"/>
  <c r="F5956" i="11"/>
  <c r="G5955" i="11"/>
  <c r="F5955" i="11"/>
  <c r="G5954" i="11"/>
  <c r="F5954" i="11"/>
  <c r="G5953" i="11"/>
  <c r="F5953" i="11"/>
  <c r="G5952" i="11"/>
  <c r="F5952" i="11"/>
  <c r="G5951" i="11"/>
  <c r="F5951" i="11"/>
  <c r="G5950" i="11"/>
  <c r="F5950" i="11"/>
  <c r="G5949" i="11"/>
  <c r="F5949" i="11"/>
  <c r="G5948" i="11"/>
  <c r="F5948" i="11"/>
  <c r="G5947" i="11"/>
  <c r="F5947" i="11"/>
  <c r="G5946" i="11"/>
  <c r="F5946" i="11"/>
  <c r="G5945" i="11"/>
  <c r="F5945" i="11"/>
  <c r="G5944" i="11"/>
  <c r="F5944" i="11"/>
  <c r="G5943" i="11"/>
  <c r="F5943" i="11"/>
  <c r="G5942" i="11"/>
  <c r="F5942" i="11"/>
  <c r="G5941" i="11"/>
  <c r="F5941" i="11"/>
  <c r="G5940" i="11"/>
  <c r="F5940" i="11"/>
  <c r="G5939" i="11"/>
  <c r="F5939" i="11"/>
  <c r="G5938" i="11"/>
  <c r="F5938" i="11"/>
  <c r="G5937" i="11"/>
  <c r="F5937" i="11"/>
  <c r="G5936" i="11"/>
  <c r="F5936" i="11"/>
  <c r="G5935" i="11"/>
  <c r="F5935" i="11"/>
  <c r="G5934" i="11"/>
  <c r="F5934" i="11"/>
  <c r="G5933" i="11"/>
  <c r="F5933" i="11"/>
  <c r="G5932" i="11"/>
  <c r="F5932" i="11"/>
  <c r="F5931" i="11"/>
  <c r="G5931" i="11" s="1"/>
  <c r="G5930" i="11"/>
  <c r="F5930" i="11"/>
  <c r="G5929" i="11"/>
  <c r="F5929" i="11"/>
  <c r="F5928" i="11"/>
  <c r="G5928" i="11" s="1"/>
  <c r="G5927" i="11"/>
  <c r="F5927" i="11"/>
  <c r="G5926" i="11"/>
  <c r="F5926" i="11"/>
  <c r="F5925" i="11"/>
  <c r="G5925" i="11" s="1"/>
  <c r="G5924" i="11"/>
  <c r="F5924" i="11"/>
  <c r="G5923" i="11"/>
  <c r="F5923" i="11"/>
  <c r="F5922" i="11"/>
  <c r="G5922" i="11" s="1"/>
  <c r="G5921" i="11"/>
  <c r="F5921" i="11"/>
  <c r="G5920" i="11"/>
  <c r="F5920" i="11"/>
  <c r="F5919" i="11"/>
  <c r="G5919" i="11" s="1"/>
  <c r="G5918" i="11"/>
  <c r="F5918" i="11"/>
  <c r="G5917" i="11"/>
  <c r="F5917" i="11"/>
  <c r="G5916" i="11"/>
  <c r="F5916" i="11"/>
  <c r="G5915" i="11"/>
  <c r="F5915" i="11"/>
  <c r="G5914" i="11"/>
  <c r="F5914" i="11"/>
  <c r="G5913" i="11"/>
  <c r="F5913" i="11"/>
  <c r="G5912" i="11"/>
  <c r="F5912" i="11"/>
  <c r="G5911" i="11"/>
  <c r="F5911" i="11"/>
  <c r="G5910" i="11"/>
  <c r="F5910" i="11"/>
  <c r="G5909" i="11"/>
  <c r="F5909" i="11"/>
  <c r="G5908" i="11"/>
  <c r="F5908" i="11"/>
  <c r="G5907" i="11"/>
  <c r="F5907" i="11"/>
  <c r="G5906" i="11"/>
  <c r="F5906" i="11"/>
  <c r="G5905" i="11"/>
  <c r="F5905" i="11"/>
  <c r="G5904" i="11"/>
  <c r="F5904" i="11"/>
  <c r="G5903" i="11"/>
  <c r="F5903" i="11"/>
  <c r="G5902" i="11"/>
  <c r="F5902" i="11"/>
  <c r="G5901" i="11"/>
  <c r="F5901" i="11"/>
  <c r="G5900" i="11"/>
  <c r="F5900" i="11"/>
  <c r="G5899" i="11"/>
  <c r="F5899" i="11"/>
  <c r="G5898" i="11"/>
  <c r="F5898" i="11"/>
  <c r="G5897" i="11"/>
  <c r="F5897" i="11"/>
  <c r="G5896" i="11"/>
  <c r="F5896" i="11"/>
  <c r="F5895" i="11"/>
  <c r="G5895" i="11" s="1"/>
  <c r="G5894" i="11"/>
  <c r="F5894" i="11"/>
  <c r="G5893" i="11"/>
  <c r="F5893" i="11"/>
  <c r="F5892" i="11"/>
  <c r="G5892" i="11" s="1"/>
  <c r="G5891" i="11"/>
  <c r="F5891" i="11"/>
  <c r="G5890" i="11"/>
  <c r="F5890" i="11"/>
  <c r="F5889" i="11"/>
  <c r="G5889" i="11" s="1"/>
  <c r="G5888" i="11"/>
  <c r="F5888" i="11"/>
  <c r="G5887" i="11"/>
  <c r="F5887" i="11"/>
  <c r="F5886" i="11"/>
  <c r="G5886" i="11" s="1"/>
  <c r="G5885" i="11"/>
  <c r="F5885" i="11"/>
  <c r="G5884" i="11"/>
  <c r="F5884" i="11"/>
  <c r="G5883" i="11"/>
  <c r="F5883" i="11"/>
  <c r="G5882" i="11"/>
  <c r="F5882" i="11"/>
  <c r="G5881" i="11"/>
  <c r="F5881" i="11"/>
  <c r="G5880" i="11"/>
  <c r="F5880" i="11"/>
  <c r="G5879" i="11"/>
  <c r="F5879" i="11"/>
  <c r="G5878" i="11"/>
  <c r="F5878" i="11"/>
  <c r="G5877" i="11"/>
  <c r="F5877" i="11"/>
  <c r="G5876" i="11"/>
  <c r="F5876" i="11"/>
  <c r="G5875" i="11"/>
  <c r="F5875" i="11"/>
  <c r="G5874" i="11"/>
  <c r="F5874" i="11"/>
  <c r="G5873" i="11"/>
  <c r="F5873" i="11"/>
  <c r="G5872" i="11"/>
  <c r="F5872" i="11"/>
  <c r="G5871" i="11"/>
  <c r="F5871" i="11"/>
  <c r="G5870" i="11"/>
  <c r="F5870" i="11"/>
  <c r="G5869" i="11"/>
  <c r="F5869" i="11"/>
  <c r="G5868" i="11"/>
  <c r="F5868" i="11"/>
  <c r="G5867" i="11"/>
  <c r="F5867" i="11"/>
  <c r="G5866" i="11"/>
  <c r="F5866" i="11"/>
  <c r="F5865" i="11"/>
  <c r="G5865" i="11" s="1"/>
  <c r="G5864" i="11"/>
  <c r="F5864" i="11"/>
  <c r="G5863" i="11"/>
  <c r="F5863" i="11"/>
  <c r="F5862" i="11"/>
  <c r="G5862" i="11" s="1"/>
  <c r="G5861" i="11"/>
  <c r="F5861" i="11"/>
  <c r="G5860" i="11"/>
  <c r="F5860" i="11"/>
  <c r="F5859" i="11"/>
  <c r="G5859" i="11" s="1"/>
  <c r="G5858" i="11"/>
  <c r="F5858" i="11"/>
  <c r="G5857" i="11"/>
  <c r="F5857" i="11"/>
  <c r="G5856" i="11"/>
  <c r="F5856" i="11"/>
  <c r="G5855" i="11"/>
  <c r="F5855" i="11"/>
  <c r="G5854" i="11"/>
  <c r="F5854" i="11"/>
  <c r="G5853" i="11"/>
  <c r="F5853" i="11"/>
  <c r="G5852" i="11"/>
  <c r="F5852" i="11"/>
  <c r="G5851" i="11"/>
  <c r="F5851" i="11"/>
  <c r="G5850" i="11"/>
  <c r="F5850" i="11"/>
  <c r="G5849" i="11"/>
  <c r="F5849" i="11"/>
  <c r="G5848" i="11"/>
  <c r="F5848" i="11"/>
  <c r="G5847" i="11"/>
  <c r="F5847" i="11"/>
  <c r="G5846" i="11"/>
  <c r="F5846" i="11"/>
  <c r="G5845" i="11"/>
  <c r="F5845" i="11"/>
  <c r="G5844" i="11"/>
  <c r="F5844" i="11"/>
  <c r="G5843" i="11"/>
  <c r="F5843" i="11"/>
  <c r="G5842" i="11"/>
  <c r="F5842" i="11"/>
  <c r="G5841" i="11"/>
  <c r="F5841" i="11"/>
  <c r="G5840" i="11"/>
  <c r="F5840" i="11"/>
  <c r="G5839" i="11"/>
  <c r="F5839" i="11"/>
  <c r="F5838" i="11"/>
  <c r="G5838" i="11" s="1"/>
  <c r="G5837" i="11"/>
  <c r="F5837" i="11"/>
  <c r="G5836" i="11"/>
  <c r="F5836" i="11"/>
  <c r="F5835" i="11"/>
  <c r="G5835" i="11" s="1"/>
  <c r="G5834" i="11"/>
  <c r="F5834" i="11"/>
  <c r="G5833" i="11"/>
  <c r="F5833" i="11"/>
  <c r="F5832" i="11"/>
  <c r="G5832" i="11" s="1"/>
  <c r="G5831" i="11"/>
  <c r="F5831" i="11"/>
  <c r="G5830" i="11"/>
  <c r="F5830" i="11"/>
  <c r="F5829" i="11"/>
  <c r="G5829" i="11" s="1"/>
  <c r="G5828" i="11"/>
  <c r="F5828" i="11"/>
  <c r="G5827" i="11"/>
  <c r="F5827" i="11"/>
  <c r="F5826" i="11"/>
  <c r="G5826" i="11" s="1"/>
  <c r="G5825" i="11"/>
  <c r="F5825" i="11"/>
  <c r="G5824" i="11"/>
  <c r="F5824" i="11"/>
  <c r="F5823" i="11"/>
  <c r="G5823" i="11" s="1"/>
  <c r="G5822" i="11"/>
  <c r="F5822" i="11"/>
  <c r="G5821" i="11"/>
  <c r="F5821" i="11"/>
  <c r="F5820" i="11"/>
  <c r="G5820" i="11" s="1"/>
  <c r="G5819" i="11"/>
  <c r="F5819" i="11"/>
  <c r="G5818" i="11"/>
  <c r="F5818" i="11"/>
  <c r="F5817" i="11"/>
  <c r="G5817" i="11" s="1"/>
  <c r="G5816" i="11"/>
  <c r="F5816" i="11"/>
  <c r="G5815" i="11"/>
  <c r="F5815" i="11"/>
  <c r="F5814" i="11"/>
  <c r="G5814" i="11" s="1"/>
  <c r="G5813" i="11"/>
  <c r="F5813" i="11"/>
  <c r="G5812" i="11"/>
  <c r="F5812" i="11"/>
  <c r="F5811" i="11"/>
  <c r="G5811" i="11" s="1"/>
  <c r="G5810" i="11"/>
  <c r="F5810" i="11"/>
  <c r="G5809" i="11"/>
  <c r="F5809" i="11"/>
  <c r="F5808" i="11"/>
  <c r="G5808" i="11" s="1"/>
  <c r="G5807" i="11"/>
  <c r="F5807" i="11"/>
  <c r="G5806" i="11"/>
  <c r="F5806" i="11"/>
  <c r="F5805" i="11"/>
  <c r="G5805" i="11" s="1"/>
  <c r="G5804" i="11"/>
  <c r="F5804" i="11"/>
  <c r="G5803" i="11"/>
  <c r="F5803" i="11"/>
  <c r="F5802" i="11"/>
  <c r="G5802" i="11" s="1"/>
  <c r="G5801" i="11"/>
  <c r="F5801" i="11"/>
  <c r="G5800" i="11"/>
  <c r="F5800" i="11"/>
  <c r="F5799" i="11"/>
  <c r="G5799" i="11" s="1"/>
  <c r="G5798" i="11"/>
  <c r="F5798" i="11"/>
  <c r="G5797" i="11"/>
  <c r="F5797" i="11"/>
  <c r="F5796" i="11"/>
  <c r="G5796" i="11" s="1"/>
  <c r="G5795" i="11"/>
  <c r="F5795" i="11"/>
  <c r="G5794" i="11"/>
  <c r="F5794" i="11"/>
  <c r="G5793" i="11"/>
  <c r="F5793" i="11"/>
  <c r="G5792" i="11"/>
  <c r="F5792" i="11"/>
  <c r="G5791" i="11"/>
  <c r="F5791" i="11"/>
  <c r="F5790" i="11"/>
  <c r="G5790" i="11" s="1"/>
  <c r="G5789" i="11"/>
  <c r="F5789" i="11"/>
  <c r="G5788" i="11"/>
  <c r="F5788" i="11"/>
  <c r="F5787" i="11"/>
  <c r="G5787" i="11" s="1"/>
  <c r="G5786" i="11"/>
  <c r="F5786" i="11"/>
  <c r="G5785" i="11"/>
  <c r="F5785" i="11"/>
  <c r="F5784" i="11"/>
  <c r="G5784" i="11" s="1"/>
  <c r="G5783" i="11"/>
  <c r="F5783" i="11"/>
  <c r="G5782" i="11"/>
  <c r="F5782" i="11"/>
  <c r="F5781" i="11"/>
  <c r="G5781" i="11" s="1"/>
  <c r="G5780" i="11"/>
  <c r="F5780" i="11"/>
  <c r="G5779" i="11"/>
  <c r="F5779" i="11"/>
  <c r="F5778" i="11"/>
  <c r="G5778" i="11" s="1"/>
  <c r="G5777" i="11"/>
  <c r="F5777" i="11"/>
  <c r="G5776" i="11"/>
  <c r="F5776" i="11"/>
  <c r="F5775" i="11"/>
  <c r="G5775" i="11" s="1"/>
  <c r="G5774" i="11"/>
  <c r="F5774" i="11"/>
  <c r="G5773" i="11"/>
  <c r="F5773" i="11"/>
  <c r="F5772" i="11"/>
  <c r="G5772" i="11" s="1"/>
  <c r="G5771" i="11"/>
  <c r="F5771" i="11"/>
  <c r="G5770" i="11"/>
  <c r="F5770" i="11"/>
  <c r="F5769" i="11"/>
  <c r="G5769" i="11" s="1"/>
  <c r="G5768" i="11"/>
  <c r="F5768" i="11"/>
  <c r="G5767" i="11"/>
  <c r="F5767" i="11"/>
  <c r="F5766" i="11"/>
  <c r="G5766" i="11" s="1"/>
  <c r="G5765" i="11"/>
  <c r="F5765" i="11"/>
  <c r="G5764" i="11"/>
  <c r="F5764" i="11"/>
  <c r="F5763" i="11"/>
  <c r="G5763" i="11" s="1"/>
  <c r="G5762" i="11"/>
  <c r="F5762" i="11"/>
  <c r="G5761" i="11"/>
  <c r="F5761" i="11"/>
  <c r="F5760" i="11"/>
  <c r="G5760" i="11" s="1"/>
  <c r="G5759" i="11"/>
  <c r="F5759" i="11"/>
  <c r="G5758" i="11"/>
  <c r="F5758" i="11"/>
  <c r="G5757" i="11"/>
  <c r="F5757" i="11"/>
  <c r="G5756" i="11"/>
  <c r="F5756" i="11"/>
  <c r="G5755" i="11"/>
  <c r="F5755" i="11"/>
  <c r="G5754" i="11"/>
  <c r="F5754" i="11"/>
  <c r="G5753" i="11"/>
  <c r="F5753" i="11"/>
  <c r="G5752" i="11"/>
  <c r="F5752" i="11"/>
  <c r="F5751" i="11"/>
  <c r="G5751" i="11" s="1"/>
  <c r="G5750" i="11"/>
  <c r="F5750" i="11"/>
  <c r="G5749" i="11"/>
  <c r="F5749" i="11"/>
  <c r="G5748" i="11"/>
  <c r="F5748" i="11"/>
  <c r="G5747" i="11"/>
  <c r="F5747" i="11"/>
  <c r="G5746" i="11"/>
  <c r="F5746" i="11"/>
  <c r="G5745" i="11"/>
  <c r="F5745" i="11"/>
  <c r="G5744" i="11"/>
  <c r="F5744" i="11"/>
  <c r="G5743" i="11"/>
  <c r="F5743" i="11"/>
  <c r="G5742" i="11"/>
  <c r="F5742" i="11"/>
  <c r="G5741" i="11"/>
  <c r="F5741" i="11"/>
  <c r="G5740" i="11"/>
  <c r="F5740" i="11"/>
  <c r="G5739" i="11"/>
  <c r="F5739" i="11"/>
  <c r="G5738" i="11"/>
  <c r="F5738" i="11"/>
  <c r="G5737" i="11"/>
  <c r="F5737" i="11"/>
  <c r="G5736" i="11"/>
  <c r="F5736" i="11"/>
  <c r="G5735" i="11"/>
  <c r="F5735" i="11"/>
  <c r="G5734" i="11"/>
  <c r="F5734" i="11"/>
  <c r="G5733" i="11"/>
  <c r="F5733" i="11"/>
  <c r="G5732" i="11"/>
  <c r="F5732" i="11"/>
  <c r="G5731" i="11"/>
  <c r="F5731" i="11"/>
  <c r="G5730" i="11"/>
  <c r="F5730" i="11"/>
  <c r="G5729" i="11"/>
  <c r="F5729" i="11"/>
  <c r="G5728" i="11"/>
  <c r="F5728" i="11"/>
  <c r="F5727" i="11"/>
  <c r="G5727" i="11" s="1"/>
  <c r="G5726" i="11"/>
  <c r="F5726" i="11"/>
  <c r="G5725" i="11"/>
  <c r="F5725" i="11"/>
  <c r="F5724" i="11"/>
  <c r="G5724" i="11" s="1"/>
  <c r="G5723" i="11"/>
  <c r="F5723" i="11"/>
  <c r="G5722" i="11"/>
  <c r="F5722" i="11"/>
  <c r="F5721" i="11"/>
  <c r="G5721" i="11" s="1"/>
  <c r="G5720" i="11"/>
  <c r="F5720" i="11"/>
  <c r="G5719" i="11"/>
  <c r="F5719" i="11"/>
  <c r="F5718" i="11"/>
  <c r="G5718" i="11" s="1"/>
  <c r="G5717" i="11"/>
  <c r="F5717" i="11"/>
  <c r="G5716" i="11"/>
  <c r="F5716" i="11"/>
  <c r="F5715" i="11"/>
  <c r="G5715" i="11" s="1"/>
  <c r="G5714" i="11"/>
  <c r="F5714" i="11"/>
  <c r="G5713" i="11"/>
  <c r="F5713" i="11"/>
  <c r="F5712" i="11"/>
  <c r="G5712" i="11" s="1"/>
  <c r="G5711" i="11"/>
  <c r="F5711" i="11"/>
  <c r="G5710" i="11"/>
  <c r="F5710" i="11"/>
  <c r="F5709" i="11"/>
  <c r="G5709" i="11" s="1"/>
  <c r="G5708" i="11"/>
  <c r="F5708" i="11"/>
  <c r="G5707" i="11"/>
  <c r="F5707" i="11"/>
  <c r="F5706" i="11"/>
  <c r="G5706" i="11" s="1"/>
  <c r="G5705" i="11"/>
  <c r="F5705" i="11"/>
  <c r="G5704" i="11"/>
  <c r="F5704" i="11"/>
  <c r="F5703" i="11"/>
  <c r="G5703" i="11" s="1"/>
  <c r="G5702" i="11"/>
  <c r="F5702" i="11"/>
  <c r="G5701" i="11"/>
  <c r="F5701" i="11"/>
  <c r="F5700" i="11"/>
  <c r="G5700" i="11" s="1"/>
  <c r="G5699" i="11"/>
  <c r="F5699" i="11"/>
  <c r="G5698" i="11"/>
  <c r="F5698" i="11"/>
  <c r="G5697" i="11"/>
  <c r="F5697" i="11"/>
  <c r="G5696" i="11"/>
  <c r="F5696" i="11"/>
  <c r="G5695" i="11"/>
  <c r="F5695" i="11"/>
  <c r="G5694" i="11"/>
  <c r="F5694" i="11"/>
  <c r="G5693" i="11"/>
  <c r="F5693" i="11"/>
  <c r="G5692" i="11"/>
  <c r="F5692" i="11"/>
  <c r="G5691" i="11"/>
  <c r="F5691" i="11"/>
  <c r="G5690" i="11"/>
  <c r="F5690" i="11"/>
  <c r="G5689" i="11"/>
  <c r="F5689" i="11"/>
  <c r="F5688" i="11"/>
  <c r="G5688" i="11" s="1"/>
  <c r="G5687" i="11"/>
  <c r="F5687" i="11"/>
  <c r="G5686" i="11"/>
  <c r="F5686" i="11"/>
  <c r="F5685" i="11"/>
  <c r="G5685" i="11" s="1"/>
  <c r="G5684" i="11"/>
  <c r="F5684" i="11"/>
  <c r="G5683" i="11"/>
  <c r="F5683" i="11"/>
  <c r="F5682" i="11"/>
  <c r="G5682" i="11" s="1"/>
  <c r="G5681" i="11"/>
  <c r="F5681" i="11"/>
  <c r="G5680" i="11"/>
  <c r="F5680" i="11"/>
  <c r="F5679" i="11"/>
  <c r="G5679" i="11" s="1"/>
  <c r="G5678" i="11"/>
  <c r="F5678" i="11"/>
  <c r="G5677" i="11"/>
  <c r="F5677" i="11"/>
  <c r="F5676" i="11"/>
  <c r="G5676" i="11" s="1"/>
  <c r="G5675" i="11"/>
  <c r="F5675" i="11"/>
  <c r="G5674" i="11"/>
  <c r="F5674" i="11"/>
  <c r="F5673" i="11"/>
  <c r="G5673" i="11" s="1"/>
  <c r="G5672" i="11"/>
  <c r="F5672" i="11"/>
  <c r="G5671" i="11"/>
  <c r="F5671" i="11"/>
  <c r="F5670" i="11"/>
  <c r="G5670" i="11" s="1"/>
  <c r="G5669" i="11"/>
  <c r="F5669" i="11"/>
  <c r="G5668" i="11"/>
  <c r="F5668" i="11"/>
  <c r="F5667" i="11"/>
  <c r="G5667" i="11" s="1"/>
  <c r="G5666" i="11"/>
  <c r="F5666" i="11"/>
  <c r="G5665" i="11"/>
  <c r="F5665" i="11"/>
  <c r="F5664" i="11"/>
  <c r="G5664" i="11" s="1"/>
  <c r="G5663" i="11"/>
  <c r="F5663" i="11"/>
  <c r="G5662" i="11"/>
  <c r="F5662" i="11"/>
  <c r="G5661" i="11"/>
  <c r="F5661" i="11"/>
  <c r="G5660" i="11"/>
  <c r="F5660" i="11"/>
  <c r="G5659" i="11"/>
  <c r="F5659" i="11"/>
  <c r="G5658" i="11"/>
  <c r="F5658" i="11"/>
  <c r="G5657" i="11"/>
  <c r="F5657" i="11"/>
  <c r="G5656" i="11"/>
  <c r="F5656" i="11"/>
  <c r="G5655" i="11"/>
  <c r="F5655" i="11"/>
  <c r="G5654" i="11"/>
  <c r="F5654" i="11"/>
  <c r="G5653" i="11"/>
  <c r="F5653" i="11"/>
  <c r="G5652" i="11"/>
  <c r="F5652" i="11"/>
  <c r="G5651" i="11"/>
  <c r="F5651" i="11"/>
  <c r="G5650" i="11"/>
  <c r="F5650" i="11"/>
  <c r="G5649" i="11"/>
  <c r="F5649" i="11"/>
  <c r="G5648" i="11"/>
  <c r="F5648" i="11"/>
  <c r="G5647" i="11"/>
  <c r="F5647" i="11"/>
  <c r="G5646" i="11"/>
  <c r="F5646" i="11"/>
  <c r="G5645" i="11"/>
  <c r="F5645" i="11"/>
  <c r="G5644" i="11"/>
  <c r="F5644" i="11"/>
  <c r="G5643" i="11"/>
  <c r="F5643" i="11"/>
  <c r="G5642" i="11"/>
  <c r="F5642" i="11"/>
  <c r="G5641" i="11"/>
  <c r="F5641" i="11"/>
  <c r="G5640" i="11"/>
  <c r="F5640" i="11"/>
  <c r="G5639" i="11"/>
  <c r="F5639" i="11"/>
  <c r="G5638" i="11"/>
  <c r="F5638" i="11"/>
  <c r="G5637" i="11"/>
  <c r="F5637" i="11"/>
  <c r="G5636" i="11"/>
  <c r="F5636" i="11"/>
  <c r="G5635" i="11"/>
  <c r="F5635" i="11"/>
  <c r="F5634" i="11"/>
  <c r="G5634" i="11" s="1"/>
  <c r="G5633" i="11"/>
  <c r="F5633" i="11"/>
  <c r="G5632" i="11"/>
  <c r="F5632" i="11"/>
  <c r="F5631" i="11"/>
  <c r="G5631" i="11" s="1"/>
  <c r="G5630" i="11"/>
  <c r="F5630" i="11"/>
  <c r="G5629" i="11"/>
  <c r="F5629" i="11"/>
  <c r="F5628" i="11"/>
  <c r="G5628" i="11" s="1"/>
  <c r="G5627" i="11"/>
  <c r="F5627" i="11"/>
  <c r="G5626" i="11"/>
  <c r="F5626" i="11"/>
  <c r="F5625" i="11"/>
  <c r="G5625" i="11" s="1"/>
  <c r="G5624" i="11"/>
  <c r="F5624" i="11"/>
  <c r="G5623" i="11"/>
  <c r="F5623" i="11"/>
  <c r="F5622" i="11"/>
  <c r="G5622" i="11" s="1"/>
  <c r="G5621" i="11"/>
  <c r="F5621" i="11"/>
  <c r="G5620" i="11"/>
  <c r="F5620" i="11"/>
  <c r="F5619" i="11"/>
  <c r="G5619" i="11" s="1"/>
  <c r="G5618" i="11"/>
  <c r="F5618" i="11"/>
  <c r="G5617" i="11"/>
  <c r="F5617" i="11"/>
  <c r="F5616" i="11"/>
  <c r="G5616" i="11" s="1"/>
  <c r="G5615" i="11"/>
  <c r="F5615" i="11"/>
  <c r="G5614" i="11"/>
  <c r="F5614" i="11"/>
  <c r="F5613" i="11"/>
  <c r="G5613" i="11" s="1"/>
  <c r="G5612" i="11"/>
  <c r="F5612" i="11"/>
  <c r="G5611" i="11"/>
  <c r="F5611" i="11"/>
  <c r="F5610" i="11"/>
  <c r="G5610" i="11" s="1"/>
  <c r="G5609" i="11"/>
  <c r="F5609" i="11"/>
  <c r="G5608" i="11"/>
  <c r="F5608" i="11"/>
  <c r="F5607" i="11"/>
  <c r="G5607" i="11" s="1"/>
  <c r="G5606" i="11"/>
  <c r="F5606" i="11"/>
  <c r="G5605" i="11"/>
  <c r="F5605" i="11"/>
  <c r="F5604" i="11"/>
  <c r="G5604" i="11" s="1"/>
  <c r="G5603" i="11"/>
  <c r="F5603" i="11"/>
  <c r="G5602" i="11"/>
  <c r="F5602" i="11"/>
  <c r="F5601" i="11"/>
  <c r="G5601" i="11" s="1"/>
  <c r="G5600" i="11"/>
  <c r="F5600" i="11"/>
  <c r="G5599" i="11"/>
  <c r="F5599" i="11"/>
  <c r="F5598" i="11"/>
  <c r="G5598" i="11" s="1"/>
  <c r="G5597" i="11"/>
  <c r="F5597" i="11"/>
  <c r="G5596" i="11"/>
  <c r="F5596" i="11"/>
  <c r="F5595" i="11"/>
  <c r="G5595" i="11" s="1"/>
  <c r="G5594" i="11"/>
  <c r="F5594" i="11"/>
  <c r="G5593" i="11"/>
  <c r="F5593" i="11"/>
  <c r="F5592" i="11"/>
  <c r="G5592" i="11" s="1"/>
  <c r="G5591" i="11"/>
  <c r="F5591" i="11"/>
  <c r="G5590" i="11"/>
  <c r="F5590" i="11"/>
  <c r="F5589" i="11"/>
  <c r="G5589" i="11" s="1"/>
  <c r="G5588" i="11"/>
  <c r="F5588" i="11"/>
  <c r="G5587" i="11"/>
  <c r="F5587" i="11"/>
  <c r="F5586" i="11"/>
  <c r="G5586" i="11" s="1"/>
  <c r="G5585" i="11"/>
  <c r="F5585" i="11"/>
  <c r="G5584" i="11"/>
  <c r="F5584" i="11"/>
  <c r="F5583" i="11"/>
  <c r="G5583" i="11" s="1"/>
  <c r="G5582" i="11"/>
  <c r="F5582" i="11"/>
  <c r="G5581" i="11"/>
  <c r="F5581" i="11"/>
  <c r="F5580" i="11"/>
  <c r="G5580" i="11" s="1"/>
  <c r="G5579" i="11"/>
  <c r="F5579" i="11"/>
  <c r="G5578" i="11"/>
  <c r="F5578" i="11"/>
  <c r="F5577" i="11"/>
  <c r="G5577" i="11" s="1"/>
  <c r="G5576" i="11"/>
  <c r="F5576" i="11"/>
  <c r="G5575" i="11"/>
  <c r="F5575" i="11"/>
  <c r="F5574" i="11"/>
  <c r="G5574" i="11" s="1"/>
  <c r="G5573" i="11"/>
  <c r="F5573" i="11"/>
  <c r="G5572" i="11"/>
  <c r="F5572" i="11"/>
  <c r="F5571" i="11"/>
  <c r="G5571" i="11" s="1"/>
  <c r="G5570" i="11"/>
  <c r="F5570" i="11"/>
  <c r="G5569" i="11"/>
  <c r="F5569" i="11"/>
  <c r="F5568" i="11"/>
  <c r="G5568" i="11" s="1"/>
  <c r="G5567" i="11"/>
  <c r="F5567" i="11"/>
  <c r="G5566" i="11"/>
  <c r="F5566" i="11"/>
  <c r="F5565" i="11"/>
  <c r="G5565" i="11" s="1"/>
  <c r="G5564" i="11"/>
  <c r="F5564" i="11"/>
  <c r="G5563" i="11"/>
  <c r="F5563" i="11"/>
  <c r="F5562" i="11"/>
  <c r="G5562" i="11" s="1"/>
  <c r="G5561" i="11"/>
  <c r="F5561" i="11"/>
  <c r="G5560" i="11"/>
  <c r="F5560" i="11"/>
  <c r="F5559" i="11"/>
  <c r="G5559" i="11" s="1"/>
  <c r="G5558" i="11"/>
  <c r="F5558" i="11"/>
  <c r="G5557" i="11"/>
  <c r="F5557" i="11"/>
  <c r="F5556" i="11"/>
  <c r="G5556" i="11" s="1"/>
  <c r="G5555" i="11"/>
  <c r="F5555" i="11"/>
  <c r="G5554" i="11"/>
  <c r="F5554" i="11"/>
  <c r="F5553" i="11"/>
  <c r="G5553" i="11" s="1"/>
  <c r="G5552" i="11"/>
  <c r="F5552" i="11"/>
  <c r="G5551" i="11"/>
  <c r="F5551" i="11"/>
  <c r="F5550" i="11"/>
  <c r="G5550" i="11" s="1"/>
  <c r="G5549" i="11"/>
  <c r="F5549" i="11"/>
  <c r="G5548" i="11"/>
  <c r="F5548" i="11"/>
  <c r="F5547" i="11"/>
  <c r="G5547" i="11" s="1"/>
  <c r="G5546" i="11"/>
  <c r="F5546" i="11"/>
  <c r="G5545" i="11"/>
  <c r="F5545" i="11"/>
  <c r="F5544" i="11"/>
  <c r="G5544" i="11" s="1"/>
  <c r="G5543" i="11"/>
  <c r="F5543" i="11"/>
  <c r="G5542" i="11"/>
  <c r="F5542" i="11"/>
  <c r="F5541" i="11"/>
  <c r="G5541" i="11" s="1"/>
  <c r="G5540" i="11"/>
  <c r="F5540" i="11"/>
  <c r="G5539" i="11"/>
  <c r="F5539" i="11"/>
  <c r="F5538" i="11"/>
  <c r="G5538" i="11" s="1"/>
  <c r="G5537" i="11"/>
  <c r="F5537" i="11"/>
  <c r="G5536" i="11"/>
  <c r="F5536" i="11"/>
  <c r="F5535" i="11"/>
  <c r="G5535" i="11" s="1"/>
  <c r="G5534" i="11"/>
  <c r="F5534" i="11"/>
  <c r="G5533" i="11"/>
  <c r="F5533" i="11"/>
  <c r="F5532" i="11"/>
  <c r="G5532" i="11" s="1"/>
  <c r="G5531" i="11"/>
  <c r="F5531" i="11"/>
  <c r="G5530" i="11"/>
  <c r="F5530" i="11"/>
  <c r="F5529" i="11"/>
  <c r="G5529" i="11" s="1"/>
  <c r="G5528" i="11"/>
  <c r="F5528" i="11"/>
  <c r="G5527" i="11"/>
  <c r="F5527" i="11"/>
  <c r="F5526" i="11"/>
  <c r="G5526" i="11" s="1"/>
  <c r="G5525" i="11"/>
  <c r="F5525" i="11"/>
  <c r="G5524" i="11"/>
  <c r="F5524" i="11"/>
  <c r="F5523" i="11"/>
  <c r="G5523" i="11" s="1"/>
  <c r="G5522" i="11"/>
  <c r="F5522" i="11"/>
  <c r="G5521" i="11"/>
  <c r="F5521" i="11"/>
  <c r="F5520" i="11"/>
  <c r="G5520" i="11" s="1"/>
  <c r="G5519" i="11"/>
  <c r="F5519" i="11"/>
  <c r="G5518" i="11"/>
  <c r="F5518" i="11"/>
  <c r="F5517" i="11"/>
  <c r="G5517" i="11" s="1"/>
  <c r="G5516" i="11"/>
  <c r="F5516" i="11"/>
  <c r="G5515" i="11"/>
  <c r="F5515" i="11"/>
  <c r="F5514" i="11"/>
  <c r="G5514" i="11" s="1"/>
  <c r="G5513" i="11"/>
  <c r="F5513" i="11"/>
  <c r="G5512" i="11"/>
  <c r="F5512" i="11"/>
  <c r="F5511" i="11"/>
  <c r="G5511" i="11" s="1"/>
  <c r="G5510" i="11"/>
  <c r="F5510" i="11"/>
  <c r="G5509" i="11"/>
  <c r="F5509" i="11"/>
  <c r="F5508" i="11"/>
  <c r="G5508" i="11" s="1"/>
  <c r="G5507" i="11"/>
  <c r="F5507" i="11"/>
  <c r="G5506" i="11"/>
  <c r="F5506" i="11"/>
  <c r="F5505" i="11"/>
  <c r="G5505" i="11" s="1"/>
  <c r="G5504" i="11"/>
  <c r="F5504" i="11"/>
  <c r="G5503" i="11"/>
  <c r="F5503" i="11"/>
  <c r="F5502" i="11"/>
  <c r="G5502" i="11" s="1"/>
  <c r="G5501" i="11"/>
  <c r="F5501" i="11"/>
  <c r="G5500" i="11"/>
  <c r="F5500" i="11"/>
  <c r="F5499" i="11"/>
  <c r="G5499" i="11" s="1"/>
  <c r="G5498" i="11"/>
  <c r="F5498" i="11"/>
  <c r="G5497" i="11"/>
  <c r="F5497" i="11"/>
  <c r="F5496" i="11"/>
  <c r="G5496" i="11" s="1"/>
  <c r="G5495" i="11"/>
  <c r="F5495" i="11"/>
  <c r="G5494" i="11"/>
  <c r="F5494" i="11"/>
  <c r="F5493" i="11"/>
  <c r="G5493" i="11" s="1"/>
  <c r="G5492" i="11"/>
  <c r="F5492" i="11"/>
  <c r="G5491" i="11"/>
  <c r="F5491" i="11"/>
  <c r="F5490" i="11"/>
  <c r="G5490" i="11" s="1"/>
  <c r="G5489" i="11"/>
  <c r="F5489" i="11"/>
  <c r="G5488" i="11"/>
  <c r="F5488" i="11"/>
  <c r="F5487" i="11"/>
  <c r="G5487" i="11" s="1"/>
  <c r="G5486" i="11"/>
  <c r="F5486" i="11"/>
  <c r="G5485" i="11"/>
  <c r="F5485" i="11"/>
  <c r="F5484" i="11"/>
  <c r="G5484" i="11" s="1"/>
  <c r="G5483" i="11"/>
  <c r="F5483" i="11"/>
  <c r="G5482" i="11"/>
  <c r="F5482" i="11"/>
  <c r="F5481" i="11"/>
  <c r="G5481" i="11" s="1"/>
  <c r="G5480" i="11"/>
  <c r="F5480" i="11"/>
  <c r="G5479" i="11"/>
  <c r="F5479" i="11"/>
  <c r="F5478" i="11"/>
  <c r="G5478" i="11" s="1"/>
  <c r="G5477" i="11"/>
  <c r="F5477" i="11"/>
  <c r="G5476" i="11"/>
  <c r="F5476" i="11"/>
  <c r="F5475" i="11"/>
  <c r="G5475" i="11" s="1"/>
  <c r="G5474" i="11"/>
  <c r="F5474" i="11"/>
  <c r="G5473" i="11"/>
  <c r="F5473" i="11"/>
  <c r="F5472" i="11"/>
  <c r="G5472" i="11" s="1"/>
  <c r="G5471" i="11"/>
  <c r="F5471" i="11"/>
  <c r="G5470" i="11"/>
  <c r="F5470" i="11"/>
  <c r="F5469" i="11"/>
  <c r="G5469" i="11" s="1"/>
  <c r="G5468" i="11"/>
  <c r="F5468" i="11"/>
  <c r="G5467" i="11"/>
  <c r="F5467" i="11"/>
  <c r="F5466" i="11"/>
  <c r="G5466" i="11" s="1"/>
  <c r="G5465" i="11"/>
  <c r="F5465" i="11"/>
  <c r="G5464" i="11"/>
  <c r="F5464" i="11"/>
  <c r="F5463" i="11"/>
  <c r="G5463" i="11" s="1"/>
  <c r="G5462" i="11"/>
  <c r="F5462" i="11"/>
  <c r="G5461" i="11"/>
  <c r="F5461" i="11"/>
  <c r="F5460" i="11"/>
  <c r="G5460" i="11" s="1"/>
  <c r="G5459" i="11"/>
  <c r="F5459" i="11"/>
  <c r="G5458" i="11"/>
  <c r="F5458" i="11"/>
  <c r="F5457" i="11"/>
  <c r="G5457" i="11" s="1"/>
  <c r="G5456" i="11"/>
  <c r="F5456" i="11"/>
  <c r="G5455" i="11"/>
  <c r="F5455" i="11"/>
  <c r="F5454" i="11"/>
  <c r="G5454" i="11" s="1"/>
  <c r="G5453" i="11"/>
  <c r="F5453" i="11"/>
  <c r="G5452" i="11"/>
  <c r="F5452" i="11"/>
  <c r="F5451" i="11"/>
  <c r="G5451" i="11" s="1"/>
  <c r="F5450" i="11"/>
  <c r="G5450" i="11" s="1"/>
  <c r="G5449" i="11"/>
  <c r="F5449" i="11"/>
  <c r="F5448" i="11"/>
  <c r="G5448" i="11" s="1"/>
  <c r="F5447" i="11"/>
  <c r="G5447" i="11" s="1"/>
  <c r="G5446" i="11"/>
  <c r="F5446" i="11"/>
  <c r="G5445" i="11"/>
  <c r="F5445" i="11"/>
  <c r="F5444" i="11"/>
  <c r="G5444" i="11" s="1"/>
  <c r="G5443" i="11"/>
  <c r="F5443" i="11"/>
  <c r="F5442" i="11"/>
  <c r="G5442" i="11" s="1"/>
  <c r="F5441" i="11"/>
  <c r="G5441" i="11" s="1"/>
  <c r="G5440" i="11"/>
  <c r="F5440" i="11"/>
  <c r="G5439" i="11"/>
  <c r="F5439" i="11"/>
  <c r="F5438" i="11"/>
  <c r="G5438" i="11" s="1"/>
  <c r="G5437" i="11"/>
  <c r="F5437" i="11"/>
  <c r="G5436" i="11"/>
  <c r="F5436" i="11"/>
  <c r="F5435" i="11"/>
  <c r="G5435" i="11" s="1"/>
  <c r="G5434" i="11"/>
  <c r="F5434" i="11"/>
  <c r="F5433" i="11"/>
  <c r="G5433" i="11" s="1"/>
  <c r="F5432" i="11"/>
  <c r="G5432" i="11" s="1"/>
  <c r="G5431" i="11"/>
  <c r="F5431" i="11"/>
  <c r="F5430" i="11"/>
  <c r="G5430" i="11" s="1"/>
  <c r="F5429" i="11"/>
  <c r="G5429" i="11" s="1"/>
  <c r="G5428" i="11"/>
  <c r="F5428" i="11"/>
  <c r="G5427" i="11"/>
  <c r="F5427" i="11"/>
  <c r="F5426" i="11"/>
  <c r="G5426" i="11" s="1"/>
  <c r="G5425" i="11"/>
  <c r="F5425" i="11"/>
  <c r="F5424" i="11"/>
  <c r="G5424" i="11" s="1"/>
  <c r="F5423" i="11"/>
  <c r="G5423" i="11" s="1"/>
  <c r="G5422" i="11"/>
  <c r="F5422" i="11"/>
  <c r="G5421" i="11"/>
  <c r="F5421" i="11"/>
  <c r="F5420" i="11"/>
  <c r="G5420" i="11" s="1"/>
  <c r="G5419" i="11"/>
  <c r="F5419" i="11"/>
  <c r="G5418" i="11"/>
  <c r="F5418" i="11"/>
  <c r="F5417" i="11"/>
  <c r="G5417" i="11" s="1"/>
  <c r="G5416" i="11"/>
  <c r="F5416" i="11"/>
  <c r="F5415" i="11"/>
  <c r="G5415" i="11" s="1"/>
  <c r="F5414" i="11"/>
  <c r="G5414" i="11" s="1"/>
  <c r="G5413" i="11"/>
  <c r="F5413" i="11"/>
  <c r="F5412" i="11"/>
  <c r="G5412" i="11" s="1"/>
  <c r="F5411" i="11"/>
  <c r="G5411" i="11" s="1"/>
  <c r="G5410" i="11"/>
  <c r="F5410" i="11"/>
  <c r="G5409" i="11"/>
  <c r="F5409" i="11"/>
  <c r="F5408" i="11"/>
  <c r="G5408" i="11" s="1"/>
  <c r="G5407" i="11"/>
  <c r="F5407" i="11"/>
  <c r="F5406" i="11"/>
  <c r="G5406" i="11" s="1"/>
  <c r="F5405" i="11"/>
  <c r="G5405" i="11" s="1"/>
  <c r="G5404" i="11"/>
  <c r="F5404" i="11"/>
  <c r="G5403" i="11"/>
  <c r="F5403" i="11"/>
  <c r="F5402" i="11"/>
  <c r="G5402" i="11" s="1"/>
  <c r="G5401" i="11"/>
  <c r="F5401" i="11"/>
  <c r="G5400" i="11"/>
  <c r="F5400" i="11"/>
  <c r="F5399" i="11"/>
  <c r="G5399" i="11" s="1"/>
  <c r="G5398" i="11"/>
  <c r="F5398" i="11"/>
  <c r="F5397" i="11"/>
  <c r="G5397" i="11" s="1"/>
  <c r="F5396" i="11"/>
  <c r="G5396" i="11" s="1"/>
  <c r="G5395" i="11"/>
  <c r="F5395" i="11"/>
  <c r="F5394" i="11"/>
  <c r="G5394" i="11" s="1"/>
  <c r="F5393" i="11"/>
  <c r="G5393" i="11" s="1"/>
  <c r="G5392" i="11"/>
  <c r="F5392" i="11"/>
  <c r="G5391" i="11"/>
  <c r="F5391" i="11"/>
  <c r="F5390" i="11"/>
  <c r="G5390" i="11" s="1"/>
  <c r="G5389" i="11"/>
  <c r="F5389" i="11"/>
  <c r="F5388" i="11"/>
  <c r="G5388" i="11" s="1"/>
  <c r="F5387" i="11"/>
  <c r="G5387" i="11" s="1"/>
  <c r="G5386" i="11"/>
  <c r="F5386" i="11"/>
  <c r="G5385" i="11"/>
  <c r="F5385" i="11"/>
  <c r="G5384" i="11"/>
  <c r="F5384" i="11"/>
  <c r="G5383" i="11"/>
  <c r="F5383" i="11"/>
  <c r="G5382" i="11"/>
  <c r="F5382" i="11"/>
  <c r="G5381" i="11"/>
  <c r="F5381" i="11"/>
  <c r="G5380" i="11"/>
  <c r="F5380" i="11"/>
  <c r="G5379" i="11"/>
  <c r="F5379" i="11"/>
  <c r="G5378" i="11"/>
  <c r="F5378" i="11"/>
  <c r="G5377" i="11"/>
  <c r="F5377" i="11"/>
  <c r="G5376" i="11"/>
  <c r="F5376" i="11"/>
  <c r="F5375" i="11"/>
  <c r="G5375" i="11" s="1"/>
  <c r="G5374" i="11"/>
  <c r="F5374" i="11"/>
  <c r="G5373" i="11"/>
  <c r="F5373" i="11"/>
  <c r="F5372" i="11"/>
  <c r="G5372" i="11" s="1"/>
  <c r="G5371" i="11"/>
  <c r="F5371" i="11"/>
  <c r="F5370" i="11"/>
  <c r="G5370" i="11" s="1"/>
  <c r="F5369" i="11"/>
  <c r="G5369" i="11" s="1"/>
  <c r="G5368" i="11"/>
  <c r="F5368" i="11"/>
  <c r="F5367" i="11"/>
  <c r="G5367" i="11" s="1"/>
  <c r="F5366" i="11"/>
  <c r="G5366" i="11" s="1"/>
  <c r="G5365" i="11"/>
  <c r="F5365" i="11"/>
  <c r="G5364" i="11"/>
  <c r="F5364" i="11"/>
  <c r="F5363" i="11"/>
  <c r="G5363" i="11" s="1"/>
  <c r="G5362" i="11"/>
  <c r="F5362" i="11"/>
  <c r="F5361" i="11"/>
  <c r="G5361" i="11" s="1"/>
  <c r="F5360" i="11"/>
  <c r="G5360" i="11" s="1"/>
  <c r="G5359" i="11"/>
  <c r="F5359" i="11"/>
  <c r="G5358" i="11"/>
  <c r="F5358" i="11"/>
  <c r="F5357" i="11"/>
  <c r="G5357" i="11" s="1"/>
  <c r="G5356" i="11"/>
  <c r="F5356" i="11"/>
  <c r="G5355" i="11"/>
  <c r="F5355" i="11"/>
  <c r="F5354" i="11"/>
  <c r="G5354" i="11" s="1"/>
  <c r="G5353" i="11"/>
  <c r="F5353" i="11"/>
  <c r="F5352" i="11"/>
  <c r="G5352" i="11" s="1"/>
  <c r="F5351" i="11"/>
  <c r="G5351" i="11" s="1"/>
  <c r="G5350" i="11"/>
  <c r="F5350" i="11"/>
  <c r="F5349" i="11"/>
  <c r="G5349" i="11" s="1"/>
  <c r="F5348" i="11"/>
  <c r="G5348" i="11" s="1"/>
  <c r="G5347" i="11"/>
  <c r="F5347" i="11"/>
  <c r="G5346" i="11"/>
  <c r="F5346" i="11"/>
  <c r="F5345" i="11"/>
  <c r="G5345" i="11" s="1"/>
  <c r="G5344" i="11"/>
  <c r="F5344" i="11"/>
  <c r="F5343" i="11"/>
  <c r="G5343" i="11" s="1"/>
  <c r="F5342" i="11"/>
  <c r="G5342" i="11" s="1"/>
  <c r="G5341" i="11"/>
  <c r="F5341" i="11"/>
  <c r="G5340" i="11"/>
  <c r="F5340" i="11"/>
  <c r="F5339" i="11"/>
  <c r="G5339" i="11" s="1"/>
  <c r="G5338" i="11"/>
  <c r="F5338" i="11"/>
  <c r="G5337" i="11"/>
  <c r="F5337" i="11"/>
  <c r="F5336" i="11"/>
  <c r="G5336" i="11" s="1"/>
  <c r="G5335" i="11"/>
  <c r="F5335" i="11"/>
  <c r="F5334" i="11"/>
  <c r="G5334" i="11" s="1"/>
  <c r="F5333" i="11"/>
  <c r="G5333" i="11" s="1"/>
  <c r="G5332" i="11"/>
  <c r="F5332" i="11"/>
  <c r="F5331" i="11"/>
  <c r="G5331" i="11" s="1"/>
  <c r="F5330" i="11"/>
  <c r="G5330" i="11" s="1"/>
  <c r="G5329" i="11"/>
  <c r="F5329" i="11"/>
  <c r="G5328" i="11"/>
  <c r="F5328" i="11"/>
  <c r="F5327" i="11"/>
  <c r="G5327" i="11" s="1"/>
  <c r="G5326" i="11"/>
  <c r="F5326" i="11"/>
  <c r="F5325" i="11"/>
  <c r="G5325" i="11" s="1"/>
  <c r="F5324" i="11"/>
  <c r="G5324" i="11" s="1"/>
  <c r="G5323" i="11"/>
  <c r="F5323" i="11"/>
  <c r="G5322" i="11"/>
  <c r="F5322" i="11"/>
  <c r="F5321" i="11"/>
  <c r="G5321" i="11" s="1"/>
  <c r="G5320" i="11"/>
  <c r="F5320" i="11"/>
  <c r="G5319" i="11"/>
  <c r="F5319" i="11"/>
  <c r="F5318" i="11"/>
  <c r="G5318" i="11" s="1"/>
  <c r="G5317" i="11"/>
  <c r="F5317" i="11"/>
  <c r="F5316" i="11"/>
  <c r="G5316" i="11" s="1"/>
  <c r="F5315" i="11"/>
  <c r="G5315" i="11" s="1"/>
  <c r="G5314" i="11"/>
  <c r="F5314" i="11"/>
  <c r="F5313" i="11"/>
  <c r="G5313" i="11" s="1"/>
  <c r="F5312" i="11"/>
  <c r="G5312" i="11" s="1"/>
  <c r="G5311" i="11"/>
  <c r="F5311" i="11"/>
  <c r="G5310" i="11"/>
  <c r="F5310" i="11"/>
  <c r="F5309" i="11"/>
  <c r="G5309" i="11" s="1"/>
  <c r="G5308" i="11"/>
  <c r="F5308" i="11"/>
  <c r="F5307" i="11"/>
  <c r="G5307" i="11" s="1"/>
  <c r="F5306" i="11"/>
  <c r="G5306" i="11" s="1"/>
  <c r="G5305" i="11"/>
  <c r="F5305" i="11"/>
  <c r="G5304" i="11"/>
  <c r="F5304" i="11"/>
  <c r="F5303" i="11"/>
  <c r="G5303" i="11" s="1"/>
  <c r="G5302" i="11"/>
  <c r="F5302" i="11"/>
  <c r="G5301" i="11"/>
  <c r="F5301" i="11"/>
  <c r="F5300" i="11"/>
  <c r="G5300" i="11" s="1"/>
  <c r="G5299" i="11"/>
  <c r="F5299" i="11"/>
  <c r="F5298" i="11"/>
  <c r="G5298" i="11" s="1"/>
  <c r="F5297" i="11"/>
  <c r="G5297" i="11" s="1"/>
  <c r="G5296" i="11"/>
  <c r="F5296" i="11"/>
  <c r="F5295" i="11"/>
  <c r="G5295" i="11" s="1"/>
  <c r="F5294" i="11"/>
  <c r="G5294" i="11" s="1"/>
  <c r="G5293" i="11"/>
  <c r="F5293" i="11"/>
  <c r="G5292" i="11"/>
  <c r="F5292" i="11"/>
  <c r="F5291" i="11"/>
  <c r="G5291" i="11" s="1"/>
  <c r="G5290" i="11"/>
  <c r="F5290" i="11"/>
  <c r="F5289" i="11"/>
  <c r="G5289" i="11" s="1"/>
  <c r="F5288" i="11"/>
  <c r="G5288" i="11" s="1"/>
  <c r="G5287" i="11"/>
  <c r="F5287" i="11"/>
  <c r="G5286" i="11"/>
  <c r="F5286" i="11"/>
  <c r="F5285" i="11"/>
  <c r="G5285" i="11" s="1"/>
  <c r="G5284" i="11"/>
  <c r="F5284" i="11"/>
  <c r="G5283" i="11"/>
  <c r="F5283" i="11"/>
  <c r="F5282" i="11"/>
  <c r="G5282" i="11" s="1"/>
  <c r="G5281" i="11"/>
  <c r="F5281" i="11"/>
  <c r="F5280" i="11"/>
  <c r="G5280" i="11" s="1"/>
  <c r="F5279" i="11"/>
  <c r="G5279" i="11" s="1"/>
  <c r="G5278" i="11"/>
  <c r="F5278" i="11"/>
  <c r="F5277" i="11"/>
  <c r="G5277" i="11" s="1"/>
  <c r="F5276" i="11"/>
  <c r="G5276" i="11" s="1"/>
  <c r="G5275" i="11"/>
  <c r="F5275" i="11"/>
  <c r="G5274" i="11"/>
  <c r="F5274" i="11"/>
  <c r="F5273" i="11"/>
  <c r="G5273" i="11" s="1"/>
  <c r="G5272" i="11"/>
  <c r="F5272" i="11"/>
  <c r="F5271" i="11"/>
  <c r="G5271" i="11" s="1"/>
  <c r="F5270" i="11"/>
  <c r="G5270" i="11" s="1"/>
  <c r="G5269" i="11"/>
  <c r="F5269" i="11"/>
  <c r="G5268" i="11"/>
  <c r="F5268" i="11"/>
  <c r="F5267" i="11"/>
  <c r="G5267" i="11" s="1"/>
  <c r="G5266" i="11"/>
  <c r="F5266" i="11"/>
  <c r="G5265" i="11"/>
  <c r="F5265" i="11"/>
  <c r="F5264" i="11"/>
  <c r="G5264" i="11" s="1"/>
  <c r="G5263" i="11"/>
  <c r="F5263" i="11"/>
  <c r="F5262" i="11"/>
  <c r="G5262" i="11" s="1"/>
  <c r="G5261" i="11"/>
  <c r="F5261" i="11"/>
  <c r="G5260" i="11"/>
  <c r="F5260" i="11"/>
  <c r="F5259" i="11"/>
  <c r="G5259" i="11" s="1"/>
  <c r="G5258" i="11"/>
  <c r="F5258" i="11"/>
  <c r="G5257" i="11"/>
  <c r="F5257" i="11"/>
  <c r="F5256" i="11"/>
  <c r="G5256" i="11" s="1"/>
  <c r="G5255" i="11"/>
  <c r="F5255" i="11"/>
  <c r="G5254" i="11"/>
  <c r="F5254" i="11"/>
  <c r="F5253" i="11"/>
  <c r="G5253" i="11" s="1"/>
  <c r="G5252" i="11"/>
  <c r="F5252" i="11"/>
  <c r="G5251" i="11"/>
  <c r="F5251" i="11"/>
  <c r="F5250" i="11"/>
  <c r="G5250" i="11" s="1"/>
  <c r="G5249" i="11"/>
  <c r="F5249" i="11"/>
  <c r="G5248" i="11"/>
  <c r="F5248" i="11"/>
  <c r="F5247" i="11"/>
  <c r="G5247" i="11" s="1"/>
  <c r="G5246" i="11"/>
  <c r="F5246" i="11"/>
  <c r="G5245" i="11"/>
  <c r="F5245" i="11"/>
  <c r="F5244" i="11"/>
  <c r="G5244" i="11" s="1"/>
  <c r="G5243" i="11"/>
  <c r="F5243" i="11"/>
  <c r="G5242" i="11"/>
  <c r="F5242" i="11"/>
  <c r="F5241" i="11"/>
  <c r="G5241" i="11" s="1"/>
  <c r="G5240" i="11"/>
  <c r="F5240" i="11"/>
  <c r="G5239" i="11"/>
  <c r="F5239" i="11"/>
  <c r="F5238" i="11"/>
  <c r="G5238" i="11" s="1"/>
  <c r="G5237" i="11"/>
  <c r="F5237" i="11"/>
  <c r="G5236" i="11"/>
  <c r="F5236" i="11"/>
  <c r="F5235" i="11"/>
  <c r="G5235" i="11" s="1"/>
  <c r="G5234" i="11"/>
  <c r="F5234" i="11"/>
  <c r="G5233" i="11"/>
  <c r="F5233" i="11"/>
  <c r="F5232" i="11"/>
  <c r="G5232" i="11" s="1"/>
  <c r="G5231" i="11"/>
  <c r="F5231" i="11"/>
  <c r="G5230" i="11"/>
  <c r="F5230" i="11"/>
  <c r="F5229" i="11"/>
  <c r="G5229" i="11" s="1"/>
  <c r="G5228" i="11"/>
  <c r="F5228" i="11"/>
  <c r="G5227" i="11"/>
  <c r="F5227" i="11"/>
  <c r="F5226" i="11"/>
  <c r="G5226" i="11" s="1"/>
  <c r="G5225" i="11"/>
  <c r="F5225" i="11"/>
  <c r="G5224" i="11"/>
  <c r="F5224" i="11"/>
  <c r="F5223" i="11"/>
  <c r="G5223" i="11" s="1"/>
  <c r="G5222" i="11"/>
  <c r="F5222" i="11"/>
  <c r="G5221" i="11"/>
  <c r="F5221" i="11"/>
  <c r="F5220" i="11"/>
  <c r="G5220" i="11" s="1"/>
  <c r="G5219" i="11"/>
  <c r="F5219" i="11"/>
  <c r="G5218" i="11"/>
  <c r="F5218" i="11"/>
  <c r="F5217" i="11"/>
  <c r="G5217" i="11" s="1"/>
  <c r="G5216" i="11"/>
  <c r="F5216" i="11"/>
  <c r="G5215" i="11"/>
  <c r="F5215" i="11"/>
  <c r="F5214" i="11"/>
  <c r="G5214" i="11" s="1"/>
  <c r="G5213" i="11"/>
  <c r="F5213" i="11"/>
  <c r="G5212" i="11"/>
  <c r="F5212" i="11"/>
  <c r="F5211" i="11"/>
  <c r="G5211" i="11" s="1"/>
  <c r="G5210" i="11"/>
  <c r="F5210" i="11"/>
  <c r="G5209" i="11"/>
  <c r="F5209" i="11"/>
  <c r="F5208" i="11"/>
  <c r="G5208" i="11" s="1"/>
  <c r="G5207" i="11"/>
  <c r="F5207" i="11"/>
  <c r="G5206" i="11"/>
  <c r="F5206" i="11"/>
  <c r="F5205" i="11"/>
  <c r="G5205" i="11" s="1"/>
  <c r="G5204" i="11"/>
  <c r="F5204" i="11"/>
  <c r="G5203" i="11"/>
  <c r="F5203" i="11"/>
  <c r="F5202" i="11"/>
  <c r="G5202" i="11" s="1"/>
  <c r="G5201" i="11"/>
  <c r="F5201" i="11"/>
  <c r="G5200" i="11"/>
  <c r="F5200" i="11"/>
  <c r="F5199" i="11"/>
  <c r="G5199" i="11" s="1"/>
  <c r="G5198" i="11"/>
  <c r="F5198" i="11"/>
  <c r="G5197" i="11"/>
  <c r="F5197" i="11"/>
  <c r="F5196" i="11"/>
  <c r="G5196" i="11" s="1"/>
  <c r="G5195" i="11"/>
  <c r="F5195" i="11"/>
  <c r="G5194" i="11"/>
  <c r="F5194" i="11"/>
  <c r="F5193" i="11"/>
  <c r="G5193" i="11" s="1"/>
  <c r="G5192" i="11"/>
  <c r="F5192" i="11"/>
  <c r="G5191" i="11"/>
  <c r="F5191" i="11"/>
  <c r="F5190" i="11"/>
  <c r="G5190" i="11" s="1"/>
  <c r="G5189" i="11"/>
  <c r="F5189" i="11"/>
  <c r="G5188" i="11"/>
  <c r="F5188" i="11"/>
  <c r="F5187" i="11"/>
  <c r="G5187" i="11" s="1"/>
  <c r="G5186" i="11"/>
  <c r="F5186" i="11"/>
  <c r="G5185" i="11"/>
  <c r="F5185" i="11"/>
  <c r="F5184" i="11"/>
  <c r="G5184" i="11" s="1"/>
  <c r="G5183" i="11"/>
  <c r="F5183" i="11"/>
  <c r="G5182" i="11"/>
  <c r="F5182" i="11"/>
  <c r="F5181" i="11"/>
  <c r="G5181" i="11" s="1"/>
  <c r="G5180" i="11"/>
  <c r="F5180" i="11"/>
  <c r="G5179" i="11"/>
  <c r="F5179" i="11"/>
  <c r="F5178" i="11"/>
  <c r="G5178" i="11" s="1"/>
  <c r="G5177" i="11"/>
  <c r="F5177" i="11"/>
  <c r="G5176" i="11"/>
  <c r="F5176" i="11"/>
  <c r="F5175" i="11"/>
  <c r="G5175" i="11" s="1"/>
  <c r="G5174" i="11"/>
  <c r="F5174" i="11"/>
  <c r="G5173" i="11"/>
  <c r="F5173" i="11"/>
  <c r="F5172" i="11"/>
  <c r="G5172" i="11" s="1"/>
  <c r="G5171" i="11"/>
  <c r="F5171" i="11"/>
  <c r="G5170" i="11"/>
  <c r="F5170" i="11"/>
  <c r="F5169" i="11"/>
  <c r="G5169" i="11" s="1"/>
  <c r="G5168" i="11"/>
  <c r="F5168" i="11"/>
  <c r="G5167" i="11"/>
  <c r="F5167" i="11"/>
  <c r="F5166" i="11"/>
  <c r="G5166" i="11" s="1"/>
  <c r="G5165" i="11"/>
  <c r="F5165" i="11"/>
  <c r="G5164" i="11"/>
  <c r="F5164" i="11"/>
  <c r="F5163" i="11"/>
  <c r="G5163" i="11" s="1"/>
  <c r="G5162" i="11"/>
  <c r="F5162" i="11"/>
  <c r="G5161" i="11"/>
  <c r="F5161" i="11"/>
  <c r="F5160" i="11"/>
  <c r="G5160" i="11" s="1"/>
  <c r="G5159" i="11"/>
  <c r="F5159" i="11"/>
  <c r="G5158" i="11"/>
  <c r="F5158" i="11"/>
  <c r="F5157" i="11"/>
  <c r="G5157" i="11" s="1"/>
  <c r="G5156" i="11"/>
  <c r="F5156" i="11"/>
  <c r="G5155" i="11"/>
  <c r="F5155" i="11"/>
  <c r="F5154" i="11"/>
  <c r="G5154" i="11" s="1"/>
  <c r="G5153" i="11"/>
  <c r="F5153" i="11"/>
  <c r="G5152" i="11"/>
  <c r="F5152" i="11"/>
  <c r="F5151" i="11"/>
  <c r="G5151" i="11" s="1"/>
  <c r="G5150" i="11"/>
  <c r="F5150" i="11"/>
  <c r="G5149" i="11"/>
  <c r="F5149" i="11"/>
  <c r="F5148" i="11"/>
  <c r="G5148" i="11" s="1"/>
  <c r="G5147" i="11"/>
  <c r="F5147" i="11"/>
  <c r="G5146" i="11"/>
  <c r="F5146" i="11"/>
  <c r="F5145" i="11"/>
  <c r="G5145" i="11" s="1"/>
  <c r="G5144" i="11"/>
  <c r="F5144" i="11"/>
  <c r="G5143" i="11"/>
  <c r="F5143" i="11"/>
  <c r="F5142" i="11"/>
  <c r="G5142" i="11" s="1"/>
  <c r="G5141" i="11"/>
  <c r="F5141" i="11"/>
  <c r="G5140" i="11"/>
  <c r="F5140" i="11"/>
  <c r="F5139" i="11"/>
  <c r="G5139" i="11" s="1"/>
  <c r="G5138" i="11"/>
  <c r="F5138" i="11"/>
  <c r="G5137" i="11"/>
  <c r="F5137" i="11"/>
  <c r="F5136" i="11"/>
  <c r="G5136" i="11" s="1"/>
  <c r="G5135" i="11"/>
  <c r="F5135" i="11"/>
  <c r="G5134" i="11"/>
  <c r="F5134" i="11"/>
  <c r="F5133" i="11"/>
  <c r="G5133" i="11" s="1"/>
  <c r="G5132" i="11"/>
  <c r="F5132" i="11"/>
  <c r="G5131" i="11"/>
  <c r="F5131" i="11"/>
  <c r="F5130" i="11"/>
  <c r="G5130" i="11" s="1"/>
  <c r="G5129" i="11"/>
  <c r="F5129" i="11"/>
  <c r="G5128" i="11"/>
  <c r="F5128" i="11"/>
  <c r="F5127" i="11"/>
  <c r="G5127" i="11" s="1"/>
  <c r="G5126" i="11"/>
  <c r="F5126" i="11"/>
  <c r="G5125" i="11"/>
  <c r="F5125" i="11"/>
  <c r="F5124" i="11"/>
  <c r="G5124" i="11" s="1"/>
  <c r="G5123" i="11"/>
  <c r="F5123" i="11"/>
  <c r="G5122" i="11"/>
  <c r="F5122" i="11"/>
  <c r="F5121" i="11"/>
  <c r="G5121" i="11" s="1"/>
  <c r="G5120" i="11"/>
  <c r="F5120" i="11"/>
  <c r="G5119" i="11"/>
  <c r="F5119" i="11"/>
  <c r="F5118" i="11"/>
  <c r="G5118" i="11" s="1"/>
  <c r="G5117" i="11"/>
  <c r="F5117" i="11"/>
  <c r="G5116" i="11"/>
  <c r="F5116" i="11"/>
  <c r="F5115" i="11"/>
  <c r="G5115" i="11" s="1"/>
  <c r="G5114" i="11"/>
  <c r="F5114" i="11"/>
  <c r="G5113" i="11"/>
  <c r="F5113" i="11"/>
  <c r="F5112" i="11"/>
  <c r="G5112" i="11" s="1"/>
  <c r="G5111" i="11"/>
  <c r="F5111" i="11"/>
  <c r="G5110" i="11"/>
  <c r="F5110" i="11"/>
  <c r="F5109" i="11"/>
  <c r="G5109" i="11" s="1"/>
  <c r="G5108" i="11"/>
  <c r="F5108" i="11"/>
  <c r="G5107" i="11"/>
  <c r="F5107" i="11"/>
  <c r="F5106" i="11"/>
  <c r="G5106" i="11" s="1"/>
  <c r="G5105" i="11"/>
  <c r="F5105" i="11"/>
  <c r="G5104" i="11"/>
  <c r="F5104" i="11"/>
  <c r="F5103" i="11"/>
  <c r="G5103" i="11" s="1"/>
  <c r="G5102" i="11"/>
  <c r="F5102" i="11"/>
  <c r="G5101" i="11"/>
  <c r="F5101" i="11"/>
  <c r="F5100" i="11"/>
  <c r="G5100" i="11" s="1"/>
  <c r="G5099" i="11"/>
  <c r="F5099" i="11"/>
  <c r="G5098" i="11"/>
  <c r="F5098" i="11"/>
  <c r="F5097" i="11"/>
  <c r="G5097" i="11" s="1"/>
  <c r="G5096" i="11"/>
  <c r="F5096" i="11"/>
  <c r="G5095" i="11"/>
  <c r="F5095" i="11"/>
  <c r="F5094" i="11"/>
  <c r="G5094" i="11" s="1"/>
  <c r="G5093" i="11"/>
  <c r="F5093" i="11"/>
  <c r="G5092" i="11"/>
  <c r="F5092" i="11"/>
  <c r="F5091" i="11"/>
  <c r="G5091" i="11" s="1"/>
  <c r="G5090" i="11"/>
  <c r="F5090" i="11"/>
  <c r="G5089" i="11"/>
  <c r="F5089" i="11"/>
  <c r="F5088" i="11"/>
  <c r="G5088" i="11" s="1"/>
  <c r="G5087" i="11"/>
  <c r="F5087" i="11"/>
  <c r="G5086" i="11"/>
  <c r="F5086" i="11"/>
  <c r="F5085" i="11"/>
  <c r="G5085" i="11" s="1"/>
  <c r="G5084" i="11"/>
  <c r="F5084" i="11"/>
  <c r="G5083" i="11"/>
  <c r="F5083" i="11"/>
  <c r="F5082" i="11"/>
  <c r="G5082" i="11" s="1"/>
  <c r="G5081" i="11"/>
  <c r="F5081" i="11"/>
  <c r="G5080" i="11"/>
  <c r="F5080" i="11"/>
  <c r="F5079" i="11"/>
  <c r="G5079" i="11" s="1"/>
  <c r="G5078" i="11"/>
  <c r="F5078" i="11"/>
  <c r="G5077" i="11"/>
  <c r="F5077" i="11"/>
  <c r="F5076" i="11"/>
  <c r="G5076" i="11" s="1"/>
  <c r="G5075" i="11"/>
  <c r="F5075" i="11"/>
  <c r="G5074" i="11"/>
  <c r="F5074" i="11"/>
  <c r="F5073" i="11"/>
  <c r="G5073" i="11" s="1"/>
  <c r="G5072" i="11"/>
  <c r="F5072" i="11"/>
  <c r="G5071" i="11"/>
  <c r="F5071" i="11"/>
  <c r="F5070" i="11"/>
  <c r="G5070" i="11" s="1"/>
  <c r="G5069" i="11"/>
  <c r="F5069" i="11"/>
  <c r="G5068" i="11"/>
  <c r="F5068" i="11"/>
  <c r="F5067" i="11"/>
  <c r="G5067" i="11" s="1"/>
  <c r="G5066" i="11"/>
  <c r="F5066" i="11"/>
  <c r="G5065" i="11"/>
  <c r="F5065" i="11"/>
  <c r="F5064" i="11"/>
  <c r="G5064" i="11" s="1"/>
  <c r="G5063" i="11"/>
  <c r="F5063" i="11"/>
  <c r="G5062" i="11"/>
  <c r="F5062" i="11"/>
  <c r="F5061" i="11"/>
  <c r="G5061" i="11" s="1"/>
  <c r="G5060" i="11"/>
  <c r="F5060" i="11"/>
  <c r="G5059" i="11"/>
  <c r="F5059" i="11"/>
  <c r="F5058" i="11"/>
  <c r="G5058" i="11" s="1"/>
  <c r="G5057" i="11"/>
  <c r="F5057" i="11"/>
  <c r="G5056" i="11"/>
  <c r="F5056" i="11"/>
  <c r="F5055" i="11"/>
  <c r="G5055" i="11" s="1"/>
  <c r="G5054" i="11"/>
  <c r="F5054" i="11"/>
  <c r="G5053" i="11"/>
  <c r="F5053" i="11"/>
  <c r="F5052" i="11"/>
  <c r="G5052" i="11" s="1"/>
  <c r="G5051" i="11"/>
  <c r="F5051" i="11"/>
  <c r="G5050" i="11"/>
  <c r="F5050" i="11"/>
  <c r="F5049" i="11"/>
  <c r="G5049" i="11" s="1"/>
  <c r="G5048" i="11"/>
  <c r="F5048" i="11"/>
  <c r="G5047" i="11"/>
  <c r="F5047" i="11"/>
  <c r="F5046" i="11"/>
  <c r="G5046" i="11" s="1"/>
  <c r="G5045" i="11"/>
  <c r="F5045" i="11"/>
  <c r="G5044" i="11"/>
  <c r="F5044" i="11"/>
  <c r="F5043" i="11"/>
  <c r="G5043" i="11" s="1"/>
  <c r="G5042" i="11"/>
  <c r="F5042" i="11"/>
  <c r="G5041" i="11"/>
  <c r="F5041" i="11"/>
  <c r="F5040" i="11"/>
  <c r="G5040" i="11" s="1"/>
  <c r="G5039" i="11"/>
  <c r="F5039" i="11"/>
  <c r="G5038" i="11"/>
  <c r="F5038" i="11"/>
  <c r="F5037" i="11"/>
  <c r="G5037" i="11" s="1"/>
  <c r="G5036" i="11"/>
  <c r="F5036" i="11"/>
  <c r="G5035" i="11"/>
  <c r="F5035" i="11"/>
  <c r="F5034" i="11"/>
  <c r="G5034" i="11" s="1"/>
  <c r="G5033" i="11"/>
  <c r="F5033" i="11"/>
  <c r="G5032" i="11"/>
  <c r="F5032" i="11"/>
  <c r="F5031" i="11"/>
  <c r="G5031" i="11" s="1"/>
  <c r="G5030" i="11"/>
  <c r="F5030" i="11"/>
  <c r="G5029" i="11"/>
  <c r="F5029" i="11"/>
  <c r="F5028" i="11"/>
  <c r="G5028" i="11" s="1"/>
  <c r="G5027" i="11"/>
  <c r="F5027" i="11"/>
  <c r="G5026" i="11"/>
  <c r="F5026" i="11"/>
  <c r="F5025" i="11"/>
  <c r="G5025" i="11" s="1"/>
  <c r="G5024" i="11"/>
  <c r="F5024" i="11"/>
  <c r="G5023" i="11"/>
  <c r="F5023" i="11"/>
  <c r="F5022" i="11"/>
  <c r="G5022" i="11" s="1"/>
  <c r="G5021" i="11"/>
  <c r="F5021" i="11"/>
  <c r="G5020" i="11"/>
  <c r="F5020" i="11"/>
  <c r="F5019" i="11"/>
  <c r="G5019" i="11" s="1"/>
  <c r="G5018" i="11"/>
  <c r="F5018" i="11"/>
  <c r="G5017" i="11"/>
  <c r="F5017" i="11"/>
  <c r="F5016" i="11"/>
  <c r="G5016" i="11" s="1"/>
  <c r="G5015" i="11"/>
  <c r="F5015" i="11"/>
  <c r="G5014" i="11"/>
  <c r="F5014" i="11"/>
  <c r="F5013" i="11"/>
  <c r="G5013" i="11" s="1"/>
  <c r="G5012" i="11"/>
  <c r="F5012" i="11"/>
  <c r="G5011" i="11"/>
  <c r="F5011" i="11"/>
  <c r="F5010" i="11"/>
  <c r="G5010" i="11" s="1"/>
  <c r="G5009" i="11"/>
  <c r="F5009" i="11"/>
  <c r="G5008" i="11"/>
  <c r="F5008" i="11"/>
  <c r="F5007" i="11"/>
  <c r="G5007" i="11" s="1"/>
  <c r="G5006" i="11"/>
  <c r="F5006" i="11"/>
  <c r="G5005" i="11"/>
  <c r="F5005" i="11"/>
  <c r="F5004" i="11"/>
  <c r="G5004" i="11" s="1"/>
  <c r="G5003" i="11"/>
  <c r="F5003" i="11"/>
  <c r="G5002" i="11"/>
  <c r="F5002" i="11"/>
  <c r="F5001" i="11"/>
  <c r="G5001" i="11" s="1"/>
  <c r="G5000" i="11"/>
  <c r="F5000" i="11"/>
  <c r="G4999" i="11"/>
  <c r="F4999" i="11"/>
  <c r="F4998" i="11"/>
  <c r="G4998" i="11" s="1"/>
  <c r="G4997" i="11"/>
  <c r="F4997" i="11"/>
  <c r="G4996" i="11"/>
  <c r="F4996" i="11"/>
  <c r="F4995" i="11"/>
  <c r="G4995" i="11" s="1"/>
  <c r="G4994" i="11"/>
  <c r="F4994" i="11"/>
  <c r="G4993" i="11"/>
  <c r="F4993" i="11"/>
  <c r="F4992" i="11"/>
  <c r="G4992" i="11" s="1"/>
  <c r="G4991" i="11"/>
  <c r="F4991" i="11"/>
  <c r="G4990" i="11"/>
  <c r="F4990" i="11"/>
  <c r="F4989" i="11"/>
  <c r="G4989" i="11" s="1"/>
  <c r="G4988" i="11"/>
  <c r="F4988" i="11"/>
  <c r="G4987" i="11"/>
  <c r="F4987" i="11"/>
  <c r="F4986" i="11"/>
  <c r="G4986" i="11" s="1"/>
  <c r="G4985" i="11"/>
  <c r="F4985" i="11"/>
  <c r="G4984" i="11"/>
  <c r="F4984" i="11"/>
  <c r="F4983" i="11"/>
  <c r="G4983" i="11" s="1"/>
  <c r="G4982" i="11"/>
  <c r="F4982" i="11"/>
  <c r="G4981" i="11"/>
  <c r="F4981" i="11"/>
  <c r="F4980" i="11"/>
  <c r="G4980" i="11" s="1"/>
  <c r="G4979" i="11"/>
  <c r="F4979" i="11"/>
  <c r="G4978" i="11"/>
  <c r="F4978" i="11"/>
  <c r="F4977" i="11"/>
  <c r="G4977" i="11" s="1"/>
  <c r="G4976" i="11"/>
  <c r="F4976" i="11"/>
  <c r="G4975" i="11"/>
  <c r="F4975" i="11"/>
  <c r="F4974" i="11"/>
  <c r="G4974" i="11" s="1"/>
  <c r="G4973" i="11"/>
  <c r="F4973" i="11"/>
  <c r="G4972" i="11"/>
  <c r="F4972" i="11"/>
  <c r="F4971" i="11"/>
  <c r="G4971" i="11" s="1"/>
  <c r="G4970" i="11"/>
  <c r="F4970" i="11"/>
  <c r="G4969" i="11"/>
  <c r="F4969" i="11"/>
  <c r="F4968" i="11"/>
  <c r="G4968" i="11" s="1"/>
  <c r="G4967" i="11"/>
  <c r="F4967" i="11"/>
  <c r="G4966" i="11"/>
  <c r="F4966" i="11"/>
  <c r="F4965" i="11"/>
  <c r="G4965" i="11" s="1"/>
  <c r="G4964" i="11"/>
  <c r="F4964" i="11"/>
  <c r="G4963" i="11"/>
  <c r="F4963" i="11"/>
  <c r="F4962" i="11"/>
  <c r="G4962" i="11" s="1"/>
  <c r="G4961" i="11"/>
  <c r="F4961" i="11"/>
  <c r="F4960" i="11"/>
  <c r="G4960" i="11" s="1"/>
  <c r="F4959" i="11"/>
  <c r="G4959" i="11" s="1"/>
  <c r="F4958" i="11"/>
  <c r="G4958" i="11" s="1"/>
  <c r="F4957" i="11"/>
  <c r="G4957" i="11" s="1"/>
  <c r="F4956" i="11"/>
  <c r="G4956" i="11" s="1"/>
  <c r="G4955" i="11"/>
  <c r="F4955" i="11"/>
  <c r="G4954" i="11"/>
  <c r="F4954" i="11"/>
  <c r="F4953" i="11"/>
  <c r="G4953" i="11" s="1"/>
  <c r="G4952" i="11"/>
  <c r="F4952" i="11"/>
  <c r="F4951" i="11"/>
  <c r="G4951" i="11" s="1"/>
  <c r="G4950" i="11"/>
  <c r="F4950" i="11"/>
  <c r="G4949" i="11"/>
  <c r="F4949" i="11"/>
  <c r="F4948" i="11"/>
  <c r="G4948" i="11" s="1"/>
  <c r="G4947" i="11"/>
  <c r="F4947" i="11"/>
  <c r="G4946" i="11"/>
  <c r="F4946" i="11"/>
  <c r="F4945" i="11"/>
  <c r="G4945" i="11" s="1"/>
  <c r="G4944" i="11"/>
  <c r="F4944" i="11"/>
  <c r="G4943" i="11"/>
  <c r="F4943" i="11"/>
  <c r="F4942" i="11"/>
  <c r="G4942" i="11" s="1"/>
  <c r="G4941" i="11"/>
  <c r="F4941" i="11"/>
  <c r="G4940" i="11"/>
  <c r="F4940" i="11"/>
  <c r="F4939" i="11"/>
  <c r="G4939" i="11" s="1"/>
  <c r="F4938" i="11"/>
  <c r="G4938" i="11" s="1"/>
  <c r="G4937" i="11"/>
  <c r="F4937" i="11"/>
  <c r="F4936" i="11"/>
  <c r="G4936" i="11" s="1"/>
  <c r="G4935" i="11"/>
  <c r="F4935" i="11"/>
  <c r="G4934" i="11"/>
  <c r="F4934" i="11"/>
  <c r="F4933" i="11"/>
  <c r="G4933" i="11" s="1"/>
  <c r="F4932" i="11"/>
  <c r="G4932" i="11" s="1"/>
  <c r="G4931" i="11"/>
  <c r="F4931" i="11"/>
  <c r="F4930" i="11"/>
  <c r="G4930" i="11" s="1"/>
  <c r="G4929" i="11"/>
  <c r="F4929" i="11"/>
  <c r="G4928" i="11"/>
  <c r="F4928" i="11"/>
  <c r="F4927" i="11"/>
  <c r="G4927" i="11" s="1"/>
  <c r="G4926" i="11"/>
  <c r="F4926" i="11"/>
  <c r="G4925" i="11"/>
  <c r="F4925" i="11"/>
  <c r="F4924" i="11"/>
  <c r="G4924" i="11" s="1"/>
  <c r="F4923" i="11"/>
  <c r="G4923" i="11" s="1"/>
  <c r="G4922" i="11"/>
  <c r="F4922" i="11"/>
  <c r="F4921" i="11"/>
  <c r="G4921" i="11" s="1"/>
  <c r="F4920" i="11"/>
  <c r="G4920" i="11" s="1"/>
  <c r="G4919" i="11"/>
  <c r="F4919" i="11"/>
  <c r="F4918" i="11"/>
  <c r="G4918" i="11" s="1"/>
  <c r="G4917" i="11"/>
  <c r="F4917" i="11"/>
  <c r="G4916" i="11"/>
  <c r="F4916" i="11"/>
  <c r="F4915" i="11"/>
  <c r="G4915" i="11" s="1"/>
  <c r="G4914" i="11"/>
  <c r="F4914" i="11"/>
  <c r="G4913" i="11"/>
  <c r="F4913" i="11"/>
  <c r="F4912" i="11"/>
  <c r="G4912" i="11" s="1"/>
  <c r="F4911" i="11"/>
  <c r="G4911" i="11" s="1"/>
  <c r="G4910" i="11"/>
  <c r="F4910" i="11"/>
  <c r="F4909" i="11"/>
  <c r="G4909" i="11" s="1"/>
  <c r="F4908" i="11"/>
  <c r="G4908" i="11" s="1"/>
  <c r="G4907" i="11"/>
  <c r="F4907" i="11"/>
  <c r="F4906" i="11"/>
  <c r="G4906" i="11" s="1"/>
  <c r="G4905" i="11"/>
  <c r="F4905" i="11"/>
  <c r="G4904" i="11"/>
  <c r="F4904" i="11"/>
  <c r="F4903" i="11"/>
  <c r="G4903" i="11" s="1"/>
  <c r="G4902" i="11"/>
  <c r="F4902" i="11"/>
  <c r="G4901" i="11"/>
  <c r="F4901" i="11"/>
  <c r="F4900" i="11"/>
  <c r="G4900" i="11" s="1"/>
  <c r="G4899" i="11"/>
  <c r="F4899" i="11"/>
  <c r="G4898" i="11"/>
  <c r="F4898" i="11"/>
  <c r="F4897" i="11"/>
  <c r="G4897" i="11" s="1"/>
  <c r="G4896" i="11"/>
  <c r="F4896" i="11"/>
  <c r="G4895" i="11"/>
  <c r="F4895" i="11"/>
  <c r="F4894" i="11"/>
  <c r="G4894" i="11" s="1"/>
  <c r="F4893" i="11"/>
  <c r="G4893" i="11" s="1"/>
  <c r="G4892" i="11"/>
  <c r="F4892" i="11"/>
  <c r="F4891" i="11"/>
  <c r="G4891" i="11" s="1"/>
  <c r="F4890" i="11"/>
  <c r="G4890" i="11" s="1"/>
  <c r="G4889" i="11"/>
  <c r="F4889" i="11"/>
  <c r="F4888" i="11"/>
  <c r="G4888" i="11" s="1"/>
  <c r="F4887" i="11"/>
  <c r="G4887" i="11" s="1"/>
  <c r="F4886" i="11"/>
  <c r="G4886" i="11" s="1"/>
  <c r="F4885" i="11"/>
  <c r="G4885" i="11" s="1"/>
  <c r="F4884" i="11"/>
  <c r="G4884" i="11" s="1"/>
  <c r="G4883" i="11"/>
  <c r="F4883" i="11"/>
  <c r="F4882" i="11"/>
  <c r="G4882" i="11" s="1"/>
  <c r="F4881" i="11"/>
  <c r="G4881" i="11" s="1"/>
  <c r="F4880" i="11"/>
  <c r="G4880" i="11" s="1"/>
  <c r="F4879" i="11"/>
  <c r="G4879" i="11" s="1"/>
  <c r="F4878" i="11"/>
  <c r="G4878" i="11" s="1"/>
  <c r="F4877" i="11"/>
  <c r="G4877" i="11" s="1"/>
  <c r="F4876" i="11"/>
  <c r="G4876" i="11" s="1"/>
  <c r="F4875" i="11"/>
  <c r="G4875" i="11" s="1"/>
  <c r="F4874" i="11"/>
  <c r="G4874" i="11" s="1"/>
  <c r="F4873" i="11"/>
  <c r="G4873" i="11" s="1"/>
  <c r="F4872" i="11"/>
  <c r="G4872" i="11" s="1"/>
  <c r="F4871" i="11"/>
  <c r="G4871" i="11" s="1"/>
  <c r="F4870" i="11"/>
  <c r="G4870" i="11" s="1"/>
  <c r="F4869" i="11"/>
  <c r="G4869" i="11" s="1"/>
  <c r="F4868" i="11"/>
  <c r="G4868" i="11" s="1"/>
  <c r="F4867" i="11"/>
  <c r="G4867" i="11" s="1"/>
  <c r="F4866" i="11"/>
  <c r="G4866" i="11" s="1"/>
  <c r="F4865" i="11"/>
  <c r="G4865" i="11" s="1"/>
  <c r="F4864" i="11"/>
  <c r="G4864" i="11" s="1"/>
  <c r="F4863" i="11"/>
  <c r="G4863" i="11" s="1"/>
  <c r="F4862" i="11"/>
  <c r="G4862" i="11" s="1"/>
  <c r="F4861" i="11"/>
  <c r="G4861" i="11" s="1"/>
  <c r="F4860" i="11"/>
  <c r="G4860" i="11" s="1"/>
  <c r="F4859" i="11"/>
  <c r="G4859" i="11" s="1"/>
  <c r="F4858" i="11"/>
  <c r="G4858" i="11" s="1"/>
  <c r="F4857" i="11"/>
  <c r="G4857" i="11" s="1"/>
  <c r="F4856" i="11"/>
  <c r="G4856" i="11" s="1"/>
  <c r="F4855" i="11"/>
  <c r="G4855" i="11" s="1"/>
  <c r="F4854" i="11"/>
  <c r="G4854" i="11" s="1"/>
  <c r="F4853" i="11"/>
  <c r="G4853" i="11" s="1"/>
  <c r="F4852" i="11"/>
  <c r="G4852" i="11" s="1"/>
  <c r="F4851" i="11"/>
  <c r="G4851" i="11" s="1"/>
  <c r="F4850" i="11"/>
  <c r="G4850" i="11" s="1"/>
  <c r="F4849" i="11"/>
  <c r="G4849" i="11" s="1"/>
  <c r="F4848" i="11"/>
  <c r="G4848" i="11" s="1"/>
  <c r="F4847" i="11"/>
  <c r="G4847" i="11" s="1"/>
  <c r="F4846" i="11"/>
  <c r="G4846" i="11" s="1"/>
  <c r="F4845" i="11"/>
  <c r="G4845" i="11" s="1"/>
  <c r="F4844" i="11"/>
  <c r="G4844" i="11" s="1"/>
  <c r="F4843" i="11"/>
  <c r="G4843" i="11" s="1"/>
  <c r="F4842" i="11"/>
  <c r="G4842" i="11" s="1"/>
  <c r="F4841" i="11"/>
  <c r="G4841" i="11" s="1"/>
  <c r="F4840" i="11"/>
  <c r="G4840" i="11" s="1"/>
  <c r="F4839" i="11"/>
  <c r="G4839" i="11" s="1"/>
  <c r="F4838" i="11"/>
  <c r="G4838" i="11" s="1"/>
  <c r="F4837" i="11"/>
  <c r="G4837" i="11" s="1"/>
  <c r="F4836" i="11"/>
  <c r="G4836" i="11" s="1"/>
  <c r="F4835" i="11"/>
  <c r="G4835" i="11" s="1"/>
  <c r="F4834" i="11"/>
  <c r="G4834" i="11" s="1"/>
  <c r="F4833" i="11"/>
  <c r="G4833" i="11" s="1"/>
  <c r="F4832" i="11"/>
  <c r="G4832" i="11" s="1"/>
  <c r="F4831" i="11"/>
  <c r="G4831" i="11" s="1"/>
  <c r="F4830" i="11"/>
  <c r="G4830" i="11" s="1"/>
  <c r="F4829" i="11"/>
  <c r="G4829" i="11" s="1"/>
  <c r="F4828" i="11"/>
  <c r="G4828" i="11" s="1"/>
  <c r="G4827" i="11"/>
  <c r="F4827" i="11"/>
  <c r="F4826" i="11"/>
  <c r="G4826" i="11" s="1"/>
  <c r="F4825" i="11"/>
  <c r="G4825" i="11" s="1"/>
  <c r="G4824" i="11"/>
  <c r="F4824" i="11"/>
  <c r="F4823" i="11"/>
  <c r="G4823" i="11" s="1"/>
  <c r="F4822" i="11"/>
  <c r="G4822" i="11" s="1"/>
  <c r="F4821" i="11"/>
  <c r="G4821" i="11" s="1"/>
  <c r="F4820" i="11"/>
  <c r="G4820" i="11" s="1"/>
  <c r="F4819" i="11"/>
  <c r="G4819" i="11" s="1"/>
  <c r="F4818" i="11"/>
  <c r="G4818" i="11" s="1"/>
  <c r="F4817" i="11"/>
  <c r="G4817" i="11" s="1"/>
  <c r="F4816" i="11"/>
  <c r="G4816" i="11" s="1"/>
  <c r="F4815" i="11"/>
  <c r="G4815" i="11" s="1"/>
  <c r="F4814" i="11"/>
  <c r="G4814" i="11" s="1"/>
  <c r="F4813" i="11"/>
  <c r="G4813" i="11" s="1"/>
  <c r="F4812" i="11"/>
  <c r="G4812" i="11" s="1"/>
  <c r="F4811" i="11"/>
  <c r="G4811" i="11" s="1"/>
  <c r="F4810" i="11"/>
  <c r="G4810" i="11" s="1"/>
  <c r="F4809" i="11"/>
  <c r="G4809" i="11" s="1"/>
  <c r="F4808" i="11"/>
  <c r="G4808" i="11" s="1"/>
  <c r="F4807" i="11"/>
  <c r="G4807" i="11" s="1"/>
  <c r="F4806" i="11"/>
  <c r="G4806" i="11" s="1"/>
  <c r="F4805" i="11"/>
  <c r="G4805" i="11" s="1"/>
  <c r="F4804" i="11"/>
  <c r="G4804" i="11" s="1"/>
  <c r="F4803" i="11"/>
  <c r="G4803" i="11" s="1"/>
  <c r="F4802" i="11"/>
  <c r="G4802" i="11" s="1"/>
  <c r="F4801" i="11"/>
  <c r="G4801" i="11" s="1"/>
  <c r="F4800" i="11"/>
  <c r="G4800" i="11" s="1"/>
  <c r="F4799" i="11"/>
  <c r="G4799" i="11" s="1"/>
  <c r="F4798" i="11"/>
  <c r="G4798" i="11" s="1"/>
  <c r="F4797" i="11"/>
  <c r="G4797" i="11" s="1"/>
  <c r="F4796" i="11"/>
  <c r="G4796" i="11" s="1"/>
  <c r="F4795" i="11"/>
  <c r="G4795" i="11" s="1"/>
  <c r="F4794" i="11"/>
  <c r="G4794" i="11" s="1"/>
  <c r="F4793" i="11"/>
  <c r="G4793" i="11" s="1"/>
  <c r="F4792" i="11"/>
  <c r="G4792" i="11" s="1"/>
  <c r="F4791" i="11"/>
  <c r="G4791" i="11" s="1"/>
  <c r="F4790" i="11"/>
  <c r="G4790" i="11" s="1"/>
  <c r="F4789" i="11"/>
  <c r="G4789" i="11" s="1"/>
  <c r="F4788" i="11"/>
  <c r="G4788" i="11" s="1"/>
  <c r="F4787" i="11"/>
  <c r="G4787" i="11" s="1"/>
  <c r="F4786" i="11"/>
  <c r="G4786" i="11" s="1"/>
  <c r="F4785" i="11"/>
  <c r="G4785" i="11" s="1"/>
  <c r="F4784" i="11"/>
  <c r="G4784" i="11" s="1"/>
  <c r="F4783" i="11"/>
  <c r="G4783" i="11" s="1"/>
  <c r="F4782" i="11"/>
  <c r="G4782" i="11" s="1"/>
  <c r="F4781" i="11"/>
  <c r="G4781" i="11" s="1"/>
  <c r="F4780" i="11"/>
  <c r="G4780" i="11" s="1"/>
  <c r="F4779" i="11"/>
  <c r="G4779" i="11" s="1"/>
  <c r="F4778" i="11"/>
  <c r="G4778" i="11" s="1"/>
  <c r="F4777" i="11"/>
  <c r="G4777" i="11" s="1"/>
  <c r="G4776" i="11"/>
  <c r="F4776" i="11"/>
  <c r="F4775" i="11"/>
  <c r="G4775" i="11" s="1"/>
  <c r="F4774" i="11"/>
  <c r="G4774" i="11" s="1"/>
  <c r="F4773" i="11"/>
  <c r="G4773" i="11" s="1"/>
  <c r="F4772" i="11"/>
  <c r="G4772" i="11" s="1"/>
  <c r="F4771" i="11"/>
  <c r="G4771" i="11" s="1"/>
  <c r="F4770" i="11"/>
  <c r="G4770" i="11" s="1"/>
  <c r="F4769" i="11"/>
  <c r="G4769" i="11" s="1"/>
  <c r="F4768" i="11"/>
  <c r="G4768" i="11" s="1"/>
  <c r="F4767" i="11"/>
  <c r="G4767" i="11" s="1"/>
  <c r="F4766" i="11"/>
  <c r="G4766" i="11" s="1"/>
  <c r="F4765" i="11"/>
  <c r="G4765" i="11" s="1"/>
  <c r="F4764" i="11"/>
  <c r="G4764" i="11" s="1"/>
  <c r="F4763" i="11"/>
  <c r="G4763" i="11" s="1"/>
  <c r="F4762" i="11"/>
  <c r="G4762" i="11" s="1"/>
  <c r="F4761" i="11"/>
  <c r="G4761" i="11" s="1"/>
  <c r="F4760" i="11"/>
  <c r="G4760" i="11" s="1"/>
  <c r="F4759" i="11"/>
  <c r="G4759" i="11" s="1"/>
  <c r="F4758" i="11"/>
  <c r="G4758" i="11" s="1"/>
  <c r="F4757" i="11"/>
  <c r="G4757" i="11" s="1"/>
  <c r="F4756" i="11"/>
  <c r="G4756" i="11" s="1"/>
  <c r="F4755" i="11"/>
  <c r="G4755" i="11" s="1"/>
  <c r="F4754" i="11"/>
  <c r="G4754" i="11" s="1"/>
  <c r="F4753" i="11"/>
  <c r="G4753" i="11" s="1"/>
  <c r="F4752" i="11"/>
  <c r="G4752" i="11" s="1"/>
  <c r="F4751" i="11"/>
  <c r="G4751" i="11" s="1"/>
  <c r="F4750" i="11"/>
  <c r="G4750" i="11" s="1"/>
  <c r="F4749" i="11"/>
  <c r="G4749" i="11" s="1"/>
  <c r="F4748" i="11"/>
  <c r="G4748" i="11" s="1"/>
  <c r="F4747" i="11"/>
  <c r="G4747" i="11" s="1"/>
  <c r="G4746" i="11"/>
  <c r="F4746" i="11"/>
  <c r="F4745" i="11"/>
  <c r="G4745" i="11" s="1"/>
  <c r="F4744" i="11"/>
  <c r="G4744" i="11" s="1"/>
  <c r="F4743" i="11"/>
  <c r="G4743" i="11" s="1"/>
  <c r="F4742" i="11"/>
  <c r="G4742" i="11" s="1"/>
  <c r="F4741" i="11"/>
  <c r="G4741" i="11" s="1"/>
  <c r="F4740" i="11"/>
  <c r="G4740" i="11" s="1"/>
  <c r="F4739" i="11"/>
  <c r="G4739" i="11" s="1"/>
  <c r="F4738" i="11"/>
  <c r="G4738" i="11" s="1"/>
  <c r="G4737" i="11"/>
  <c r="F4737" i="11"/>
  <c r="F4736" i="11"/>
  <c r="G4736" i="11" s="1"/>
  <c r="F4735" i="11"/>
  <c r="G4735" i="11" s="1"/>
  <c r="F4734" i="11"/>
  <c r="G4734" i="11" s="1"/>
  <c r="F4733" i="11"/>
  <c r="G4733" i="11" s="1"/>
  <c r="F4732" i="11"/>
  <c r="G4732" i="11" s="1"/>
  <c r="F4731" i="11"/>
  <c r="G4731" i="11" s="1"/>
  <c r="F4730" i="11"/>
  <c r="G4730" i="11" s="1"/>
  <c r="F4729" i="11"/>
  <c r="G4729" i="11" s="1"/>
  <c r="G4728" i="11"/>
  <c r="F4728" i="11"/>
  <c r="F4727" i="11"/>
  <c r="G4727" i="11" s="1"/>
  <c r="F4726" i="11"/>
  <c r="G4726" i="11" s="1"/>
  <c r="F4725" i="11"/>
  <c r="G4725" i="11" s="1"/>
  <c r="F4724" i="11"/>
  <c r="G4724" i="11" s="1"/>
  <c r="F4723" i="11"/>
  <c r="G4723" i="11" s="1"/>
  <c r="F4722" i="11"/>
  <c r="G4722" i="11" s="1"/>
  <c r="F4721" i="11"/>
  <c r="G4721" i="11" s="1"/>
  <c r="F4720" i="11"/>
  <c r="G4720" i="11" s="1"/>
  <c r="G4719" i="11"/>
  <c r="F4719" i="11"/>
  <c r="F4718" i="11"/>
  <c r="G4718" i="11" s="1"/>
  <c r="F4717" i="11"/>
  <c r="G4717" i="11" s="1"/>
  <c r="F4716" i="11"/>
  <c r="G4716" i="11" s="1"/>
  <c r="G4715" i="11"/>
  <c r="F4715" i="11"/>
  <c r="F4714" i="11"/>
  <c r="G4714" i="11" s="1"/>
  <c r="F4713" i="11"/>
  <c r="G4713" i="11" s="1"/>
  <c r="G4712" i="11"/>
  <c r="F4712" i="11"/>
  <c r="F4711" i="11"/>
  <c r="G4711" i="11" s="1"/>
  <c r="G4710" i="11"/>
  <c r="F4710" i="11"/>
  <c r="F4709" i="11"/>
  <c r="G4709" i="11" s="1"/>
  <c r="F4708" i="11"/>
  <c r="G4708" i="11" s="1"/>
  <c r="F4707" i="11"/>
  <c r="G4707" i="11" s="1"/>
  <c r="F4706" i="11"/>
  <c r="G4706" i="11" s="1"/>
  <c r="F4705" i="11"/>
  <c r="G4705" i="11" s="1"/>
  <c r="G4704" i="11"/>
  <c r="F4704" i="11"/>
  <c r="G4703" i="11"/>
  <c r="F4703" i="11"/>
  <c r="F4702" i="11"/>
  <c r="G4702" i="11" s="1"/>
  <c r="G4701" i="11"/>
  <c r="F4701" i="11"/>
  <c r="F4700" i="11"/>
  <c r="G4700" i="11" s="1"/>
  <c r="F4699" i="11"/>
  <c r="G4699" i="11" s="1"/>
  <c r="F4698" i="11"/>
  <c r="G4698" i="11" s="1"/>
  <c r="G4697" i="11"/>
  <c r="F4697" i="11"/>
  <c r="F4696" i="11"/>
  <c r="G4696" i="11" s="1"/>
  <c r="F4695" i="11"/>
  <c r="G4695" i="11" s="1"/>
  <c r="G4694" i="11"/>
  <c r="F4694" i="11"/>
  <c r="F4693" i="11"/>
  <c r="G4693" i="11" s="1"/>
  <c r="G4692" i="11"/>
  <c r="F4692" i="11"/>
  <c r="F4691" i="11"/>
  <c r="G4691" i="11" s="1"/>
  <c r="F4690" i="11"/>
  <c r="G4690" i="11" s="1"/>
  <c r="F4689" i="11"/>
  <c r="G4689" i="11" s="1"/>
  <c r="F4688" i="11"/>
  <c r="G4688" i="11" s="1"/>
  <c r="F4687" i="11"/>
  <c r="G4687" i="11" s="1"/>
  <c r="G4686" i="11"/>
  <c r="F4686" i="11"/>
  <c r="G4685" i="11"/>
  <c r="F4685" i="11"/>
  <c r="F4684" i="11"/>
  <c r="G4684" i="11" s="1"/>
  <c r="G4683" i="11"/>
  <c r="F4683" i="11"/>
  <c r="F4682" i="11"/>
  <c r="G4682" i="11" s="1"/>
  <c r="F4681" i="11"/>
  <c r="G4681" i="11" s="1"/>
  <c r="F4680" i="11"/>
  <c r="G4680" i="11" s="1"/>
  <c r="G4679" i="11"/>
  <c r="F4679" i="11"/>
  <c r="F4678" i="11"/>
  <c r="G4678" i="11" s="1"/>
  <c r="F4677" i="11"/>
  <c r="G4677" i="11" s="1"/>
  <c r="G4676" i="11"/>
  <c r="F4676" i="11"/>
  <c r="F4675" i="11"/>
  <c r="G4675" i="11" s="1"/>
  <c r="G4674" i="11"/>
  <c r="F4674" i="11"/>
  <c r="F4673" i="11"/>
  <c r="G4673" i="11" s="1"/>
  <c r="F4672" i="11"/>
  <c r="G4672" i="11" s="1"/>
  <c r="F4671" i="11"/>
  <c r="G4671" i="11" s="1"/>
  <c r="F4670" i="11"/>
  <c r="G4670" i="11" s="1"/>
  <c r="F4669" i="11"/>
  <c r="G4669" i="11" s="1"/>
  <c r="G4668" i="11"/>
  <c r="F4668" i="11"/>
  <c r="G4667" i="11"/>
  <c r="F4667" i="11"/>
  <c r="F4666" i="11"/>
  <c r="G4666" i="11" s="1"/>
  <c r="G4665" i="11"/>
  <c r="F4665" i="11"/>
  <c r="F4664" i="11"/>
  <c r="G4664" i="11" s="1"/>
  <c r="F4663" i="11"/>
  <c r="G4663" i="11" s="1"/>
  <c r="F4662" i="11"/>
  <c r="G4662" i="11" s="1"/>
  <c r="G4661" i="11"/>
  <c r="F4661" i="11"/>
  <c r="F4660" i="11"/>
  <c r="G4660" i="11" s="1"/>
  <c r="F4659" i="11"/>
  <c r="G4659" i="11" s="1"/>
  <c r="G4658" i="11"/>
  <c r="F4658" i="11"/>
  <c r="F4657" i="11"/>
  <c r="G4657" i="11" s="1"/>
  <c r="G4656" i="11"/>
  <c r="F4656" i="11"/>
  <c r="F4655" i="11"/>
  <c r="G4655" i="11" s="1"/>
  <c r="F4654" i="11"/>
  <c r="G4654" i="11" s="1"/>
  <c r="F4653" i="11"/>
  <c r="G4653" i="11" s="1"/>
  <c r="F4652" i="11"/>
  <c r="G4652" i="11" s="1"/>
  <c r="F4651" i="11"/>
  <c r="G4651" i="11" s="1"/>
  <c r="G4650" i="11"/>
  <c r="F4650" i="11"/>
  <c r="G4649" i="11"/>
  <c r="F4649" i="11"/>
  <c r="F4648" i="11"/>
  <c r="G4648" i="11" s="1"/>
  <c r="G4647" i="11"/>
  <c r="F4647" i="11"/>
  <c r="F4646" i="11"/>
  <c r="G4646" i="11" s="1"/>
  <c r="F4645" i="11"/>
  <c r="G4645" i="11" s="1"/>
  <c r="F4644" i="11"/>
  <c r="G4644" i="11" s="1"/>
  <c r="G4643" i="11"/>
  <c r="F4643" i="11"/>
  <c r="F4642" i="11"/>
  <c r="G4642" i="11" s="1"/>
  <c r="F4641" i="11"/>
  <c r="G4641" i="11" s="1"/>
  <c r="G4640" i="11"/>
  <c r="F4640" i="11"/>
  <c r="F4639" i="11"/>
  <c r="G4639" i="11" s="1"/>
  <c r="G4638" i="11"/>
  <c r="F4638" i="11"/>
  <c r="F4637" i="11"/>
  <c r="G4637" i="11" s="1"/>
  <c r="F4636" i="11"/>
  <c r="G4636" i="11" s="1"/>
  <c r="F4635" i="11"/>
  <c r="G4635" i="11" s="1"/>
  <c r="F4634" i="11"/>
  <c r="G4634" i="11" s="1"/>
  <c r="F4633" i="11"/>
  <c r="G4633" i="11" s="1"/>
  <c r="G4632" i="11"/>
  <c r="F4632" i="11"/>
  <c r="G4631" i="11"/>
  <c r="F4631" i="11"/>
  <c r="F4630" i="11"/>
  <c r="G4630" i="11" s="1"/>
  <c r="G4629" i="11"/>
  <c r="F4629" i="11"/>
  <c r="F4628" i="11"/>
  <c r="G4628" i="11" s="1"/>
  <c r="F4627" i="11"/>
  <c r="G4627" i="11" s="1"/>
  <c r="F4626" i="11"/>
  <c r="G4626" i="11" s="1"/>
  <c r="G4625" i="11"/>
  <c r="F4625" i="11"/>
  <c r="F4624" i="11"/>
  <c r="G4624" i="11" s="1"/>
  <c r="F4623" i="11"/>
  <c r="G4623" i="11" s="1"/>
  <c r="G4622" i="11"/>
  <c r="F4622" i="11"/>
  <c r="F4621" i="11"/>
  <c r="G4621" i="11" s="1"/>
  <c r="G4620" i="11"/>
  <c r="F4620" i="11"/>
  <c r="F4619" i="11"/>
  <c r="G4619" i="11" s="1"/>
  <c r="F4618" i="11"/>
  <c r="G4618" i="11" s="1"/>
  <c r="F4617" i="11"/>
  <c r="G4617" i="11" s="1"/>
  <c r="F4616" i="11"/>
  <c r="G4616" i="11" s="1"/>
  <c r="F4615" i="11"/>
  <c r="G4615" i="11" s="1"/>
  <c r="G4614" i="11"/>
  <c r="F4614" i="11"/>
  <c r="G4613" i="11"/>
  <c r="F4613" i="11"/>
  <c r="F4612" i="11"/>
  <c r="G4612" i="11" s="1"/>
  <c r="G4611" i="11"/>
  <c r="F4611" i="11"/>
  <c r="F4610" i="11"/>
  <c r="G4610" i="11" s="1"/>
  <c r="F4609" i="11"/>
  <c r="G4609" i="11" s="1"/>
  <c r="F4608" i="11"/>
  <c r="G4608" i="11" s="1"/>
  <c r="G4607" i="11"/>
  <c r="F4607" i="11"/>
  <c r="F4606" i="11"/>
  <c r="G4606" i="11" s="1"/>
  <c r="F4605" i="11"/>
  <c r="G4605" i="11" s="1"/>
  <c r="G4604" i="11"/>
  <c r="F4604" i="11"/>
  <c r="F4603" i="11"/>
  <c r="G4603" i="11" s="1"/>
  <c r="G4602" i="11"/>
  <c r="F4602" i="11"/>
  <c r="F4601" i="11"/>
  <c r="G4601" i="11" s="1"/>
  <c r="F4600" i="11"/>
  <c r="G4600" i="11" s="1"/>
  <c r="F4599" i="11"/>
  <c r="G4599" i="11" s="1"/>
  <c r="F4598" i="11"/>
  <c r="G4598" i="11" s="1"/>
  <c r="F4597" i="11"/>
  <c r="G4597" i="11" s="1"/>
  <c r="G4596" i="11"/>
  <c r="F4596" i="11"/>
  <c r="G4595" i="11"/>
  <c r="F4595" i="11"/>
  <c r="F4594" i="11"/>
  <c r="G4594" i="11" s="1"/>
  <c r="G4593" i="11"/>
  <c r="F4593" i="11"/>
  <c r="F4592" i="11"/>
  <c r="G4592" i="11" s="1"/>
  <c r="F4591" i="11"/>
  <c r="G4591" i="11" s="1"/>
  <c r="F4590" i="11"/>
  <c r="G4590" i="11" s="1"/>
  <c r="G4589" i="11"/>
  <c r="F4589" i="11"/>
  <c r="F4588" i="11"/>
  <c r="G4588" i="11" s="1"/>
  <c r="F4587" i="11"/>
  <c r="G4587" i="11" s="1"/>
  <c r="G4586" i="11"/>
  <c r="F4586" i="11"/>
  <c r="F4585" i="11"/>
  <c r="G4585" i="11" s="1"/>
  <c r="G4584" i="11"/>
  <c r="F4584" i="11"/>
  <c r="F4583" i="11"/>
  <c r="G4583" i="11" s="1"/>
  <c r="F4582" i="11"/>
  <c r="G4582" i="11" s="1"/>
  <c r="F4581" i="11"/>
  <c r="G4581" i="11" s="1"/>
  <c r="F4580" i="11"/>
  <c r="G4580" i="11" s="1"/>
  <c r="F4579" i="11"/>
  <c r="G4579" i="11" s="1"/>
  <c r="G4578" i="11"/>
  <c r="F4578" i="11"/>
  <c r="G4577" i="11"/>
  <c r="F4577" i="11"/>
  <c r="F4576" i="11"/>
  <c r="G4576" i="11" s="1"/>
  <c r="G4575" i="11"/>
  <c r="F4575" i="11"/>
  <c r="F4574" i="11"/>
  <c r="G4574" i="11" s="1"/>
  <c r="F4573" i="11"/>
  <c r="G4573" i="11" s="1"/>
  <c r="F4572" i="11"/>
  <c r="G4572" i="11" s="1"/>
  <c r="G4571" i="11"/>
  <c r="F4571" i="11"/>
  <c r="F4570" i="11"/>
  <c r="G4570" i="11" s="1"/>
  <c r="F4569" i="11"/>
  <c r="G4569" i="11" s="1"/>
  <c r="G4568" i="11"/>
  <c r="F4568" i="11"/>
  <c r="F4567" i="11"/>
  <c r="G4567" i="11" s="1"/>
  <c r="G4566" i="11"/>
  <c r="F4566" i="11"/>
  <c r="F4565" i="11"/>
  <c r="G4565" i="11" s="1"/>
  <c r="F4564" i="11"/>
  <c r="G4564" i="11" s="1"/>
  <c r="F4563" i="11"/>
  <c r="G4563" i="11" s="1"/>
  <c r="F4562" i="11"/>
  <c r="G4562" i="11" s="1"/>
  <c r="F4561" i="11"/>
  <c r="G4561" i="11" s="1"/>
  <c r="G4560" i="11"/>
  <c r="F4560" i="11"/>
  <c r="G4559" i="11"/>
  <c r="F4559" i="11"/>
  <c r="F4558" i="11"/>
  <c r="G4558" i="11" s="1"/>
  <c r="G4557" i="11"/>
  <c r="F4557" i="11"/>
  <c r="F4556" i="11"/>
  <c r="G4556" i="11" s="1"/>
  <c r="F4555" i="11"/>
  <c r="G4555" i="11" s="1"/>
  <c r="F4554" i="11"/>
  <c r="G4554" i="11" s="1"/>
  <c r="G4553" i="11"/>
  <c r="F4553" i="11"/>
  <c r="F4552" i="11"/>
  <c r="G4552" i="11" s="1"/>
  <c r="F4551" i="11"/>
  <c r="G4551" i="11" s="1"/>
  <c r="G4550" i="11"/>
  <c r="F4550" i="11"/>
  <c r="F4549" i="11"/>
  <c r="G4549" i="11" s="1"/>
  <c r="G4548" i="11"/>
  <c r="F4548" i="11"/>
  <c r="F4547" i="11"/>
  <c r="G4547" i="11" s="1"/>
  <c r="F4546" i="11"/>
  <c r="G4546" i="11" s="1"/>
  <c r="F4545" i="11"/>
  <c r="G4545" i="11" s="1"/>
  <c r="F4544" i="11"/>
  <c r="G4544" i="11" s="1"/>
  <c r="F4543" i="11"/>
  <c r="G4543" i="11" s="1"/>
  <c r="G4542" i="11"/>
  <c r="F4542" i="11"/>
  <c r="G4541" i="11"/>
  <c r="F4541" i="11"/>
  <c r="F4540" i="11"/>
  <c r="G4540" i="11" s="1"/>
  <c r="G4539" i="11"/>
  <c r="F4539" i="11"/>
  <c r="F4538" i="11"/>
  <c r="G4538" i="11" s="1"/>
  <c r="F4537" i="11"/>
  <c r="G4537" i="11" s="1"/>
  <c r="F4536" i="11"/>
  <c r="G4536" i="11" s="1"/>
  <c r="G4535" i="11"/>
  <c r="F4535" i="11"/>
  <c r="F4534" i="11"/>
  <c r="G4534" i="11" s="1"/>
  <c r="F4533" i="11"/>
  <c r="G4533" i="11" s="1"/>
  <c r="G4532" i="11"/>
  <c r="F4532" i="11"/>
  <c r="F4531" i="11"/>
  <c r="G4531" i="11" s="1"/>
  <c r="G4530" i="11"/>
  <c r="F4530" i="11"/>
  <c r="F4529" i="11"/>
  <c r="G4529" i="11" s="1"/>
  <c r="F4528" i="11"/>
  <c r="G4528" i="11" s="1"/>
  <c r="F4527" i="11"/>
  <c r="G4527" i="11" s="1"/>
  <c r="F4526" i="11"/>
  <c r="G4526" i="11" s="1"/>
  <c r="F4525" i="11"/>
  <c r="G4525" i="11" s="1"/>
  <c r="G4524" i="11"/>
  <c r="F4524" i="11"/>
  <c r="G4523" i="11"/>
  <c r="F4523" i="11"/>
  <c r="F4522" i="11"/>
  <c r="G4522" i="11" s="1"/>
  <c r="G4521" i="11"/>
  <c r="F4521" i="11"/>
  <c r="F4520" i="11"/>
  <c r="G4520" i="11" s="1"/>
  <c r="F4519" i="11"/>
  <c r="G4519" i="11" s="1"/>
  <c r="F4518" i="11"/>
  <c r="G4518" i="11" s="1"/>
  <c r="F4517" i="11"/>
  <c r="G4517" i="11" s="1"/>
  <c r="F4516" i="11"/>
  <c r="G4516" i="11" s="1"/>
  <c r="F4515" i="11"/>
  <c r="G4515" i="11" s="1"/>
  <c r="G4514" i="11"/>
  <c r="F4514" i="11"/>
  <c r="F4513" i="11"/>
  <c r="G4513" i="11" s="1"/>
  <c r="G4512" i="11"/>
  <c r="F4512" i="11"/>
  <c r="F4511" i="11"/>
  <c r="G4511" i="11" s="1"/>
  <c r="F4510" i="11"/>
  <c r="G4510" i="11" s="1"/>
  <c r="F4509" i="11"/>
  <c r="G4509" i="11" s="1"/>
  <c r="F4508" i="11"/>
  <c r="G4508" i="11" s="1"/>
  <c r="F4507" i="11"/>
  <c r="G4507" i="11" s="1"/>
  <c r="G4506" i="11"/>
  <c r="F4506" i="11"/>
  <c r="G4505" i="11"/>
  <c r="F4505" i="11"/>
  <c r="F4504" i="11"/>
  <c r="G4504" i="11" s="1"/>
  <c r="G4503" i="11"/>
  <c r="F4503" i="11"/>
  <c r="F4502" i="11"/>
  <c r="G4502" i="11" s="1"/>
  <c r="F4501" i="11"/>
  <c r="G4501" i="11" s="1"/>
  <c r="F4500" i="11"/>
  <c r="G4500" i="11" s="1"/>
  <c r="F4499" i="11"/>
  <c r="G4499" i="11" s="1"/>
  <c r="F4498" i="11"/>
  <c r="G4498" i="11" s="1"/>
  <c r="F4497" i="11"/>
  <c r="G4497" i="11" s="1"/>
  <c r="G4496" i="11"/>
  <c r="F4496" i="11"/>
  <c r="F4495" i="11"/>
  <c r="G4495" i="11" s="1"/>
  <c r="G4494" i="11"/>
  <c r="F4494" i="11"/>
  <c r="F4493" i="11"/>
  <c r="G4493" i="11" s="1"/>
  <c r="F4492" i="11"/>
  <c r="G4492" i="11" s="1"/>
  <c r="F4491" i="11"/>
  <c r="G4491" i="11" s="1"/>
  <c r="F4490" i="11"/>
  <c r="G4490" i="11" s="1"/>
  <c r="F4489" i="11"/>
  <c r="G4489" i="11" s="1"/>
  <c r="F4488" i="11"/>
  <c r="G4488" i="11" s="1"/>
  <c r="G4487" i="11"/>
  <c r="F4487" i="11"/>
  <c r="F4486" i="11"/>
  <c r="G4486" i="11" s="1"/>
  <c r="G4485" i="11"/>
  <c r="F4485" i="11"/>
  <c r="F4484" i="11"/>
  <c r="G4484" i="11" s="1"/>
  <c r="F4483" i="11"/>
  <c r="G4483" i="11" s="1"/>
  <c r="F4482" i="11"/>
  <c r="G4482" i="11" s="1"/>
  <c r="F4481" i="11"/>
  <c r="G4481" i="11" s="1"/>
  <c r="F4480" i="11"/>
  <c r="G4480" i="11" s="1"/>
  <c r="F4479" i="11"/>
  <c r="G4479" i="11" s="1"/>
  <c r="G4478" i="11"/>
  <c r="F4478" i="11"/>
  <c r="F4477" i="11"/>
  <c r="G4477" i="11" s="1"/>
  <c r="G4476" i="11"/>
  <c r="F4476" i="11"/>
  <c r="F4475" i="11"/>
  <c r="G4475" i="11" s="1"/>
  <c r="F4474" i="11"/>
  <c r="G4474" i="11" s="1"/>
  <c r="F4473" i="11"/>
  <c r="G4473" i="11" s="1"/>
  <c r="F4472" i="11"/>
  <c r="G4472" i="11" s="1"/>
  <c r="F4471" i="11"/>
  <c r="G4471" i="11" s="1"/>
  <c r="F4470" i="11"/>
  <c r="G4470" i="11" s="1"/>
  <c r="G4469" i="11"/>
  <c r="F4469" i="11"/>
  <c r="F4468" i="11"/>
  <c r="G4468" i="11" s="1"/>
  <c r="G4467" i="11"/>
  <c r="F4467" i="11"/>
  <c r="F4466" i="11"/>
  <c r="G4466" i="11" s="1"/>
  <c r="F4465" i="11"/>
  <c r="G4465" i="11" s="1"/>
  <c r="F4464" i="11"/>
  <c r="G4464" i="11" s="1"/>
  <c r="F4463" i="11"/>
  <c r="G4463" i="11" s="1"/>
  <c r="F4462" i="11"/>
  <c r="G4462" i="11" s="1"/>
  <c r="F4461" i="11"/>
  <c r="G4461" i="11" s="1"/>
  <c r="G4460" i="11"/>
  <c r="F4460" i="11"/>
  <c r="F4459" i="11"/>
  <c r="G4459" i="11" s="1"/>
  <c r="G4458" i="11"/>
  <c r="F4458" i="11"/>
  <c r="F4457" i="11"/>
  <c r="G4457" i="11" s="1"/>
  <c r="F4456" i="11"/>
  <c r="G4456" i="11" s="1"/>
  <c r="F4455" i="11"/>
  <c r="G4455" i="11" s="1"/>
  <c r="F4454" i="11"/>
  <c r="G4454" i="11" s="1"/>
  <c r="F4453" i="11"/>
  <c r="G4453" i="11" s="1"/>
  <c r="F4452" i="11"/>
  <c r="G4452" i="11" s="1"/>
  <c r="G4451" i="11"/>
  <c r="F4451" i="11"/>
  <c r="F4450" i="11"/>
  <c r="G4450" i="11" s="1"/>
  <c r="G4449" i="11"/>
  <c r="F4449" i="11"/>
  <c r="F4448" i="11"/>
  <c r="G4448" i="11" s="1"/>
  <c r="F4447" i="11"/>
  <c r="G4447" i="11" s="1"/>
  <c r="F4446" i="11"/>
  <c r="G4446" i="11" s="1"/>
  <c r="F4445" i="11"/>
  <c r="G4445" i="11" s="1"/>
  <c r="F4444" i="11"/>
  <c r="G4444" i="11" s="1"/>
  <c r="F4443" i="11"/>
  <c r="G4443" i="11" s="1"/>
  <c r="G4442" i="11"/>
  <c r="F4442" i="11"/>
  <c r="F4441" i="11"/>
  <c r="G4441" i="11" s="1"/>
  <c r="G4440" i="11"/>
  <c r="F4440" i="11"/>
  <c r="F4439" i="11"/>
  <c r="G4439" i="11" s="1"/>
  <c r="F4438" i="11"/>
  <c r="G4438" i="11" s="1"/>
  <c r="F4437" i="11"/>
  <c r="G4437" i="11" s="1"/>
  <c r="F4436" i="11"/>
  <c r="G4436" i="11" s="1"/>
  <c r="F4435" i="11"/>
  <c r="G4435" i="11" s="1"/>
  <c r="F4434" i="11"/>
  <c r="G4434" i="11" s="1"/>
  <c r="G4433" i="11"/>
  <c r="F4433" i="11"/>
  <c r="F4432" i="11"/>
  <c r="G4432" i="11" s="1"/>
  <c r="G4431" i="11"/>
  <c r="F4431" i="11"/>
  <c r="F4430" i="11"/>
  <c r="G4430" i="11" s="1"/>
  <c r="F4429" i="11"/>
  <c r="G4429" i="11" s="1"/>
  <c r="F4428" i="11"/>
  <c r="G4428" i="11" s="1"/>
  <c r="F4427" i="11"/>
  <c r="G4427" i="11" s="1"/>
  <c r="F4426" i="11"/>
  <c r="G4426" i="11" s="1"/>
  <c r="F4425" i="11"/>
  <c r="G4425" i="11" s="1"/>
  <c r="G4424" i="11"/>
  <c r="F4424" i="11"/>
  <c r="F4423" i="11"/>
  <c r="G4423" i="11" s="1"/>
  <c r="G4422" i="11"/>
  <c r="F4422" i="11"/>
  <c r="F4421" i="11"/>
  <c r="G4421" i="11" s="1"/>
  <c r="F4420" i="11"/>
  <c r="G4420" i="11" s="1"/>
  <c r="F4419" i="11"/>
  <c r="G4419" i="11" s="1"/>
  <c r="F4418" i="11"/>
  <c r="G4418" i="11" s="1"/>
  <c r="F4417" i="11"/>
  <c r="G4417" i="11" s="1"/>
  <c r="F4416" i="11"/>
  <c r="G4416" i="11" s="1"/>
  <c r="G4415" i="11"/>
  <c r="F4415" i="11"/>
  <c r="F4414" i="11"/>
  <c r="G4414" i="11" s="1"/>
  <c r="G4413" i="11"/>
  <c r="F4413" i="11"/>
  <c r="F4412" i="11"/>
  <c r="G4412" i="11" s="1"/>
  <c r="F4411" i="11"/>
  <c r="G4411" i="11" s="1"/>
  <c r="F4410" i="11"/>
  <c r="G4410" i="11" s="1"/>
  <c r="F4409" i="11"/>
  <c r="G4409" i="11" s="1"/>
  <c r="F4408" i="11"/>
  <c r="G4408" i="11" s="1"/>
  <c r="F4407" i="11"/>
  <c r="G4407" i="11" s="1"/>
  <c r="G4406" i="11"/>
  <c r="F4406" i="11"/>
  <c r="F4405" i="11"/>
  <c r="G4405" i="11" s="1"/>
  <c r="G4404" i="11"/>
  <c r="F4404" i="11"/>
  <c r="F4403" i="11"/>
  <c r="G4403" i="11" s="1"/>
  <c r="F4402" i="11"/>
  <c r="G4402" i="11" s="1"/>
  <c r="F4401" i="11"/>
  <c r="G4401" i="11" s="1"/>
  <c r="F4400" i="11"/>
  <c r="G4400" i="11" s="1"/>
  <c r="F4399" i="11"/>
  <c r="G4399" i="11" s="1"/>
  <c r="G4398" i="11"/>
  <c r="F4398" i="11"/>
  <c r="G4397" i="11"/>
  <c r="F4397" i="11"/>
  <c r="F4396" i="11"/>
  <c r="G4396" i="11" s="1"/>
  <c r="G4395" i="11"/>
  <c r="F4395" i="11"/>
  <c r="F4394" i="11"/>
  <c r="G4394" i="11" s="1"/>
  <c r="F4393" i="11"/>
  <c r="G4393" i="11" s="1"/>
  <c r="F4392" i="11"/>
  <c r="G4392" i="11" s="1"/>
  <c r="F4391" i="11"/>
  <c r="G4391" i="11" s="1"/>
  <c r="F4390" i="11"/>
  <c r="G4390" i="11" s="1"/>
  <c r="F4389" i="11"/>
  <c r="G4389" i="11" s="1"/>
  <c r="G4388" i="11"/>
  <c r="F4388" i="11"/>
  <c r="F4387" i="11"/>
  <c r="G4387" i="11" s="1"/>
  <c r="G4386" i="11"/>
  <c r="F4386" i="11"/>
  <c r="F4385" i="11"/>
  <c r="G4385" i="11" s="1"/>
  <c r="F4384" i="11"/>
  <c r="G4384" i="11" s="1"/>
  <c r="F4383" i="11"/>
  <c r="G4383" i="11" s="1"/>
  <c r="F4382" i="11"/>
  <c r="G4382" i="11" s="1"/>
  <c r="F4381" i="11"/>
  <c r="G4381" i="11" s="1"/>
  <c r="F4380" i="11"/>
  <c r="G4380" i="11" s="1"/>
  <c r="G4379" i="11"/>
  <c r="F4379" i="11"/>
  <c r="F4378" i="11"/>
  <c r="G4378" i="11" s="1"/>
  <c r="G4377" i="11"/>
  <c r="F4377" i="11"/>
  <c r="F4376" i="11"/>
  <c r="G4376" i="11" s="1"/>
  <c r="F4375" i="11"/>
  <c r="G4375" i="11" s="1"/>
  <c r="F4374" i="11"/>
  <c r="G4374" i="11" s="1"/>
  <c r="G4373" i="11"/>
  <c r="F4373" i="11"/>
  <c r="F4372" i="11"/>
  <c r="G4372" i="11" s="1"/>
  <c r="F4371" i="11"/>
  <c r="G4371" i="11" s="1"/>
  <c r="G4370" i="11"/>
  <c r="F4370" i="11"/>
  <c r="F4369" i="11"/>
  <c r="G4369" i="11" s="1"/>
  <c r="G4368" i="11"/>
  <c r="F4368" i="11"/>
  <c r="F4367" i="11"/>
  <c r="G4367" i="11" s="1"/>
  <c r="F4366" i="11"/>
  <c r="G4366" i="11" s="1"/>
  <c r="F4365" i="11"/>
  <c r="G4365" i="11" s="1"/>
  <c r="F4364" i="11"/>
  <c r="G4364" i="11" s="1"/>
  <c r="F4363" i="11"/>
  <c r="G4363" i="11" s="1"/>
  <c r="G4362" i="11"/>
  <c r="F4362" i="11"/>
  <c r="G4361" i="11"/>
  <c r="F4361" i="11"/>
  <c r="F4360" i="11"/>
  <c r="G4360" i="11" s="1"/>
  <c r="G4359" i="11"/>
  <c r="F4359" i="11"/>
  <c r="F4358" i="11"/>
  <c r="G4358" i="11" s="1"/>
  <c r="F4357" i="11"/>
  <c r="G4357" i="11" s="1"/>
  <c r="F4356" i="11"/>
  <c r="G4356" i="11" s="1"/>
  <c r="G4355" i="11"/>
  <c r="F4355" i="11"/>
  <c r="F4354" i="11"/>
  <c r="G4354" i="11" s="1"/>
  <c r="F4353" i="11"/>
  <c r="G4353" i="11" s="1"/>
  <c r="G4352" i="11"/>
  <c r="F4352" i="11"/>
  <c r="F4351" i="11"/>
  <c r="G4351" i="11" s="1"/>
  <c r="G4350" i="11"/>
  <c r="F4350" i="11"/>
  <c r="F4349" i="11"/>
  <c r="G4349" i="11" s="1"/>
  <c r="F4348" i="11"/>
  <c r="G4348" i="11" s="1"/>
  <c r="F4347" i="11"/>
  <c r="G4347" i="11" s="1"/>
  <c r="F4346" i="11"/>
  <c r="G4346" i="11" s="1"/>
  <c r="F4345" i="11"/>
  <c r="G4345" i="11" s="1"/>
  <c r="F4344" i="11"/>
  <c r="G4344" i="11" s="1"/>
  <c r="G4343" i="11"/>
  <c r="F4343" i="11"/>
  <c r="F4342" i="11"/>
  <c r="G4342" i="11" s="1"/>
  <c r="G4341" i="11"/>
  <c r="F4341" i="11"/>
  <c r="F4340" i="11"/>
  <c r="G4340" i="11" s="1"/>
  <c r="F4339" i="11"/>
  <c r="G4339" i="11" s="1"/>
  <c r="F4338" i="11"/>
  <c r="G4338" i="11" s="1"/>
  <c r="F4337" i="11"/>
  <c r="G4337" i="11" s="1"/>
  <c r="F4336" i="11"/>
  <c r="G4336" i="11" s="1"/>
  <c r="F4335" i="11"/>
  <c r="G4335" i="11" s="1"/>
  <c r="G4334" i="11"/>
  <c r="F4334" i="11"/>
  <c r="F4333" i="11"/>
  <c r="G4333" i="11" s="1"/>
  <c r="G4332" i="11"/>
  <c r="F4332" i="11"/>
  <c r="F4331" i="11"/>
  <c r="G4331" i="11" s="1"/>
  <c r="F4330" i="11"/>
  <c r="G4330" i="11" s="1"/>
  <c r="F4329" i="11"/>
  <c r="G4329" i="11" s="1"/>
  <c r="F4328" i="11"/>
  <c r="G4328" i="11" s="1"/>
  <c r="F4327" i="11"/>
  <c r="G4327" i="11" s="1"/>
  <c r="F4326" i="11"/>
  <c r="G4326" i="11" s="1"/>
  <c r="G4325" i="11"/>
  <c r="F4325" i="11"/>
  <c r="F4324" i="11"/>
  <c r="G4324" i="11" s="1"/>
  <c r="G4323" i="11"/>
  <c r="F4323" i="11"/>
  <c r="F4322" i="11"/>
  <c r="G4322" i="11" s="1"/>
  <c r="F4321" i="11"/>
  <c r="G4321" i="11" s="1"/>
  <c r="F4320" i="11"/>
  <c r="G4320" i="11" s="1"/>
  <c r="F4319" i="11"/>
  <c r="G4319" i="11" s="1"/>
  <c r="F4318" i="11"/>
  <c r="G4318" i="11" s="1"/>
  <c r="F4317" i="11"/>
  <c r="G4317" i="11" s="1"/>
  <c r="G4316" i="11"/>
  <c r="F4316" i="11"/>
  <c r="F4315" i="11"/>
  <c r="G4315" i="11" s="1"/>
  <c r="G4314" i="11"/>
  <c r="F4314" i="11"/>
  <c r="F4313" i="11"/>
  <c r="G4313" i="11" s="1"/>
  <c r="F4312" i="11"/>
  <c r="G4312" i="11" s="1"/>
  <c r="F4311" i="11"/>
  <c r="G4311" i="11" s="1"/>
  <c r="F4310" i="11"/>
  <c r="G4310" i="11" s="1"/>
  <c r="F4309" i="11"/>
  <c r="G4309" i="11" s="1"/>
  <c r="F4308" i="11"/>
  <c r="G4308" i="11" s="1"/>
  <c r="G4307" i="11"/>
  <c r="F4307" i="11"/>
  <c r="F4306" i="11"/>
  <c r="G4306" i="11" s="1"/>
  <c r="G4305" i="11"/>
  <c r="F4305" i="11"/>
  <c r="F4304" i="11"/>
  <c r="G4304" i="11" s="1"/>
  <c r="F4303" i="11"/>
  <c r="G4303" i="11" s="1"/>
  <c r="F4302" i="11"/>
  <c r="G4302" i="11" s="1"/>
  <c r="F4301" i="11"/>
  <c r="G4301" i="11" s="1"/>
  <c r="F4300" i="11"/>
  <c r="G4300" i="11" s="1"/>
  <c r="G4299" i="11"/>
  <c r="F4299" i="11"/>
  <c r="G4298" i="11"/>
  <c r="F4298" i="11"/>
  <c r="F4297" i="11"/>
  <c r="G4297" i="11" s="1"/>
  <c r="G4296" i="11"/>
  <c r="F4296" i="11"/>
  <c r="F4295" i="11"/>
  <c r="G4295" i="11" s="1"/>
  <c r="F4294" i="11"/>
  <c r="G4294" i="11" s="1"/>
  <c r="F4293" i="11"/>
  <c r="G4293" i="11" s="1"/>
  <c r="G4292" i="11"/>
  <c r="F4292" i="11"/>
  <c r="F4291" i="11"/>
  <c r="G4291" i="11" s="1"/>
  <c r="G4290" i="11"/>
  <c r="F4290" i="11"/>
  <c r="G4289" i="11"/>
  <c r="F4289" i="11"/>
  <c r="F4288" i="11"/>
  <c r="G4288" i="11" s="1"/>
  <c r="G4287" i="11"/>
  <c r="F4287" i="11"/>
  <c r="F4286" i="11"/>
  <c r="G4286" i="11" s="1"/>
  <c r="F4285" i="11"/>
  <c r="G4285" i="11" s="1"/>
  <c r="F4284" i="11"/>
  <c r="G4284" i="11" s="1"/>
  <c r="G4283" i="11"/>
  <c r="F4283" i="11"/>
  <c r="F4282" i="11"/>
  <c r="G4282" i="11" s="1"/>
  <c r="F4281" i="11"/>
  <c r="G4281" i="11" s="1"/>
  <c r="G4280" i="11"/>
  <c r="F4280" i="11"/>
  <c r="F4279" i="11"/>
  <c r="G4279" i="11" s="1"/>
  <c r="G4278" i="11"/>
  <c r="F4278" i="11"/>
  <c r="F4277" i="11"/>
  <c r="G4277" i="11" s="1"/>
  <c r="F4276" i="11"/>
  <c r="G4276" i="11" s="1"/>
  <c r="F4275" i="11"/>
  <c r="G4275" i="11" s="1"/>
  <c r="F4274" i="11"/>
  <c r="G4274" i="11" s="1"/>
  <c r="F4273" i="11"/>
  <c r="G4273" i="11" s="1"/>
  <c r="F4272" i="11"/>
  <c r="G4272" i="11" s="1"/>
  <c r="G4271" i="11"/>
  <c r="F4271" i="11"/>
  <c r="F4270" i="11"/>
  <c r="G4270" i="11" s="1"/>
  <c r="G4269" i="11"/>
  <c r="F4269" i="11"/>
  <c r="F4268" i="11"/>
  <c r="G4268" i="11" s="1"/>
  <c r="F4267" i="11"/>
  <c r="G4267" i="11" s="1"/>
  <c r="F4266" i="11"/>
  <c r="G4266" i="11" s="1"/>
  <c r="F4265" i="11"/>
  <c r="G4265" i="11" s="1"/>
  <c r="F4264" i="11"/>
  <c r="G4264" i="11" s="1"/>
  <c r="F4263" i="11"/>
  <c r="G4263" i="11" s="1"/>
  <c r="G4262" i="11"/>
  <c r="F4262" i="11"/>
  <c r="F4261" i="11"/>
  <c r="G4261" i="11" s="1"/>
  <c r="G4260" i="11"/>
  <c r="F4260" i="11"/>
  <c r="F4259" i="11"/>
  <c r="G4259" i="11" s="1"/>
  <c r="F4258" i="11"/>
  <c r="G4258" i="11" s="1"/>
  <c r="F4257" i="11"/>
  <c r="G4257" i="11" s="1"/>
  <c r="F4256" i="11"/>
  <c r="G4256" i="11" s="1"/>
  <c r="F4255" i="11"/>
  <c r="G4255" i="11" s="1"/>
  <c r="G4254" i="11"/>
  <c r="F4254" i="11"/>
  <c r="G4253" i="11"/>
  <c r="F4253" i="11"/>
  <c r="F4252" i="11"/>
  <c r="G4252" i="11" s="1"/>
  <c r="G4251" i="11"/>
  <c r="F4251" i="11"/>
  <c r="F4250" i="11"/>
  <c r="G4250" i="11" s="1"/>
  <c r="F4249" i="11"/>
  <c r="G4249" i="11" s="1"/>
  <c r="F4248" i="11"/>
  <c r="G4248" i="11" s="1"/>
  <c r="G4247" i="11"/>
  <c r="F4247" i="11"/>
  <c r="F4246" i="11"/>
  <c r="G4246" i="11" s="1"/>
  <c r="F4245" i="11"/>
  <c r="G4245" i="11" s="1"/>
  <c r="G4244" i="11"/>
  <c r="F4244" i="11"/>
  <c r="F4243" i="11"/>
  <c r="G4243" i="11" s="1"/>
  <c r="G4242" i="11"/>
  <c r="F4242" i="11"/>
  <c r="F4241" i="11"/>
  <c r="G4241" i="11" s="1"/>
  <c r="F4240" i="11"/>
  <c r="G4240" i="11" s="1"/>
  <c r="F4239" i="11"/>
  <c r="G4239" i="11" s="1"/>
  <c r="F4238" i="11"/>
  <c r="G4238" i="11" s="1"/>
  <c r="F4237" i="11"/>
  <c r="G4237" i="11" s="1"/>
  <c r="G4236" i="11"/>
  <c r="F4236" i="11"/>
  <c r="G4235" i="11"/>
  <c r="F4235" i="11"/>
  <c r="F4234" i="11"/>
  <c r="G4234" i="11" s="1"/>
  <c r="G4233" i="11"/>
  <c r="F4233" i="11"/>
  <c r="F4232" i="11"/>
  <c r="G4232" i="11" s="1"/>
  <c r="F4231" i="11"/>
  <c r="G4231" i="11" s="1"/>
  <c r="F4230" i="11"/>
  <c r="G4230" i="11" s="1"/>
  <c r="F4229" i="11"/>
  <c r="G4229" i="11" s="1"/>
  <c r="F4228" i="11"/>
  <c r="G4228" i="11" s="1"/>
  <c r="F4227" i="11"/>
  <c r="G4227" i="11" s="1"/>
  <c r="G4226" i="11"/>
  <c r="F4226" i="11"/>
  <c r="F4225" i="11"/>
  <c r="G4225" i="11" s="1"/>
  <c r="G4224" i="11"/>
  <c r="F4224" i="11"/>
  <c r="F4223" i="11"/>
  <c r="G4223" i="11" s="1"/>
  <c r="F4222" i="11"/>
  <c r="G4222" i="11" s="1"/>
  <c r="F4221" i="11"/>
  <c r="G4221" i="11" s="1"/>
  <c r="F4220" i="11"/>
  <c r="G4220" i="11" s="1"/>
  <c r="F4219" i="11"/>
  <c r="G4219" i="11" s="1"/>
  <c r="G4218" i="11"/>
  <c r="F4218" i="11"/>
  <c r="G4217" i="11"/>
  <c r="F4217" i="11"/>
  <c r="F4216" i="11"/>
  <c r="G4216" i="11" s="1"/>
  <c r="G4215" i="11"/>
  <c r="F4215" i="11"/>
  <c r="F4214" i="11"/>
  <c r="G4214" i="11" s="1"/>
  <c r="F4213" i="11"/>
  <c r="G4213" i="11" s="1"/>
  <c r="F4212" i="11"/>
  <c r="G4212" i="11" s="1"/>
  <c r="F4211" i="11"/>
  <c r="G4211" i="11" s="1"/>
  <c r="F4210" i="11"/>
  <c r="G4210" i="11" s="1"/>
  <c r="F4209" i="11"/>
  <c r="G4209" i="11" s="1"/>
  <c r="G4208" i="11"/>
  <c r="F4208" i="11"/>
  <c r="F4207" i="11"/>
  <c r="G4207" i="11" s="1"/>
  <c r="G4206" i="11"/>
  <c r="F4206" i="11"/>
  <c r="F4205" i="11"/>
  <c r="G4205" i="11" s="1"/>
  <c r="F4204" i="11"/>
  <c r="G4204" i="11" s="1"/>
  <c r="F4203" i="11"/>
  <c r="G4203" i="11" s="1"/>
  <c r="F4202" i="11"/>
  <c r="G4202" i="11" s="1"/>
  <c r="F4201" i="11"/>
  <c r="G4201" i="11" s="1"/>
  <c r="F4200" i="11"/>
  <c r="G4200" i="11" s="1"/>
  <c r="G4199" i="11"/>
  <c r="F4199" i="11"/>
  <c r="F4198" i="11"/>
  <c r="G4198" i="11" s="1"/>
  <c r="G4197" i="11"/>
  <c r="F4197" i="11"/>
  <c r="F4196" i="11"/>
  <c r="G4196" i="11" s="1"/>
  <c r="F4195" i="11"/>
  <c r="G4195" i="11" s="1"/>
  <c r="F4194" i="11"/>
  <c r="G4194" i="11" s="1"/>
  <c r="F4193" i="11"/>
  <c r="G4193" i="11" s="1"/>
  <c r="F4192" i="11"/>
  <c r="G4192" i="11" s="1"/>
  <c r="F4191" i="11"/>
  <c r="G4191" i="11" s="1"/>
  <c r="G4190" i="11"/>
  <c r="F4190" i="11"/>
  <c r="F4189" i="11"/>
  <c r="G4189" i="11" s="1"/>
  <c r="G4188" i="11"/>
  <c r="F4188" i="11"/>
  <c r="F4187" i="11"/>
  <c r="G4187" i="11" s="1"/>
  <c r="F4186" i="11"/>
  <c r="G4186" i="11" s="1"/>
  <c r="F4185" i="11"/>
  <c r="G4185" i="11" s="1"/>
  <c r="F4184" i="11"/>
  <c r="G4184" i="11" s="1"/>
  <c r="F4183" i="11"/>
  <c r="G4183" i="11" s="1"/>
  <c r="F4182" i="11"/>
  <c r="G4182" i="11" s="1"/>
  <c r="G4181" i="11"/>
  <c r="F4181" i="11"/>
  <c r="F4180" i="11"/>
  <c r="G4180" i="11" s="1"/>
  <c r="G4179" i="11"/>
  <c r="F4179" i="11"/>
  <c r="F4178" i="11"/>
  <c r="G4178" i="11" s="1"/>
  <c r="F4177" i="11"/>
  <c r="G4177" i="11" s="1"/>
  <c r="F4176" i="11"/>
  <c r="G4176" i="11" s="1"/>
  <c r="F4175" i="11"/>
  <c r="G4175" i="11" s="1"/>
  <c r="F4174" i="11"/>
  <c r="G4174" i="11" s="1"/>
  <c r="F4173" i="11"/>
  <c r="G4173" i="11" s="1"/>
  <c r="G4172" i="11"/>
  <c r="F4172" i="11"/>
  <c r="F4171" i="11"/>
  <c r="G4171" i="11" s="1"/>
  <c r="G4170" i="11"/>
  <c r="F4170" i="11"/>
  <c r="F4169" i="11"/>
  <c r="G4169" i="11" s="1"/>
  <c r="F4168" i="11"/>
  <c r="G4168" i="11" s="1"/>
  <c r="F4167" i="11"/>
  <c r="G4167" i="11" s="1"/>
  <c r="F4166" i="11"/>
  <c r="G4166" i="11" s="1"/>
  <c r="F4165" i="11"/>
  <c r="G4165" i="11" s="1"/>
  <c r="F4164" i="11"/>
  <c r="G4164" i="11" s="1"/>
  <c r="G4163" i="11"/>
  <c r="F4163" i="11"/>
  <c r="F4162" i="11"/>
  <c r="G4162" i="11" s="1"/>
  <c r="G4161" i="11"/>
  <c r="F4161" i="11"/>
  <c r="F4160" i="11"/>
  <c r="G4160" i="11" s="1"/>
  <c r="F4159" i="11"/>
  <c r="G4159" i="11" s="1"/>
  <c r="F4158" i="11"/>
  <c r="G4158" i="11" s="1"/>
  <c r="F4157" i="11"/>
  <c r="G4157" i="11" s="1"/>
  <c r="F4156" i="11"/>
  <c r="G4156" i="11" s="1"/>
  <c r="G4155" i="11"/>
  <c r="F4155" i="11"/>
  <c r="G4154" i="11"/>
  <c r="F4154" i="11"/>
  <c r="F4153" i="11"/>
  <c r="G4153" i="11" s="1"/>
  <c r="G4152" i="11"/>
  <c r="F4152" i="11"/>
  <c r="F4151" i="11"/>
  <c r="G4151" i="11" s="1"/>
  <c r="F4150" i="11"/>
  <c r="G4150" i="11" s="1"/>
  <c r="F4149" i="11"/>
  <c r="G4149" i="11" s="1"/>
  <c r="F4148" i="11"/>
  <c r="G4148" i="11" s="1"/>
  <c r="F4147" i="11"/>
  <c r="G4147" i="11" s="1"/>
  <c r="F4146" i="11"/>
  <c r="G4146" i="11" s="1"/>
  <c r="G4145" i="11"/>
  <c r="F4145" i="11"/>
  <c r="F4144" i="11"/>
  <c r="G4144" i="11" s="1"/>
  <c r="G4143" i="11"/>
  <c r="F4143" i="11"/>
  <c r="F4142" i="11"/>
  <c r="G4142" i="11" s="1"/>
  <c r="F4141" i="11"/>
  <c r="G4141" i="11" s="1"/>
  <c r="F4140" i="11"/>
  <c r="G4140" i="11" s="1"/>
  <c r="F4139" i="11"/>
  <c r="G4139" i="11" s="1"/>
  <c r="F4138" i="11"/>
  <c r="G4138" i="11" s="1"/>
  <c r="F4137" i="11"/>
  <c r="G4137" i="11" s="1"/>
  <c r="G4136" i="11"/>
  <c r="F4136" i="11"/>
  <c r="F4135" i="11"/>
  <c r="G4135" i="11" s="1"/>
  <c r="G4134" i="11"/>
  <c r="F4134" i="11"/>
  <c r="F4133" i="11"/>
  <c r="G4133" i="11" s="1"/>
  <c r="F4132" i="11"/>
  <c r="G4132" i="11" s="1"/>
  <c r="F4131" i="11"/>
  <c r="G4131" i="11" s="1"/>
  <c r="F4130" i="11"/>
  <c r="G4130" i="11" s="1"/>
  <c r="F4129" i="11"/>
  <c r="G4129" i="11" s="1"/>
  <c r="G4128" i="11"/>
  <c r="F4128" i="11"/>
  <c r="G4127" i="11"/>
  <c r="F4127" i="11"/>
  <c r="F4126" i="11"/>
  <c r="G4126" i="11" s="1"/>
  <c r="G4125" i="11"/>
  <c r="F4125" i="11"/>
  <c r="F4124" i="11"/>
  <c r="G4124" i="11" s="1"/>
  <c r="F4123" i="11"/>
  <c r="G4123" i="11" s="1"/>
  <c r="F4122" i="11"/>
  <c r="G4122" i="11" s="1"/>
  <c r="G4121" i="11"/>
  <c r="F4121" i="11"/>
  <c r="F4120" i="11"/>
  <c r="G4120" i="11" s="1"/>
  <c r="F4119" i="11"/>
  <c r="G4119" i="11" s="1"/>
  <c r="G4118" i="11"/>
  <c r="F4118" i="11"/>
  <c r="F4117" i="11"/>
  <c r="G4117" i="11" s="1"/>
  <c r="G4116" i="11"/>
  <c r="F4116" i="11"/>
  <c r="F4115" i="11"/>
  <c r="G4115" i="11" s="1"/>
  <c r="F4114" i="11"/>
  <c r="G4114" i="11" s="1"/>
  <c r="F4113" i="11"/>
  <c r="G4113" i="11" s="1"/>
  <c r="G4112" i="11"/>
  <c r="F4112" i="11"/>
  <c r="F4111" i="11"/>
  <c r="G4111" i="11" s="1"/>
  <c r="G4110" i="11"/>
  <c r="F4110" i="11"/>
  <c r="G4109" i="11"/>
  <c r="F4109" i="11"/>
  <c r="F4108" i="11"/>
  <c r="G4108" i="11" s="1"/>
  <c r="G4107" i="11"/>
  <c r="F4107" i="11"/>
  <c r="F4106" i="11"/>
  <c r="G4106" i="11" s="1"/>
  <c r="F4105" i="11"/>
  <c r="G4105" i="11" s="1"/>
  <c r="F4104" i="11"/>
  <c r="G4104" i="11" s="1"/>
  <c r="F4103" i="11"/>
  <c r="G4103" i="11" s="1"/>
  <c r="F4102" i="11"/>
  <c r="G4102" i="11" s="1"/>
  <c r="F4101" i="11"/>
  <c r="G4101" i="11" s="1"/>
  <c r="G4100" i="11"/>
  <c r="F4100" i="11"/>
  <c r="F4099" i="11"/>
  <c r="G4099" i="11" s="1"/>
  <c r="G4098" i="11"/>
  <c r="F4098" i="11"/>
  <c r="F4097" i="11"/>
  <c r="G4097" i="11" s="1"/>
  <c r="F4096" i="11"/>
  <c r="G4096" i="11" s="1"/>
  <c r="F4095" i="11"/>
  <c r="G4095" i="11" s="1"/>
  <c r="F4094" i="11"/>
  <c r="G4094" i="11" s="1"/>
  <c r="F4093" i="11"/>
  <c r="G4093" i="11" s="1"/>
  <c r="F4092" i="11"/>
  <c r="G4092" i="11" s="1"/>
  <c r="G4091" i="11"/>
  <c r="F4091" i="11"/>
  <c r="F4090" i="11"/>
  <c r="G4090" i="11" s="1"/>
  <c r="G4089" i="11"/>
  <c r="F4089" i="11"/>
  <c r="F4088" i="11"/>
  <c r="G4088" i="11" s="1"/>
  <c r="F4087" i="11"/>
  <c r="G4087" i="11" s="1"/>
  <c r="F4086" i="11"/>
  <c r="G4086" i="11" s="1"/>
  <c r="F4085" i="11"/>
  <c r="G4085" i="11" s="1"/>
  <c r="F4084" i="11"/>
  <c r="G4084" i="11" s="1"/>
  <c r="F4083" i="11"/>
  <c r="G4083" i="11" s="1"/>
  <c r="F4082" i="11"/>
  <c r="G4082" i="11" s="1"/>
  <c r="F4081" i="11"/>
  <c r="G4081" i="11" s="1"/>
  <c r="G4080" i="11"/>
  <c r="F4080" i="11"/>
  <c r="F4079" i="11"/>
  <c r="G4079" i="11" s="1"/>
  <c r="F4078" i="11"/>
  <c r="G4078" i="11" s="1"/>
  <c r="G4077" i="11"/>
  <c r="F4077" i="11"/>
  <c r="F4076" i="11"/>
  <c r="G4076" i="11" s="1"/>
  <c r="F4075" i="11"/>
  <c r="G4075" i="11" s="1"/>
  <c r="G4074" i="11"/>
  <c r="F4074" i="11"/>
  <c r="G4073" i="11"/>
  <c r="F4073" i="11"/>
  <c r="F4072" i="11"/>
  <c r="G4072" i="11" s="1"/>
  <c r="F4071" i="11"/>
  <c r="G4071" i="11" s="1"/>
  <c r="F4070" i="11"/>
  <c r="G4070" i="11" s="1"/>
  <c r="F4069" i="11"/>
  <c r="G4069" i="11" s="1"/>
  <c r="F4068" i="11"/>
  <c r="G4068" i="11" s="1"/>
  <c r="F4067" i="11"/>
  <c r="G4067" i="11" s="1"/>
  <c r="F4066" i="11"/>
  <c r="G4066" i="11" s="1"/>
  <c r="F4065" i="11"/>
  <c r="G4065" i="11" s="1"/>
  <c r="F4064" i="11"/>
  <c r="G4064" i="11" s="1"/>
  <c r="F4063" i="11"/>
  <c r="G4063" i="11" s="1"/>
  <c r="G4062" i="11"/>
  <c r="F4062" i="11"/>
  <c r="F4061" i="11"/>
  <c r="G4061" i="11" s="1"/>
  <c r="F4060" i="11"/>
  <c r="G4060" i="11" s="1"/>
  <c r="G4059" i="11"/>
  <c r="F4059" i="11"/>
  <c r="F4058" i="11"/>
  <c r="G4058" i="11" s="1"/>
  <c r="F4057" i="11"/>
  <c r="G4057" i="11" s="1"/>
  <c r="G4056" i="11"/>
  <c r="F4056" i="11"/>
  <c r="G4055" i="11"/>
  <c r="F4055" i="11"/>
  <c r="F4054" i="11"/>
  <c r="G4054" i="11" s="1"/>
  <c r="F4053" i="11"/>
  <c r="G4053" i="11" s="1"/>
  <c r="F4052" i="11"/>
  <c r="G4052" i="11" s="1"/>
  <c r="F4051" i="11"/>
  <c r="G4051" i="11" s="1"/>
  <c r="F4050" i="11"/>
  <c r="G4050" i="11" s="1"/>
  <c r="F4049" i="11"/>
  <c r="G4049" i="11" s="1"/>
  <c r="F4048" i="11"/>
  <c r="G4048" i="11" s="1"/>
  <c r="F4047" i="11"/>
  <c r="G4047" i="11" s="1"/>
  <c r="F4046" i="11"/>
  <c r="G4046" i="11" s="1"/>
  <c r="F4045" i="11"/>
  <c r="G4045" i="11" s="1"/>
  <c r="G4044" i="11"/>
  <c r="F4044" i="11"/>
  <c r="F4043" i="11"/>
  <c r="G4043" i="11" s="1"/>
  <c r="F4042" i="11"/>
  <c r="G4042" i="11" s="1"/>
  <c r="G4041" i="11"/>
  <c r="F4041" i="11"/>
  <c r="F4040" i="11"/>
  <c r="G4040" i="11" s="1"/>
  <c r="F4039" i="11"/>
  <c r="G4039" i="11" s="1"/>
  <c r="G4038" i="11"/>
  <c r="F4038" i="11"/>
  <c r="G4037" i="11"/>
  <c r="F4037" i="11"/>
  <c r="F4036" i="11"/>
  <c r="G4036" i="11" s="1"/>
  <c r="F4035" i="11"/>
  <c r="G4035" i="11" s="1"/>
  <c r="F4034" i="11"/>
  <c r="G4034" i="11" s="1"/>
  <c r="F4033" i="11"/>
  <c r="G4033" i="11" s="1"/>
  <c r="F4032" i="11"/>
  <c r="G4032" i="11" s="1"/>
  <c r="F4031" i="11"/>
  <c r="G4031" i="11" s="1"/>
  <c r="F4030" i="11"/>
  <c r="G4030" i="11" s="1"/>
  <c r="F4029" i="11"/>
  <c r="G4029" i="11" s="1"/>
  <c r="F4028" i="11"/>
  <c r="G4028" i="11" s="1"/>
  <c r="F4027" i="11"/>
  <c r="G4027" i="11" s="1"/>
  <c r="G4026" i="11"/>
  <c r="F4026" i="11"/>
  <c r="F4025" i="11"/>
  <c r="G4025" i="11" s="1"/>
  <c r="F4024" i="11"/>
  <c r="G4024" i="11" s="1"/>
  <c r="G4023" i="11"/>
  <c r="F4023" i="11"/>
  <c r="F4022" i="11"/>
  <c r="G4022" i="11" s="1"/>
  <c r="F4021" i="11"/>
  <c r="G4021" i="11" s="1"/>
  <c r="G4020" i="11"/>
  <c r="F4020" i="11"/>
  <c r="G4019" i="11"/>
  <c r="F4019" i="11"/>
  <c r="F4018" i="11"/>
  <c r="G4018" i="11" s="1"/>
  <c r="F4017" i="11"/>
  <c r="G4017" i="11" s="1"/>
  <c r="F4016" i="11"/>
  <c r="G4016" i="11" s="1"/>
  <c r="F4015" i="11"/>
  <c r="G4015" i="11" s="1"/>
  <c r="F4014" i="11"/>
  <c r="G4014" i="11" s="1"/>
  <c r="F4013" i="11"/>
  <c r="G4013" i="11" s="1"/>
  <c r="F4012" i="11"/>
  <c r="G4012" i="11" s="1"/>
  <c r="F4011" i="11"/>
  <c r="G4011" i="11" s="1"/>
  <c r="F4010" i="11"/>
  <c r="G4010" i="11" s="1"/>
  <c r="F4009" i="11"/>
  <c r="G4009" i="11" s="1"/>
  <c r="G4008" i="11"/>
  <c r="F4008" i="11"/>
  <c r="F4007" i="11"/>
  <c r="G4007" i="11" s="1"/>
  <c r="F4006" i="11"/>
  <c r="G4006" i="11" s="1"/>
  <c r="G4005" i="11"/>
  <c r="F4005" i="11"/>
  <c r="F4004" i="11"/>
  <c r="G4004" i="11" s="1"/>
  <c r="F4003" i="11"/>
  <c r="G4003" i="11" s="1"/>
  <c r="G4002" i="11"/>
  <c r="F4002" i="11"/>
  <c r="G4001" i="11"/>
  <c r="F4001" i="11"/>
  <c r="F4000" i="11"/>
  <c r="G4000" i="11" s="1"/>
  <c r="F3999" i="11"/>
  <c r="G3999" i="11" s="1"/>
  <c r="F3998" i="11"/>
  <c r="G3998" i="11" s="1"/>
  <c r="F3997" i="11"/>
  <c r="G3997" i="11" s="1"/>
  <c r="F3996" i="11"/>
  <c r="G3996" i="11" s="1"/>
  <c r="F3995" i="11"/>
  <c r="G3995" i="11" s="1"/>
  <c r="F3994" i="11"/>
  <c r="G3994" i="11" s="1"/>
  <c r="G3993" i="11"/>
  <c r="F3993" i="11"/>
  <c r="G3992" i="11"/>
  <c r="F3992" i="11"/>
  <c r="F3991" i="11"/>
  <c r="G3991" i="11" s="1"/>
  <c r="G3990" i="11"/>
  <c r="F3990" i="11"/>
  <c r="F3989" i="11"/>
  <c r="G3989" i="11" s="1"/>
  <c r="F3988" i="11"/>
  <c r="G3988" i="11" s="1"/>
  <c r="F3987" i="11"/>
  <c r="G3987" i="11" s="1"/>
  <c r="G3986" i="11"/>
  <c r="F3986" i="11"/>
  <c r="F3985" i="11"/>
  <c r="G3985" i="11" s="1"/>
  <c r="G3984" i="11"/>
  <c r="F3984" i="11"/>
  <c r="G3983" i="11"/>
  <c r="F3983" i="11"/>
  <c r="F3982" i="11"/>
  <c r="G3982" i="11" s="1"/>
  <c r="F3981" i="11"/>
  <c r="G3981" i="11" s="1"/>
  <c r="F3980" i="11"/>
  <c r="G3980" i="11" s="1"/>
  <c r="F3979" i="11"/>
  <c r="G3979" i="11" s="1"/>
  <c r="F3978" i="11"/>
  <c r="G3978" i="11" s="1"/>
  <c r="F3977" i="11"/>
  <c r="G3977" i="11" s="1"/>
  <c r="F3976" i="11"/>
  <c r="G3976" i="11" s="1"/>
  <c r="F3975" i="11"/>
  <c r="G3975" i="11" s="1"/>
  <c r="F3974" i="11"/>
  <c r="G3974" i="11" s="1"/>
  <c r="F3973" i="11"/>
  <c r="G3973" i="11" s="1"/>
  <c r="G3972" i="11"/>
  <c r="F3972" i="11"/>
  <c r="F3971" i="11"/>
  <c r="G3971" i="11" s="1"/>
  <c r="F3970" i="11"/>
  <c r="G3970" i="11" s="1"/>
  <c r="G3969" i="11"/>
  <c r="F3969" i="11"/>
  <c r="F3968" i="11"/>
  <c r="G3968" i="11" s="1"/>
  <c r="F3967" i="11"/>
  <c r="G3967" i="11" s="1"/>
  <c r="G3966" i="11"/>
  <c r="F3966" i="11"/>
  <c r="G3965" i="11"/>
  <c r="F3965" i="11"/>
  <c r="F3964" i="11"/>
  <c r="G3964" i="11" s="1"/>
  <c r="F3963" i="11"/>
  <c r="G3963" i="11" s="1"/>
  <c r="F3962" i="11"/>
  <c r="G3962" i="11" s="1"/>
  <c r="F3961" i="11"/>
  <c r="G3961" i="11" s="1"/>
  <c r="F3960" i="11"/>
  <c r="G3960" i="11" s="1"/>
  <c r="F3959" i="11"/>
  <c r="G3959" i="11" s="1"/>
  <c r="F3958" i="11"/>
  <c r="G3958" i="11" s="1"/>
  <c r="G3957" i="11"/>
  <c r="F3957" i="11"/>
  <c r="G3956" i="11"/>
  <c r="F3956" i="11"/>
  <c r="F3955" i="11"/>
  <c r="G3955" i="11" s="1"/>
  <c r="G3954" i="11"/>
  <c r="F3954" i="11"/>
  <c r="F3953" i="11"/>
  <c r="G3953" i="11" s="1"/>
  <c r="F3952" i="11"/>
  <c r="G3952" i="11" s="1"/>
  <c r="F3951" i="11"/>
  <c r="G3951" i="11" s="1"/>
  <c r="F3950" i="11"/>
  <c r="G3950" i="11" s="1"/>
  <c r="F3949" i="11"/>
  <c r="G3949" i="11" s="1"/>
  <c r="F3948" i="11"/>
  <c r="G3948" i="11" s="1"/>
  <c r="G3947" i="11"/>
  <c r="F3947" i="11"/>
  <c r="F3946" i="11"/>
  <c r="G3946" i="11" s="1"/>
  <c r="G3945" i="11"/>
  <c r="F3945" i="11"/>
  <c r="G3944" i="11"/>
  <c r="F3944" i="11"/>
  <c r="F3943" i="11"/>
  <c r="G3943" i="11" s="1"/>
  <c r="F3942" i="11"/>
  <c r="G3942" i="11" s="1"/>
  <c r="G3941" i="11"/>
  <c r="F3941" i="11"/>
  <c r="F3940" i="11"/>
  <c r="G3940" i="11" s="1"/>
  <c r="F3939" i="11"/>
  <c r="G3939" i="11" s="1"/>
  <c r="G3938" i="11"/>
  <c r="F3938" i="11"/>
  <c r="F3937" i="11"/>
  <c r="G3937" i="11" s="1"/>
  <c r="G3936" i="11"/>
  <c r="F3936" i="11"/>
  <c r="F3935" i="11"/>
  <c r="G3935" i="11" s="1"/>
  <c r="F3934" i="11"/>
  <c r="G3934" i="11" s="1"/>
  <c r="F3933" i="11"/>
  <c r="G3933" i="11" s="1"/>
  <c r="F3932" i="11"/>
  <c r="G3932" i="11" s="1"/>
  <c r="G3931" i="11"/>
  <c r="F3931" i="11"/>
  <c r="G3930" i="11"/>
  <c r="F3930" i="11"/>
  <c r="F3929" i="11"/>
  <c r="G3929" i="11" s="1"/>
  <c r="F3928" i="11"/>
  <c r="G3928" i="11" s="1"/>
  <c r="F3927" i="11"/>
  <c r="G3927" i="11" s="1"/>
  <c r="F3926" i="11"/>
  <c r="G3926" i="11" s="1"/>
  <c r="G3925" i="11"/>
  <c r="F3925" i="11"/>
  <c r="G3924" i="11"/>
  <c r="F3924" i="11"/>
  <c r="F3923" i="11"/>
  <c r="G3923" i="11" s="1"/>
  <c r="F3922" i="11"/>
  <c r="G3922" i="11" s="1"/>
  <c r="F3921" i="11"/>
  <c r="G3921" i="11" s="1"/>
  <c r="F3920" i="11"/>
  <c r="G3920" i="11" s="1"/>
  <c r="G3919" i="11"/>
  <c r="F3919" i="11"/>
  <c r="G3918" i="11"/>
  <c r="F3918" i="11"/>
  <c r="F3917" i="11"/>
  <c r="G3917" i="11" s="1"/>
  <c r="F3916" i="11"/>
  <c r="G3916" i="11" s="1"/>
  <c r="F3915" i="11"/>
  <c r="G3915" i="11" s="1"/>
  <c r="F3914" i="11"/>
  <c r="G3914" i="11" s="1"/>
  <c r="G3913" i="11"/>
  <c r="F3913" i="11"/>
  <c r="G3912" i="11"/>
  <c r="F3912" i="11"/>
  <c r="F3911" i="11"/>
  <c r="G3911" i="11" s="1"/>
  <c r="F3910" i="11"/>
  <c r="G3910" i="11" s="1"/>
  <c r="F3909" i="11"/>
  <c r="G3909" i="11" s="1"/>
  <c r="F3908" i="11"/>
  <c r="G3908" i="11" s="1"/>
  <c r="G3907" i="11"/>
  <c r="F3907" i="11"/>
  <c r="G3906" i="11"/>
  <c r="F3906" i="11"/>
  <c r="F3905" i="11"/>
  <c r="G3905" i="11" s="1"/>
  <c r="F3904" i="11"/>
  <c r="G3904" i="11" s="1"/>
  <c r="F3903" i="11"/>
  <c r="G3903" i="11" s="1"/>
  <c r="F3902" i="11"/>
  <c r="G3902" i="11" s="1"/>
  <c r="G3901" i="11"/>
  <c r="F3901" i="11"/>
  <c r="G3900" i="11"/>
  <c r="F3900" i="11"/>
  <c r="F3899" i="11"/>
  <c r="G3899" i="11" s="1"/>
  <c r="F3898" i="11"/>
  <c r="G3898" i="11" s="1"/>
  <c r="F3897" i="11"/>
  <c r="G3897" i="11" s="1"/>
  <c r="F3896" i="11"/>
  <c r="G3896" i="11" s="1"/>
  <c r="G3895" i="11"/>
  <c r="F3895" i="11"/>
  <c r="G3894" i="11"/>
  <c r="F3894" i="11"/>
  <c r="F3893" i="11"/>
  <c r="G3893" i="11" s="1"/>
  <c r="F3892" i="11"/>
  <c r="G3892" i="11" s="1"/>
  <c r="F3891" i="11"/>
  <c r="G3891" i="11" s="1"/>
  <c r="F3890" i="11"/>
  <c r="G3890" i="11" s="1"/>
  <c r="G3889" i="11"/>
  <c r="F3889" i="11"/>
  <c r="G3888" i="11"/>
  <c r="F3888" i="11"/>
  <c r="F3887" i="11"/>
  <c r="G3887" i="11" s="1"/>
  <c r="F3886" i="11"/>
  <c r="G3886" i="11" s="1"/>
  <c r="F3885" i="11"/>
  <c r="G3885" i="11" s="1"/>
  <c r="F3884" i="11"/>
  <c r="G3884" i="11" s="1"/>
  <c r="G3883" i="11"/>
  <c r="F3883" i="11"/>
  <c r="G3882" i="11"/>
  <c r="F3882" i="11"/>
  <c r="F3881" i="11"/>
  <c r="G3881" i="11" s="1"/>
  <c r="F3880" i="11"/>
  <c r="G3880" i="11" s="1"/>
  <c r="F3879" i="11"/>
  <c r="G3879" i="11" s="1"/>
  <c r="F3878" i="11"/>
  <c r="G3878" i="11" s="1"/>
  <c r="G3877" i="11"/>
  <c r="F3877" i="11"/>
  <c r="G3876" i="11"/>
  <c r="F3876" i="11"/>
  <c r="F3875" i="11"/>
  <c r="G3875" i="11" s="1"/>
  <c r="F3874" i="11"/>
  <c r="G3874" i="11" s="1"/>
  <c r="F3873" i="11"/>
  <c r="G3873" i="11" s="1"/>
  <c r="F3872" i="11"/>
  <c r="G3872" i="11" s="1"/>
  <c r="G3871" i="11"/>
  <c r="F3871" i="11"/>
  <c r="G3870" i="11"/>
  <c r="F3870" i="11"/>
  <c r="F3869" i="11"/>
  <c r="G3869" i="11" s="1"/>
  <c r="F3868" i="11"/>
  <c r="G3868" i="11" s="1"/>
  <c r="F3867" i="11"/>
  <c r="G3867" i="11" s="1"/>
  <c r="F3866" i="11"/>
  <c r="G3866" i="11" s="1"/>
  <c r="G3865" i="11"/>
  <c r="F3865" i="11"/>
  <c r="G3864" i="11"/>
  <c r="F3864" i="11"/>
  <c r="F3863" i="11"/>
  <c r="G3863" i="11" s="1"/>
  <c r="F3862" i="11"/>
  <c r="G3862" i="11" s="1"/>
  <c r="F3861" i="11"/>
  <c r="G3861" i="11" s="1"/>
  <c r="F3860" i="11"/>
  <c r="G3860" i="11" s="1"/>
  <c r="G3859" i="11"/>
  <c r="F3859" i="11"/>
  <c r="G3858" i="11"/>
  <c r="F3858" i="11"/>
  <c r="F3857" i="11"/>
  <c r="G3857" i="11" s="1"/>
  <c r="F3856" i="11"/>
  <c r="G3856" i="11" s="1"/>
  <c r="F3855" i="11"/>
  <c r="G3855" i="11" s="1"/>
  <c r="F3854" i="11"/>
  <c r="G3854" i="11" s="1"/>
  <c r="G3853" i="11"/>
  <c r="F3853" i="11"/>
  <c r="G3852" i="11"/>
  <c r="F3852" i="11"/>
  <c r="F3851" i="11"/>
  <c r="G3851" i="11" s="1"/>
  <c r="F3850" i="11"/>
  <c r="G3850" i="11" s="1"/>
  <c r="F3849" i="11"/>
  <c r="G3849" i="11" s="1"/>
  <c r="F3848" i="11"/>
  <c r="G3848" i="11" s="1"/>
  <c r="G3847" i="11"/>
  <c r="F3847" i="11"/>
  <c r="G3846" i="11"/>
  <c r="F3846" i="11"/>
  <c r="F3845" i="11"/>
  <c r="G3845" i="11" s="1"/>
  <c r="F3844" i="11"/>
  <c r="G3844" i="11" s="1"/>
  <c r="F3843" i="11"/>
  <c r="G3843" i="11" s="1"/>
  <c r="F3842" i="11"/>
  <c r="G3842" i="11" s="1"/>
  <c r="G3841" i="11"/>
  <c r="F3841" i="11"/>
  <c r="G3840" i="11"/>
  <c r="F3840" i="11"/>
  <c r="F3839" i="11"/>
  <c r="G3839" i="11" s="1"/>
  <c r="F3838" i="11"/>
  <c r="G3838" i="11" s="1"/>
  <c r="F3837" i="11"/>
  <c r="G3837" i="11" s="1"/>
  <c r="F3836" i="11"/>
  <c r="G3836" i="11" s="1"/>
  <c r="G3835" i="11"/>
  <c r="F3835" i="11"/>
  <c r="G3834" i="11"/>
  <c r="F3834" i="11"/>
  <c r="F3833" i="11"/>
  <c r="G3833" i="11" s="1"/>
  <c r="F3832" i="11"/>
  <c r="G3832" i="11" s="1"/>
  <c r="F3831" i="11"/>
  <c r="G3831" i="11" s="1"/>
  <c r="F3830" i="11"/>
  <c r="G3830" i="11" s="1"/>
  <c r="G3829" i="11"/>
  <c r="F3829" i="11"/>
  <c r="G3828" i="11"/>
  <c r="F3828" i="11"/>
  <c r="F3827" i="11"/>
  <c r="G3827" i="11" s="1"/>
  <c r="F3826" i="11"/>
  <c r="G3826" i="11" s="1"/>
  <c r="F3825" i="11"/>
  <c r="G3825" i="11" s="1"/>
  <c r="F3824" i="11"/>
  <c r="G3824" i="11" s="1"/>
  <c r="G3823" i="11"/>
  <c r="F3823" i="11"/>
  <c r="G3822" i="11"/>
  <c r="F3822" i="11"/>
  <c r="F3821" i="11"/>
  <c r="G3821" i="11" s="1"/>
  <c r="F3820" i="11"/>
  <c r="G3820" i="11" s="1"/>
  <c r="F3819" i="11"/>
  <c r="G3819" i="11" s="1"/>
  <c r="G3818" i="11"/>
  <c r="F3818" i="11"/>
  <c r="F3817" i="11"/>
  <c r="G3817" i="11" s="1"/>
  <c r="F3816" i="11"/>
  <c r="G3816" i="11" s="1"/>
  <c r="F3815" i="11"/>
  <c r="G3815" i="11" s="1"/>
  <c r="G3814" i="11"/>
  <c r="F3814" i="11"/>
  <c r="G3813" i="11"/>
  <c r="F3813" i="11"/>
  <c r="F3812" i="11"/>
  <c r="G3812" i="11" s="1"/>
  <c r="F3811" i="11"/>
  <c r="G3811" i="11" s="1"/>
  <c r="F3810" i="11"/>
  <c r="G3810" i="11" s="1"/>
  <c r="F3809" i="11"/>
  <c r="G3809" i="11" s="1"/>
  <c r="G3808" i="11"/>
  <c r="F3808" i="11"/>
  <c r="G3807" i="11"/>
  <c r="F3807" i="11"/>
  <c r="F3806" i="11"/>
  <c r="G3806" i="11" s="1"/>
  <c r="F3805" i="11"/>
  <c r="G3805" i="11" s="1"/>
  <c r="F3804" i="11"/>
  <c r="G3804" i="11" s="1"/>
  <c r="F3803" i="11"/>
  <c r="G3803" i="11" s="1"/>
  <c r="G3802" i="11"/>
  <c r="F3802" i="11"/>
  <c r="G3801" i="11"/>
  <c r="F3801" i="11"/>
  <c r="F3800" i="11"/>
  <c r="G3800" i="11" s="1"/>
  <c r="F3799" i="11"/>
  <c r="G3799" i="11" s="1"/>
  <c r="F3798" i="11"/>
  <c r="G3798" i="11" s="1"/>
  <c r="F3797" i="11"/>
  <c r="G3797" i="11" s="1"/>
  <c r="G3796" i="11"/>
  <c r="F3796" i="11"/>
  <c r="G3795" i="11"/>
  <c r="F3795" i="11"/>
  <c r="F3794" i="11"/>
  <c r="G3794" i="11" s="1"/>
  <c r="F3793" i="11"/>
  <c r="G3793" i="11" s="1"/>
  <c r="F3792" i="11"/>
  <c r="G3792" i="11" s="1"/>
  <c r="F3791" i="11"/>
  <c r="G3791" i="11" s="1"/>
  <c r="G3790" i="11"/>
  <c r="F3790" i="11"/>
  <c r="G3789" i="11"/>
  <c r="F3789" i="11"/>
  <c r="F3788" i="11"/>
  <c r="G3788" i="11" s="1"/>
  <c r="F3787" i="11"/>
  <c r="G3787" i="11" s="1"/>
  <c r="F3786" i="11"/>
  <c r="G3786" i="11" s="1"/>
  <c r="F3785" i="11"/>
  <c r="G3785" i="11" s="1"/>
  <c r="G3784" i="11"/>
  <c r="F3784" i="11"/>
  <c r="G3783" i="11"/>
  <c r="F3783" i="11"/>
  <c r="F3782" i="11"/>
  <c r="G3782" i="11" s="1"/>
  <c r="F3781" i="11"/>
  <c r="G3781" i="11" s="1"/>
  <c r="F3780" i="11"/>
  <c r="G3780" i="11" s="1"/>
  <c r="F3779" i="11"/>
  <c r="G3779" i="11" s="1"/>
  <c r="G3778" i="11"/>
  <c r="F3778" i="11"/>
  <c r="G3777" i="11"/>
  <c r="F3777" i="11"/>
  <c r="F3776" i="11"/>
  <c r="G3776" i="11" s="1"/>
  <c r="F3775" i="11"/>
  <c r="G3775" i="11" s="1"/>
  <c r="F3774" i="11"/>
  <c r="G3774" i="11" s="1"/>
  <c r="F3773" i="11"/>
  <c r="G3773" i="11" s="1"/>
  <c r="G3772" i="11"/>
  <c r="F3772" i="11"/>
  <c r="G3771" i="11"/>
  <c r="F3771" i="11"/>
  <c r="F3770" i="11"/>
  <c r="G3770" i="11" s="1"/>
  <c r="F3769" i="11"/>
  <c r="G3769" i="11" s="1"/>
  <c r="F3768" i="11"/>
  <c r="G3768" i="11" s="1"/>
  <c r="F3767" i="11"/>
  <c r="G3767" i="11" s="1"/>
  <c r="G3766" i="11"/>
  <c r="F3766" i="11"/>
  <c r="G3765" i="11"/>
  <c r="F3765" i="11"/>
  <c r="F3764" i="11"/>
  <c r="G3764" i="11" s="1"/>
  <c r="F3763" i="11"/>
  <c r="G3763" i="11" s="1"/>
  <c r="F3762" i="11"/>
  <c r="G3762" i="11" s="1"/>
  <c r="F3761" i="11"/>
  <c r="G3761" i="11" s="1"/>
  <c r="G3760" i="11"/>
  <c r="F3760" i="11"/>
  <c r="G3759" i="11"/>
  <c r="F3759" i="11"/>
  <c r="G3758" i="11"/>
  <c r="F3758" i="11"/>
  <c r="G3757" i="11"/>
  <c r="F3757" i="11"/>
  <c r="G3756" i="11"/>
  <c r="F3756" i="11"/>
  <c r="G3755" i="11"/>
  <c r="F3755" i="11"/>
  <c r="G3754" i="11"/>
  <c r="F3754" i="11"/>
  <c r="G3753" i="11"/>
  <c r="F3753" i="11"/>
  <c r="F3752" i="11"/>
  <c r="G3752" i="11" s="1"/>
  <c r="F3751" i="11"/>
  <c r="G3751" i="11" s="1"/>
  <c r="F3750" i="11"/>
  <c r="G3750" i="11" s="1"/>
  <c r="F3749" i="11"/>
  <c r="G3749" i="11" s="1"/>
  <c r="G3748" i="11"/>
  <c r="F3748" i="11"/>
  <c r="G3747" i="11"/>
  <c r="F3747" i="11"/>
  <c r="F3746" i="11"/>
  <c r="G3746" i="11" s="1"/>
  <c r="F3745" i="11"/>
  <c r="G3745" i="11" s="1"/>
  <c r="F3744" i="11"/>
  <c r="G3744" i="11" s="1"/>
  <c r="F3743" i="11"/>
  <c r="G3743" i="11" s="1"/>
  <c r="G3742" i="11"/>
  <c r="F3742" i="11"/>
  <c r="G3741" i="11"/>
  <c r="F3741" i="11"/>
  <c r="F3740" i="11"/>
  <c r="G3740" i="11" s="1"/>
  <c r="F3739" i="11"/>
  <c r="G3739" i="11" s="1"/>
  <c r="F3738" i="11"/>
  <c r="G3738" i="11" s="1"/>
  <c r="F3737" i="11"/>
  <c r="G3737" i="11" s="1"/>
  <c r="G3736" i="11"/>
  <c r="F3736" i="11"/>
  <c r="G3735" i="11"/>
  <c r="F3735" i="11"/>
  <c r="F3734" i="11"/>
  <c r="G3734" i="11" s="1"/>
  <c r="F3733" i="11"/>
  <c r="G3733" i="11" s="1"/>
  <c r="F3732" i="11"/>
  <c r="G3732" i="11" s="1"/>
  <c r="F3731" i="11"/>
  <c r="G3731" i="11" s="1"/>
  <c r="G3730" i="11"/>
  <c r="F3730" i="11"/>
  <c r="G3729" i="11"/>
  <c r="F3729" i="11"/>
  <c r="F3728" i="11"/>
  <c r="G3728" i="11" s="1"/>
  <c r="F3727" i="11"/>
  <c r="G3727" i="11" s="1"/>
  <c r="F3726" i="11"/>
  <c r="G3726" i="11" s="1"/>
  <c r="F3725" i="11"/>
  <c r="G3725" i="11" s="1"/>
  <c r="G3724" i="11"/>
  <c r="F3724" i="11"/>
  <c r="G3723" i="11"/>
  <c r="F3723" i="11"/>
  <c r="F3722" i="11"/>
  <c r="G3722" i="11" s="1"/>
  <c r="F3721" i="11"/>
  <c r="G3721" i="11" s="1"/>
  <c r="F3720" i="11"/>
  <c r="G3720" i="11" s="1"/>
  <c r="F3719" i="11"/>
  <c r="G3719" i="11" s="1"/>
  <c r="G3718" i="11"/>
  <c r="F3718" i="11"/>
  <c r="G3717" i="11"/>
  <c r="F3717" i="11"/>
  <c r="F3716" i="11"/>
  <c r="G3716" i="11" s="1"/>
  <c r="F3715" i="11"/>
  <c r="G3715" i="11" s="1"/>
  <c r="F3714" i="11"/>
  <c r="G3714" i="11" s="1"/>
  <c r="F3713" i="11"/>
  <c r="G3713" i="11" s="1"/>
  <c r="G3712" i="11"/>
  <c r="F3712" i="11"/>
  <c r="G3711" i="11"/>
  <c r="F3711" i="11"/>
  <c r="F3710" i="11"/>
  <c r="G3710" i="11" s="1"/>
  <c r="F3709" i="11"/>
  <c r="G3709" i="11" s="1"/>
  <c r="F3708" i="11"/>
  <c r="G3708" i="11" s="1"/>
  <c r="F3707" i="11"/>
  <c r="G3707" i="11" s="1"/>
  <c r="G3706" i="11"/>
  <c r="F3706" i="11"/>
  <c r="G3705" i="11"/>
  <c r="F3705" i="11"/>
  <c r="F3704" i="11"/>
  <c r="G3704" i="11" s="1"/>
  <c r="F3703" i="11"/>
  <c r="G3703" i="11" s="1"/>
  <c r="F3702" i="11"/>
  <c r="G3702" i="11" s="1"/>
  <c r="F3701" i="11"/>
  <c r="G3701" i="11" s="1"/>
  <c r="G3700" i="11"/>
  <c r="F3700" i="11"/>
  <c r="G3699" i="11"/>
  <c r="F3699" i="11"/>
  <c r="F3698" i="11"/>
  <c r="G3698" i="11" s="1"/>
  <c r="F3697" i="11"/>
  <c r="G3697" i="11" s="1"/>
  <c r="F3696" i="11"/>
  <c r="G3696" i="11" s="1"/>
  <c r="F3695" i="11"/>
  <c r="G3695" i="11" s="1"/>
  <c r="G3694" i="11"/>
  <c r="F3694" i="11"/>
  <c r="G3693" i="11"/>
  <c r="F3693" i="11"/>
  <c r="F3692" i="11"/>
  <c r="G3692" i="11" s="1"/>
  <c r="F3691" i="11"/>
  <c r="G3691" i="11" s="1"/>
  <c r="F3690" i="11"/>
  <c r="G3690" i="11" s="1"/>
  <c r="F3689" i="11"/>
  <c r="G3689" i="11" s="1"/>
  <c r="G3688" i="11"/>
  <c r="F3688" i="11"/>
  <c r="G3687" i="11"/>
  <c r="F3687" i="11"/>
  <c r="F3686" i="11"/>
  <c r="G3686" i="11" s="1"/>
  <c r="F3685" i="11"/>
  <c r="G3685" i="11" s="1"/>
  <c r="F3684" i="11"/>
  <c r="G3684" i="11" s="1"/>
  <c r="F3683" i="11"/>
  <c r="G3683" i="11" s="1"/>
  <c r="G3682" i="11"/>
  <c r="F3682" i="11"/>
  <c r="G3681" i="11"/>
  <c r="F3681" i="11"/>
  <c r="F3680" i="11"/>
  <c r="G3680" i="11" s="1"/>
  <c r="F3679" i="11"/>
  <c r="G3679" i="11" s="1"/>
  <c r="F3678" i="11"/>
  <c r="G3678" i="11" s="1"/>
  <c r="F3677" i="11"/>
  <c r="G3677" i="11" s="1"/>
  <c r="G3676" i="11"/>
  <c r="F3676" i="11"/>
  <c r="G3675" i="11"/>
  <c r="F3675" i="11"/>
  <c r="F3674" i="11"/>
  <c r="G3674" i="11" s="1"/>
  <c r="F3673" i="11"/>
  <c r="G3673" i="11" s="1"/>
  <c r="F3672" i="11"/>
  <c r="G3672" i="11" s="1"/>
  <c r="F3671" i="11"/>
  <c r="G3671" i="11" s="1"/>
  <c r="G3670" i="11"/>
  <c r="F3670" i="11"/>
  <c r="G3669" i="11"/>
  <c r="F3669" i="11"/>
  <c r="F3668" i="11"/>
  <c r="G3668" i="11" s="1"/>
  <c r="F3667" i="11"/>
  <c r="G3667" i="11" s="1"/>
  <c r="F3666" i="11"/>
  <c r="G3666" i="11" s="1"/>
  <c r="F3665" i="11"/>
  <c r="G3665" i="11" s="1"/>
  <c r="G3664" i="11"/>
  <c r="F3664" i="11"/>
  <c r="G3663" i="11"/>
  <c r="F3663" i="11"/>
  <c r="G3662" i="11"/>
  <c r="F3662" i="11"/>
  <c r="G3661" i="11"/>
  <c r="F3661" i="11"/>
  <c r="G3660" i="11"/>
  <c r="F3660" i="11"/>
  <c r="G3659" i="11"/>
  <c r="F3659" i="11"/>
  <c r="G3658" i="11"/>
  <c r="F3658" i="11"/>
  <c r="G3657" i="11"/>
  <c r="F3657" i="11"/>
  <c r="G3656" i="11"/>
  <c r="F3656" i="11"/>
  <c r="G3655" i="11"/>
  <c r="F3655" i="11"/>
  <c r="G3654" i="11"/>
  <c r="F3654" i="11"/>
  <c r="G3653" i="11"/>
  <c r="F3653" i="11"/>
  <c r="G3652" i="11"/>
  <c r="F3652" i="11"/>
  <c r="G3651" i="11"/>
  <c r="F3651" i="11"/>
  <c r="G3650" i="11"/>
  <c r="F3650" i="11"/>
  <c r="G3649" i="11"/>
  <c r="F3649" i="11"/>
  <c r="G3648" i="11"/>
  <c r="F3648" i="11"/>
  <c r="G3647" i="11"/>
  <c r="F3647" i="11"/>
  <c r="G3646" i="11"/>
  <c r="F3646" i="11"/>
  <c r="G3645" i="11"/>
  <c r="F3645" i="11"/>
  <c r="G3644" i="11"/>
  <c r="F3644" i="11"/>
  <c r="G3643" i="11"/>
  <c r="F3643" i="11"/>
  <c r="G3642" i="11"/>
  <c r="F3642" i="11"/>
  <c r="G3641" i="11"/>
  <c r="F3641" i="11"/>
  <c r="G3640" i="11"/>
  <c r="F3640" i="11"/>
  <c r="G3639" i="11"/>
  <c r="F3639" i="11"/>
  <c r="G3638" i="11"/>
  <c r="F3638" i="11"/>
  <c r="G3637" i="11"/>
  <c r="F3637" i="11"/>
  <c r="G3636" i="11"/>
  <c r="F3636" i="11"/>
  <c r="G3635" i="11"/>
  <c r="F3635" i="11"/>
  <c r="G3634" i="11"/>
  <c r="F3634" i="11"/>
  <c r="G3633" i="11"/>
  <c r="F3633" i="11"/>
  <c r="G3632" i="11"/>
  <c r="F3632" i="11"/>
  <c r="G3631" i="11"/>
  <c r="F3631" i="11"/>
  <c r="G3630" i="11"/>
  <c r="F3630" i="11"/>
  <c r="G3629" i="11"/>
  <c r="F3629" i="11"/>
  <c r="G3628" i="11"/>
  <c r="F3628" i="11"/>
  <c r="G3627" i="11"/>
  <c r="F3627" i="11"/>
  <c r="G3626" i="11"/>
  <c r="F3626" i="11"/>
  <c r="G3625" i="11"/>
  <c r="F3625" i="11"/>
  <c r="G3624" i="11"/>
  <c r="F3624" i="11"/>
  <c r="G3623" i="11"/>
  <c r="F3623" i="11"/>
  <c r="G3622" i="11"/>
  <c r="F3622" i="11"/>
  <c r="G3621" i="11"/>
  <c r="F3621" i="11"/>
  <c r="G3620" i="11"/>
  <c r="F3620" i="11"/>
  <c r="G3619" i="11"/>
  <c r="F3619" i="11"/>
  <c r="G3618" i="11"/>
  <c r="F3618" i="11"/>
  <c r="G3617" i="11"/>
  <c r="F3617" i="11"/>
  <c r="G3616" i="11"/>
  <c r="F3616" i="11"/>
  <c r="G3615" i="11"/>
  <c r="F3615" i="11"/>
  <c r="G3614" i="11"/>
  <c r="F3614" i="11"/>
  <c r="G3613" i="11"/>
  <c r="F3613" i="11"/>
  <c r="G3612" i="11"/>
  <c r="F3612" i="11"/>
  <c r="G3611" i="11"/>
  <c r="F3611" i="11"/>
  <c r="G3610" i="11"/>
  <c r="F3610" i="11"/>
  <c r="G3609" i="11"/>
  <c r="F3609" i="11"/>
  <c r="G3608" i="11"/>
  <c r="F3608" i="11"/>
  <c r="G3607" i="11"/>
  <c r="F3607" i="11"/>
  <c r="G3606" i="11"/>
  <c r="F3606" i="11"/>
  <c r="G3605" i="11"/>
  <c r="F3605" i="11"/>
  <c r="G3604" i="11"/>
  <c r="F3604" i="11"/>
  <c r="G3603" i="11"/>
  <c r="F3603" i="11"/>
  <c r="G3602" i="11"/>
  <c r="F3602" i="11"/>
  <c r="G3601" i="11"/>
  <c r="F3601" i="11"/>
  <c r="G3600" i="11"/>
  <c r="F3600" i="11"/>
  <c r="G3599" i="11"/>
  <c r="F3599" i="11"/>
  <c r="G3598" i="11"/>
  <c r="F3598" i="11"/>
  <c r="G3597" i="11"/>
  <c r="F3597" i="11"/>
  <c r="G3596" i="11"/>
  <c r="F3596" i="11"/>
  <c r="G3595" i="11"/>
  <c r="F3595" i="11"/>
  <c r="G3594" i="11"/>
  <c r="F3594" i="11"/>
  <c r="G3593" i="11"/>
  <c r="F3593" i="11"/>
  <c r="G3592" i="11"/>
  <c r="F3592" i="11"/>
  <c r="G3591" i="11"/>
  <c r="F3591" i="11"/>
  <c r="G3590" i="11"/>
  <c r="F3590" i="11"/>
  <c r="G3589" i="11"/>
  <c r="F3589" i="11"/>
  <c r="G3588" i="11"/>
  <c r="F3588" i="11"/>
  <c r="G3587" i="11"/>
  <c r="F3587" i="11"/>
  <c r="G3586" i="11"/>
  <c r="F3586" i="11"/>
  <c r="G3585" i="11"/>
  <c r="F3585" i="11"/>
  <c r="G3584" i="11"/>
  <c r="F3584" i="11"/>
  <c r="G3583" i="11"/>
  <c r="F3583" i="11"/>
  <c r="G3582" i="11"/>
  <c r="F3582" i="11"/>
  <c r="G3581" i="11"/>
  <c r="F3581" i="11"/>
  <c r="G3580" i="11"/>
  <c r="F3580" i="11"/>
  <c r="G3579" i="11"/>
  <c r="F3579" i="11"/>
  <c r="G3578" i="11"/>
  <c r="F3578" i="11"/>
  <c r="G3577" i="11"/>
  <c r="F3577" i="11"/>
  <c r="G3576" i="11"/>
  <c r="F3576" i="11"/>
  <c r="G3575" i="11"/>
  <c r="F3575" i="11"/>
  <c r="G3574" i="11"/>
  <c r="F3574" i="11"/>
  <c r="G3573" i="11"/>
  <c r="F3573" i="11"/>
  <c r="G3572" i="11"/>
  <c r="F3572" i="11"/>
  <c r="G3571" i="11"/>
  <c r="F3571" i="11"/>
  <c r="G3570" i="11"/>
  <c r="F3570" i="11"/>
  <c r="G3569" i="11"/>
  <c r="F3569" i="11"/>
  <c r="G3568" i="11"/>
  <c r="F3568" i="11"/>
  <c r="G3567" i="11"/>
  <c r="F3567" i="11"/>
  <c r="G3566" i="11"/>
  <c r="F3566" i="11"/>
  <c r="G3565" i="11"/>
  <c r="F3565" i="11"/>
  <c r="G3564" i="11"/>
  <c r="F3564" i="11"/>
  <c r="G3563" i="11"/>
  <c r="F3563" i="11"/>
  <c r="G3562" i="11"/>
  <c r="F3562" i="11"/>
  <c r="G3561" i="11"/>
  <c r="F3561" i="11"/>
  <c r="G3560" i="11"/>
  <c r="F3560" i="11"/>
  <c r="G3559" i="11"/>
  <c r="F3559" i="11"/>
  <c r="G3558" i="11"/>
  <c r="F3558" i="11"/>
  <c r="G3557" i="11"/>
  <c r="F3557" i="11"/>
  <c r="G3556" i="11"/>
  <c r="F3556" i="11"/>
  <c r="G3555" i="11"/>
  <c r="F3555" i="11"/>
  <c r="G3554" i="11"/>
  <c r="F3554" i="11"/>
  <c r="G3553" i="11"/>
  <c r="F3553" i="11"/>
  <c r="G3552" i="11"/>
  <c r="F3552" i="11"/>
  <c r="G3551" i="11"/>
  <c r="F3551" i="11"/>
  <c r="G3550" i="11"/>
  <c r="F3550" i="11"/>
  <c r="G3549" i="11"/>
  <c r="F3549" i="11"/>
  <c r="G3548" i="11"/>
  <c r="F3548" i="11"/>
  <c r="G3547" i="11"/>
  <c r="F3547" i="11"/>
  <c r="G3546" i="11"/>
  <c r="F3546" i="11"/>
  <c r="G3545" i="11"/>
  <c r="F3545" i="11"/>
  <c r="G3544" i="11"/>
  <c r="F3544" i="11"/>
  <c r="G3543" i="11"/>
  <c r="F3543" i="11"/>
  <c r="G3542" i="11"/>
  <c r="F3542" i="11"/>
  <c r="G3541" i="11"/>
  <c r="F3541" i="11"/>
  <c r="G3540" i="11"/>
  <c r="F3540" i="11"/>
  <c r="G3539" i="11"/>
  <c r="F3539" i="11"/>
  <c r="G3538" i="11"/>
  <c r="F3538" i="11"/>
  <c r="G3537" i="11"/>
  <c r="F3537" i="11"/>
  <c r="G3536" i="11"/>
  <c r="F3536" i="11"/>
  <c r="G3535" i="11"/>
  <c r="F3535" i="11"/>
  <c r="G3534" i="11"/>
  <c r="F3534" i="11"/>
  <c r="G3533" i="11"/>
  <c r="F3533" i="11"/>
  <c r="G3532" i="11"/>
  <c r="F3532" i="11"/>
  <c r="G3531" i="11"/>
  <c r="F3531" i="11"/>
  <c r="G3530" i="11"/>
  <c r="F3530" i="11"/>
  <c r="G3529" i="11"/>
  <c r="F3529" i="11"/>
  <c r="G3528" i="11"/>
  <c r="F3528" i="11"/>
  <c r="G3527" i="11"/>
  <c r="F3527" i="11"/>
  <c r="G3526" i="11"/>
  <c r="F3526" i="11"/>
  <c r="G3525" i="11"/>
  <c r="F3525" i="11"/>
  <c r="G3524" i="11"/>
  <c r="F3524" i="11"/>
  <c r="G3523" i="11"/>
  <c r="F3523" i="11"/>
  <c r="G3522" i="11"/>
  <c r="F3522" i="11"/>
  <c r="G3521" i="11"/>
  <c r="F3521" i="11"/>
  <c r="G3520" i="11"/>
  <c r="F3520" i="11"/>
  <c r="G3519" i="11"/>
  <c r="F3519" i="11"/>
  <c r="G3518" i="11"/>
  <c r="F3518" i="11"/>
  <c r="G3517" i="11"/>
  <c r="F3517" i="11"/>
  <c r="G3516" i="11"/>
  <c r="F3516" i="11"/>
  <c r="G3515" i="11"/>
  <c r="F3515" i="11"/>
  <c r="G3514" i="11"/>
  <c r="F3514" i="11"/>
  <c r="G3513" i="11"/>
  <c r="F3513" i="11"/>
  <c r="G3512" i="11"/>
  <c r="F3512" i="11"/>
  <c r="G3511" i="11"/>
  <c r="F3511" i="11"/>
  <c r="G3510" i="11"/>
  <c r="F3510" i="11"/>
  <c r="G3509" i="11"/>
  <c r="F3509" i="11"/>
  <c r="G3508" i="11"/>
  <c r="F3508" i="11"/>
  <c r="G3507" i="11"/>
  <c r="F3507" i="11"/>
  <c r="G3506" i="11"/>
  <c r="F3506" i="11"/>
  <c r="G3505" i="11"/>
  <c r="F3505" i="11"/>
  <c r="G3504" i="11"/>
  <c r="F3504" i="11"/>
  <c r="G3503" i="11"/>
  <c r="F3503" i="11"/>
  <c r="G3502" i="11"/>
  <c r="F3502" i="11"/>
  <c r="G3501" i="11"/>
  <c r="F3501" i="11"/>
  <c r="G3500" i="11"/>
  <c r="F3500" i="11"/>
  <c r="G3499" i="11"/>
  <c r="F3499" i="11"/>
  <c r="G3498" i="11"/>
  <c r="F3498" i="11"/>
  <c r="G3497" i="11"/>
  <c r="F3497" i="11"/>
  <c r="G3496" i="11"/>
  <c r="F3496" i="11"/>
  <c r="G3495" i="11"/>
  <c r="F3495" i="11"/>
  <c r="G3494" i="11"/>
  <c r="F3494" i="11"/>
  <c r="G3493" i="11"/>
  <c r="F3493" i="11"/>
  <c r="G3492" i="11"/>
  <c r="F3492" i="11"/>
  <c r="G3491" i="11"/>
  <c r="F3491" i="11"/>
  <c r="G3490" i="11"/>
  <c r="F3490" i="11"/>
  <c r="G3489" i="11"/>
  <c r="F3489" i="11"/>
  <c r="G3488" i="11"/>
  <c r="F3488" i="11"/>
  <c r="G3487" i="11"/>
  <c r="F3487" i="11"/>
  <c r="G3486" i="11"/>
  <c r="F3486" i="11"/>
  <c r="G3485" i="11"/>
  <c r="F3485" i="11"/>
  <c r="G3484" i="11"/>
  <c r="F3484" i="11"/>
  <c r="G3483" i="11"/>
  <c r="F3483" i="11"/>
  <c r="G3482" i="11"/>
  <c r="F3482" i="11"/>
  <c r="G3481" i="11"/>
  <c r="F3481" i="11"/>
  <c r="G3480" i="11"/>
  <c r="F3480" i="11"/>
  <c r="G3479" i="11"/>
  <c r="F3479" i="11"/>
  <c r="G3478" i="11"/>
  <c r="F3478" i="11"/>
  <c r="G3477" i="11"/>
  <c r="F3477" i="11"/>
  <c r="G3476" i="11"/>
  <c r="F3476" i="11"/>
  <c r="G3475" i="11"/>
  <c r="F3475" i="11"/>
  <c r="G3474" i="11"/>
  <c r="F3474" i="11"/>
  <c r="G3473" i="11"/>
  <c r="F3473" i="11"/>
  <c r="G3472" i="11"/>
  <c r="F3472" i="11"/>
  <c r="G3471" i="11"/>
  <c r="F3471" i="11"/>
  <c r="G3470" i="11"/>
  <c r="F3470" i="11"/>
  <c r="G3469" i="11"/>
  <c r="F3469" i="11"/>
  <c r="G3468" i="11"/>
  <c r="F3468" i="11"/>
  <c r="G3467" i="11"/>
  <c r="F3467" i="11"/>
  <c r="G3466" i="11"/>
  <c r="F3466" i="11"/>
  <c r="G3465" i="11"/>
  <c r="F3465" i="11"/>
  <c r="G3464" i="11"/>
  <c r="F3464" i="11"/>
  <c r="G3463" i="11"/>
  <c r="F3463" i="11"/>
  <c r="G3462" i="11"/>
  <c r="F3462" i="11"/>
  <c r="G3461" i="11"/>
  <c r="F3461" i="11"/>
  <c r="G3460" i="11"/>
  <c r="F3460" i="11"/>
  <c r="G3459" i="11"/>
  <c r="F3459" i="11"/>
  <c r="G3458" i="11"/>
  <c r="F3458" i="11"/>
  <c r="G3457" i="11"/>
  <c r="F3457" i="11"/>
  <c r="G3456" i="11"/>
  <c r="F3456" i="11"/>
  <c r="G3455" i="11"/>
  <c r="F3455" i="11"/>
  <c r="G3454" i="11"/>
  <c r="F3454" i="11"/>
  <c r="G3453" i="11"/>
  <c r="F3453" i="11"/>
  <c r="G3452" i="11"/>
  <c r="F3452" i="11"/>
  <c r="G3451" i="11"/>
  <c r="F3451" i="11"/>
  <c r="G3450" i="11"/>
  <c r="F3450" i="11"/>
  <c r="G3449" i="11"/>
  <c r="F3449" i="11"/>
  <c r="G3448" i="11"/>
  <c r="F3448" i="11"/>
  <c r="G3447" i="11"/>
  <c r="F3447" i="11"/>
  <c r="G3446" i="11"/>
  <c r="F3446" i="11"/>
  <c r="G3445" i="11"/>
  <c r="F3445" i="11"/>
  <c r="G3444" i="11"/>
  <c r="F3444" i="11"/>
  <c r="G3443" i="11"/>
  <c r="F3443" i="11"/>
  <c r="G3442" i="11"/>
  <c r="F3442" i="11"/>
  <c r="G3441" i="11"/>
  <c r="F3441" i="11"/>
  <c r="G3440" i="11"/>
  <c r="F3440" i="11"/>
  <c r="G3439" i="11"/>
  <c r="F3439" i="11"/>
  <c r="G3438" i="11"/>
  <c r="F3438" i="11"/>
  <c r="G3437" i="11"/>
  <c r="F3437" i="11"/>
  <c r="G3436" i="11"/>
  <c r="F3436" i="11"/>
  <c r="G3435" i="11"/>
  <c r="F3435" i="11"/>
  <c r="G3434" i="11"/>
  <c r="F3434" i="11"/>
  <c r="G3433" i="11"/>
  <c r="F3433" i="11"/>
  <c r="G3432" i="11"/>
  <c r="F3432" i="11"/>
  <c r="G3431" i="11"/>
  <c r="F3431" i="11"/>
  <c r="G3430" i="11"/>
  <c r="F3430" i="11"/>
  <c r="G3429" i="11"/>
  <c r="F3429" i="11"/>
  <c r="G3428" i="11"/>
  <c r="F3428" i="11"/>
  <c r="G3427" i="11"/>
  <c r="F3427" i="11"/>
  <c r="G3426" i="11"/>
  <c r="F3426" i="11"/>
  <c r="G3425" i="11"/>
  <c r="F3425" i="11"/>
  <c r="G3424" i="11"/>
  <c r="F3424" i="11"/>
  <c r="G3423" i="11"/>
  <c r="F3423" i="11"/>
  <c r="G3422" i="11"/>
  <c r="F3422" i="11"/>
  <c r="G3421" i="11"/>
  <c r="F3421" i="11"/>
  <c r="G3420" i="11"/>
  <c r="F3420" i="11"/>
  <c r="G3419" i="11"/>
  <c r="F3419" i="11"/>
  <c r="G3418" i="11"/>
  <c r="F3418" i="11"/>
  <c r="G3417" i="11"/>
  <c r="F3417" i="11"/>
  <c r="G3416" i="11"/>
  <c r="F3416" i="11"/>
  <c r="G3415" i="11"/>
  <c r="F3415" i="11"/>
  <c r="G3414" i="11"/>
  <c r="F3414" i="11"/>
  <c r="G3413" i="11"/>
  <c r="F3413" i="11"/>
  <c r="G3412" i="11"/>
  <c r="F3412" i="11"/>
  <c r="G3411" i="11"/>
  <c r="F3411" i="11"/>
  <c r="G3410" i="11"/>
  <c r="F3410" i="11"/>
  <c r="G3409" i="11"/>
  <c r="F3409" i="11"/>
  <c r="G3408" i="11"/>
  <c r="F3408" i="11"/>
  <c r="G3407" i="11"/>
  <c r="F3407" i="11"/>
  <c r="G3406" i="11"/>
  <c r="F3406" i="11"/>
  <c r="G3405" i="11"/>
  <c r="F3405" i="11"/>
  <c r="G3404" i="11"/>
  <c r="F3404" i="11"/>
  <c r="G3403" i="11"/>
  <c r="F3403" i="11"/>
  <c r="G3402" i="11"/>
  <c r="F3402" i="11"/>
  <c r="G3401" i="11"/>
  <c r="F3401" i="11"/>
  <c r="G3400" i="11"/>
  <c r="F3400" i="11"/>
  <c r="G3399" i="11"/>
  <c r="F3399" i="11"/>
  <c r="G3398" i="11"/>
  <c r="F3398" i="11"/>
  <c r="G3397" i="11"/>
  <c r="F3397" i="11"/>
  <c r="G3396" i="11"/>
  <c r="F3396" i="11"/>
  <c r="G3395" i="11"/>
  <c r="F3395" i="11"/>
  <c r="G3394" i="11"/>
  <c r="F3394" i="11"/>
  <c r="G3393" i="11"/>
  <c r="F3393" i="11"/>
  <c r="G3392" i="11"/>
  <c r="F3392" i="11"/>
  <c r="G3391" i="11"/>
  <c r="F3391" i="11"/>
  <c r="G3390" i="11"/>
  <c r="F3390" i="11"/>
  <c r="G3389" i="11"/>
  <c r="F3389" i="11"/>
  <c r="G3388" i="11"/>
  <c r="F3388" i="11"/>
  <c r="G3387" i="11"/>
  <c r="F3387" i="11"/>
  <c r="G3386" i="11"/>
  <c r="F3386" i="11"/>
  <c r="G3385" i="11"/>
  <c r="F3385" i="11"/>
  <c r="G3384" i="11"/>
  <c r="F3384" i="11"/>
  <c r="G3383" i="11"/>
  <c r="F3383" i="11"/>
  <c r="G3382" i="11"/>
  <c r="F3382" i="11"/>
  <c r="G3381" i="11"/>
  <c r="F3381" i="11"/>
  <c r="G3380" i="11"/>
  <c r="F3380" i="11"/>
  <c r="G3379" i="11"/>
  <c r="F3379" i="11"/>
  <c r="G3378" i="11"/>
  <c r="F3378" i="11"/>
  <c r="G3377" i="11"/>
  <c r="F3377" i="11"/>
  <c r="G3376" i="11"/>
  <c r="F3376" i="11"/>
  <c r="G3375" i="11"/>
  <c r="F3375" i="11"/>
  <c r="G3374" i="11"/>
  <c r="F3374" i="11"/>
  <c r="G3373" i="11"/>
  <c r="F3373" i="11"/>
  <c r="G3372" i="11"/>
  <c r="F3372" i="11"/>
  <c r="G3371" i="11"/>
  <c r="F3371" i="11"/>
  <c r="G3370" i="11"/>
  <c r="F3370" i="11"/>
  <c r="G3369" i="11"/>
  <c r="F3369" i="11"/>
  <c r="G3368" i="11"/>
  <c r="F3368" i="11"/>
  <c r="G3367" i="11"/>
  <c r="F3367" i="11"/>
  <c r="G3366" i="11"/>
  <c r="F3366" i="11"/>
  <c r="G3365" i="11"/>
  <c r="F3365" i="11"/>
  <c r="G3364" i="11"/>
  <c r="F3364" i="11"/>
  <c r="G3363" i="11"/>
  <c r="F3363" i="11"/>
  <c r="G3362" i="11"/>
  <c r="F3362" i="11"/>
  <c r="G3361" i="11"/>
  <c r="F3361" i="11"/>
  <c r="G3360" i="11"/>
  <c r="F3360" i="11"/>
  <c r="G3359" i="11"/>
  <c r="F3359" i="11"/>
  <c r="G3358" i="11"/>
  <c r="F3358" i="11"/>
  <c r="G3357" i="11"/>
  <c r="F3357" i="11"/>
  <c r="G3356" i="11"/>
  <c r="F3356" i="11"/>
  <c r="G3355" i="11"/>
  <c r="F3355" i="11"/>
  <c r="G3354" i="11"/>
  <c r="F3354" i="11"/>
  <c r="G3353" i="11"/>
  <c r="F3353" i="11"/>
  <c r="G3352" i="11"/>
  <c r="F3352" i="11"/>
  <c r="G3351" i="11"/>
  <c r="F3351" i="11"/>
  <c r="G3350" i="11"/>
  <c r="F3350" i="11"/>
  <c r="G3349" i="11"/>
  <c r="F3349" i="11"/>
  <c r="G3348" i="11"/>
  <c r="F3348" i="11"/>
  <c r="G3347" i="11"/>
  <c r="F3347" i="11"/>
  <c r="G3346" i="11"/>
  <c r="F3346" i="11"/>
  <c r="G3345" i="11"/>
  <c r="F3345" i="11"/>
  <c r="G3344" i="11"/>
  <c r="F3344" i="11"/>
  <c r="G3343" i="11"/>
  <c r="F3343" i="11"/>
  <c r="G3342" i="11"/>
  <c r="F3342" i="11"/>
  <c r="G3341" i="11"/>
  <c r="F3341" i="11"/>
  <c r="G3340" i="11"/>
  <c r="F3340" i="11"/>
  <c r="G3339" i="11"/>
  <c r="F3339" i="11"/>
  <c r="G3338" i="11"/>
  <c r="F3338" i="11"/>
  <c r="G3337" i="11"/>
  <c r="F3337" i="11"/>
  <c r="G3336" i="11"/>
  <c r="F3336" i="11"/>
  <c r="G3335" i="11"/>
  <c r="F3335" i="11"/>
  <c r="G3334" i="11"/>
  <c r="F3334" i="11"/>
  <c r="G3333" i="11"/>
  <c r="F3333" i="11"/>
  <c r="G3332" i="11"/>
  <c r="F3332" i="11"/>
  <c r="G3331" i="11"/>
  <c r="F3331" i="11"/>
  <c r="G3330" i="11"/>
  <c r="F3330" i="11"/>
  <c r="G3329" i="11"/>
  <c r="F3329" i="11"/>
  <c r="G3328" i="11"/>
  <c r="F3328" i="11"/>
  <c r="G3327" i="11"/>
  <c r="F3327" i="11"/>
  <c r="G3326" i="11"/>
  <c r="F3326" i="11"/>
  <c r="G3325" i="11"/>
  <c r="F3325" i="11"/>
  <c r="G3324" i="11"/>
  <c r="F3324" i="11"/>
  <c r="G3323" i="11"/>
  <c r="F3323" i="11"/>
  <c r="G3322" i="11"/>
  <c r="F3322" i="11"/>
  <c r="G3321" i="11"/>
  <c r="F3321" i="11"/>
  <c r="G3320" i="11"/>
  <c r="F3320" i="11"/>
  <c r="G3319" i="11"/>
  <c r="F3319" i="11"/>
  <c r="G3318" i="11"/>
  <c r="F3318" i="11"/>
  <c r="G3317" i="11"/>
  <c r="F3317" i="11"/>
  <c r="G3316" i="11"/>
  <c r="F3316" i="11"/>
  <c r="G3315" i="11"/>
  <c r="F3315" i="11"/>
  <c r="G3314" i="11"/>
  <c r="F3314" i="11"/>
  <c r="G3313" i="11"/>
  <c r="F3313" i="11"/>
  <c r="G3312" i="11"/>
  <c r="F3312" i="11"/>
  <c r="G3311" i="11"/>
  <c r="F3311" i="11"/>
  <c r="G3310" i="11"/>
  <c r="F3310" i="11"/>
  <c r="G3309" i="11"/>
  <c r="F3309" i="11"/>
  <c r="G3308" i="11"/>
  <c r="F3308" i="11"/>
  <c r="G3307" i="11"/>
  <c r="F3307" i="11"/>
  <c r="G3306" i="11"/>
  <c r="F3306" i="11"/>
  <c r="G3305" i="11"/>
  <c r="F3305" i="11"/>
  <c r="G3304" i="11"/>
  <c r="F3304" i="11"/>
  <c r="G3303" i="11"/>
  <c r="F3303" i="11"/>
  <c r="G3302" i="11"/>
  <c r="F3302" i="11"/>
  <c r="G3301" i="11"/>
  <c r="F3301" i="11"/>
  <c r="G3300" i="11"/>
  <c r="F3300" i="11"/>
  <c r="G3299" i="11"/>
  <c r="F3299" i="11"/>
  <c r="G3298" i="11"/>
  <c r="F3298" i="11"/>
  <c r="G3297" i="11"/>
  <c r="F3297" i="11"/>
  <c r="G3296" i="11"/>
  <c r="F3296" i="11"/>
  <c r="G3295" i="11"/>
  <c r="F3295" i="11"/>
  <c r="G3294" i="11"/>
  <c r="F3294" i="11"/>
  <c r="G3293" i="11"/>
  <c r="F3293" i="11"/>
  <c r="G3292" i="11"/>
  <c r="F3292" i="11"/>
  <c r="G3291" i="11"/>
  <c r="F3291" i="11"/>
  <c r="G3290" i="11"/>
  <c r="F3290" i="11"/>
  <c r="G3289" i="11"/>
  <c r="F3289" i="11"/>
  <c r="G3288" i="11"/>
  <c r="F3288" i="11"/>
  <c r="G3287" i="11"/>
  <c r="F3287" i="11"/>
  <c r="G3286" i="11"/>
  <c r="F3286" i="11"/>
  <c r="G3285" i="11"/>
  <c r="F3285" i="11"/>
  <c r="G3284" i="11"/>
  <c r="F3284" i="11"/>
  <c r="G3283" i="11"/>
  <c r="F3283" i="11"/>
  <c r="G3282" i="11"/>
  <c r="F3282" i="11"/>
  <c r="G3281" i="11"/>
  <c r="F3281" i="11"/>
  <c r="G3280" i="11"/>
  <c r="F3280" i="11"/>
  <c r="G3279" i="11"/>
  <c r="F3279" i="11"/>
  <c r="G3278" i="11"/>
  <c r="F3278" i="11"/>
  <c r="G3277" i="11"/>
  <c r="F3277" i="11"/>
  <c r="G3276" i="11"/>
  <c r="F3276" i="11"/>
  <c r="G3275" i="11"/>
  <c r="F3275" i="11"/>
  <c r="G3274" i="11"/>
  <c r="F3274" i="11"/>
  <c r="G3273" i="11"/>
  <c r="F3273" i="11"/>
  <c r="G3272" i="11"/>
  <c r="F3272" i="11"/>
  <c r="G3271" i="11"/>
  <c r="F3271" i="11"/>
  <c r="G3270" i="11"/>
  <c r="F3270" i="11"/>
  <c r="G3269" i="11"/>
  <c r="F3269" i="11"/>
  <c r="G3268" i="11"/>
  <c r="F3268" i="11"/>
  <c r="G3267" i="11"/>
  <c r="F3267" i="11"/>
  <c r="G3266" i="11"/>
  <c r="F3266" i="11"/>
  <c r="G3265" i="11"/>
  <c r="F3265" i="11"/>
  <c r="G3264" i="11"/>
  <c r="F3264" i="11"/>
  <c r="G3263" i="11"/>
  <c r="F3263" i="11"/>
  <c r="G3262" i="11"/>
  <c r="F3262" i="11"/>
  <c r="G3261" i="11"/>
  <c r="F3261" i="11"/>
  <c r="G3260" i="11"/>
  <c r="F3260" i="11"/>
  <c r="G3259" i="11"/>
  <c r="F3259" i="11"/>
  <c r="G3258" i="11"/>
  <c r="F3258" i="11"/>
  <c r="G3257" i="11"/>
  <c r="F3257" i="11"/>
  <c r="G3256" i="11"/>
  <c r="F3256" i="11"/>
  <c r="G3255" i="11"/>
  <c r="F3255" i="11"/>
  <c r="G3254" i="11"/>
  <c r="F3254" i="11"/>
  <c r="G3253" i="11"/>
  <c r="F3253" i="11"/>
  <c r="G3252" i="11"/>
  <c r="F3252" i="11"/>
  <c r="G3251" i="11"/>
  <c r="F3251" i="11"/>
  <c r="G3250" i="11"/>
  <c r="F3250" i="11"/>
  <c r="G3249" i="11"/>
  <c r="F3249" i="11"/>
  <c r="G3248" i="11"/>
  <c r="F3248" i="11"/>
  <c r="G3247" i="11"/>
  <c r="F3247" i="11"/>
  <c r="G3246" i="11"/>
  <c r="F3246" i="11"/>
  <c r="G3245" i="11"/>
  <c r="F3245" i="11"/>
  <c r="G3244" i="11"/>
  <c r="F3244" i="11"/>
  <c r="G3243" i="11"/>
  <c r="F3243" i="11"/>
  <c r="G3242" i="11"/>
  <c r="F3242" i="11"/>
  <c r="G3241" i="11"/>
  <c r="F3241" i="11"/>
  <c r="G3240" i="11"/>
  <c r="F3240" i="11"/>
  <c r="G3239" i="11"/>
  <c r="F3239" i="11"/>
  <c r="G3238" i="11"/>
  <c r="F3238" i="11"/>
  <c r="G3237" i="11"/>
  <c r="F3237" i="11"/>
  <c r="G3236" i="11"/>
  <c r="F3236" i="11"/>
  <c r="G3235" i="11"/>
  <c r="F3235" i="11"/>
  <c r="G3234" i="11"/>
  <c r="F3234" i="11"/>
  <c r="G3233" i="11"/>
  <c r="F3233" i="11"/>
  <c r="G3232" i="11"/>
  <c r="F3232" i="11"/>
  <c r="G3231" i="11"/>
  <c r="F3231" i="11"/>
  <c r="G3230" i="11"/>
  <c r="F3230" i="11"/>
  <c r="G3229" i="11"/>
  <c r="F3229" i="11"/>
  <c r="G3228" i="11"/>
  <c r="F3228" i="11"/>
  <c r="G3227" i="11"/>
  <c r="F3227" i="11"/>
  <c r="G3226" i="11"/>
  <c r="F3226" i="11"/>
  <c r="G3225" i="11"/>
  <c r="F3225" i="11"/>
  <c r="G3224" i="11"/>
  <c r="F3224" i="11"/>
  <c r="G3223" i="11"/>
  <c r="F3223" i="11"/>
  <c r="G3222" i="11"/>
  <c r="F3222" i="11"/>
  <c r="G3221" i="11"/>
  <c r="F3221" i="11"/>
  <c r="G3220" i="11"/>
  <c r="F3220" i="11"/>
  <c r="G3219" i="11"/>
  <c r="F3219" i="11"/>
  <c r="G3218" i="11"/>
  <c r="F3218" i="11"/>
  <c r="G3217" i="11"/>
  <c r="F3217" i="11"/>
  <c r="G3216" i="11"/>
  <c r="F3216" i="11"/>
  <c r="G3215" i="11"/>
  <c r="F3215" i="11"/>
  <c r="G3214" i="11"/>
  <c r="F3214" i="11"/>
  <c r="G3213" i="11"/>
  <c r="F3213" i="11"/>
  <c r="G3212" i="11"/>
  <c r="F3212" i="11"/>
  <c r="G3211" i="11"/>
  <c r="F3211" i="11"/>
  <c r="G3210" i="11"/>
  <c r="F3210" i="11"/>
  <c r="G3209" i="11"/>
  <c r="F3209" i="11"/>
  <c r="G3208" i="11"/>
  <c r="F3208" i="11"/>
  <c r="G3207" i="11"/>
  <c r="F3207" i="11"/>
  <c r="G3206" i="11"/>
  <c r="F3206" i="11"/>
  <c r="G3205" i="11"/>
  <c r="F3205" i="11"/>
  <c r="G3204" i="11"/>
  <c r="F3204" i="11"/>
  <c r="G3203" i="11"/>
  <c r="F3203" i="11"/>
  <c r="G3202" i="11"/>
  <c r="F3202" i="11"/>
  <c r="G3201" i="11"/>
  <c r="F3201" i="11"/>
  <c r="G3200" i="11"/>
  <c r="F3200" i="11"/>
  <c r="G3199" i="11"/>
  <c r="F3199" i="11"/>
  <c r="G3198" i="11"/>
  <c r="F3198" i="11"/>
  <c r="G3197" i="11"/>
  <c r="F3197" i="11"/>
  <c r="G3196" i="11"/>
  <c r="F3196" i="11"/>
  <c r="G3195" i="11"/>
  <c r="F3195" i="11"/>
  <c r="G3194" i="11"/>
  <c r="F3194" i="11"/>
  <c r="G3193" i="11"/>
  <c r="F3193" i="11"/>
  <c r="G3192" i="11"/>
  <c r="F3192" i="11"/>
  <c r="G3191" i="11"/>
  <c r="F3191" i="11"/>
  <c r="G3190" i="11"/>
  <c r="F3190" i="11"/>
  <c r="G3189" i="11"/>
  <c r="F3189" i="11"/>
  <c r="G3188" i="11"/>
  <c r="F3188" i="11"/>
  <c r="G3187" i="11"/>
  <c r="F3187" i="11"/>
  <c r="G3186" i="11"/>
  <c r="F3186" i="11"/>
  <c r="G3185" i="11"/>
  <c r="F3185" i="11"/>
  <c r="G3184" i="11"/>
  <c r="F3184" i="11"/>
  <c r="G3183" i="11"/>
  <c r="F3183" i="11"/>
  <c r="G3182" i="11"/>
  <c r="F3182" i="11"/>
  <c r="G3181" i="11"/>
  <c r="F3181" i="11"/>
  <c r="G3180" i="11"/>
  <c r="F3180" i="11"/>
  <c r="G3179" i="11"/>
  <c r="F3179" i="11"/>
  <c r="G3178" i="11"/>
  <c r="F3178" i="11"/>
  <c r="G3177" i="11"/>
  <c r="F3177" i="11"/>
  <c r="G3176" i="11"/>
  <c r="F3176" i="11"/>
  <c r="G3175" i="11"/>
  <c r="F3175" i="11"/>
  <c r="G3174" i="11"/>
  <c r="F3174" i="11"/>
  <c r="G3173" i="11"/>
  <c r="F3173" i="11"/>
  <c r="G3172" i="11"/>
  <c r="F3172" i="11"/>
  <c r="G3171" i="11"/>
  <c r="F3171" i="11"/>
  <c r="G3170" i="11"/>
  <c r="F3170" i="11"/>
  <c r="G3169" i="11"/>
  <c r="F3169" i="11"/>
  <c r="G3168" i="11"/>
  <c r="F3168" i="11"/>
  <c r="G3167" i="11"/>
  <c r="F3167" i="11"/>
  <c r="G3166" i="11"/>
  <c r="F3166" i="11"/>
  <c r="G3165" i="11"/>
  <c r="F3165" i="11"/>
  <c r="G3164" i="11"/>
  <c r="F3164" i="11"/>
  <c r="G3163" i="11"/>
  <c r="F3163" i="11"/>
  <c r="G3162" i="11"/>
  <c r="F3162" i="11"/>
  <c r="G3161" i="11"/>
  <c r="F3161" i="11"/>
  <c r="G3160" i="11"/>
  <c r="F3160" i="11"/>
  <c r="G3159" i="11"/>
  <c r="F3159" i="11"/>
  <c r="G3158" i="11"/>
  <c r="F3158" i="11"/>
  <c r="G3157" i="11"/>
  <c r="F3157" i="11"/>
  <c r="G3156" i="11"/>
  <c r="F3156" i="11"/>
  <c r="G3155" i="11"/>
  <c r="F3155" i="11"/>
  <c r="G3154" i="11"/>
  <c r="F3154" i="11"/>
  <c r="G3153" i="11"/>
  <c r="F3153" i="11"/>
  <c r="G3152" i="11"/>
  <c r="F3152" i="11"/>
  <c r="G3151" i="11"/>
  <c r="F3151" i="11"/>
  <c r="G3150" i="11"/>
  <c r="F3150" i="11"/>
  <c r="G3149" i="11"/>
  <c r="F3149" i="11"/>
  <c r="G3148" i="11"/>
  <c r="F3148" i="11"/>
  <c r="G3147" i="11"/>
  <c r="F3147" i="11"/>
  <c r="G3146" i="11"/>
  <c r="F3146" i="11"/>
  <c r="G3145" i="11"/>
  <c r="F3145" i="11"/>
  <c r="G3144" i="11"/>
  <c r="F3144" i="11"/>
  <c r="G3143" i="11"/>
  <c r="F3143" i="11"/>
  <c r="G3142" i="11"/>
  <c r="F3142" i="11"/>
  <c r="G3141" i="11"/>
  <c r="F3141" i="11"/>
  <c r="G3140" i="11"/>
  <c r="F3140" i="11"/>
  <c r="G3139" i="11"/>
  <c r="F3139" i="11"/>
  <c r="G3138" i="11"/>
  <c r="F3138" i="11"/>
  <c r="G3137" i="11"/>
  <c r="F3137" i="11"/>
  <c r="G3136" i="11"/>
  <c r="F3136" i="11"/>
  <c r="G3135" i="11"/>
  <c r="F3135" i="11"/>
  <c r="G3134" i="11"/>
  <c r="F3134" i="11"/>
  <c r="G3133" i="11"/>
  <c r="F3133" i="11"/>
  <c r="G3132" i="11"/>
  <c r="F3132" i="11"/>
  <c r="G3131" i="11"/>
  <c r="F3131" i="11"/>
  <c r="G3130" i="11"/>
  <c r="F3130" i="11"/>
  <c r="G3129" i="11"/>
  <c r="F3129" i="11"/>
  <c r="G3128" i="11"/>
  <c r="F3128" i="11"/>
  <c r="G3127" i="11"/>
  <c r="F3127" i="11"/>
  <c r="G3126" i="11"/>
  <c r="F3126" i="11"/>
  <c r="G3125" i="11"/>
  <c r="F3125" i="11"/>
  <c r="G3124" i="11"/>
  <c r="F3124" i="11"/>
  <c r="G3123" i="11"/>
  <c r="F3123" i="11"/>
  <c r="G3122" i="11"/>
  <c r="F3122" i="11"/>
  <c r="G3121" i="11"/>
  <c r="F3121" i="11"/>
  <c r="G3120" i="11"/>
  <c r="F3120" i="11"/>
  <c r="G3119" i="11"/>
  <c r="F3119" i="11"/>
  <c r="G3118" i="11"/>
  <c r="F3118" i="11"/>
  <c r="G3117" i="11"/>
  <c r="F3117" i="11"/>
  <c r="G3116" i="11"/>
  <c r="F3116" i="11"/>
  <c r="G3115" i="11"/>
  <c r="F3115" i="11"/>
  <c r="G3114" i="11"/>
  <c r="F3114" i="11"/>
  <c r="G3113" i="11"/>
  <c r="F3113" i="11"/>
  <c r="G3112" i="11"/>
  <c r="F3112" i="11"/>
  <c r="G3111" i="11"/>
  <c r="F3111" i="11"/>
  <c r="G3110" i="11"/>
  <c r="F3110" i="11"/>
  <c r="G3109" i="11"/>
  <c r="F3109" i="11"/>
  <c r="G3108" i="11"/>
  <c r="F3108" i="11"/>
  <c r="G3107" i="11"/>
  <c r="F3107" i="11"/>
  <c r="G3106" i="11"/>
  <c r="F3106" i="11"/>
  <c r="G3105" i="11"/>
  <c r="F3105" i="11"/>
  <c r="G3104" i="11"/>
  <c r="F3104" i="11"/>
  <c r="G3103" i="11"/>
  <c r="F3103" i="11"/>
  <c r="G3102" i="11"/>
  <c r="F3102" i="11"/>
  <c r="G3101" i="11"/>
  <c r="F3101" i="11"/>
  <c r="G3100" i="11"/>
  <c r="F3100" i="11"/>
  <c r="G3099" i="11"/>
  <c r="F3099" i="11"/>
  <c r="G3098" i="11"/>
  <c r="F3098" i="11"/>
  <c r="G3097" i="11"/>
  <c r="F3097" i="11"/>
  <c r="G3096" i="11"/>
  <c r="F3096" i="11"/>
  <c r="G3095" i="11"/>
  <c r="F3095" i="11"/>
  <c r="G3094" i="11"/>
  <c r="F3094" i="11"/>
  <c r="G3093" i="11"/>
  <c r="F3093" i="11"/>
  <c r="G3092" i="11"/>
  <c r="F3092" i="11"/>
  <c r="G3091" i="11"/>
  <c r="F3091" i="11"/>
  <c r="G3090" i="11"/>
  <c r="F3090" i="11"/>
  <c r="G3089" i="11"/>
  <c r="F3089" i="11"/>
  <c r="G3088" i="11"/>
  <c r="F3088" i="11"/>
  <c r="G3087" i="11"/>
  <c r="F3087" i="11"/>
  <c r="G3086" i="11"/>
  <c r="F3086" i="11"/>
  <c r="G3085" i="11"/>
  <c r="F3085" i="11"/>
  <c r="G3084" i="11"/>
  <c r="F3084" i="11"/>
  <c r="G3083" i="11"/>
  <c r="F3083" i="11"/>
  <c r="G3082" i="11"/>
  <c r="F3082" i="11"/>
  <c r="G3081" i="11"/>
  <c r="F3081" i="11"/>
  <c r="G3080" i="11"/>
  <c r="F3080" i="11"/>
  <c r="G3079" i="11"/>
  <c r="F3079" i="11"/>
  <c r="G3078" i="11"/>
  <c r="F3078" i="11"/>
  <c r="G3077" i="11"/>
  <c r="F3077" i="11"/>
  <c r="G3076" i="11"/>
  <c r="F3076" i="11"/>
  <c r="G3075" i="11"/>
  <c r="F3075" i="11"/>
  <c r="G3074" i="11"/>
  <c r="F3074" i="11"/>
  <c r="G3073" i="11"/>
  <c r="F3073" i="11"/>
  <c r="G3072" i="11"/>
  <c r="F3072" i="11"/>
  <c r="G3071" i="11"/>
  <c r="F3071" i="11"/>
  <c r="G3070" i="11"/>
  <c r="F3070" i="11"/>
  <c r="G3069" i="11"/>
  <c r="F3069" i="11"/>
  <c r="G3068" i="11"/>
  <c r="F3068" i="11"/>
  <c r="G3067" i="11"/>
  <c r="F3067" i="11"/>
  <c r="G3066" i="11"/>
  <c r="F3066" i="11"/>
  <c r="G3065" i="11"/>
  <c r="F3065" i="11"/>
  <c r="G3064" i="11"/>
  <c r="F3064" i="11"/>
  <c r="G3063" i="11"/>
  <c r="F3063" i="11"/>
  <c r="G3062" i="11"/>
  <c r="F3062" i="11"/>
  <c r="G3061" i="11"/>
  <c r="F3061" i="11"/>
  <c r="G3060" i="11"/>
  <c r="F3060" i="11"/>
  <c r="G3059" i="11"/>
  <c r="F3059" i="11"/>
  <c r="G3058" i="11"/>
  <c r="F3058" i="11"/>
  <c r="G3057" i="11"/>
  <c r="F3057" i="11"/>
  <c r="G3056" i="11"/>
  <c r="F3056" i="11"/>
  <c r="G3055" i="11"/>
  <c r="F3055" i="11"/>
  <c r="G3054" i="11"/>
  <c r="F3054" i="11"/>
  <c r="G3053" i="11"/>
  <c r="F3053" i="11"/>
  <c r="G3052" i="11"/>
  <c r="F3052" i="11"/>
  <c r="G3051" i="11"/>
  <c r="F3051" i="11"/>
  <c r="G3050" i="11"/>
  <c r="F3050" i="11"/>
  <c r="G3049" i="11"/>
  <c r="F3049" i="11"/>
  <c r="G3048" i="11"/>
  <c r="F3048" i="11"/>
  <c r="G3047" i="11"/>
  <c r="F3047" i="11"/>
  <c r="G3046" i="11"/>
  <c r="F3046" i="11"/>
  <c r="G3045" i="11"/>
  <c r="F3045" i="11"/>
  <c r="G3044" i="11"/>
  <c r="F3044" i="11"/>
  <c r="G3043" i="11"/>
  <c r="F3043" i="11"/>
  <c r="G3042" i="11"/>
  <c r="F3042" i="11"/>
  <c r="G3041" i="11"/>
  <c r="F3041" i="11"/>
  <c r="G3040" i="11"/>
  <c r="F3040" i="11"/>
  <c r="G3039" i="11"/>
  <c r="F3039" i="11"/>
  <c r="G3038" i="11"/>
  <c r="F3038" i="11"/>
  <c r="G3037" i="11"/>
  <c r="F3037" i="11"/>
  <c r="G3036" i="11"/>
  <c r="F3036" i="11"/>
  <c r="G3035" i="11"/>
  <c r="F3035" i="11"/>
  <c r="G3034" i="11"/>
  <c r="F3034" i="11"/>
  <c r="G3033" i="11"/>
  <c r="F3033" i="11"/>
  <c r="G3032" i="11"/>
  <c r="F3032" i="11"/>
  <c r="G3031" i="11"/>
  <c r="F3031" i="11"/>
  <c r="G3030" i="11"/>
  <c r="F3030" i="11"/>
  <c r="G3029" i="11"/>
  <c r="F3029" i="11"/>
  <c r="G3028" i="11"/>
  <c r="F3028" i="11"/>
  <c r="G3027" i="11"/>
  <c r="F3027" i="11"/>
  <c r="G3026" i="11"/>
  <c r="F3026" i="11"/>
  <c r="G3025" i="11"/>
  <c r="F3025" i="11"/>
  <c r="G3024" i="11"/>
  <c r="F3024" i="11"/>
  <c r="G3023" i="11"/>
  <c r="F3023" i="11"/>
  <c r="G3022" i="11"/>
  <c r="F3022" i="11"/>
  <c r="G3021" i="11"/>
  <c r="F3021" i="11"/>
  <c r="G3020" i="11"/>
  <c r="F3020" i="11"/>
  <c r="G3019" i="11"/>
  <c r="F3019" i="11"/>
  <c r="G3018" i="11"/>
  <c r="F3018" i="11"/>
  <c r="G3017" i="11"/>
  <c r="F3017" i="11"/>
  <c r="G3016" i="11"/>
  <c r="F3016" i="11"/>
  <c r="G3015" i="11"/>
  <c r="F3015" i="11"/>
  <c r="G3014" i="11"/>
  <c r="F3014" i="11"/>
  <c r="G3013" i="11"/>
  <c r="F3013" i="11"/>
  <c r="G3012" i="11"/>
  <c r="F3012" i="11"/>
  <c r="G3011" i="11"/>
  <c r="F3011" i="11"/>
  <c r="G3010" i="11"/>
  <c r="F3010" i="11"/>
  <c r="G3009" i="11"/>
  <c r="F3009" i="11"/>
  <c r="G3008" i="11"/>
  <c r="F3008" i="11"/>
  <c r="G3007" i="11"/>
  <c r="F3007" i="11"/>
  <c r="G3006" i="11"/>
  <c r="F3006" i="11"/>
  <c r="G3005" i="11"/>
  <c r="F3005" i="11"/>
  <c r="G3004" i="11"/>
  <c r="F3004" i="11"/>
  <c r="G3003" i="11"/>
  <c r="F3003" i="11"/>
  <c r="G3002" i="11"/>
  <c r="F3002" i="11"/>
  <c r="G3001" i="11"/>
  <c r="F3001" i="11"/>
  <c r="G3000" i="11"/>
  <c r="F3000" i="11"/>
  <c r="G2999" i="11"/>
  <c r="F2999" i="11"/>
  <c r="G2998" i="11"/>
  <c r="F2998" i="11"/>
  <c r="G2997" i="11"/>
  <c r="F2997" i="11"/>
  <c r="G2996" i="11"/>
  <c r="F2996" i="11"/>
  <c r="G2995" i="11"/>
  <c r="F2995" i="11"/>
  <c r="G2994" i="11"/>
  <c r="F2994" i="11"/>
  <c r="G2993" i="11"/>
  <c r="F2993" i="11"/>
  <c r="G2992" i="11"/>
  <c r="F2992" i="11"/>
  <c r="G2991" i="11"/>
  <c r="F2991" i="11"/>
  <c r="G2990" i="11"/>
  <c r="F2990" i="11"/>
  <c r="G2989" i="11"/>
  <c r="F2989" i="11"/>
  <c r="G2988" i="11"/>
  <c r="F2988" i="11"/>
  <c r="G2987" i="11"/>
  <c r="F2987" i="11"/>
  <c r="G2986" i="11"/>
  <c r="F2986" i="11"/>
  <c r="G2985" i="11"/>
  <c r="F2985" i="11"/>
  <c r="G2984" i="11"/>
  <c r="F2984" i="11"/>
  <c r="G2983" i="11"/>
  <c r="F2983" i="11"/>
  <c r="G2982" i="11"/>
  <c r="F2982" i="11"/>
  <c r="G2981" i="11"/>
  <c r="F2981" i="11"/>
  <c r="G2980" i="11"/>
  <c r="F2980" i="11"/>
  <c r="G2979" i="11"/>
  <c r="F2979" i="11"/>
  <c r="G2978" i="11"/>
  <c r="F2978" i="11"/>
  <c r="G2977" i="11"/>
  <c r="F2977" i="11"/>
  <c r="G2976" i="11"/>
  <c r="F2976" i="11"/>
  <c r="G2975" i="11"/>
  <c r="F2975" i="11"/>
  <c r="G2974" i="11"/>
  <c r="F2974" i="11"/>
  <c r="G2973" i="11"/>
  <c r="F2973" i="11"/>
  <c r="G2972" i="11"/>
  <c r="F2972" i="11"/>
  <c r="G2971" i="11"/>
  <c r="F2971" i="11"/>
  <c r="G2970" i="11"/>
  <c r="F2970" i="11"/>
  <c r="G2969" i="11"/>
  <c r="F2969" i="11"/>
  <c r="G2968" i="11"/>
  <c r="F2968" i="11"/>
  <c r="G2967" i="11"/>
  <c r="F2967" i="11"/>
  <c r="G2966" i="11"/>
  <c r="F2966" i="11"/>
  <c r="G2965" i="11"/>
  <c r="F2965" i="11"/>
  <c r="G2964" i="11"/>
  <c r="F2964" i="11"/>
  <c r="G2963" i="11"/>
  <c r="F2963" i="11"/>
  <c r="G2962" i="11"/>
  <c r="F2962" i="11"/>
  <c r="G2961" i="11"/>
  <c r="F2961" i="11"/>
  <c r="G2960" i="11"/>
  <c r="F2960" i="11"/>
  <c r="G2959" i="11"/>
  <c r="F2959" i="11"/>
  <c r="G2958" i="11"/>
  <c r="F2958" i="11"/>
  <c r="G2957" i="11"/>
  <c r="F2957" i="11"/>
  <c r="G2956" i="11"/>
  <c r="F2956" i="11"/>
  <c r="G2955" i="11"/>
  <c r="F2955" i="11"/>
  <c r="G2954" i="11"/>
  <c r="F2954" i="11"/>
  <c r="G2953" i="11"/>
  <c r="F2953" i="11"/>
  <c r="G2952" i="11"/>
  <c r="F2952" i="11"/>
  <c r="G2951" i="11"/>
  <c r="F2951" i="11"/>
  <c r="G2950" i="11"/>
  <c r="F2950" i="11"/>
  <c r="G2949" i="11"/>
  <c r="F2949" i="11"/>
  <c r="G2948" i="11"/>
  <c r="F2948" i="11"/>
  <c r="G2947" i="11"/>
  <c r="F2947" i="11"/>
  <c r="G2946" i="11"/>
  <c r="F2946" i="11"/>
  <c r="G2945" i="11"/>
  <c r="F2945" i="11"/>
  <c r="G2944" i="11"/>
  <c r="F2944" i="11"/>
  <c r="G2943" i="11"/>
  <c r="F2943" i="11"/>
  <c r="G2942" i="11"/>
  <c r="F2942" i="11"/>
  <c r="G2941" i="11"/>
  <c r="F2941" i="11"/>
  <c r="G2940" i="11"/>
  <c r="F2940" i="11"/>
  <c r="G2939" i="11"/>
  <c r="F2939" i="11"/>
  <c r="G2938" i="11"/>
  <c r="F2938" i="11"/>
  <c r="G2937" i="11"/>
  <c r="F2937" i="11"/>
  <c r="G2936" i="11"/>
  <c r="F2936" i="11"/>
  <c r="G2935" i="11"/>
  <c r="F2935" i="11"/>
  <c r="G2934" i="11"/>
  <c r="F2934" i="11"/>
  <c r="G2933" i="11"/>
  <c r="F2933" i="11"/>
  <c r="G2932" i="11"/>
  <c r="F2932" i="11"/>
  <c r="G2931" i="11"/>
  <c r="F2931" i="11"/>
  <c r="G2930" i="11"/>
  <c r="F2930" i="11"/>
  <c r="G2929" i="11"/>
  <c r="F2929" i="11"/>
  <c r="G2928" i="11"/>
  <c r="F2928" i="11"/>
  <c r="G2927" i="11"/>
  <c r="F2927" i="11"/>
  <c r="G2926" i="11"/>
  <c r="F2926" i="11"/>
  <c r="G2925" i="11"/>
  <c r="F2925" i="11"/>
  <c r="G2924" i="11"/>
  <c r="F2924" i="11"/>
  <c r="G2923" i="11"/>
  <c r="F2923" i="11"/>
  <c r="G2922" i="11"/>
  <c r="F2922" i="11"/>
  <c r="G2921" i="11"/>
  <c r="F2921" i="11"/>
  <c r="G2920" i="11"/>
  <c r="F2920" i="11"/>
  <c r="G2919" i="11"/>
  <c r="F2919" i="11"/>
  <c r="G2918" i="11"/>
  <c r="F2918" i="11"/>
  <c r="G2917" i="11"/>
  <c r="F2917" i="11"/>
  <c r="G2916" i="11"/>
  <c r="F2916" i="11"/>
  <c r="G2915" i="11"/>
  <c r="F2915" i="11"/>
  <c r="G2914" i="11"/>
  <c r="F2914" i="11"/>
  <c r="G2913" i="11"/>
  <c r="F2913" i="11"/>
  <c r="G2912" i="11"/>
  <c r="F2912" i="11"/>
  <c r="G2911" i="11"/>
  <c r="F2911" i="11"/>
  <c r="G2910" i="11"/>
  <c r="F2910" i="11"/>
  <c r="G2909" i="11"/>
  <c r="F2909" i="11"/>
  <c r="G2908" i="11"/>
  <c r="F2908" i="11"/>
  <c r="G2907" i="11"/>
  <c r="F2907" i="11"/>
  <c r="G2906" i="11"/>
  <c r="F2906" i="11"/>
  <c r="G2905" i="11"/>
  <c r="F2905" i="11"/>
  <c r="G2904" i="11"/>
  <c r="F2904" i="11"/>
  <c r="G2903" i="11"/>
  <c r="F2903" i="11"/>
  <c r="G2902" i="11"/>
  <c r="F2902" i="11"/>
  <c r="G2901" i="11"/>
  <c r="F2901" i="11"/>
  <c r="G2900" i="11"/>
  <c r="F2900" i="11"/>
  <c r="G2899" i="11"/>
  <c r="F2899" i="11"/>
  <c r="G2898" i="11"/>
  <c r="F2898" i="11"/>
  <c r="G2897" i="11"/>
  <c r="F2897" i="11"/>
  <c r="G2896" i="11"/>
  <c r="F2896" i="11"/>
  <c r="G2895" i="11"/>
  <c r="F2895" i="11"/>
  <c r="G2894" i="11"/>
  <c r="F2894" i="11"/>
  <c r="G2893" i="11"/>
  <c r="F2893" i="11"/>
  <c r="G2892" i="11"/>
  <c r="F2892" i="11"/>
  <c r="G2891" i="11"/>
  <c r="F2891" i="11"/>
  <c r="G2890" i="11"/>
  <c r="F2890" i="11"/>
  <c r="G2889" i="11"/>
  <c r="F2889" i="11"/>
  <c r="G2888" i="11"/>
  <c r="F2888" i="11"/>
  <c r="G2887" i="11"/>
  <c r="F2887" i="11"/>
  <c r="G2886" i="11"/>
  <c r="F2886" i="11"/>
  <c r="G2885" i="11"/>
  <c r="F2885" i="11"/>
  <c r="G2884" i="11"/>
  <c r="F2884" i="11"/>
  <c r="G2883" i="11"/>
  <c r="F2883" i="11"/>
  <c r="G2882" i="11"/>
  <c r="F2882" i="11"/>
  <c r="G2881" i="11"/>
  <c r="F2881" i="11"/>
  <c r="G2880" i="11"/>
  <c r="F2880" i="11"/>
  <c r="G2879" i="11"/>
  <c r="F2879" i="11"/>
  <c r="G2878" i="11"/>
  <c r="F2878" i="11"/>
  <c r="G2877" i="11"/>
  <c r="F2877" i="11"/>
  <c r="G2876" i="11"/>
  <c r="F2876" i="11"/>
  <c r="G2875" i="11"/>
  <c r="F2875" i="11"/>
  <c r="G2874" i="11"/>
  <c r="F2874" i="11"/>
  <c r="G2873" i="11"/>
  <c r="F2873" i="11"/>
  <c r="G2872" i="11"/>
  <c r="F2872" i="11"/>
  <c r="G2871" i="11"/>
  <c r="F2871" i="11"/>
  <c r="G2870" i="11"/>
  <c r="F2870" i="11"/>
  <c r="G2869" i="11"/>
  <c r="F2869" i="11"/>
  <c r="G2868" i="11"/>
  <c r="F2868" i="11"/>
  <c r="G2867" i="11"/>
  <c r="F2867" i="11"/>
  <c r="G2866" i="11"/>
  <c r="F2866" i="11"/>
  <c r="G2865" i="11"/>
  <c r="F2865" i="11"/>
  <c r="G2864" i="11"/>
  <c r="F2864" i="11"/>
  <c r="G2863" i="11"/>
  <c r="F2863" i="11"/>
  <c r="G2862" i="11"/>
  <c r="F2862" i="11"/>
  <c r="G2861" i="11"/>
  <c r="F2861" i="11"/>
  <c r="G2860" i="11"/>
  <c r="F2860" i="11"/>
  <c r="G2859" i="11"/>
  <c r="F2859" i="11"/>
  <c r="G2858" i="11"/>
  <c r="F2858" i="11"/>
  <c r="G2857" i="11"/>
  <c r="F2857" i="11"/>
  <c r="G2856" i="11"/>
  <c r="F2856" i="11"/>
  <c r="G2855" i="11"/>
  <c r="F2855" i="11"/>
  <c r="G2854" i="11"/>
  <c r="F2854" i="11"/>
  <c r="G2853" i="11"/>
  <c r="F2853" i="11"/>
  <c r="G2852" i="11"/>
  <c r="F2852" i="11"/>
  <c r="G2851" i="11"/>
  <c r="F2851" i="11"/>
  <c r="G2850" i="11"/>
  <c r="F2850" i="11"/>
  <c r="G2849" i="11"/>
  <c r="F2849" i="11"/>
  <c r="G2848" i="11"/>
  <c r="F2848" i="11"/>
  <c r="G2847" i="11"/>
  <c r="F2847" i="11"/>
  <c r="G2846" i="11"/>
  <c r="F2846" i="11"/>
  <c r="G2845" i="11"/>
  <c r="F2845" i="11"/>
  <c r="G2844" i="11"/>
  <c r="F2844" i="11"/>
  <c r="G2843" i="11"/>
  <c r="F2843" i="11"/>
  <c r="G2842" i="11"/>
  <c r="F2842" i="11"/>
  <c r="G2841" i="11"/>
  <c r="F2841" i="11"/>
  <c r="G2840" i="11"/>
  <c r="F2840" i="11"/>
  <c r="G2839" i="11"/>
  <c r="F2839" i="11"/>
  <c r="G2838" i="11"/>
  <c r="F2838" i="11"/>
  <c r="G2837" i="11"/>
  <c r="F2837" i="11"/>
  <c r="G2836" i="11"/>
  <c r="F2836" i="11"/>
  <c r="G2835" i="11"/>
  <c r="F2835" i="11"/>
  <c r="G2834" i="11"/>
  <c r="F2834" i="11"/>
  <c r="G2833" i="11"/>
  <c r="F2833" i="11"/>
  <c r="G2832" i="11"/>
  <c r="F2832" i="11"/>
  <c r="G2831" i="11"/>
  <c r="F2831" i="11"/>
  <c r="G2830" i="11"/>
  <c r="F2830" i="11"/>
  <c r="G2829" i="11"/>
  <c r="F2829" i="11"/>
  <c r="G2828" i="11"/>
  <c r="F2828" i="11"/>
  <c r="G2827" i="11"/>
  <c r="F2827" i="11"/>
  <c r="G2826" i="11"/>
  <c r="F2826" i="11"/>
  <c r="G2825" i="11"/>
  <c r="F2825" i="11"/>
  <c r="G2824" i="11"/>
  <c r="F2824" i="11"/>
  <c r="G2823" i="11"/>
  <c r="F2823" i="11"/>
  <c r="G2822" i="11"/>
  <c r="F2822" i="11"/>
  <c r="G2821" i="11"/>
  <c r="F2821" i="11"/>
  <c r="G2820" i="11"/>
  <c r="F2820" i="11"/>
  <c r="G2819" i="11"/>
  <c r="F2819" i="11"/>
  <c r="G2818" i="11"/>
  <c r="F2818" i="11"/>
  <c r="G2817" i="11"/>
  <c r="F2817" i="11"/>
  <c r="G2816" i="11"/>
  <c r="F2816" i="11"/>
  <c r="G2815" i="11"/>
  <c r="F2815" i="11"/>
  <c r="G2814" i="11"/>
  <c r="F2814" i="11"/>
  <c r="G2813" i="11"/>
  <c r="F2813" i="11"/>
  <c r="G2812" i="11"/>
  <c r="F2812" i="11"/>
  <c r="G2811" i="11"/>
  <c r="F2811" i="11"/>
  <c r="G2810" i="11"/>
  <c r="F2810" i="11"/>
  <c r="G2809" i="11"/>
  <c r="F2809" i="11"/>
  <c r="G2808" i="11"/>
  <c r="F2808" i="11"/>
  <c r="G2807" i="11"/>
  <c r="F2807" i="11"/>
  <c r="G2806" i="11"/>
  <c r="F2806" i="11"/>
  <c r="G2805" i="11"/>
  <c r="F2805" i="11"/>
  <c r="G2804" i="11"/>
  <c r="F2804" i="11"/>
  <c r="G2803" i="11"/>
  <c r="F2803" i="11"/>
  <c r="G2802" i="11"/>
  <c r="F2802" i="11"/>
  <c r="G2801" i="11"/>
  <c r="F2801" i="11"/>
  <c r="G2800" i="11"/>
  <c r="F2800" i="11"/>
  <c r="G2799" i="11"/>
  <c r="F2799" i="11"/>
  <c r="G2798" i="11"/>
  <c r="F2798" i="11"/>
  <c r="G2797" i="11"/>
  <c r="F2797" i="11"/>
  <c r="G2796" i="11"/>
  <c r="F2796" i="11"/>
  <c r="G2795" i="11"/>
  <c r="F2795" i="11"/>
  <c r="G2794" i="11"/>
  <c r="F2794" i="11"/>
  <c r="G2793" i="11"/>
  <c r="F2793" i="11"/>
  <c r="G2792" i="11"/>
  <c r="F2792" i="11"/>
  <c r="G2791" i="11"/>
  <c r="F2791" i="11"/>
  <c r="G2790" i="11"/>
  <c r="F2790" i="11"/>
  <c r="G2789" i="11"/>
  <c r="F2789" i="11"/>
  <c r="G2788" i="11"/>
  <c r="F2788" i="11"/>
  <c r="G2787" i="11"/>
  <c r="F2787" i="11"/>
  <c r="G2786" i="11"/>
  <c r="F2786" i="11"/>
  <c r="G2785" i="11"/>
  <c r="F2785" i="11"/>
  <c r="G2784" i="11"/>
  <c r="F2784" i="11"/>
  <c r="G2783" i="11"/>
  <c r="F2783" i="11"/>
  <c r="G2782" i="11"/>
  <c r="F2782" i="11"/>
  <c r="G2781" i="11"/>
  <c r="F2781" i="11"/>
  <c r="G2780" i="11"/>
  <c r="F2780" i="11"/>
  <c r="G2779" i="11"/>
  <c r="F2779" i="11"/>
  <c r="G2778" i="11"/>
  <c r="F2778" i="11"/>
  <c r="G2777" i="11"/>
  <c r="F2777" i="11"/>
  <c r="G2776" i="11"/>
  <c r="F2776" i="11"/>
  <c r="G2775" i="11"/>
  <c r="F2775" i="11"/>
  <c r="G2774" i="11"/>
  <c r="F2774" i="11"/>
  <c r="G2773" i="11"/>
  <c r="F2773" i="11"/>
  <c r="G2772" i="11"/>
  <c r="F2772" i="11"/>
  <c r="G2771" i="11"/>
  <c r="F2771" i="11"/>
  <c r="G2770" i="11"/>
  <c r="F2770" i="11"/>
  <c r="G2769" i="11"/>
  <c r="F2769" i="11"/>
  <c r="G2768" i="11"/>
  <c r="F2768" i="11"/>
  <c r="G2767" i="11"/>
  <c r="F2767" i="11"/>
  <c r="G2766" i="11"/>
  <c r="F2766" i="11"/>
  <c r="G2765" i="11"/>
  <c r="F2765" i="11"/>
  <c r="G2764" i="11"/>
  <c r="F2764" i="11"/>
  <c r="G2763" i="11"/>
  <c r="F2763" i="11"/>
  <c r="G2762" i="11"/>
  <c r="F2762" i="11"/>
  <c r="G2761" i="11"/>
  <c r="F2761" i="11"/>
  <c r="G2760" i="11"/>
  <c r="F2760" i="11"/>
  <c r="G2759" i="11"/>
  <c r="F2759" i="11"/>
  <c r="G2758" i="11"/>
  <c r="F2758" i="11"/>
  <c r="G2757" i="11"/>
  <c r="F2757" i="11"/>
  <c r="G2756" i="11"/>
  <c r="F2756" i="11"/>
  <c r="G2755" i="11"/>
  <c r="F2755" i="11"/>
  <c r="G2754" i="11"/>
  <c r="F2754" i="11"/>
  <c r="G2753" i="11"/>
  <c r="F2753" i="11"/>
  <c r="G2752" i="11"/>
  <c r="F2752" i="11"/>
  <c r="G2751" i="11"/>
  <c r="F2751" i="11"/>
  <c r="G2750" i="11"/>
  <c r="F2750" i="11"/>
  <c r="G2749" i="11"/>
  <c r="F2749" i="11"/>
  <c r="G2748" i="11"/>
  <c r="F2748" i="11"/>
  <c r="G2747" i="11"/>
  <c r="F2747" i="11"/>
  <c r="G2746" i="11"/>
  <c r="F2746" i="11"/>
  <c r="G2745" i="11"/>
  <c r="F2745" i="11"/>
  <c r="G2744" i="11"/>
  <c r="F2744" i="11"/>
  <c r="G2743" i="11"/>
  <c r="F2743" i="11"/>
  <c r="G2742" i="11"/>
  <c r="F2742" i="11"/>
  <c r="G2741" i="11"/>
  <c r="F2741" i="11"/>
  <c r="G2740" i="11"/>
  <c r="F2740" i="11"/>
  <c r="G2739" i="11"/>
  <c r="F2739" i="11"/>
  <c r="G2738" i="11"/>
  <c r="F2738" i="11"/>
  <c r="G2737" i="11"/>
  <c r="F2737" i="11"/>
  <c r="G2736" i="11"/>
  <c r="F2736" i="11"/>
  <c r="G2735" i="11"/>
  <c r="F2735" i="11"/>
  <c r="G2734" i="11"/>
  <c r="F2734" i="11"/>
  <c r="G2733" i="11"/>
  <c r="F2733" i="11"/>
  <c r="G2732" i="11"/>
  <c r="F2732" i="11"/>
  <c r="G2731" i="11"/>
  <c r="F2731" i="11"/>
  <c r="G2730" i="11"/>
  <c r="F2730" i="11"/>
  <c r="G2729" i="11"/>
  <c r="F2729" i="11"/>
  <c r="G2728" i="11"/>
  <c r="F2728" i="11"/>
  <c r="G2727" i="11"/>
  <c r="F2727" i="11"/>
  <c r="G2726" i="11"/>
  <c r="F2726" i="11"/>
  <c r="G2725" i="11"/>
  <c r="F2725" i="11"/>
  <c r="G2724" i="11"/>
  <c r="F2724" i="11"/>
  <c r="G2723" i="11"/>
  <c r="F2723" i="11"/>
  <c r="G2722" i="11"/>
  <c r="F2722" i="11"/>
  <c r="G2721" i="11"/>
  <c r="F2721" i="11"/>
  <c r="G2720" i="11"/>
  <c r="F2720" i="11"/>
  <c r="G2719" i="11"/>
  <c r="F2719" i="11"/>
  <c r="G2718" i="11"/>
  <c r="F2718" i="11"/>
  <c r="G2717" i="11"/>
  <c r="F2717" i="11"/>
  <c r="G2716" i="11"/>
  <c r="F2716" i="11"/>
  <c r="G2715" i="11"/>
  <c r="F2715" i="11"/>
  <c r="G2714" i="11"/>
  <c r="F2714" i="11"/>
  <c r="G2713" i="11"/>
  <c r="F2713" i="11"/>
  <c r="G2712" i="11"/>
  <c r="F2712" i="11"/>
  <c r="G2711" i="11"/>
  <c r="F2711" i="11"/>
  <c r="G2710" i="11"/>
  <c r="F2710" i="11"/>
  <c r="G2709" i="11"/>
  <c r="F2709" i="11"/>
  <c r="G2708" i="11"/>
  <c r="F2708" i="11"/>
  <c r="G2707" i="11"/>
  <c r="F2707" i="11"/>
  <c r="G2706" i="11"/>
  <c r="F2706" i="11"/>
  <c r="G2705" i="11"/>
  <c r="F2705" i="11"/>
  <c r="G2704" i="11"/>
  <c r="F2704" i="11"/>
  <c r="G2703" i="11"/>
  <c r="F2703" i="11"/>
  <c r="G2702" i="11"/>
  <c r="F2702" i="11"/>
  <c r="G2701" i="11"/>
  <c r="F2701" i="11"/>
  <c r="G2700" i="11"/>
  <c r="F2700" i="11"/>
  <c r="G2699" i="11"/>
  <c r="F2699" i="11"/>
  <c r="G2698" i="11"/>
  <c r="F2698" i="11"/>
  <c r="G2697" i="11"/>
  <c r="F2697" i="11"/>
  <c r="G2696" i="11"/>
  <c r="F2696" i="11"/>
  <c r="G2695" i="11"/>
  <c r="F2695" i="11"/>
  <c r="G2694" i="11"/>
  <c r="F2694" i="11"/>
  <c r="G2693" i="11"/>
  <c r="F2693" i="11"/>
  <c r="G2692" i="11"/>
  <c r="F2692" i="11"/>
  <c r="G2691" i="11"/>
  <c r="F2691" i="11"/>
  <c r="G2690" i="11"/>
  <c r="F2690" i="11"/>
  <c r="G2689" i="11"/>
  <c r="F2689" i="11"/>
  <c r="G2688" i="11"/>
  <c r="F2688" i="11"/>
  <c r="G2687" i="11"/>
  <c r="F2687" i="11"/>
  <c r="G2686" i="11"/>
  <c r="F2686" i="11"/>
  <c r="G2685" i="11"/>
  <c r="F2685" i="11"/>
  <c r="G2684" i="11"/>
  <c r="F2684" i="11"/>
  <c r="G2683" i="11"/>
  <c r="F2683" i="11"/>
  <c r="F2682" i="11"/>
  <c r="G2682" i="11" s="1"/>
  <c r="G2681" i="11"/>
  <c r="F2681" i="11"/>
  <c r="G2680" i="11"/>
  <c r="F2680" i="11"/>
  <c r="G2679" i="11"/>
  <c r="F2679" i="11"/>
  <c r="G2678" i="11"/>
  <c r="F2678" i="11"/>
  <c r="G2677" i="11"/>
  <c r="F2677" i="11"/>
  <c r="G2676" i="11"/>
  <c r="F2676" i="11"/>
  <c r="G2675" i="11"/>
  <c r="F2675" i="11"/>
  <c r="G2674" i="11"/>
  <c r="F2674" i="11"/>
  <c r="G2673" i="11"/>
  <c r="F2673" i="11"/>
  <c r="G2672" i="11"/>
  <c r="F2672" i="11"/>
  <c r="G2671" i="11"/>
  <c r="F2671" i="11"/>
  <c r="G2670" i="11"/>
  <c r="F2670" i="11"/>
  <c r="G2669" i="11"/>
  <c r="F2669" i="11"/>
  <c r="G2668" i="11"/>
  <c r="F2668" i="11"/>
  <c r="G2667" i="11"/>
  <c r="F2667" i="11"/>
  <c r="G2666" i="11"/>
  <c r="F2666" i="11"/>
  <c r="G2665" i="11"/>
  <c r="F2665" i="11"/>
  <c r="G2664" i="11"/>
  <c r="F2664" i="11"/>
  <c r="G2663" i="11"/>
  <c r="F2663" i="11"/>
  <c r="G2662" i="11"/>
  <c r="F2662" i="11"/>
  <c r="G2661" i="11"/>
  <c r="F2661" i="11"/>
  <c r="G2660" i="11"/>
  <c r="F2660" i="11"/>
  <c r="G2659" i="11"/>
  <c r="F2659" i="11"/>
  <c r="G2658" i="11"/>
  <c r="F2658" i="11"/>
  <c r="G2657" i="11"/>
  <c r="F2657" i="11"/>
  <c r="G2656" i="11"/>
  <c r="F2656" i="11"/>
  <c r="G2655" i="11"/>
  <c r="F2655" i="11"/>
  <c r="G2654" i="11"/>
  <c r="F2654" i="11"/>
  <c r="G2653" i="11"/>
  <c r="F2653" i="11"/>
  <c r="G2652" i="11"/>
  <c r="F2652" i="11"/>
  <c r="G2651" i="11"/>
  <c r="F2651" i="11"/>
  <c r="G2650" i="11"/>
  <c r="F2650" i="11"/>
  <c r="F2649" i="11"/>
  <c r="G2649" i="11" s="1"/>
  <c r="G2648" i="11"/>
  <c r="F2648" i="11"/>
  <c r="G2647" i="11"/>
  <c r="F2647" i="11"/>
  <c r="F2646" i="11"/>
  <c r="G2646" i="11" s="1"/>
  <c r="G2645" i="11"/>
  <c r="F2645" i="11"/>
  <c r="G2644" i="11"/>
  <c r="F2644" i="11"/>
  <c r="F2643" i="11"/>
  <c r="G2643" i="11" s="1"/>
  <c r="G2642" i="11"/>
  <c r="F2642" i="11"/>
  <c r="G2641" i="11"/>
  <c r="F2641" i="11"/>
  <c r="F2640" i="11"/>
  <c r="G2640" i="11" s="1"/>
  <c r="G2639" i="11"/>
  <c r="F2639" i="11"/>
  <c r="G2638" i="11"/>
  <c r="F2638" i="11"/>
  <c r="F2637" i="11"/>
  <c r="G2637" i="11" s="1"/>
  <c r="G2636" i="11"/>
  <c r="F2636" i="11"/>
  <c r="G2635" i="11"/>
  <c r="F2635" i="11"/>
  <c r="G2634" i="11"/>
  <c r="F2634" i="11"/>
  <c r="G2633" i="11"/>
  <c r="F2633" i="11"/>
  <c r="G2632" i="11"/>
  <c r="F2632" i="11"/>
  <c r="G2631" i="11"/>
  <c r="F2631" i="11"/>
  <c r="G2630" i="11"/>
  <c r="F2630" i="11"/>
  <c r="G2629" i="11"/>
  <c r="F2629" i="11"/>
  <c r="G2628" i="11"/>
  <c r="F2628" i="11"/>
  <c r="G2627" i="11"/>
  <c r="F2627" i="11"/>
  <c r="G2626" i="11"/>
  <c r="F2626" i="11"/>
  <c r="G2625" i="11"/>
  <c r="F2625" i="11"/>
  <c r="G2624" i="11"/>
  <c r="F2624" i="11"/>
  <c r="G2623" i="11"/>
  <c r="F2623" i="11"/>
  <c r="G2622" i="11"/>
  <c r="F2622" i="11"/>
  <c r="G2621" i="11"/>
  <c r="F2621" i="11"/>
  <c r="G2620" i="11"/>
  <c r="F2620" i="11"/>
  <c r="G2619" i="11"/>
  <c r="F2619" i="11"/>
  <c r="G2618" i="11"/>
  <c r="F2618" i="11"/>
  <c r="G2617" i="11"/>
  <c r="F2617" i="11"/>
  <c r="G2616" i="11"/>
  <c r="F2616" i="11"/>
  <c r="G2615" i="11"/>
  <c r="F2615" i="11"/>
  <c r="G2614" i="11"/>
  <c r="F2614" i="11"/>
  <c r="G2613" i="11"/>
  <c r="F2613" i="11"/>
  <c r="G2612" i="11"/>
  <c r="F2612" i="11"/>
  <c r="G2611" i="11"/>
  <c r="F2611" i="11"/>
  <c r="G2610" i="11"/>
  <c r="F2610" i="11"/>
  <c r="G2609" i="11"/>
  <c r="F2609" i="11"/>
  <c r="G2608" i="11"/>
  <c r="F2608" i="11"/>
  <c r="G2607" i="11"/>
  <c r="F2607" i="11"/>
  <c r="G2606" i="11"/>
  <c r="F2606" i="11"/>
  <c r="G2605" i="11"/>
  <c r="F2605" i="11"/>
  <c r="G2604" i="11"/>
  <c r="F2604" i="11"/>
  <c r="G2603" i="11"/>
  <c r="F2603" i="11"/>
  <c r="G2602" i="11"/>
  <c r="F2602" i="11"/>
  <c r="G2601" i="11"/>
  <c r="F2601" i="11"/>
  <c r="G2600" i="11"/>
  <c r="F2600" i="11"/>
  <c r="G2599" i="11"/>
  <c r="F2599" i="11"/>
  <c r="G2598" i="11"/>
  <c r="F2598" i="11"/>
  <c r="G2597" i="11"/>
  <c r="F2597" i="11"/>
  <c r="G2596" i="11"/>
  <c r="F2596" i="11"/>
  <c r="G2595" i="11"/>
  <c r="F2595" i="11"/>
  <c r="G2594" i="11"/>
  <c r="F2594" i="11"/>
  <c r="G2593" i="11"/>
  <c r="F2593" i="11"/>
  <c r="G2592" i="11"/>
  <c r="F2592" i="11"/>
  <c r="G2591" i="11"/>
  <c r="F2591" i="11"/>
  <c r="G2590" i="11"/>
  <c r="F2590" i="11"/>
  <c r="G2589" i="11"/>
  <c r="F2589" i="11"/>
  <c r="G2588" i="11"/>
  <c r="F2588" i="11"/>
  <c r="G2587" i="11"/>
  <c r="F2587" i="11"/>
  <c r="G2586" i="11"/>
  <c r="F2586" i="11"/>
  <c r="G2585" i="11"/>
  <c r="F2585" i="11"/>
  <c r="G2584" i="11"/>
  <c r="F2584" i="11"/>
  <c r="F2583" i="11"/>
  <c r="G2583" i="11" s="1"/>
  <c r="G2582" i="11"/>
  <c r="F2582" i="11"/>
  <c r="G2581" i="11"/>
  <c r="F2581" i="11"/>
  <c r="G2580" i="11"/>
  <c r="F2580" i="11"/>
  <c r="G2579" i="11"/>
  <c r="F2579" i="11"/>
  <c r="G2578" i="11"/>
  <c r="F2578" i="11"/>
  <c r="F2577" i="11"/>
  <c r="G2577" i="11" s="1"/>
  <c r="G2576" i="11"/>
  <c r="F2576" i="11"/>
  <c r="G2575" i="11"/>
  <c r="F2575" i="11"/>
  <c r="F2574" i="11"/>
  <c r="G2574" i="11" s="1"/>
  <c r="G2573" i="11"/>
  <c r="F2573" i="11"/>
  <c r="G2572" i="11"/>
  <c r="F2572" i="11"/>
  <c r="F2571" i="11"/>
  <c r="G2571" i="11" s="1"/>
  <c r="G2570" i="11"/>
  <c r="F2570" i="11"/>
  <c r="G2569" i="11"/>
  <c r="F2569" i="11"/>
  <c r="F2568" i="11"/>
  <c r="G2568" i="11" s="1"/>
  <c r="G2567" i="11"/>
  <c r="F2567" i="11"/>
  <c r="G2566" i="11"/>
  <c r="F2566" i="11"/>
  <c r="F2565" i="11"/>
  <c r="G2565" i="11" s="1"/>
  <c r="G2564" i="11"/>
  <c r="F2564" i="11"/>
  <c r="G2563" i="11"/>
  <c r="F2563" i="11"/>
  <c r="F2562" i="11"/>
  <c r="G2562" i="11" s="1"/>
  <c r="G2561" i="11"/>
  <c r="F2561" i="11"/>
  <c r="G2560" i="11"/>
  <c r="F2560" i="11"/>
  <c r="F2559" i="11"/>
  <c r="G2559" i="11" s="1"/>
  <c r="G2558" i="11"/>
  <c r="F2558" i="11"/>
  <c r="G2557" i="11"/>
  <c r="F2557" i="11"/>
  <c r="F2556" i="11"/>
  <c r="G2556" i="11" s="1"/>
  <c r="G2555" i="11"/>
  <c r="F2555" i="11"/>
  <c r="G2554" i="11"/>
  <c r="F2554" i="11"/>
  <c r="F2553" i="11"/>
  <c r="G2553" i="11" s="1"/>
  <c r="G2552" i="11"/>
  <c r="F2552" i="11"/>
  <c r="G2551" i="11"/>
  <c r="F2551" i="11"/>
  <c r="F2550" i="11"/>
  <c r="G2550" i="11" s="1"/>
  <c r="G2549" i="11"/>
  <c r="F2549" i="11"/>
  <c r="G2548" i="11"/>
  <c r="F2548" i="11"/>
  <c r="F2547" i="11"/>
  <c r="G2547" i="11" s="1"/>
  <c r="G2546" i="11"/>
  <c r="F2546" i="11"/>
  <c r="G2545" i="11"/>
  <c r="F2545" i="11"/>
  <c r="F2544" i="11"/>
  <c r="G2544" i="11" s="1"/>
  <c r="G2543" i="11"/>
  <c r="F2543" i="11"/>
  <c r="G2542" i="11"/>
  <c r="F2542" i="11"/>
  <c r="F2541" i="11"/>
  <c r="G2541" i="11" s="1"/>
  <c r="G2540" i="11"/>
  <c r="F2540" i="11"/>
  <c r="G2539" i="11"/>
  <c r="F2539" i="11"/>
  <c r="F2538" i="11"/>
  <c r="G2538" i="11" s="1"/>
  <c r="G2537" i="11"/>
  <c r="F2537" i="11"/>
  <c r="G2536" i="11"/>
  <c r="F2536" i="11"/>
  <c r="F2535" i="11"/>
  <c r="G2535" i="11" s="1"/>
  <c r="G2534" i="11"/>
  <c r="F2534" i="11"/>
  <c r="G2533" i="11"/>
  <c r="F2533" i="11"/>
  <c r="F2532" i="11"/>
  <c r="G2532" i="11" s="1"/>
  <c r="G2531" i="11"/>
  <c r="F2531" i="11"/>
  <c r="G2530" i="11"/>
  <c r="F2530" i="11"/>
  <c r="F2529" i="11"/>
  <c r="G2529" i="11" s="1"/>
  <c r="G2528" i="11"/>
  <c r="F2528" i="11"/>
  <c r="G2527" i="11"/>
  <c r="F2527" i="11"/>
  <c r="F2526" i="11"/>
  <c r="G2526" i="11" s="1"/>
  <c r="G2525" i="11"/>
  <c r="F2525" i="11"/>
  <c r="G2524" i="11"/>
  <c r="F2524" i="11"/>
  <c r="F2523" i="11"/>
  <c r="G2523" i="11" s="1"/>
  <c r="F2522" i="11"/>
  <c r="G2522" i="11" s="1"/>
  <c r="G2521" i="11"/>
  <c r="F2521" i="11"/>
  <c r="F2520" i="11"/>
  <c r="G2520" i="11" s="1"/>
  <c r="G2519" i="11"/>
  <c r="F2519" i="11"/>
  <c r="G2518" i="11"/>
  <c r="F2518" i="11"/>
  <c r="F2517" i="11"/>
  <c r="G2517" i="11" s="1"/>
  <c r="G2516" i="11"/>
  <c r="F2516" i="11"/>
  <c r="G2515" i="11"/>
  <c r="F2515" i="11"/>
  <c r="F2514" i="11"/>
  <c r="G2514" i="11" s="1"/>
  <c r="G2513" i="11"/>
  <c r="F2513" i="11"/>
  <c r="G2512" i="11"/>
  <c r="F2512" i="11"/>
  <c r="F2511" i="11"/>
  <c r="G2511" i="11" s="1"/>
  <c r="F2510" i="11"/>
  <c r="G2510" i="11" s="1"/>
  <c r="G2509" i="11"/>
  <c r="F2509" i="11"/>
  <c r="F2508" i="11"/>
  <c r="G2508" i="11" s="1"/>
  <c r="F2507" i="11"/>
  <c r="G2507" i="11" s="1"/>
  <c r="G2506" i="11"/>
  <c r="F2506" i="11"/>
  <c r="F2505" i="11"/>
  <c r="G2505" i="11" s="1"/>
  <c r="F2504" i="11"/>
  <c r="G2504" i="11" s="1"/>
  <c r="G2503" i="11"/>
  <c r="F2503" i="11"/>
  <c r="F2502" i="11"/>
  <c r="G2502" i="11" s="1"/>
  <c r="F2501" i="11"/>
  <c r="G2501" i="11" s="1"/>
  <c r="G2500" i="11"/>
  <c r="F2500" i="11"/>
  <c r="F2499" i="11"/>
  <c r="G2499" i="11" s="1"/>
  <c r="F2498" i="11"/>
  <c r="G2498" i="11" s="1"/>
  <c r="G2497" i="11"/>
  <c r="F2497" i="11"/>
  <c r="F2496" i="11"/>
  <c r="G2496" i="11" s="1"/>
  <c r="F2495" i="11"/>
  <c r="G2495" i="11" s="1"/>
  <c r="G2494" i="11"/>
  <c r="F2494" i="11"/>
  <c r="F2493" i="11"/>
  <c r="G2493" i="11" s="1"/>
  <c r="F2492" i="11"/>
  <c r="G2492" i="11" s="1"/>
  <c r="G2491" i="11"/>
  <c r="F2491" i="11"/>
  <c r="F2490" i="11"/>
  <c r="G2490" i="11" s="1"/>
  <c r="F2489" i="11"/>
  <c r="G2489" i="11" s="1"/>
  <c r="G2488" i="11"/>
  <c r="F2488" i="11"/>
  <c r="F2487" i="11"/>
  <c r="G2487" i="11" s="1"/>
  <c r="F2486" i="11"/>
  <c r="G2486" i="11" s="1"/>
  <c r="G2485" i="11"/>
  <c r="F2485" i="11"/>
  <c r="F2484" i="11"/>
  <c r="G2484" i="11" s="1"/>
  <c r="F2483" i="11"/>
  <c r="G2483" i="11" s="1"/>
  <c r="G2482" i="11"/>
  <c r="F2482" i="11"/>
  <c r="F2481" i="11"/>
  <c r="G2481" i="11" s="1"/>
  <c r="F2480" i="11"/>
  <c r="G2480" i="11" s="1"/>
  <c r="G2479" i="11"/>
  <c r="F2479" i="11"/>
  <c r="F2478" i="11"/>
  <c r="G2478" i="11" s="1"/>
  <c r="F2477" i="11"/>
  <c r="G2477" i="11" s="1"/>
  <c r="G2476" i="11"/>
  <c r="F2476" i="11"/>
  <c r="F2475" i="11"/>
  <c r="G2475" i="11" s="1"/>
  <c r="F2474" i="11"/>
  <c r="G2474" i="11" s="1"/>
  <c r="G2473" i="11"/>
  <c r="F2473" i="11"/>
  <c r="F2472" i="11"/>
  <c r="G2472" i="11" s="1"/>
  <c r="F2471" i="11"/>
  <c r="G2471" i="11" s="1"/>
  <c r="G2470" i="11"/>
  <c r="F2470" i="11"/>
  <c r="F2469" i="11"/>
  <c r="G2469" i="11" s="1"/>
  <c r="F2468" i="11"/>
  <c r="G2468" i="11" s="1"/>
  <c r="G2467" i="11"/>
  <c r="F2467" i="11"/>
  <c r="F2466" i="11"/>
  <c r="G2466" i="11" s="1"/>
  <c r="F2465" i="11"/>
  <c r="G2465" i="11" s="1"/>
  <c r="G2464" i="11"/>
  <c r="F2464" i="11"/>
  <c r="F2463" i="11"/>
  <c r="G2463" i="11" s="1"/>
  <c r="F2462" i="11"/>
  <c r="G2462" i="11" s="1"/>
  <c r="G2461" i="11"/>
  <c r="F2461" i="11"/>
  <c r="F2460" i="11"/>
  <c r="G2460" i="11" s="1"/>
  <c r="F2459" i="11"/>
  <c r="G2459" i="11" s="1"/>
  <c r="G2458" i="11"/>
  <c r="F2458" i="11"/>
  <c r="F2457" i="11"/>
  <c r="G2457" i="11" s="1"/>
  <c r="F2456" i="11"/>
  <c r="G2456" i="11" s="1"/>
  <c r="G2455" i="11"/>
  <c r="F2455" i="11"/>
  <c r="F2454" i="11"/>
  <c r="G2454" i="11" s="1"/>
  <c r="F2453" i="11"/>
  <c r="G2453" i="11" s="1"/>
  <c r="G2452" i="11"/>
  <c r="F2452" i="11"/>
  <c r="F2451" i="11"/>
  <c r="G2451" i="11" s="1"/>
  <c r="F2450" i="11"/>
  <c r="G2450" i="11" s="1"/>
  <c r="G2449" i="11"/>
  <c r="F2449" i="11"/>
  <c r="F2448" i="11"/>
  <c r="G2448" i="11" s="1"/>
  <c r="F2447" i="11"/>
  <c r="G2447" i="11" s="1"/>
  <c r="G2446" i="11"/>
  <c r="F2446" i="11"/>
  <c r="F2445" i="11"/>
  <c r="G2445" i="11" s="1"/>
  <c r="F2444" i="11"/>
  <c r="G2444" i="11" s="1"/>
  <c r="G2443" i="11"/>
  <c r="F2443" i="11"/>
  <c r="F2442" i="11"/>
  <c r="G2442" i="11" s="1"/>
  <c r="F2441" i="11"/>
  <c r="G2441" i="11" s="1"/>
  <c r="G2440" i="11"/>
  <c r="F2440" i="11"/>
  <c r="F2439" i="11"/>
  <c r="G2439" i="11" s="1"/>
  <c r="F2438" i="11"/>
  <c r="G2438" i="11" s="1"/>
  <c r="G2437" i="11"/>
  <c r="F2437" i="11"/>
  <c r="F2436" i="11"/>
  <c r="G2436" i="11" s="1"/>
  <c r="F2435" i="11"/>
  <c r="G2435" i="11" s="1"/>
  <c r="G2434" i="11"/>
  <c r="F2434" i="11"/>
  <c r="F2433" i="11"/>
  <c r="G2433" i="11" s="1"/>
  <c r="F2432" i="11"/>
  <c r="G2432" i="11" s="1"/>
  <c r="G2431" i="11"/>
  <c r="F2431" i="11"/>
  <c r="F2430" i="11"/>
  <c r="G2430" i="11" s="1"/>
  <c r="F2429" i="11"/>
  <c r="G2429" i="11" s="1"/>
  <c r="G2428" i="11"/>
  <c r="F2428" i="11"/>
  <c r="F2427" i="11"/>
  <c r="G2427" i="11" s="1"/>
  <c r="F2426" i="11"/>
  <c r="G2426" i="11" s="1"/>
  <c r="G2425" i="11"/>
  <c r="F2425" i="11"/>
  <c r="F2424" i="11"/>
  <c r="G2424" i="11" s="1"/>
  <c r="F2423" i="11"/>
  <c r="G2423" i="11" s="1"/>
  <c r="G2422" i="11"/>
  <c r="F2422" i="11"/>
  <c r="F2421" i="11"/>
  <c r="G2421" i="11" s="1"/>
  <c r="F2420" i="11"/>
  <c r="G2420" i="11" s="1"/>
  <c r="G2419" i="11"/>
  <c r="F2419" i="11"/>
  <c r="F2418" i="11"/>
  <c r="G2418" i="11" s="1"/>
  <c r="F2417" i="11"/>
  <c r="G2417" i="11" s="1"/>
  <c r="G2416" i="11"/>
  <c r="F2416" i="11"/>
  <c r="F2415" i="11"/>
  <c r="G2415" i="11" s="1"/>
  <c r="F2414" i="11"/>
  <c r="G2414" i="11" s="1"/>
  <c r="G2413" i="11"/>
  <c r="F2413" i="11"/>
  <c r="F2412" i="11"/>
  <c r="G2412" i="11" s="1"/>
  <c r="F2411" i="11"/>
  <c r="G2411" i="11" s="1"/>
  <c r="G2410" i="11"/>
  <c r="F2410" i="11"/>
  <c r="F2409" i="11"/>
  <c r="G2409" i="11" s="1"/>
  <c r="F2408" i="11"/>
  <c r="G2408" i="11" s="1"/>
  <c r="G2407" i="11"/>
  <c r="F2407" i="11"/>
  <c r="F2406" i="11"/>
  <c r="G2406" i="11" s="1"/>
  <c r="F2405" i="11"/>
  <c r="G2405" i="11" s="1"/>
  <c r="G2404" i="11"/>
  <c r="F2404" i="11"/>
  <c r="F2403" i="11"/>
  <c r="G2403" i="11" s="1"/>
  <c r="F2402" i="11"/>
  <c r="G2402" i="11" s="1"/>
  <c r="G2401" i="11"/>
  <c r="F2401" i="11"/>
  <c r="F2400" i="11"/>
  <c r="G2400" i="11" s="1"/>
  <c r="F2399" i="11"/>
  <c r="G2399" i="11" s="1"/>
  <c r="G2398" i="11"/>
  <c r="F2398" i="11"/>
  <c r="F2397" i="11"/>
  <c r="G2397" i="11" s="1"/>
  <c r="F2396" i="11"/>
  <c r="G2396" i="11" s="1"/>
  <c r="G2395" i="11"/>
  <c r="F2395" i="11"/>
  <c r="F2394" i="11"/>
  <c r="G2394" i="11" s="1"/>
  <c r="F2393" i="11"/>
  <c r="G2393" i="11" s="1"/>
  <c r="G2392" i="11"/>
  <c r="F2392" i="11"/>
  <c r="F2391" i="11"/>
  <c r="G2391" i="11" s="1"/>
  <c r="F2390" i="11"/>
  <c r="G2390" i="11" s="1"/>
  <c r="G2389" i="11"/>
  <c r="F2389" i="11"/>
  <c r="F2388" i="11"/>
  <c r="G2388" i="11" s="1"/>
  <c r="F2387" i="11"/>
  <c r="G2387" i="11" s="1"/>
  <c r="G2386" i="11"/>
  <c r="F2386" i="11"/>
  <c r="F2385" i="11"/>
  <c r="G2385" i="11" s="1"/>
  <c r="F2384" i="11"/>
  <c r="G2384" i="11" s="1"/>
  <c r="G2383" i="11"/>
  <c r="F2383" i="11"/>
  <c r="F2382" i="11"/>
  <c r="G2382" i="11" s="1"/>
  <c r="F2381" i="11"/>
  <c r="G2381" i="11" s="1"/>
  <c r="G2380" i="11"/>
  <c r="F2380" i="11"/>
  <c r="F2379" i="11"/>
  <c r="G2379" i="11" s="1"/>
  <c r="F2378" i="11"/>
  <c r="G2378" i="11" s="1"/>
  <c r="G2377" i="11"/>
  <c r="F2377" i="11"/>
  <c r="F2376" i="11"/>
  <c r="G2376" i="11" s="1"/>
  <c r="F2375" i="11"/>
  <c r="G2375" i="11" s="1"/>
  <c r="G2374" i="11"/>
  <c r="F2374" i="11"/>
  <c r="F2373" i="11"/>
  <c r="G2373" i="11" s="1"/>
  <c r="F2372" i="11"/>
  <c r="G2372" i="11" s="1"/>
  <c r="G2371" i="11"/>
  <c r="F2371" i="11"/>
  <c r="F2370" i="11"/>
  <c r="G2370" i="11" s="1"/>
  <c r="F2369" i="11"/>
  <c r="G2369" i="11" s="1"/>
  <c r="G2368" i="11"/>
  <c r="F2368" i="11"/>
  <c r="F2367" i="11"/>
  <c r="G2367" i="11" s="1"/>
  <c r="F2366" i="11"/>
  <c r="G2366" i="11" s="1"/>
  <c r="G2365" i="11"/>
  <c r="F2365" i="11"/>
  <c r="F2364" i="11"/>
  <c r="G2364" i="11" s="1"/>
  <c r="F2363" i="11"/>
  <c r="G2363" i="11" s="1"/>
  <c r="G2362" i="11"/>
  <c r="F2362" i="11"/>
  <c r="F2361" i="11"/>
  <c r="G2361" i="11" s="1"/>
  <c r="F2360" i="11"/>
  <c r="G2360" i="11" s="1"/>
  <c r="G2359" i="11"/>
  <c r="F2359" i="11"/>
  <c r="F2358" i="11"/>
  <c r="G2358" i="11" s="1"/>
  <c r="F2357" i="11"/>
  <c r="G2357" i="11" s="1"/>
  <c r="G2356" i="11"/>
  <c r="F2356" i="11"/>
  <c r="F2355" i="11"/>
  <c r="G2355" i="11" s="1"/>
  <c r="F2354" i="11"/>
  <c r="G2354" i="11" s="1"/>
  <c r="G2353" i="11"/>
  <c r="F2353" i="11"/>
  <c r="F2352" i="11"/>
  <c r="G2352" i="11" s="1"/>
  <c r="F2351" i="11"/>
  <c r="G2351" i="11" s="1"/>
  <c r="G2350" i="11"/>
  <c r="F2350" i="11"/>
  <c r="F2349" i="11"/>
  <c r="G2349" i="11" s="1"/>
  <c r="F2348" i="11"/>
  <c r="G2348" i="11" s="1"/>
  <c r="G2347" i="11"/>
  <c r="F2347" i="11"/>
  <c r="F2346" i="11"/>
  <c r="G2346" i="11" s="1"/>
  <c r="F2345" i="11"/>
  <c r="G2345" i="11" s="1"/>
  <c r="G2344" i="11"/>
  <c r="F2344" i="11"/>
  <c r="F2343" i="11"/>
  <c r="G2343" i="11" s="1"/>
  <c r="F2342" i="11"/>
  <c r="G2342" i="11" s="1"/>
  <c r="G2341" i="11"/>
  <c r="F2341" i="11"/>
  <c r="F2340" i="11"/>
  <c r="G2340" i="11" s="1"/>
  <c r="F2339" i="11"/>
  <c r="G2339" i="11" s="1"/>
  <c r="G2338" i="11"/>
  <c r="F2338" i="11"/>
  <c r="F2337" i="11"/>
  <c r="G2337" i="11" s="1"/>
  <c r="F2336" i="11"/>
  <c r="G2336" i="11" s="1"/>
  <c r="G2335" i="11"/>
  <c r="F2335" i="11"/>
  <c r="F2334" i="11"/>
  <c r="G2334" i="11" s="1"/>
  <c r="F2333" i="11"/>
  <c r="G2333" i="11" s="1"/>
  <c r="G2332" i="11"/>
  <c r="F2332" i="11"/>
  <c r="F2331" i="11"/>
  <c r="G2331" i="11" s="1"/>
  <c r="F2330" i="11"/>
  <c r="G2330" i="11" s="1"/>
  <c r="G2329" i="11"/>
  <c r="F2329" i="11"/>
  <c r="F2328" i="11"/>
  <c r="G2328" i="11" s="1"/>
  <c r="F2327" i="11"/>
  <c r="G2327" i="11" s="1"/>
  <c r="G2326" i="11"/>
  <c r="F2326" i="11"/>
  <c r="F2325" i="11"/>
  <c r="G2325" i="11" s="1"/>
  <c r="F2324" i="11"/>
  <c r="G2324" i="11" s="1"/>
  <c r="G2323" i="11"/>
  <c r="F2323" i="11"/>
  <c r="F2322" i="11"/>
  <c r="G2322" i="11" s="1"/>
  <c r="F2321" i="11"/>
  <c r="G2321" i="11" s="1"/>
  <c r="G2320" i="11"/>
  <c r="F2320" i="11"/>
  <c r="F2319" i="11"/>
  <c r="G2319" i="11" s="1"/>
  <c r="F2318" i="11"/>
  <c r="G2318" i="11" s="1"/>
  <c r="G2317" i="11"/>
  <c r="F2317" i="11"/>
  <c r="F2316" i="11"/>
  <c r="G2316" i="11" s="1"/>
  <c r="F2315" i="11"/>
  <c r="G2315" i="11" s="1"/>
  <c r="G2314" i="11"/>
  <c r="F2314" i="11"/>
  <c r="G2313" i="11"/>
  <c r="F2313" i="11"/>
  <c r="F2312" i="11"/>
  <c r="G2312" i="11" s="1"/>
  <c r="G2311" i="11"/>
  <c r="F2311" i="11"/>
  <c r="F2310" i="11"/>
  <c r="G2310" i="11" s="1"/>
  <c r="F2309" i="11"/>
  <c r="G2309" i="11" s="1"/>
  <c r="G2308" i="11"/>
  <c r="F2308" i="11"/>
  <c r="F2307" i="11"/>
  <c r="G2307" i="11" s="1"/>
  <c r="F2306" i="11"/>
  <c r="G2306" i="11" s="1"/>
  <c r="G2305" i="11"/>
  <c r="F2305" i="11"/>
  <c r="F2304" i="11"/>
  <c r="G2304" i="11" s="1"/>
  <c r="F2303" i="11"/>
  <c r="G2303" i="11" s="1"/>
  <c r="G2302" i="11"/>
  <c r="F2302" i="11"/>
  <c r="F2301" i="11"/>
  <c r="G2301" i="11" s="1"/>
  <c r="F2300" i="11"/>
  <c r="G2300" i="11" s="1"/>
  <c r="G2299" i="11"/>
  <c r="F2299" i="11"/>
  <c r="F2298" i="11"/>
  <c r="G2298" i="11" s="1"/>
  <c r="F2297" i="11"/>
  <c r="G2297" i="11" s="1"/>
  <c r="G2296" i="11"/>
  <c r="F2296" i="11"/>
  <c r="F2295" i="11"/>
  <c r="G2295" i="11" s="1"/>
  <c r="F2294" i="11"/>
  <c r="G2294" i="11" s="1"/>
  <c r="G2293" i="11"/>
  <c r="F2293" i="11"/>
  <c r="F2292" i="11"/>
  <c r="G2292" i="11" s="1"/>
  <c r="F2291" i="11"/>
  <c r="G2291" i="11" s="1"/>
  <c r="G2290" i="11"/>
  <c r="F2290" i="11"/>
  <c r="F2289" i="11"/>
  <c r="G2289" i="11" s="1"/>
  <c r="F2288" i="11"/>
  <c r="G2288" i="11" s="1"/>
  <c r="G2287" i="11"/>
  <c r="F2287" i="11"/>
  <c r="F2286" i="11"/>
  <c r="G2286" i="11" s="1"/>
  <c r="F2285" i="11"/>
  <c r="G2285" i="11" s="1"/>
  <c r="G2284" i="11"/>
  <c r="F2284" i="11"/>
  <c r="F2283" i="11"/>
  <c r="G2283" i="11" s="1"/>
  <c r="F2282" i="11"/>
  <c r="G2282" i="11" s="1"/>
  <c r="G2281" i="11"/>
  <c r="F2281" i="11"/>
  <c r="F2280" i="11"/>
  <c r="G2280" i="11" s="1"/>
  <c r="F2279" i="11"/>
  <c r="G2279" i="11" s="1"/>
  <c r="G2278" i="11"/>
  <c r="F2278" i="11"/>
  <c r="F2277" i="11"/>
  <c r="G2277" i="11" s="1"/>
  <c r="F2276" i="11"/>
  <c r="G2276" i="11" s="1"/>
  <c r="G2275" i="11"/>
  <c r="F2275" i="11"/>
  <c r="F2274" i="11"/>
  <c r="G2274" i="11" s="1"/>
  <c r="F2273" i="11"/>
  <c r="G2273" i="11" s="1"/>
  <c r="G2272" i="11"/>
  <c r="F2272" i="11"/>
  <c r="F2271" i="11"/>
  <c r="G2271" i="11" s="1"/>
  <c r="F2270" i="11"/>
  <c r="G2270" i="11" s="1"/>
  <c r="G2269" i="11"/>
  <c r="F2269" i="11"/>
  <c r="F2268" i="11"/>
  <c r="G2268" i="11" s="1"/>
  <c r="F2267" i="11"/>
  <c r="G2267" i="11" s="1"/>
  <c r="G2266" i="11"/>
  <c r="F2266" i="11"/>
  <c r="F2265" i="11"/>
  <c r="G2265" i="11" s="1"/>
  <c r="F2264" i="11"/>
  <c r="G2264" i="11" s="1"/>
  <c r="G2263" i="11"/>
  <c r="F2263" i="11"/>
  <c r="F2262" i="11"/>
  <c r="G2262" i="11" s="1"/>
  <c r="F2261" i="11"/>
  <c r="G2261" i="11" s="1"/>
  <c r="G2260" i="11"/>
  <c r="F2260" i="11"/>
  <c r="F2259" i="11"/>
  <c r="G2259" i="11" s="1"/>
  <c r="F2258" i="11"/>
  <c r="G2258" i="11" s="1"/>
  <c r="G2257" i="11"/>
  <c r="F2257" i="11"/>
  <c r="F2256" i="11"/>
  <c r="G2256" i="11" s="1"/>
  <c r="F2255" i="11"/>
  <c r="G2255" i="11" s="1"/>
  <c r="G2254" i="11"/>
  <c r="F2254" i="11"/>
  <c r="F2253" i="11"/>
  <c r="G2253" i="11" s="1"/>
  <c r="F2252" i="11"/>
  <c r="G2252" i="11" s="1"/>
  <c r="G2251" i="11"/>
  <c r="F2251" i="11"/>
  <c r="F2250" i="11"/>
  <c r="G2250" i="11" s="1"/>
  <c r="F2249" i="11"/>
  <c r="G2249" i="11" s="1"/>
  <c r="G2248" i="11"/>
  <c r="F2248" i="11"/>
  <c r="F2247" i="11"/>
  <c r="G2247" i="11" s="1"/>
  <c r="F2246" i="11"/>
  <c r="G2246" i="11" s="1"/>
  <c r="G2245" i="11"/>
  <c r="F2245" i="11"/>
  <c r="F2244" i="11"/>
  <c r="G2244" i="11" s="1"/>
  <c r="F2243" i="11"/>
  <c r="G2243" i="11" s="1"/>
  <c r="G2242" i="11"/>
  <c r="F2242" i="11"/>
  <c r="F2241" i="11"/>
  <c r="G2241" i="11" s="1"/>
  <c r="F2240" i="11"/>
  <c r="G2240" i="11" s="1"/>
  <c r="G2239" i="11"/>
  <c r="F2239" i="11"/>
  <c r="F2238" i="11"/>
  <c r="G2238" i="11" s="1"/>
  <c r="F2237" i="11"/>
  <c r="G2237" i="11" s="1"/>
  <c r="G2236" i="11"/>
  <c r="F2236" i="11"/>
  <c r="F2235" i="11"/>
  <c r="G2235" i="11" s="1"/>
  <c r="F2234" i="11"/>
  <c r="G2234" i="11" s="1"/>
  <c r="G2233" i="11"/>
  <c r="F2233" i="11"/>
  <c r="F2232" i="11"/>
  <c r="G2232" i="11" s="1"/>
  <c r="F2231" i="11"/>
  <c r="G2231" i="11" s="1"/>
  <c r="G2230" i="11"/>
  <c r="F2230" i="11"/>
  <c r="F2229" i="11"/>
  <c r="G2229" i="11" s="1"/>
  <c r="F2228" i="11"/>
  <c r="G2228" i="11" s="1"/>
  <c r="G2227" i="11"/>
  <c r="F2227" i="11"/>
  <c r="F2226" i="11"/>
  <c r="G2226" i="11" s="1"/>
  <c r="F2225" i="11"/>
  <c r="G2225" i="11" s="1"/>
  <c r="G2224" i="11"/>
  <c r="F2224" i="11"/>
  <c r="F2223" i="11"/>
  <c r="G2223" i="11" s="1"/>
  <c r="F2222" i="11"/>
  <c r="G2222" i="11" s="1"/>
  <c r="G2221" i="11"/>
  <c r="F2221" i="11"/>
  <c r="F2220" i="11"/>
  <c r="G2220" i="11" s="1"/>
  <c r="F2219" i="11"/>
  <c r="G2219" i="11" s="1"/>
  <c r="G2218" i="11"/>
  <c r="F2218" i="11"/>
  <c r="F2217" i="11"/>
  <c r="G2217" i="11" s="1"/>
  <c r="F2216" i="11"/>
  <c r="G2216" i="11" s="1"/>
  <c r="G2215" i="11"/>
  <c r="F2215" i="11"/>
  <c r="F2214" i="11"/>
  <c r="G2214" i="11" s="1"/>
  <c r="F2213" i="11"/>
  <c r="G2213" i="11" s="1"/>
  <c r="G2212" i="11"/>
  <c r="F2212" i="11"/>
  <c r="F2211" i="11"/>
  <c r="G2211" i="11" s="1"/>
  <c r="F2210" i="11"/>
  <c r="G2210" i="11" s="1"/>
  <c r="G2209" i="11"/>
  <c r="F2209" i="11"/>
  <c r="F2208" i="11"/>
  <c r="G2208" i="11" s="1"/>
  <c r="F2207" i="11"/>
  <c r="G2207" i="11" s="1"/>
  <c r="G2206" i="11"/>
  <c r="F2206" i="11"/>
  <c r="F2205" i="11"/>
  <c r="G2205" i="11" s="1"/>
  <c r="F2204" i="11"/>
  <c r="G2204" i="11" s="1"/>
  <c r="G2203" i="11"/>
  <c r="F2203" i="11"/>
  <c r="F2202" i="11"/>
  <c r="G2202" i="11" s="1"/>
  <c r="F2201" i="11"/>
  <c r="G2201" i="11" s="1"/>
  <c r="G2200" i="11"/>
  <c r="F2200" i="11"/>
  <c r="F2199" i="11"/>
  <c r="G2199" i="11" s="1"/>
  <c r="F2198" i="11"/>
  <c r="G2198" i="11" s="1"/>
  <c r="G2197" i="11"/>
  <c r="F2197" i="11"/>
  <c r="F2196" i="11"/>
  <c r="G2196" i="11" s="1"/>
  <c r="F2195" i="11"/>
  <c r="G2195" i="11" s="1"/>
  <c r="G2194" i="11"/>
  <c r="F2194" i="11"/>
  <c r="F2193" i="11"/>
  <c r="G2193" i="11" s="1"/>
  <c r="F2192" i="11"/>
  <c r="G2192" i="11" s="1"/>
  <c r="G2191" i="11"/>
  <c r="F2191" i="11"/>
  <c r="F2190" i="11"/>
  <c r="G2190" i="11" s="1"/>
  <c r="F2189" i="11"/>
  <c r="G2189" i="11" s="1"/>
  <c r="G2188" i="11"/>
  <c r="F2188" i="11"/>
  <c r="F2187" i="11"/>
  <c r="G2187" i="11" s="1"/>
  <c r="F2186" i="11"/>
  <c r="G2186" i="11" s="1"/>
  <c r="G2185" i="11"/>
  <c r="F2185" i="11"/>
  <c r="F2184" i="11"/>
  <c r="G2184" i="11" s="1"/>
  <c r="F2183" i="11"/>
  <c r="G2183" i="11" s="1"/>
  <c r="G2182" i="11"/>
  <c r="F2182" i="11"/>
  <c r="F2181" i="11"/>
  <c r="G2181" i="11" s="1"/>
  <c r="F2180" i="11"/>
  <c r="G2180" i="11" s="1"/>
  <c r="G2179" i="11"/>
  <c r="F2179" i="11"/>
  <c r="F2178" i="11"/>
  <c r="G2178" i="11" s="1"/>
  <c r="F2177" i="11"/>
  <c r="G2177" i="11" s="1"/>
  <c r="G2176" i="11"/>
  <c r="F2176" i="11"/>
  <c r="F2175" i="11"/>
  <c r="G2175" i="11" s="1"/>
  <c r="F2174" i="11"/>
  <c r="G2174" i="11" s="1"/>
  <c r="G2173" i="11"/>
  <c r="F2173" i="11"/>
  <c r="F2172" i="11"/>
  <c r="G2172" i="11" s="1"/>
  <c r="F2171" i="11"/>
  <c r="G2171" i="11" s="1"/>
  <c r="G2170" i="11"/>
  <c r="F2170" i="11"/>
  <c r="F2169" i="11"/>
  <c r="G2169" i="11" s="1"/>
  <c r="F2168" i="11"/>
  <c r="G2168" i="11" s="1"/>
  <c r="G2167" i="11"/>
  <c r="F2167" i="11"/>
  <c r="F2166" i="11"/>
  <c r="G2166" i="11" s="1"/>
  <c r="F2165" i="11"/>
  <c r="G2165" i="11" s="1"/>
  <c r="G2164" i="11"/>
  <c r="F2164" i="11"/>
  <c r="F2163" i="11"/>
  <c r="G2163" i="11" s="1"/>
  <c r="F2162" i="11"/>
  <c r="G2162" i="11" s="1"/>
  <c r="G2161" i="11"/>
  <c r="F2161" i="11"/>
  <c r="F2160" i="11"/>
  <c r="G2160" i="11" s="1"/>
  <c r="F2159" i="11"/>
  <c r="G2159" i="11" s="1"/>
  <c r="G2158" i="11"/>
  <c r="F2158" i="11"/>
  <c r="F2157" i="11"/>
  <c r="G2157" i="11" s="1"/>
  <c r="F2156" i="11"/>
  <c r="G2156" i="11" s="1"/>
  <c r="G2155" i="11"/>
  <c r="F2155" i="11"/>
  <c r="F2154" i="11"/>
  <c r="G2154" i="11" s="1"/>
  <c r="F2153" i="11"/>
  <c r="G2153" i="11" s="1"/>
  <c r="G2152" i="11"/>
  <c r="F2152" i="11"/>
  <c r="F2151" i="11"/>
  <c r="G2151" i="11" s="1"/>
  <c r="F2150" i="11"/>
  <c r="G2150" i="11" s="1"/>
  <c r="G2149" i="11"/>
  <c r="F2149" i="11"/>
  <c r="F2148" i="11"/>
  <c r="G2148" i="11" s="1"/>
  <c r="F2147" i="11"/>
  <c r="G2147" i="11" s="1"/>
  <c r="G2146" i="11"/>
  <c r="F2146" i="11"/>
  <c r="F2145" i="11"/>
  <c r="G2145" i="11" s="1"/>
  <c r="F2144" i="11"/>
  <c r="G2144" i="11" s="1"/>
  <c r="G2143" i="11"/>
  <c r="F2143" i="11"/>
  <c r="F2142" i="11"/>
  <c r="G2142" i="11" s="1"/>
  <c r="F2141" i="11"/>
  <c r="G2141" i="11" s="1"/>
  <c r="G2140" i="11"/>
  <c r="F2140" i="11"/>
  <c r="F2139" i="11"/>
  <c r="G2139" i="11" s="1"/>
  <c r="F2138" i="11"/>
  <c r="G2138" i="11" s="1"/>
  <c r="G2137" i="11"/>
  <c r="F2137" i="11"/>
  <c r="F2136" i="11"/>
  <c r="G2136" i="11" s="1"/>
  <c r="F2135" i="11"/>
  <c r="G2135" i="11" s="1"/>
  <c r="G2134" i="11"/>
  <c r="F2134" i="11"/>
  <c r="F2133" i="11"/>
  <c r="G2133" i="11" s="1"/>
  <c r="F2132" i="11"/>
  <c r="G2132" i="11" s="1"/>
  <c r="G2131" i="11"/>
  <c r="F2131" i="11"/>
  <c r="F2130" i="11"/>
  <c r="G2130" i="11" s="1"/>
  <c r="F2129" i="11"/>
  <c r="G2129" i="11" s="1"/>
  <c r="G2128" i="11"/>
  <c r="F2128" i="11"/>
  <c r="F2127" i="11"/>
  <c r="G2127" i="11" s="1"/>
  <c r="F2126" i="11"/>
  <c r="G2126" i="11" s="1"/>
  <c r="G2125" i="11"/>
  <c r="F2125" i="11"/>
  <c r="F2124" i="11"/>
  <c r="G2124" i="11" s="1"/>
  <c r="F2123" i="11"/>
  <c r="G2123" i="11" s="1"/>
  <c r="G2122" i="11"/>
  <c r="F2122" i="11"/>
  <c r="F2121" i="11"/>
  <c r="G2121" i="11" s="1"/>
  <c r="F2120" i="11"/>
  <c r="G2120" i="11" s="1"/>
  <c r="F2119" i="11"/>
  <c r="G2119" i="11" s="1"/>
  <c r="F2118" i="11"/>
  <c r="G2118" i="11" s="1"/>
  <c r="F2117" i="11"/>
  <c r="G2117" i="11" s="1"/>
  <c r="G2116" i="11"/>
  <c r="F2116" i="11"/>
  <c r="F2115" i="11"/>
  <c r="G2115" i="11" s="1"/>
  <c r="F2114" i="11"/>
  <c r="G2114" i="11" s="1"/>
  <c r="F2113" i="11"/>
  <c r="G2113" i="11" s="1"/>
  <c r="F2112" i="11"/>
  <c r="G2112" i="11" s="1"/>
  <c r="F2111" i="11"/>
  <c r="G2111" i="11" s="1"/>
  <c r="F2110" i="11"/>
  <c r="G2110" i="11" s="1"/>
  <c r="F2109" i="11"/>
  <c r="G2109" i="11" s="1"/>
  <c r="F2108" i="11"/>
  <c r="G2108" i="11" s="1"/>
  <c r="G2107" i="11"/>
  <c r="F2107" i="11"/>
  <c r="F2106" i="11"/>
  <c r="G2106" i="11" s="1"/>
  <c r="F2105" i="11"/>
  <c r="G2105" i="11" s="1"/>
  <c r="F2104" i="11"/>
  <c r="G2104" i="11" s="1"/>
  <c r="F2103" i="11"/>
  <c r="G2103" i="11" s="1"/>
  <c r="F2102" i="11"/>
  <c r="G2102" i="11" s="1"/>
  <c r="F2101" i="11"/>
  <c r="G2101" i="11" s="1"/>
  <c r="F2100" i="11"/>
  <c r="G2100" i="11" s="1"/>
  <c r="F2099" i="11"/>
  <c r="G2099" i="11" s="1"/>
  <c r="G2098" i="11"/>
  <c r="F2098" i="11"/>
  <c r="F2097" i="11"/>
  <c r="G2097" i="11" s="1"/>
  <c r="F2096" i="11"/>
  <c r="G2096" i="11" s="1"/>
  <c r="G2095" i="11"/>
  <c r="F2095" i="11"/>
  <c r="F2094" i="11"/>
  <c r="G2094" i="11" s="1"/>
  <c r="F2093" i="11"/>
  <c r="G2093" i="11" s="1"/>
  <c r="F2092" i="11"/>
  <c r="G2092" i="11" s="1"/>
  <c r="F2091" i="11"/>
  <c r="G2091" i="11" s="1"/>
  <c r="F2090" i="11"/>
  <c r="G2090" i="11" s="1"/>
  <c r="G2089" i="11"/>
  <c r="F2089" i="11"/>
  <c r="F2088" i="11"/>
  <c r="G2088" i="11" s="1"/>
  <c r="F2087" i="11"/>
  <c r="G2087" i="11" s="1"/>
  <c r="G2086" i="11"/>
  <c r="F2086" i="11"/>
  <c r="F2085" i="11"/>
  <c r="G2085" i="11" s="1"/>
  <c r="G2084" i="11"/>
  <c r="F2084" i="11"/>
  <c r="G2083" i="11"/>
  <c r="F2083" i="11"/>
  <c r="F2082" i="11"/>
  <c r="G2082" i="11" s="1"/>
  <c r="F2081" i="11"/>
  <c r="G2081" i="11" s="1"/>
  <c r="F2080" i="11"/>
  <c r="G2080" i="11" s="1"/>
  <c r="F2079" i="11"/>
  <c r="G2079" i="11" s="1"/>
  <c r="F2078" i="11"/>
  <c r="G2078" i="11" s="1"/>
  <c r="G2077" i="11"/>
  <c r="F2077" i="11"/>
  <c r="F2076" i="11"/>
  <c r="G2076" i="11" s="1"/>
  <c r="G2075" i="11"/>
  <c r="F2075" i="11"/>
  <c r="F2074" i="11"/>
  <c r="G2074" i="11" s="1"/>
  <c r="F2073" i="11"/>
  <c r="G2073" i="11" s="1"/>
  <c r="G2072" i="11"/>
  <c r="F2072" i="11"/>
  <c r="F2071" i="11"/>
  <c r="G2071" i="11" s="1"/>
  <c r="F2070" i="11"/>
  <c r="G2070" i="11" s="1"/>
  <c r="F2069" i="11"/>
  <c r="G2069" i="11" s="1"/>
  <c r="G2068" i="11"/>
  <c r="F2068" i="11"/>
  <c r="F2067" i="11"/>
  <c r="G2067" i="11" s="1"/>
  <c r="G2066" i="11"/>
  <c r="F2066" i="11"/>
  <c r="G2065" i="11"/>
  <c r="F2065" i="11"/>
  <c r="F2064" i="11"/>
  <c r="G2064" i="11" s="1"/>
  <c r="F2063" i="11"/>
  <c r="G2063" i="11" s="1"/>
  <c r="F2062" i="11"/>
  <c r="G2062" i="11" s="1"/>
  <c r="F2061" i="11"/>
  <c r="G2061" i="11" s="1"/>
  <c r="F2060" i="11"/>
  <c r="G2060" i="11" s="1"/>
  <c r="G2059" i="11"/>
  <c r="F2059" i="11"/>
  <c r="F2058" i="11"/>
  <c r="G2058" i="11" s="1"/>
  <c r="G2057" i="11"/>
  <c r="F2057" i="11"/>
  <c r="F2056" i="11"/>
  <c r="G2056" i="11" s="1"/>
  <c r="F2055" i="11"/>
  <c r="G2055" i="11" s="1"/>
  <c r="G2054" i="11"/>
  <c r="F2054" i="11"/>
  <c r="F2053" i="11"/>
  <c r="G2053" i="11" s="1"/>
  <c r="F2052" i="11"/>
  <c r="G2052" i="11" s="1"/>
  <c r="F2051" i="11"/>
  <c r="G2051" i="11" s="1"/>
  <c r="G2050" i="11"/>
  <c r="F2050" i="11"/>
  <c r="F2049" i="11"/>
  <c r="G2049" i="11" s="1"/>
  <c r="G2048" i="11"/>
  <c r="F2048" i="11"/>
  <c r="G2047" i="11"/>
  <c r="F2047" i="11"/>
  <c r="F2046" i="11"/>
  <c r="G2046" i="11" s="1"/>
  <c r="F2045" i="11"/>
  <c r="G2045" i="11" s="1"/>
  <c r="F2044" i="11"/>
  <c r="G2044" i="11" s="1"/>
  <c r="F2043" i="11"/>
  <c r="G2043" i="11" s="1"/>
  <c r="F2042" i="11"/>
  <c r="G2042" i="11" s="1"/>
  <c r="G2041" i="11"/>
  <c r="F2041" i="11"/>
  <c r="F2040" i="11"/>
  <c r="G2040" i="11" s="1"/>
  <c r="G2039" i="11"/>
  <c r="F2039" i="11"/>
  <c r="F2038" i="11"/>
  <c r="G2038" i="11" s="1"/>
  <c r="F2037" i="11"/>
  <c r="G2037" i="11" s="1"/>
  <c r="G2036" i="11"/>
  <c r="F2036" i="11"/>
  <c r="F2035" i="11"/>
  <c r="G2035" i="11" s="1"/>
  <c r="F2034" i="11"/>
  <c r="G2034" i="11" s="1"/>
  <c r="F2033" i="11"/>
  <c r="G2033" i="11" s="1"/>
  <c r="G2032" i="11"/>
  <c r="F2032" i="11"/>
  <c r="F2031" i="11"/>
  <c r="G2031" i="11" s="1"/>
  <c r="G2030" i="11"/>
  <c r="F2030" i="11"/>
  <c r="G2029" i="11"/>
  <c r="F2029" i="11"/>
  <c r="F2028" i="11"/>
  <c r="G2028" i="11" s="1"/>
  <c r="F2027" i="11"/>
  <c r="G2027" i="11" s="1"/>
  <c r="F2026" i="11"/>
  <c r="G2026" i="11" s="1"/>
  <c r="F2025" i="11"/>
  <c r="G2025" i="11" s="1"/>
  <c r="F2024" i="11"/>
  <c r="G2024" i="11" s="1"/>
  <c r="G2023" i="11"/>
  <c r="F2023" i="11"/>
  <c r="F2022" i="11"/>
  <c r="G2022" i="11" s="1"/>
  <c r="G2021" i="11"/>
  <c r="F2021" i="11"/>
  <c r="F2020" i="11"/>
  <c r="G2020" i="11" s="1"/>
  <c r="F2019" i="11"/>
  <c r="G2019" i="11" s="1"/>
  <c r="G2018" i="11"/>
  <c r="F2018" i="11"/>
  <c r="F2017" i="11"/>
  <c r="G2017" i="11" s="1"/>
  <c r="F2016" i="11"/>
  <c r="G2016" i="11" s="1"/>
  <c r="F2015" i="11"/>
  <c r="G2015" i="11" s="1"/>
  <c r="G2014" i="11"/>
  <c r="F2014" i="11"/>
  <c r="F2013" i="11"/>
  <c r="G2013" i="11" s="1"/>
  <c r="G2012" i="11"/>
  <c r="F2012" i="11"/>
  <c r="G2011" i="11"/>
  <c r="F2011" i="11"/>
  <c r="F2010" i="11"/>
  <c r="G2010" i="11" s="1"/>
  <c r="F2009" i="11"/>
  <c r="G2009" i="11" s="1"/>
  <c r="F2008" i="11"/>
  <c r="G2008" i="11" s="1"/>
  <c r="F2007" i="11"/>
  <c r="G2007" i="11" s="1"/>
  <c r="F2006" i="11"/>
  <c r="G2006" i="11" s="1"/>
  <c r="G2005" i="11"/>
  <c r="F2005" i="11"/>
  <c r="F2004" i="11"/>
  <c r="G2004" i="11" s="1"/>
  <c r="G2003" i="11"/>
  <c r="F2003" i="11"/>
  <c r="F2002" i="11"/>
  <c r="G2002" i="11" s="1"/>
  <c r="F2001" i="11"/>
  <c r="G2001" i="11" s="1"/>
  <c r="G2000" i="11"/>
  <c r="F2000" i="11"/>
  <c r="F1999" i="11"/>
  <c r="G1999" i="11" s="1"/>
  <c r="F1998" i="11"/>
  <c r="G1998" i="11" s="1"/>
  <c r="F1997" i="11"/>
  <c r="G1997" i="11" s="1"/>
  <c r="G1996" i="11"/>
  <c r="F1996" i="11"/>
  <c r="F1995" i="11"/>
  <c r="G1995" i="11" s="1"/>
  <c r="G1994" i="11"/>
  <c r="F1994" i="11"/>
  <c r="G1993" i="11"/>
  <c r="F1993" i="11"/>
  <c r="F1992" i="11"/>
  <c r="G1992" i="11" s="1"/>
  <c r="F1991" i="11"/>
  <c r="G1991" i="11" s="1"/>
  <c r="F1990" i="11"/>
  <c r="G1990" i="11" s="1"/>
  <c r="F1989" i="11"/>
  <c r="G1989" i="11" s="1"/>
  <c r="F1988" i="11"/>
  <c r="G1988" i="11" s="1"/>
  <c r="G1987" i="11"/>
  <c r="F1987" i="11"/>
  <c r="F1986" i="11"/>
  <c r="G1986" i="11" s="1"/>
  <c r="G1985" i="11"/>
  <c r="F1985" i="11"/>
  <c r="F1984" i="11"/>
  <c r="G1984" i="11" s="1"/>
  <c r="F1983" i="11"/>
  <c r="G1983" i="11" s="1"/>
  <c r="G1982" i="11"/>
  <c r="F1982" i="11"/>
  <c r="F1981" i="11"/>
  <c r="G1981" i="11" s="1"/>
  <c r="F1980" i="11"/>
  <c r="G1980" i="11" s="1"/>
  <c r="F1979" i="11"/>
  <c r="G1979" i="11" s="1"/>
  <c r="G1978" i="11"/>
  <c r="F1978" i="11"/>
  <c r="F1977" i="11"/>
  <c r="G1977" i="11" s="1"/>
  <c r="G1976" i="11"/>
  <c r="F1976" i="11"/>
  <c r="G1975" i="11"/>
  <c r="F1975" i="11"/>
  <c r="F1974" i="11"/>
  <c r="G1974" i="11" s="1"/>
  <c r="F1973" i="11"/>
  <c r="G1973" i="11" s="1"/>
  <c r="F1972" i="11"/>
  <c r="G1972" i="11" s="1"/>
  <c r="F1971" i="11"/>
  <c r="G1971" i="11" s="1"/>
  <c r="F1970" i="11"/>
  <c r="G1970" i="11" s="1"/>
  <c r="G1969" i="11"/>
  <c r="F1969" i="11"/>
  <c r="F1968" i="11"/>
  <c r="G1968" i="11" s="1"/>
  <c r="G1967" i="11"/>
  <c r="F1967" i="11"/>
  <c r="F1966" i="11"/>
  <c r="G1966" i="11" s="1"/>
  <c r="F1965" i="11"/>
  <c r="G1965" i="11" s="1"/>
  <c r="G1964" i="11"/>
  <c r="F1964" i="11"/>
  <c r="F1963" i="11"/>
  <c r="G1963" i="11" s="1"/>
  <c r="F1962" i="11"/>
  <c r="G1962" i="11" s="1"/>
  <c r="F1961" i="11"/>
  <c r="G1961" i="11" s="1"/>
  <c r="G1960" i="11"/>
  <c r="F1960" i="11"/>
  <c r="F1959" i="11"/>
  <c r="G1959" i="11" s="1"/>
  <c r="G1958" i="11"/>
  <c r="F1958" i="11"/>
  <c r="G1957" i="11"/>
  <c r="F1957" i="11"/>
  <c r="F1956" i="11"/>
  <c r="G1956" i="11" s="1"/>
  <c r="F1955" i="11"/>
  <c r="G1955" i="11" s="1"/>
  <c r="F1954" i="11"/>
  <c r="G1954" i="11" s="1"/>
  <c r="F1953" i="11"/>
  <c r="G1953" i="11" s="1"/>
  <c r="F1952" i="11"/>
  <c r="G1952" i="11" s="1"/>
  <c r="G1951" i="11"/>
  <c r="F1951" i="11"/>
  <c r="F1950" i="11"/>
  <c r="G1950" i="11" s="1"/>
  <c r="G1949" i="11"/>
  <c r="F1949" i="11"/>
  <c r="F1948" i="11"/>
  <c r="G1948" i="11" s="1"/>
  <c r="F1947" i="11"/>
  <c r="G1947" i="11" s="1"/>
  <c r="G1946" i="11"/>
  <c r="F1946" i="11"/>
  <c r="F1945" i="11"/>
  <c r="G1945" i="11" s="1"/>
  <c r="F1944" i="11"/>
  <c r="G1944" i="11" s="1"/>
  <c r="F1943" i="11"/>
  <c r="G1943" i="11" s="1"/>
  <c r="G1942" i="11"/>
  <c r="F1942" i="11"/>
  <c r="F1941" i="11"/>
  <c r="G1941" i="11" s="1"/>
  <c r="G1940" i="11"/>
  <c r="F1940" i="11"/>
  <c r="G1939" i="11"/>
  <c r="F1939" i="11"/>
  <c r="F1938" i="11"/>
  <c r="G1938" i="11" s="1"/>
  <c r="F1937" i="11"/>
  <c r="G1937" i="11" s="1"/>
  <c r="F1936" i="11"/>
  <c r="G1936" i="11" s="1"/>
  <c r="F1935" i="11"/>
  <c r="G1935" i="11" s="1"/>
  <c r="F1934" i="11"/>
  <c r="G1934" i="11" s="1"/>
  <c r="G1933" i="11"/>
  <c r="F1933" i="11"/>
  <c r="F1932" i="11"/>
  <c r="G1932" i="11" s="1"/>
  <c r="G1931" i="11"/>
  <c r="F1931" i="11"/>
  <c r="F1930" i="11"/>
  <c r="G1930" i="11" s="1"/>
  <c r="F1929" i="11"/>
  <c r="G1929" i="11" s="1"/>
  <c r="G1928" i="11"/>
  <c r="F1928" i="11"/>
  <c r="F1927" i="11"/>
  <c r="G1927" i="11" s="1"/>
  <c r="F1926" i="11"/>
  <c r="G1926" i="11" s="1"/>
  <c r="F1925" i="11"/>
  <c r="G1925" i="11" s="1"/>
  <c r="G1924" i="11"/>
  <c r="F1924" i="11"/>
  <c r="F1923" i="11"/>
  <c r="G1923" i="11" s="1"/>
  <c r="G1922" i="11"/>
  <c r="F1922" i="11"/>
  <c r="G1921" i="11"/>
  <c r="F1921" i="11"/>
  <c r="F1920" i="11"/>
  <c r="G1920" i="11" s="1"/>
  <c r="F1919" i="11"/>
  <c r="G1919" i="11" s="1"/>
  <c r="F1918" i="11"/>
  <c r="G1918" i="11" s="1"/>
  <c r="F1917" i="11"/>
  <c r="G1917" i="11" s="1"/>
  <c r="F1916" i="11"/>
  <c r="G1916" i="11" s="1"/>
  <c r="G1915" i="11"/>
  <c r="F1915" i="11"/>
  <c r="F1914" i="11"/>
  <c r="G1914" i="11" s="1"/>
  <c r="G1913" i="11"/>
  <c r="F1913" i="11"/>
  <c r="F1912" i="11"/>
  <c r="G1912" i="11" s="1"/>
  <c r="F1911" i="11"/>
  <c r="G1911" i="11" s="1"/>
  <c r="G1910" i="11"/>
  <c r="F1910" i="11"/>
  <c r="F1909" i="11"/>
  <c r="G1909" i="11" s="1"/>
  <c r="F1908" i="11"/>
  <c r="G1908" i="11" s="1"/>
  <c r="F1907" i="11"/>
  <c r="G1907" i="11" s="1"/>
  <c r="G1906" i="11"/>
  <c r="F1906" i="11"/>
  <c r="F1905" i="11"/>
  <c r="G1905" i="11" s="1"/>
  <c r="G1904" i="11"/>
  <c r="F1904" i="11"/>
  <c r="G1903" i="11"/>
  <c r="F1903" i="11"/>
  <c r="F1902" i="11"/>
  <c r="G1902" i="11" s="1"/>
  <c r="F1901" i="11"/>
  <c r="G1901" i="11" s="1"/>
  <c r="F1900" i="11"/>
  <c r="G1900" i="11" s="1"/>
  <c r="F1899" i="11"/>
  <c r="G1899" i="11" s="1"/>
  <c r="F1898" i="11"/>
  <c r="G1898" i="11" s="1"/>
  <c r="G1897" i="11"/>
  <c r="F1897" i="11"/>
  <c r="F1896" i="11"/>
  <c r="G1896" i="11" s="1"/>
  <c r="G1895" i="11"/>
  <c r="F1895" i="11"/>
  <c r="F1894" i="11"/>
  <c r="G1894" i="11" s="1"/>
  <c r="F1893" i="11"/>
  <c r="G1893" i="11" s="1"/>
  <c r="G1892" i="11"/>
  <c r="F1892" i="11"/>
  <c r="F1891" i="11"/>
  <c r="G1891" i="11" s="1"/>
  <c r="F1890" i="11"/>
  <c r="G1890" i="11" s="1"/>
  <c r="F1889" i="11"/>
  <c r="G1889" i="11" s="1"/>
  <c r="G1888" i="11"/>
  <c r="F1888" i="11"/>
  <c r="F1887" i="11"/>
  <c r="G1887" i="11" s="1"/>
  <c r="G1886" i="11"/>
  <c r="F1886" i="11"/>
  <c r="G1885" i="11"/>
  <c r="F1885" i="11"/>
  <c r="F1884" i="11"/>
  <c r="G1884" i="11" s="1"/>
  <c r="F1883" i="11"/>
  <c r="G1883" i="11" s="1"/>
  <c r="F1882" i="11"/>
  <c r="G1882" i="11" s="1"/>
  <c r="F1881" i="11"/>
  <c r="G1881" i="11" s="1"/>
  <c r="F1880" i="11"/>
  <c r="G1880" i="11" s="1"/>
  <c r="G1879" i="11"/>
  <c r="F1879" i="11"/>
  <c r="F1878" i="11"/>
  <c r="G1878" i="11" s="1"/>
  <c r="G1877" i="11"/>
  <c r="F1877" i="11"/>
  <c r="F1876" i="11"/>
  <c r="G1876" i="11" s="1"/>
  <c r="F1875" i="11"/>
  <c r="G1875" i="11" s="1"/>
  <c r="G1874" i="11"/>
  <c r="F1874" i="11"/>
  <c r="F1873" i="11"/>
  <c r="G1873" i="11" s="1"/>
  <c r="F1872" i="11"/>
  <c r="G1872" i="11" s="1"/>
  <c r="F1871" i="11"/>
  <c r="G1871" i="11" s="1"/>
  <c r="G1870" i="11"/>
  <c r="F1870" i="11"/>
  <c r="F1869" i="11"/>
  <c r="G1869" i="11" s="1"/>
  <c r="G1868" i="11"/>
  <c r="F1868" i="11"/>
  <c r="G1867" i="11"/>
  <c r="F1867" i="11"/>
  <c r="F1866" i="11"/>
  <c r="G1866" i="11" s="1"/>
  <c r="F1865" i="11"/>
  <c r="G1865" i="11" s="1"/>
  <c r="F1864" i="11"/>
  <c r="G1864" i="11" s="1"/>
  <c r="F1863" i="11"/>
  <c r="G1863" i="11" s="1"/>
  <c r="F1862" i="11"/>
  <c r="G1862" i="11" s="1"/>
  <c r="G1861" i="11"/>
  <c r="F1861" i="11"/>
  <c r="F1860" i="11"/>
  <c r="G1860" i="11" s="1"/>
  <c r="G1859" i="11"/>
  <c r="F1859" i="11"/>
  <c r="F1858" i="11"/>
  <c r="G1858" i="11" s="1"/>
  <c r="F1857" i="11"/>
  <c r="G1857" i="11" s="1"/>
  <c r="G1856" i="11"/>
  <c r="F1856" i="11"/>
  <c r="F1855" i="11"/>
  <c r="G1855" i="11" s="1"/>
  <c r="F1854" i="11"/>
  <c r="G1854" i="11" s="1"/>
  <c r="F1853" i="11"/>
  <c r="G1853" i="11" s="1"/>
  <c r="G1852" i="11"/>
  <c r="F1852" i="11"/>
  <c r="F1851" i="11"/>
  <c r="G1851" i="11" s="1"/>
  <c r="G1850" i="11"/>
  <c r="F1850" i="11"/>
  <c r="G1849" i="11"/>
  <c r="F1849" i="11"/>
  <c r="F1848" i="11"/>
  <c r="G1848" i="11" s="1"/>
  <c r="F1847" i="11"/>
  <c r="G1847" i="11" s="1"/>
  <c r="F1846" i="11"/>
  <c r="G1846" i="11" s="1"/>
  <c r="F1845" i="11"/>
  <c r="G1845" i="11" s="1"/>
  <c r="F1844" i="11"/>
  <c r="G1844" i="11" s="1"/>
  <c r="G1843" i="11"/>
  <c r="F1843" i="11"/>
  <c r="F1842" i="11"/>
  <c r="G1842" i="11" s="1"/>
  <c r="G1841" i="11"/>
  <c r="F1841" i="11"/>
  <c r="F1840" i="11"/>
  <c r="G1840" i="11" s="1"/>
  <c r="F1839" i="11"/>
  <c r="G1839" i="11" s="1"/>
  <c r="G1838" i="11"/>
  <c r="F1838" i="11"/>
  <c r="F1837" i="11"/>
  <c r="G1837" i="11" s="1"/>
  <c r="F1836" i="11"/>
  <c r="G1836" i="11" s="1"/>
  <c r="F1835" i="11"/>
  <c r="G1835" i="11" s="1"/>
  <c r="G1834" i="11"/>
  <c r="F1834" i="11"/>
  <c r="F1833" i="11"/>
  <c r="G1833" i="11" s="1"/>
  <c r="G1832" i="11"/>
  <c r="F1832" i="11"/>
  <c r="G1831" i="11"/>
  <c r="F1831" i="11"/>
  <c r="F1830" i="11"/>
  <c r="G1830" i="11" s="1"/>
  <c r="G1829" i="11"/>
  <c r="F1829" i="11"/>
  <c r="G1828" i="11"/>
  <c r="F1828" i="11"/>
  <c r="F1827" i="11"/>
  <c r="G1827" i="11" s="1"/>
  <c r="G1826" i="11"/>
  <c r="F1826" i="11"/>
  <c r="G1825" i="11"/>
  <c r="F1825" i="11"/>
  <c r="F1824" i="11"/>
  <c r="G1824" i="11" s="1"/>
  <c r="G1823" i="11"/>
  <c r="F1823" i="11"/>
  <c r="G1822" i="11"/>
  <c r="F1822" i="11"/>
  <c r="F1821" i="11"/>
  <c r="G1821" i="11" s="1"/>
  <c r="G1820" i="11"/>
  <c r="F1820" i="11"/>
  <c r="G1819" i="11"/>
  <c r="F1819" i="11"/>
  <c r="F1818" i="11"/>
  <c r="G1818" i="11" s="1"/>
  <c r="G1817" i="11"/>
  <c r="F1817" i="11"/>
  <c r="G1816" i="11"/>
  <c r="F1816" i="11"/>
  <c r="F1815" i="11"/>
  <c r="G1815" i="11" s="1"/>
  <c r="G1814" i="11"/>
  <c r="F1814" i="11"/>
  <c r="G1813" i="11"/>
  <c r="F1813" i="11"/>
  <c r="F1812" i="11"/>
  <c r="G1812" i="11" s="1"/>
  <c r="G1811" i="11"/>
  <c r="F1811" i="11"/>
  <c r="G1810" i="11"/>
  <c r="F1810" i="11"/>
  <c r="F1809" i="11"/>
  <c r="G1809" i="11" s="1"/>
  <c r="G1808" i="11"/>
  <c r="F1808" i="11"/>
  <c r="G1807" i="11"/>
  <c r="F1807" i="11"/>
  <c r="F1806" i="11"/>
  <c r="G1806" i="11" s="1"/>
  <c r="G1805" i="11"/>
  <c r="F1805" i="11"/>
  <c r="G1804" i="11"/>
  <c r="F1804" i="11"/>
  <c r="F1803" i="11"/>
  <c r="G1803" i="11" s="1"/>
  <c r="G1802" i="11"/>
  <c r="F1802" i="11"/>
  <c r="G1801" i="11"/>
  <c r="F1801" i="11"/>
  <c r="F1800" i="11"/>
  <c r="G1800" i="11" s="1"/>
  <c r="G1799" i="11"/>
  <c r="F1799" i="11"/>
  <c r="G1798" i="11"/>
  <c r="F1798" i="11"/>
  <c r="F1797" i="11"/>
  <c r="G1797" i="11" s="1"/>
  <c r="G1796" i="11"/>
  <c r="F1796" i="11"/>
  <c r="G1795" i="11"/>
  <c r="F1795" i="11"/>
  <c r="F1794" i="11"/>
  <c r="G1794" i="11" s="1"/>
  <c r="G1793" i="11"/>
  <c r="F1793" i="11"/>
  <c r="G1792" i="11"/>
  <c r="F1792" i="11"/>
  <c r="F1791" i="11"/>
  <c r="G1791" i="11" s="1"/>
  <c r="G1790" i="11"/>
  <c r="F1790" i="11"/>
  <c r="G1789" i="11"/>
  <c r="F1789" i="11"/>
  <c r="F1788" i="11"/>
  <c r="G1788" i="11" s="1"/>
  <c r="G1787" i="11"/>
  <c r="F1787" i="11"/>
  <c r="G1786" i="11"/>
  <c r="F1786" i="11"/>
  <c r="F1785" i="11"/>
  <c r="G1785" i="11" s="1"/>
  <c r="G1784" i="11"/>
  <c r="F1784" i="11"/>
  <c r="G1783" i="11"/>
  <c r="F1783" i="11"/>
  <c r="F1782" i="11"/>
  <c r="G1782" i="11" s="1"/>
  <c r="G1781" i="11"/>
  <c r="F1781" i="11"/>
  <c r="G1780" i="11"/>
  <c r="F1780" i="11"/>
  <c r="F1779" i="11"/>
  <c r="G1779" i="11" s="1"/>
  <c r="G1778" i="11"/>
  <c r="F1778" i="11"/>
  <c r="G1777" i="11"/>
  <c r="F1777" i="11"/>
  <c r="F1776" i="11"/>
  <c r="G1776" i="11" s="1"/>
  <c r="G1775" i="11"/>
  <c r="F1775" i="11"/>
  <c r="G1774" i="11"/>
  <c r="F1774" i="11"/>
  <c r="F1773" i="11"/>
  <c r="G1773" i="11" s="1"/>
  <c r="G1772" i="11"/>
  <c r="F1772" i="11"/>
  <c r="G1771" i="11"/>
  <c r="F1771" i="11"/>
  <c r="F1770" i="11"/>
  <c r="G1770" i="11" s="1"/>
  <c r="G1769" i="11"/>
  <c r="F1769" i="11"/>
  <c r="G1768" i="11"/>
  <c r="F1768" i="11"/>
  <c r="F1767" i="11"/>
  <c r="G1767" i="11" s="1"/>
  <c r="G1766" i="11"/>
  <c r="F1766" i="11"/>
  <c r="G1765" i="11"/>
  <c r="F1765" i="11"/>
  <c r="F1764" i="11"/>
  <c r="G1764" i="11" s="1"/>
  <c r="G1763" i="11"/>
  <c r="F1763" i="11"/>
  <c r="G1762" i="11"/>
  <c r="F1762" i="11"/>
  <c r="F1761" i="11"/>
  <c r="G1761" i="11" s="1"/>
  <c r="G1760" i="11"/>
  <c r="F1760" i="11"/>
  <c r="G1759" i="11"/>
  <c r="F1759" i="11"/>
  <c r="F1758" i="11"/>
  <c r="G1758" i="11" s="1"/>
  <c r="G1757" i="11"/>
  <c r="F1757" i="11"/>
  <c r="G1756" i="11"/>
  <c r="F1756" i="11"/>
  <c r="F1755" i="11"/>
  <c r="G1755" i="11" s="1"/>
  <c r="G1754" i="11"/>
  <c r="F1754" i="11"/>
  <c r="G1753" i="11"/>
  <c r="F1753" i="11"/>
  <c r="F1752" i="11"/>
  <c r="G1752" i="11" s="1"/>
  <c r="G1751" i="11"/>
  <c r="F1751" i="11"/>
  <c r="G1750" i="11"/>
  <c r="F1750" i="11"/>
  <c r="F1749" i="11"/>
  <c r="G1749" i="11" s="1"/>
  <c r="G1748" i="11"/>
  <c r="F1748" i="11"/>
  <c r="G1747" i="11"/>
  <c r="F1747" i="11"/>
  <c r="F1746" i="11"/>
  <c r="G1746" i="11" s="1"/>
  <c r="G1745" i="11"/>
  <c r="F1745" i="11"/>
  <c r="G1744" i="11"/>
  <c r="F1744" i="11"/>
  <c r="F1743" i="11"/>
  <c r="G1743" i="11" s="1"/>
  <c r="G1742" i="11"/>
  <c r="F1742" i="11"/>
  <c r="G1741" i="11"/>
  <c r="F1741" i="11"/>
  <c r="F1740" i="11"/>
  <c r="G1740" i="11" s="1"/>
  <c r="G1739" i="11"/>
  <c r="F1739" i="11"/>
  <c r="G1738" i="11"/>
  <c r="F1738" i="11"/>
  <c r="F1737" i="11"/>
  <c r="G1737" i="11" s="1"/>
  <c r="G1736" i="11"/>
  <c r="F1736" i="11"/>
  <c r="G1735" i="11"/>
  <c r="F1735" i="11"/>
  <c r="F1734" i="11"/>
  <c r="G1734" i="11" s="1"/>
  <c r="G1733" i="11"/>
  <c r="F1733" i="11"/>
  <c r="G1732" i="11"/>
  <c r="F1732" i="11"/>
  <c r="F1731" i="11"/>
  <c r="G1731" i="11" s="1"/>
  <c r="G1730" i="11"/>
  <c r="F1730" i="11"/>
  <c r="G1729" i="11"/>
  <c r="F1729" i="11"/>
  <c r="F1728" i="11"/>
  <c r="G1728" i="11" s="1"/>
  <c r="G1727" i="11"/>
  <c r="F1727" i="11"/>
  <c r="G1726" i="11"/>
  <c r="F1726" i="11"/>
  <c r="F1725" i="11"/>
  <c r="G1725" i="11" s="1"/>
  <c r="G1724" i="11"/>
  <c r="F1724" i="11"/>
  <c r="G1723" i="11"/>
  <c r="F1723" i="11"/>
  <c r="F1722" i="11"/>
  <c r="G1722" i="11" s="1"/>
  <c r="G1721" i="11"/>
  <c r="F1721" i="11"/>
  <c r="G1720" i="11"/>
  <c r="F1720" i="11"/>
  <c r="F1719" i="11"/>
  <c r="G1719" i="11" s="1"/>
  <c r="G1718" i="11"/>
  <c r="F1718" i="11"/>
  <c r="G1717" i="11"/>
  <c r="F1717" i="11"/>
  <c r="F1716" i="11"/>
  <c r="G1716" i="11" s="1"/>
  <c r="G1715" i="11"/>
  <c r="F1715" i="11"/>
  <c r="G1714" i="11"/>
  <c r="F1714" i="11"/>
  <c r="F1713" i="11"/>
  <c r="G1713" i="11" s="1"/>
  <c r="G1712" i="11"/>
  <c r="F1712" i="11"/>
  <c r="G1711" i="11"/>
  <c r="F1711" i="11"/>
  <c r="F1710" i="11"/>
  <c r="G1710" i="11" s="1"/>
  <c r="G1709" i="11"/>
  <c r="F1709" i="11"/>
  <c r="G1708" i="11"/>
  <c r="F1708" i="11"/>
  <c r="F1707" i="11"/>
  <c r="G1707" i="11" s="1"/>
  <c r="G1706" i="11"/>
  <c r="F1706" i="11"/>
  <c r="G1705" i="11"/>
  <c r="F1705" i="11"/>
  <c r="F1704" i="11"/>
  <c r="G1704" i="11" s="1"/>
  <c r="G1703" i="11"/>
  <c r="F1703" i="11"/>
  <c r="G1702" i="11"/>
  <c r="F1702" i="11"/>
  <c r="F1701" i="11"/>
  <c r="G1701" i="11" s="1"/>
  <c r="G1700" i="11"/>
  <c r="F1700" i="11"/>
  <c r="G1699" i="11"/>
  <c r="F1699" i="11"/>
  <c r="F1698" i="11"/>
  <c r="G1698" i="11" s="1"/>
  <c r="G1697" i="11"/>
  <c r="F1697" i="11"/>
  <c r="G1696" i="11"/>
  <c r="F1696" i="11"/>
  <c r="F1695" i="11"/>
  <c r="G1695" i="11" s="1"/>
  <c r="G1694" i="11"/>
  <c r="F1694" i="11"/>
  <c r="G1693" i="11"/>
  <c r="F1693" i="11"/>
  <c r="F1692" i="11"/>
  <c r="G1692" i="11" s="1"/>
  <c r="G1691" i="11"/>
  <c r="F1691" i="11"/>
  <c r="G1690" i="11"/>
  <c r="F1690" i="11"/>
  <c r="F1689" i="11"/>
  <c r="G1689" i="11" s="1"/>
  <c r="G1688" i="11"/>
  <c r="F1688" i="11"/>
  <c r="G1687" i="11"/>
  <c r="F1687" i="11"/>
  <c r="F1686" i="11"/>
  <c r="G1686" i="11" s="1"/>
  <c r="G1685" i="11"/>
  <c r="F1685" i="11"/>
  <c r="G1684" i="11"/>
  <c r="F1684" i="11"/>
  <c r="F1683" i="11"/>
  <c r="G1683" i="11" s="1"/>
  <c r="G1682" i="11"/>
  <c r="F1682" i="11"/>
  <c r="G1681" i="11"/>
  <c r="F1681" i="11"/>
  <c r="F1680" i="11"/>
  <c r="G1680" i="11" s="1"/>
  <c r="G1679" i="11"/>
  <c r="F1679" i="11"/>
  <c r="G1678" i="11"/>
  <c r="F1678" i="11"/>
  <c r="F1677" i="11"/>
  <c r="G1677" i="11" s="1"/>
  <c r="G1676" i="11"/>
  <c r="F1676" i="11"/>
  <c r="G1675" i="11"/>
  <c r="F1675" i="11"/>
  <c r="F1674" i="11"/>
  <c r="G1674" i="11" s="1"/>
  <c r="G1673" i="11"/>
  <c r="F1673" i="11"/>
  <c r="G1672" i="11"/>
  <c r="F1672" i="11"/>
  <c r="F1671" i="11"/>
  <c r="G1671" i="11" s="1"/>
  <c r="G1670" i="11"/>
  <c r="F1670" i="11"/>
  <c r="G1669" i="11"/>
  <c r="F1669" i="11"/>
  <c r="F1668" i="11"/>
  <c r="G1668" i="11" s="1"/>
  <c r="G1667" i="11"/>
  <c r="F1667" i="11"/>
  <c r="G1666" i="11"/>
  <c r="F1666" i="11"/>
  <c r="F1665" i="11"/>
  <c r="G1665" i="11" s="1"/>
  <c r="G1664" i="11"/>
  <c r="F1664" i="11"/>
  <c r="G1663" i="11"/>
  <c r="F1663" i="11"/>
  <c r="F1662" i="11"/>
  <c r="G1662" i="11" s="1"/>
  <c r="G1661" i="11"/>
  <c r="F1661" i="11"/>
  <c r="G1660" i="11"/>
  <c r="F1660" i="11"/>
  <c r="F1659" i="11"/>
  <c r="G1659" i="11" s="1"/>
  <c r="G1658" i="11"/>
  <c r="F1658" i="11"/>
  <c r="G1657" i="11"/>
  <c r="F1657" i="11"/>
  <c r="F1656" i="11"/>
  <c r="G1656" i="11" s="1"/>
  <c r="G1655" i="11"/>
  <c r="F1655" i="11"/>
  <c r="G1654" i="11"/>
  <c r="F1654" i="11"/>
  <c r="F1653" i="11"/>
  <c r="G1653" i="11" s="1"/>
  <c r="G1652" i="11"/>
  <c r="F1652" i="11"/>
  <c r="G1651" i="11"/>
  <c r="F1651" i="11"/>
  <c r="F1650" i="11"/>
  <c r="G1650" i="11" s="1"/>
  <c r="G1649" i="11"/>
  <c r="F1649" i="11"/>
  <c r="G1648" i="11"/>
  <c r="F1648" i="11"/>
  <c r="F1647" i="11"/>
  <c r="G1647" i="11" s="1"/>
  <c r="G1646" i="11"/>
  <c r="F1646" i="11"/>
  <c r="G1645" i="11"/>
  <c r="F1645" i="11"/>
  <c r="F1644" i="11"/>
  <c r="G1644" i="11" s="1"/>
  <c r="G1643" i="11"/>
  <c r="F1643" i="11"/>
  <c r="G1642" i="11"/>
  <c r="F1642" i="11"/>
  <c r="F1641" i="11"/>
  <c r="G1641" i="11" s="1"/>
  <c r="G1640" i="11"/>
  <c r="F1640" i="11"/>
  <c r="G1639" i="11"/>
  <c r="F1639" i="11"/>
  <c r="F1638" i="11"/>
  <c r="G1638" i="11" s="1"/>
  <c r="G1637" i="11"/>
  <c r="F1637" i="11"/>
  <c r="G1636" i="11"/>
  <c r="F1636" i="11"/>
  <c r="F1635" i="11"/>
  <c r="G1635" i="11" s="1"/>
  <c r="G1634" i="11"/>
  <c r="F1634" i="11"/>
  <c r="G1633" i="11"/>
  <c r="F1633" i="11"/>
  <c r="F1632" i="11"/>
  <c r="G1632" i="11" s="1"/>
  <c r="G1631" i="11"/>
  <c r="F1631" i="11"/>
  <c r="G1630" i="11"/>
  <c r="F1630" i="11"/>
  <c r="F1629" i="11"/>
  <c r="G1629" i="11" s="1"/>
  <c r="G1628" i="11"/>
  <c r="F1628" i="11"/>
  <c r="G1627" i="11"/>
  <c r="F1627" i="11"/>
  <c r="F1626" i="11"/>
  <c r="G1626" i="11" s="1"/>
  <c r="G1625" i="11"/>
  <c r="F1625" i="11"/>
  <c r="G1624" i="11"/>
  <c r="F1624" i="11"/>
  <c r="F1623" i="11"/>
  <c r="G1623" i="11" s="1"/>
  <c r="G1622" i="11"/>
  <c r="F1622" i="11"/>
  <c r="G1621" i="11"/>
  <c r="F1621" i="11"/>
  <c r="F1620" i="11"/>
  <c r="G1620" i="11" s="1"/>
  <c r="G1619" i="11"/>
  <c r="F1619" i="11"/>
  <c r="G1618" i="11"/>
  <c r="F1618" i="11"/>
  <c r="F1617" i="11"/>
  <c r="G1617" i="11" s="1"/>
  <c r="G1616" i="11"/>
  <c r="F1616" i="11"/>
  <c r="G1615" i="11"/>
  <c r="F1615" i="11"/>
  <c r="F1614" i="11"/>
  <c r="G1614" i="11" s="1"/>
  <c r="G1613" i="11"/>
  <c r="F1613" i="11"/>
  <c r="G1612" i="11"/>
  <c r="F1612" i="11"/>
  <c r="F1611" i="11"/>
  <c r="G1611" i="11" s="1"/>
  <c r="G1610" i="11"/>
  <c r="F1610" i="11"/>
  <c r="G1609" i="11"/>
  <c r="F1609" i="11"/>
  <c r="F1608" i="11"/>
  <c r="G1608" i="11" s="1"/>
  <c r="G1607" i="11"/>
  <c r="F1607" i="11"/>
  <c r="G1606" i="11"/>
  <c r="F1606" i="11"/>
  <c r="F1605" i="11"/>
  <c r="G1605" i="11" s="1"/>
  <c r="G1604" i="11"/>
  <c r="F1604" i="11"/>
  <c r="G1603" i="11"/>
  <c r="F1603" i="11"/>
  <c r="F1602" i="11"/>
  <c r="G1602" i="11" s="1"/>
  <c r="G1601" i="11"/>
  <c r="F1601" i="11"/>
  <c r="G1600" i="11"/>
  <c r="F1600" i="11"/>
  <c r="F1599" i="11"/>
  <c r="G1599" i="11" s="1"/>
  <c r="G1598" i="11"/>
  <c r="F1598" i="11"/>
  <c r="G1597" i="11"/>
  <c r="F1597" i="11"/>
  <c r="F1596" i="11"/>
  <c r="G1596" i="11" s="1"/>
  <c r="G1595" i="11"/>
  <c r="F1595" i="11"/>
  <c r="G1594" i="11"/>
  <c r="F1594" i="11"/>
  <c r="F1593" i="11"/>
  <c r="G1593" i="11" s="1"/>
  <c r="G1592" i="11"/>
  <c r="F1592" i="11"/>
  <c r="G1591" i="11"/>
  <c r="F1591" i="11"/>
  <c r="F1590" i="11"/>
  <c r="G1590" i="11" s="1"/>
  <c r="G1589" i="11"/>
  <c r="F1589" i="11"/>
  <c r="G1588" i="11"/>
  <c r="F1588" i="11"/>
  <c r="F1587" i="11"/>
  <c r="G1587" i="11" s="1"/>
  <c r="G1586" i="11"/>
  <c r="F1586" i="11"/>
  <c r="G1585" i="11"/>
  <c r="F1585" i="11"/>
  <c r="F1584" i="11"/>
  <c r="G1584" i="11" s="1"/>
  <c r="G1583" i="11"/>
  <c r="F1583" i="11"/>
  <c r="G1582" i="11"/>
  <c r="F1582" i="11"/>
  <c r="F1581" i="11"/>
  <c r="G1581" i="11" s="1"/>
  <c r="G1580" i="11"/>
  <c r="F1580" i="11"/>
  <c r="G1579" i="11"/>
  <c r="F1579" i="11"/>
  <c r="F1578" i="11"/>
  <c r="G1578" i="11" s="1"/>
  <c r="G1577" i="11"/>
  <c r="F1577" i="11"/>
  <c r="G1576" i="11"/>
  <c r="F1576" i="11"/>
  <c r="F1575" i="11"/>
  <c r="G1575" i="11" s="1"/>
  <c r="G1574" i="11"/>
  <c r="F1574" i="11"/>
  <c r="G1573" i="11"/>
  <c r="F1573" i="11"/>
  <c r="F1572" i="11"/>
  <c r="G1572" i="11" s="1"/>
  <c r="G1571" i="11"/>
  <c r="F1571" i="11"/>
  <c r="G1570" i="11"/>
  <c r="F1570" i="11"/>
  <c r="F1569" i="11"/>
  <c r="G1569" i="11" s="1"/>
  <c r="G1568" i="11"/>
  <c r="F1568" i="11"/>
  <c r="G1567" i="11"/>
  <c r="F1567" i="11"/>
  <c r="F1566" i="11"/>
  <c r="G1566" i="11" s="1"/>
  <c r="G1565" i="11"/>
  <c r="F1565" i="11"/>
  <c r="G1564" i="11"/>
  <c r="F1564" i="11"/>
  <c r="F1563" i="11"/>
  <c r="G1563" i="11" s="1"/>
  <c r="G1562" i="11"/>
  <c r="F1562" i="11"/>
  <c r="G1561" i="11"/>
  <c r="F1561" i="11"/>
  <c r="F1560" i="11"/>
  <c r="G1560" i="11" s="1"/>
  <c r="G1559" i="11"/>
  <c r="F1559" i="11"/>
  <c r="G1558" i="11"/>
  <c r="F1558" i="11"/>
  <c r="F1557" i="11"/>
  <c r="G1557" i="11" s="1"/>
  <c r="G1556" i="11"/>
  <c r="F1556" i="11"/>
  <c r="G1555" i="11"/>
  <c r="F1555" i="11"/>
  <c r="F1554" i="11"/>
  <c r="G1554" i="11" s="1"/>
  <c r="G1553" i="11"/>
  <c r="F1553" i="11"/>
  <c r="G1552" i="11"/>
  <c r="F1552" i="11"/>
  <c r="F1551" i="11"/>
  <c r="G1551" i="11" s="1"/>
  <c r="G1550" i="11"/>
  <c r="F1550" i="11"/>
  <c r="G1549" i="11"/>
  <c r="F1549" i="11"/>
  <c r="F1548" i="11"/>
  <c r="G1548" i="11" s="1"/>
  <c r="G1547" i="11"/>
  <c r="F1547" i="11"/>
  <c r="G1546" i="11"/>
  <c r="F1546" i="11"/>
  <c r="F1545" i="11"/>
  <c r="G1545" i="11" s="1"/>
  <c r="G1544" i="11"/>
  <c r="F1544" i="11"/>
  <c r="G1543" i="11"/>
  <c r="F1543" i="11"/>
  <c r="F1542" i="11"/>
  <c r="G1542" i="11" s="1"/>
  <c r="G1541" i="11"/>
  <c r="F1541" i="11"/>
  <c r="G1540" i="11"/>
  <c r="F1540" i="11"/>
  <c r="F1539" i="11"/>
  <c r="G1539" i="11" s="1"/>
  <c r="G1538" i="11"/>
  <c r="F1538" i="11"/>
  <c r="G1537" i="11"/>
  <c r="F1537" i="11"/>
  <c r="F1536" i="11"/>
  <c r="G1536" i="11" s="1"/>
  <c r="G1535" i="11"/>
  <c r="F1535" i="11"/>
  <c r="G1534" i="11"/>
  <c r="F1534" i="11"/>
  <c r="F1533" i="11"/>
  <c r="G1533" i="11" s="1"/>
  <c r="G1532" i="11"/>
  <c r="F1532" i="11"/>
  <c r="G1531" i="11"/>
  <c r="F1531" i="11"/>
  <c r="F1530" i="11"/>
  <c r="G1530" i="11" s="1"/>
  <c r="G1529" i="11"/>
  <c r="F1529" i="11"/>
  <c r="G1528" i="11"/>
  <c r="F1528" i="11"/>
  <c r="F1527" i="11"/>
  <c r="G1527" i="11" s="1"/>
  <c r="G1526" i="11"/>
  <c r="F1526" i="11"/>
  <c r="G1525" i="11"/>
  <c r="F1525" i="11"/>
  <c r="F1524" i="11"/>
  <c r="G1524" i="11" s="1"/>
  <c r="G1523" i="11"/>
  <c r="F1523" i="11"/>
  <c r="G1522" i="11"/>
  <c r="F1522" i="11"/>
  <c r="F1521" i="11"/>
  <c r="G1521" i="11" s="1"/>
  <c r="G1520" i="11"/>
  <c r="F1520" i="11"/>
  <c r="G1519" i="11"/>
  <c r="F1519" i="11"/>
  <c r="F1518" i="11"/>
  <c r="G1518" i="11" s="1"/>
  <c r="G1517" i="11"/>
  <c r="F1517" i="11"/>
  <c r="G1516" i="11"/>
  <c r="F1516" i="11"/>
  <c r="F1515" i="11"/>
  <c r="G1515" i="11" s="1"/>
  <c r="G1514" i="11"/>
  <c r="F1514" i="11"/>
  <c r="G1513" i="11"/>
  <c r="F1513" i="11"/>
  <c r="F1512" i="11"/>
  <c r="G1512" i="11" s="1"/>
  <c r="G1511" i="11"/>
  <c r="F1511" i="11"/>
  <c r="G1510" i="11"/>
  <c r="F1510" i="11"/>
  <c r="F1509" i="11"/>
  <c r="G1509" i="11" s="1"/>
  <c r="G1508" i="11"/>
  <c r="F1508" i="11"/>
  <c r="G1507" i="11"/>
  <c r="F1507" i="11"/>
  <c r="F1506" i="11"/>
  <c r="G1506" i="11" s="1"/>
  <c r="G1505" i="11"/>
  <c r="F1505" i="11"/>
  <c r="G1504" i="11"/>
  <c r="F1504" i="11"/>
  <c r="F1503" i="11"/>
  <c r="G1503" i="11" s="1"/>
  <c r="G1502" i="11"/>
  <c r="F1502" i="11"/>
  <c r="G1501" i="11"/>
  <c r="F1501" i="11"/>
  <c r="F1500" i="11"/>
  <c r="G1500" i="11" s="1"/>
  <c r="G1499" i="11"/>
  <c r="F1499" i="11"/>
  <c r="G1498" i="11"/>
  <c r="F1498" i="11"/>
  <c r="F1497" i="11"/>
  <c r="G1497" i="11" s="1"/>
  <c r="G1496" i="11"/>
  <c r="F1496" i="11"/>
  <c r="G1495" i="11"/>
  <c r="F1495" i="11"/>
  <c r="F1494" i="11"/>
  <c r="G1494" i="11" s="1"/>
  <c r="G1493" i="11"/>
  <c r="F1493" i="11"/>
  <c r="G1492" i="11"/>
  <c r="F1492" i="11"/>
  <c r="F1491" i="11"/>
  <c r="G1491" i="11" s="1"/>
  <c r="G1490" i="11"/>
  <c r="F1490" i="11"/>
  <c r="G1489" i="11"/>
  <c r="F1489" i="11"/>
  <c r="F1488" i="11"/>
  <c r="G1488" i="11" s="1"/>
  <c r="G1487" i="11"/>
  <c r="F1487" i="11"/>
  <c r="G1486" i="11"/>
  <c r="F1486" i="11"/>
  <c r="F1485" i="11"/>
  <c r="G1485" i="11" s="1"/>
  <c r="G1484" i="11"/>
  <c r="F1484" i="11"/>
  <c r="G1483" i="11"/>
  <c r="F1483" i="11"/>
  <c r="F1482" i="11"/>
  <c r="G1482" i="11" s="1"/>
  <c r="G1481" i="11"/>
  <c r="F1481" i="11"/>
  <c r="G1480" i="11"/>
  <c r="F1480" i="11"/>
  <c r="F1479" i="11"/>
  <c r="G1479" i="11" s="1"/>
  <c r="G1478" i="11"/>
  <c r="F1478" i="11"/>
  <c r="G1477" i="11"/>
  <c r="F1477" i="11"/>
  <c r="F1476" i="11"/>
  <c r="G1476" i="11" s="1"/>
  <c r="G1475" i="11"/>
  <c r="F1475" i="11"/>
  <c r="G1474" i="11"/>
  <c r="F1474" i="11"/>
  <c r="F1473" i="11"/>
  <c r="G1473" i="11" s="1"/>
  <c r="G1472" i="11"/>
  <c r="F1472" i="11"/>
  <c r="G1471" i="11"/>
  <c r="F1471" i="11"/>
  <c r="F1470" i="11"/>
  <c r="G1470" i="11" s="1"/>
  <c r="G1469" i="11"/>
  <c r="F1469" i="11"/>
  <c r="G1468" i="11"/>
  <c r="F1468" i="11"/>
  <c r="F1467" i="11"/>
  <c r="G1467" i="11" s="1"/>
  <c r="G1466" i="11"/>
  <c r="F1466" i="11"/>
  <c r="G1465" i="11"/>
  <c r="F1465" i="11"/>
  <c r="F1464" i="11"/>
  <c r="G1464" i="11" s="1"/>
  <c r="G1463" i="11"/>
  <c r="F1463" i="11"/>
  <c r="G1462" i="11"/>
  <c r="F1462" i="11"/>
  <c r="F1461" i="11"/>
  <c r="G1461" i="11" s="1"/>
  <c r="G1460" i="11"/>
  <c r="F1460" i="11"/>
  <c r="G1459" i="11"/>
  <c r="F1459" i="11"/>
  <c r="F1458" i="11"/>
  <c r="G1458" i="11" s="1"/>
  <c r="G1457" i="11"/>
  <c r="F1457" i="11"/>
  <c r="G1456" i="11"/>
  <c r="F1456" i="11"/>
  <c r="F1455" i="11"/>
  <c r="G1455" i="11" s="1"/>
  <c r="G1454" i="11"/>
  <c r="F1454" i="11"/>
  <c r="G1453" i="11"/>
  <c r="F1453" i="11"/>
  <c r="F1452" i="11"/>
  <c r="G1452" i="11" s="1"/>
  <c r="G1451" i="11"/>
  <c r="F1451" i="11"/>
  <c r="G1450" i="11"/>
  <c r="F1450" i="11"/>
  <c r="F1449" i="11"/>
  <c r="G1449" i="11" s="1"/>
  <c r="G1448" i="11"/>
  <c r="F1448" i="11"/>
  <c r="G1447" i="11"/>
  <c r="F1447" i="11"/>
  <c r="F1446" i="11"/>
  <c r="G1446" i="11" s="1"/>
  <c r="G1445" i="11"/>
  <c r="F1445" i="11"/>
  <c r="G1444" i="11"/>
  <c r="F1444" i="11"/>
  <c r="F1443" i="11"/>
  <c r="G1443" i="11" s="1"/>
  <c r="G1442" i="11"/>
  <c r="F1442" i="11"/>
  <c r="G1441" i="11"/>
  <c r="F1441" i="11"/>
  <c r="F1440" i="11"/>
  <c r="G1440" i="11" s="1"/>
  <c r="G1439" i="11"/>
  <c r="F1439" i="11"/>
  <c r="G1438" i="11"/>
  <c r="F1438" i="11"/>
  <c r="F1437" i="11"/>
  <c r="G1437" i="11" s="1"/>
  <c r="G1436" i="11"/>
  <c r="F1436" i="11"/>
  <c r="G1435" i="11"/>
  <c r="F1435" i="11"/>
  <c r="F1434" i="11"/>
  <c r="G1434" i="11" s="1"/>
  <c r="G1433" i="11"/>
  <c r="F1433" i="11"/>
  <c r="G1432" i="11"/>
  <c r="F1432" i="11"/>
  <c r="F1431" i="11"/>
  <c r="G1431" i="11" s="1"/>
  <c r="G1430" i="11"/>
  <c r="F1430" i="11"/>
  <c r="G1429" i="11"/>
  <c r="F1429" i="11"/>
  <c r="F1428" i="11"/>
  <c r="G1428" i="11" s="1"/>
  <c r="G1427" i="11"/>
  <c r="F1427" i="11"/>
  <c r="G1426" i="11"/>
  <c r="F1426" i="11"/>
  <c r="F1425" i="11"/>
  <c r="G1425" i="11" s="1"/>
  <c r="G1424" i="11"/>
  <c r="F1424" i="11"/>
  <c r="G1423" i="11"/>
  <c r="F1423" i="11"/>
  <c r="F1422" i="11"/>
  <c r="G1422" i="11" s="1"/>
  <c r="G1421" i="11"/>
  <c r="F1421" i="11"/>
  <c r="G1420" i="11"/>
  <c r="F1420" i="11"/>
  <c r="F1419" i="11"/>
  <c r="G1419" i="11" s="1"/>
  <c r="G1418" i="11"/>
  <c r="F1418" i="11"/>
  <c r="G1417" i="11"/>
  <c r="F1417" i="11"/>
  <c r="F1416" i="11"/>
  <c r="G1416" i="11" s="1"/>
  <c r="G1415" i="11"/>
  <c r="F1415" i="11"/>
  <c r="G1414" i="11"/>
  <c r="F1414" i="11"/>
  <c r="F1413" i="11"/>
  <c r="G1413" i="11" s="1"/>
  <c r="G1412" i="11"/>
  <c r="F1412" i="11"/>
  <c r="G1411" i="11"/>
  <c r="F1411" i="11"/>
  <c r="F1410" i="11"/>
  <c r="G1410" i="11" s="1"/>
  <c r="G1409" i="11"/>
  <c r="F1409" i="11"/>
  <c r="G1408" i="11"/>
  <c r="F1408" i="11"/>
  <c r="F1407" i="11"/>
  <c r="G1407" i="11" s="1"/>
  <c r="G1406" i="11"/>
  <c r="F1406" i="11"/>
  <c r="G1405" i="11"/>
  <c r="F1405" i="11"/>
  <c r="F1404" i="11"/>
  <c r="G1404" i="11" s="1"/>
  <c r="G1403" i="11"/>
  <c r="F1403" i="11"/>
  <c r="G1402" i="11"/>
  <c r="F1402" i="11"/>
  <c r="F1401" i="11"/>
  <c r="G1401" i="11" s="1"/>
  <c r="G1400" i="11"/>
  <c r="F1400" i="11"/>
  <c r="G1399" i="11"/>
  <c r="F1399" i="11"/>
  <c r="F1398" i="11"/>
  <c r="G1398" i="11" s="1"/>
  <c r="G1397" i="11"/>
  <c r="F1397" i="11"/>
  <c r="G1396" i="11"/>
  <c r="F1396" i="11"/>
  <c r="F1395" i="11"/>
  <c r="G1395" i="11" s="1"/>
  <c r="G1394" i="11"/>
  <c r="F1394" i="11"/>
  <c r="G1393" i="11"/>
  <c r="F1393" i="11"/>
  <c r="F1392" i="11"/>
  <c r="G1392" i="11" s="1"/>
  <c r="G1391" i="11"/>
  <c r="F1391" i="11"/>
  <c r="G1390" i="11"/>
  <c r="F1390" i="11"/>
  <c r="F1389" i="11"/>
  <c r="G1389" i="11" s="1"/>
  <c r="G1388" i="11"/>
  <c r="F1388" i="11"/>
  <c r="G1387" i="11"/>
  <c r="F1387" i="11"/>
  <c r="F1386" i="11"/>
  <c r="G1386" i="11" s="1"/>
  <c r="G1385" i="11"/>
  <c r="F1385" i="11"/>
  <c r="G1384" i="11"/>
  <c r="F1384" i="11"/>
  <c r="F1383" i="11"/>
  <c r="G1383" i="11" s="1"/>
  <c r="G1382" i="11"/>
  <c r="F1382" i="11"/>
  <c r="G1381" i="11"/>
  <c r="F1381" i="11"/>
  <c r="F1380" i="11"/>
  <c r="G1380" i="11" s="1"/>
  <c r="G1379" i="11"/>
  <c r="F1379" i="11"/>
  <c r="G1378" i="11"/>
  <c r="F1378" i="11"/>
  <c r="F1377" i="11"/>
  <c r="G1377" i="11" s="1"/>
  <c r="G1376" i="11"/>
  <c r="F1376" i="11"/>
  <c r="G1375" i="11"/>
  <c r="F1375" i="11"/>
  <c r="F1374" i="11"/>
  <c r="G1374" i="11" s="1"/>
  <c r="G1373" i="11"/>
  <c r="F1373" i="11"/>
  <c r="G1372" i="11"/>
  <c r="F1372" i="11"/>
  <c r="F1371" i="11"/>
  <c r="G1371" i="11" s="1"/>
  <c r="G1370" i="11"/>
  <c r="F1370" i="11"/>
  <c r="G1369" i="11"/>
  <c r="F1369" i="11"/>
  <c r="F1368" i="11"/>
  <c r="G1368" i="11" s="1"/>
  <c r="G1367" i="11"/>
  <c r="F1367" i="11"/>
  <c r="G1366" i="11"/>
  <c r="F1366" i="11"/>
  <c r="F1365" i="11"/>
  <c r="G1365" i="11" s="1"/>
  <c r="G1364" i="11"/>
  <c r="F1364" i="11"/>
  <c r="G1363" i="11"/>
  <c r="F1363" i="11"/>
  <c r="F1362" i="11"/>
  <c r="G1362" i="11" s="1"/>
  <c r="G1361" i="11"/>
  <c r="F1361" i="11"/>
  <c r="G1360" i="11"/>
  <c r="F1360" i="11"/>
  <c r="F1359" i="11"/>
  <c r="G1359" i="11" s="1"/>
  <c r="G1358" i="11"/>
  <c r="F1358" i="11"/>
  <c r="G1357" i="11"/>
  <c r="F1357" i="11"/>
  <c r="F1356" i="11"/>
  <c r="G1356" i="11" s="1"/>
  <c r="G1355" i="11"/>
  <c r="F1355" i="11"/>
  <c r="G1354" i="11"/>
  <c r="F1354" i="11"/>
  <c r="F1353" i="11"/>
  <c r="G1353" i="11" s="1"/>
  <c r="G1352" i="11"/>
  <c r="F1352" i="11"/>
  <c r="G1351" i="11"/>
  <c r="F1351" i="11"/>
  <c r="F1350" i="11"/>
  <c r="G1350" i="11" s="1"/>
  <c r="G1349" i="11"/>
  <c r="F1349" i="11"/>
  <c r="G1348" i="11"/>
  <c r="F1348" i="11"/>
  <c r="F1347" i="11"/>
  <c r="G1347" i="11" s="1"/>
  <c r="G1346" i="11"/>
  <c r="F1346" i="11"/>
  <c r="G1345" i="11"/>
  <c r="F1345" i="11"/>
  <c r="F1344" i="11"/>
  <c r="G1344" i="11" s="1"/>
  <c r="G1343" i="11"/>
  <c r="F1343" i="11"/>
  <c r="G1342" i="11"/>
  <c r="F1342" i="11"/>
  <c r="F1341" i="11"/>
  <c r="G1341" i="11" s="1"/>
  <c r="G1340" i="11"/>
  <c r="F1340" i="11"/>
  <c r="G1339" i="11"/>
  <c r="F1339" i="11"/>
  <c r="F1338" i="11"/>
  <c r="G1338" i="11" s="1"/>
  <c r="G1337" i="11"/>
  <c r="F1337" i="11"/>
  <c r="G1336" i="11"/>
  <c r="F1336" i="11"/>
  <c r="F1335" i="11"/>
  <c r="G1335" i="11" s="1"/>
  <c r="G1334" i="11"/>
  <c r="F1334" i="11"/>
  <c r="G1333" i="11"/>
  <c r="F1333" i="11"/>
  <c r="F1332" i="11"/>
  <c r="G1332" i="11" s="1"/>
  <c r="G1331" i="11"/>
  <c r="F1331" i="11"/>
  <c r="G1330" i="11"/>
  <c r="F1330" i="11"/>
  <c r="F1329" i="11"/>
  <c r="G1329" i="11" s="1"/>
  <c r="G1328" i="11"/>
  <c r="F1328" i="11"/>
  <c r="G1327" i="11"/>
  <c r="F1327" i="11"/>
  <c r="F1326" i="11"/>
  <c r="G1326" i="11" s="1"/>
  <c r="G1325" i="11"/>
  <c r="F1325" i="11"/>
  <c r="G1324" i="11"/>
  <c r="F1324" i="11"/>
  <c r="F1323" i="11"/>
  <c r="G1323" i="11" s="1"/>
  <c r="G1322" i="11"/>
  <c r="F1322" i="11"/>
  <c r="G1321" i="11"/>
  <c r="F1321" i="11"/>
  <c r="F1320" i="11"/>
  <c r="G1320" i="11" s="1"/>
  <c r="G1319" i="11"/>
  <c r="F1319" i="11"/>
  <c r="G1318" i="11"/>
  <c r="F1318" i="11"/>
  <c r="F1317" i="11"/>
  <c r="G1317" i="11" s="1"/>
  <c r="G1316" i="11"/>
  <c r="F1316" i="11"/>
  <c r="G1315" i="11"/>
  <c r="F1315" i="11"/>
  <c r="F1314" i="11"/>
  <c r="G1314" i="11" s="1"/>
  <c r="G1313" i="11"/>
  <c r="F1313" i="11"/>
  <c r="G1312" i="11"/>
  <c r="F1312" i="11"/>
  <c r="F1311" i="11"/>
  <c r="G1311" i="11" s="1"/>
  <c r="G1310" i="11"/>
  <c r="F1310" i="11"/>
  <c r="G1309" i="11"/>
  <c r="F1309" i="11"/>
  <c r="F1308" i="11"/>
  <c r="G1308" i="11" s="1"/>
  <c r="G1307" i="11"/>
  <c r="F1307" i="11"/>
  <c r="G1306" i="11"/>
  <c r="F1306" i="11"/>
  <c r="F1305" i="11"/>
  <c r="G1305" i="11" s="1"/>
  <c r="G1304" i="11"/>
  <c r="F1304" i="11"/>
  <c r="G1303" i="11"/>
  <c r="F1303" i="11"/>
  <c r="F1302" i="11"/>
  <c r="G1302" i="11" s="1"/>
  <c r="G1301" i="11"/>
  <c r="F1301" i="11"/>
  <c r="G1300" i="11"/>
  <c r="F1300" i="11"/>
  <c r="F1299" i="11"/>
  <c r="G1299" i="11" s="1"/>
  <c r="G1298" i="11"/>
  <c r="F1298" i="11"/>
  <c r="G1297" i="11"/>
  <c r="F1297" i="11"/>
  <c r="F1296" i="11"/>
  <c r="G1296" i="11" s="1"/>
  <c r="G1295" i="11"/>
  <c r="F1295" i="11"/>
  <c r="G1294" i="11"/>
  <c r="F1294" i="11"/>
  <c r="F1293" i="11"/>
  <c r="G1293" i="11" s="1"/>
  <c r="G1292" i="11"/>
  <c r="F1292" i="11"/>
  <c r="G1291" i="11"/>
  <c r="F1291" i="11"/>
  <c r="F1290" i="11"/>
  <c r="G1290" i="11" s="1"/>
  <c r="G1289" i="11"/>
  <c r="F1289" i="11"/>
  <c r="G1288" i="11"/>
  <c r="F1288" i="11"/>
  <c r="F1287" i="11"/>
  <c r="G1287" i="11" s="1"/>
  <c r="G1286" i="11"/>
  <c r="F1286" i="11"/>
  <c r="G1285" i="11"/>
  <c r="F1285" i="11"/>
  <c r="F1284" i="11"/>
  <c r="G1284" i="11" s="1"/>
  <c r="G1283" i="11"/>
  <c r="F1283" i="11"/>
  <c r="G1282" i="11"/>
  <c r="F1282" i="11"/>
  <c r="F1281" i="11"/>
  <c r="G1281" i="11" s="1"/>
  <c r="G1280" i="11"/>
  <c r="F1280" i="11"/>
  <c r="G1279" i="11"/>
  <c r="F1279" i="11"/>
  <c r="F1278" i="11"/>
  <c r="G1278" i="11" s="1"/>
  <c r="G1277" i="11"/>
  <c r="F1277" i="11"/>
  <c r="G1276" i="11"/>
  <c r="F1276" i="11"/>
  <c r="F1275" i="11"/>
  <c r="G1275" i="11" s="1"/>
  <c r="G1274" i="11"/>
  <c r="F1274" i="11"/>
  <c r="G1273" i="11"/>
  <c r="F1273" i="11"/>
  <c r="F1272" i="11"/>
  <c r="G1272" i="11" s="1"/>
  <c r="G1271" i="11"/>
  <c r="F1271" i="11"/>
  <c r="G1270" i="11"/>
  <c r="F1270" i="11"/>
  <c r="F1269" i="11"/>
  <c r="G1269" i="11" s="1"/>
  <c r="G1268" i="11"/>
  <c r="F1268" i="11"/>
  <c r="G1267" i="11"/>
  <c r="F1267" i="11"/>
  <c r="F1266" i="11"/>
  <c r="G1266" i="11" s="1"/>
  <c r="G1265" i="11"/>
  <c r="F1265" i="11"/>
  <c r="G1264" i="11"/>
  <c r="F1264" i="11"/>
  <c r="F1263" i="11"/>
  <c r="G1263" i="11" s="1"/>
  <c r="G1262" i="11"/>
  <c r="F1262" i="11"/>
  <c r="G1261" i="11"/>
  <c r="F1261" i="11"/>
  <c r="F1260" i="11"/>
  <c r="G1260" i="11" s="1"/>
  <c r="G1259" i="11"/>
  <c r="F1259" i="11"/>
  <c r="G1258" i="11"/>
  <c r="F1258" i="11"/>
  <c r="F1257" i="11"/>
  <c r="G1257" i="11" s="1"/>
  <c r="G1256" i="11"/>
  <c r="F1256" i="11"/>
  <c r="G1255" i="11"/>
  <c r="F1255" i="11"/>
  <c r="F1254" i="11"/>
  <c r="G1254" i="11" s="1"/>
  <c r="G1253" i="11"/>
  <c r="F1253" i="11"/>
  <c r="G1252" i="11"/>
  <c r="F1252" i="11"/>
  <c r="F1251" i="11"/>
  <c r="G1251" i="11" s="1"/>
  <c r="G1250" i="11"/>
  <c r="F1250" i="11"/>
  <c r="G1249" i="11"/>
  <c r="F1249" i="11"/>
  <c r="F1248" i="11"/>
  <c r="G1248" i="11" s="1"/>
  <c r="G1247" i="11"/>
  <c r="F1247" i="11"/>
  <c r="G1246" i="11"/>
  <c r="F1246" i="11"/>
  <c r="F1245" i="11"/>
  <c r="G1245" i="11" s="1"/>
  <c r="G1244" i="11"/>
  <c r="F1244" i="11"/>
  <c r="G1243" i="11"/>
  <c r="F1243" i="11"/>
  <c r="F1242" i="11"/>
  <c r="G1242" i="11" s="1"/>
  <c r="G1241" i="11"/>
  <c r="F1241" i="11"/>
  <c r="G1240" i="11"/>
  <c r="F1240" i="11"/>
  <c r="F1239" i="11"/>
  <c r="G1239" i="11" s="1"/>
  <c r="G1238" i="11"/>
  <c r="F1238" i="11"/>
  <c r="G1237" i="11"/>
  <c r="F1237" i="11"/>
  <c r="F1236" i="11"/>
  <c r="G1236" i="11" s="1"/>
  <c r="G1235" i="11"/>
  <c r="F1235" i="11"/>
  <c r="G1234" i="11"/>
  <c r="F1234" i="11"/>
  <c r="F1233" i="11"/>
  <c r="G1233" i="11" s="1"/>
  <c r="G1232" i="11"/>
  <c r="F1232" i="11"/>
  <c r="G1231" i="11"/>
  <c r="F1231" i="11"/>
  <c r="F1230" i="11"/>
  <c r="G1230" i="11" s="1"/>
  <c r="G1229" i="11"/>
  <c r="F1229" i="11"/>
  <c r="G1228" i="11"/>
  <c r="F1228" i="11"/>
  <c r="F1227" i="11"/>
  <c r="G1227" i="11" s="1"/>
  <c r="G1226" i="11"/>
  <c r="F1226" i="11"/>
  <c r="G1225" i="11"/>
  <c r="F1225" i="11"/>
  <c r="F1224" i="11"/>
  <c r="G1224" i="11" s="1"/>
  <c r="G1223" i="11"/>
  <c r="F1223" i="11"/>
  <c r="G1222" i="11"/>
  <c r="F1222" i="11"/>
  <c r="F1221" i="11"/>
  <c r="G1221" i="11" s="1"/>
  <c r="G1220" i="11"/>
  <c r="F1220" i="11"/>
  <c r="G1219" i="11"/>
  <c r="F1219" i="11"/>
  <c r="F1218" i="11"/>
  <c r="G1218" i="11" s="1"/>
  <c r="G1217" i="11"/>
  <c r="F1217" i="11"/>
  <c r="G1216" i="11"/>
  <c r="F1216" i="11"/>
  <c r="F1215" i="11"/>
  <c r="G1215" i="11" s="1"/>
  <c r="G1214" i="11"/>
  <c r="F1214" i="11"/>
  <c r="G1213" i="11"/>
  <c r="F1213" i="11"/>
  <c r="F1212" i="11"/>
  <c r="G1212" i="11" s="1"/>
  <c r="G1211" i="11"/>
  <c r="F1211" i="11"/>
  <c r="G1210" i="11"/>
  <c r="F1210" i="11"/>
  <c r="F1209" i="11"/>
  <c r="G1209" i="11" s="1"/>
  <c r="G1208" i="11"/>
  <c r="F1208" i="11"/>
  <c r="G1207" i="11"/>
  <c r="F1207" i="11"/>
  <c r="F1206" i="11"/>
  <c r="G1206" i="11" s="1"/>
  <c r="G1205" i="11"/>
  <c r="F1205" i="11"/>
  <c r="G1204" i="11"/>
  <c r="F1204" i="11"/>
  <c r="F1203" i="11"/>
  <c r="G1203" i="11" s="1"/>
  <c r="G1202" i="11"/>
  <c r="F1202" i="11"/>
  <c r="G1201" i="11"/>
  <c r="F1201" i="11"/>
  <c r="F1200" i="11"/>
  <c r="G1200" i="11" s="1"/>
  <c r="G1199" i="11"/>
  <c r="F1199" i="11"/>
  <c r="G1198" i="11"/>
  <c r="F1198" i="11"/>
  <c r="F1197" i="11"/>
  <c r="G1197" i="11" s="1"/>
  <c r="G1196" i="11"/>
  <c r="F1196" i="11"/>
  <c r="G1195" i="11"/>
  <c r="F1195" i="11"/>
  <c r="F1194" i="11"/>
  <c r="G1194" i="11" s="1"/>
  <c r="G1193" i="11"/>
  <c r="F1193" i="11"/>
  <c r="G1192" i="11"/>
  <c r="F1192" i="11"/>
  <c r="F1191" i="11"/>
  <c r="G1191" i="11" s="1"/>
  <c r="G1190" i="11"/>
  <c r="F1190" i="11"/>
  <c r="G1189" i="11"/>
  <c r="F1189" i="11"/>
  <c r="F1188" i="11"/>
  <c r="G1188" i="11" s="1"/>
  <c r="G1187" i="11"/>
  <c r="F1187" i="11"/>
  <c r="G1186" i="11"/>
  <c r="F1186" i="11"/>
  <c r="F1185" i="11"/>
  <c r="G1185" i="11" s="1"/>
  <c r="G1184" i="11"/>
  <c r="F1184" i="11"/>
  <c r="G1183" i="11"/>
  <c r="F1183" i="11"/>
  <c r="F1182" i="11"/>
  <c r="G1182" i="11" s="1"/>
  <c r="G1181" i="11"/>
  <c r="F1181" i="11"/>
  <c r="G1180" i="11"/>
  <c r="F1180" i="11"/>
  <c r="F1179" i="11"/>
  <c r="G1179" i="11" s="1"/>
  <c r="G1178" i="11"/>
  <c r="F1178" i="11"/>
  <c r="G1177" i="11"/>
  <c r="F1177" i="11"/>
  <c r="F1176" i="11"/>
  <c r="G1176" i="11" s="1"/>
  <c r="G1175" i="11"/>
  <c r="F1175" i="11"/>
  <c r="G1174" i="11"/>
  <c r="F1174" i="11"/>
  <c r="F1173" i="11"/>
  <c r="G1173" i="11" s="1"/>
  <c r="G1172" i="11"/>
  <c r="F1172" i="11"/>
  <c r="G1171" i="11"/>
  <c r="F1171" i="11"/>
  <c r="F1170" i="11"/>
  <c r="G1170" i="11" s="1"/>
  <c r="G1169" i="11"/>
  <c r="F1169" i="11"/>
  <c r="G1168" i="11"/>
  <c r="F1168" i="11"/>
  <c r="F1167" i="11"/>
  <c r="G1167" i="11" s="1"/>
  <c r="G1166" i="11"/>
  <c r="F1166" i="11"/>
  <c r="G1165" i="11"/>
  <c r="F1165" i="11"/>
  <c r="F1164" i="11"/>
  <c r="G1164" i="11" s="1"/>
  <c r="G1163" i="11"/>
  <c r="F1163" i="11"/>
  <c r="G1162" i="11"/>
  <c r="F1162" i="11"/>
  <c r="F1161" i="11"/>
  <c r="G1161" i="11" s="1"/>
  <c r="G1160" i="11"/>
  <c r="F1160" i="11"/>
  <c r="G1159" i="11"/>
  <c r="F1159" i="11"/>
  <c r="F1158" i="11"/>
  <c r="G1158" i="11" s="1"/>
  <c r="G1157" i="11"/>
  <c r="F1157" i="11"/>
  <c r="G1156" i="11"/>
  <c r="F1156" i="11"/>
  <c r="F1155" i="11"/>
  <c r="G1155" i="11" s="1"/>
  <c r="G1154" i="11"/>
  <c r="F1154" i="11"/>
  <c r="G1153" i="11"/>
  <c r="F1153" i="11"/>
  <c r="F1152" i="11"/>
  <c r="G1152" i="11" s="1"/>
  <c r="G1151" i="11"/>
  <c r="F1151" i="11"/>
  <c r="G1150" i="11"/>
  <c r="F1150" i="11"/>
  <c r="F1149" i="11"/>
  <c r="G1149" i="11" s="1"/>
  <c r="G1148" i="11"/>
  <c r="F1148" i="11"/>
  <c r="G1147" i="11"/>
  <c r="F1147" i="11"/>
  <c r="F1146" i="11"/>
  <c r="G1146" i="11" s="1"/>
  <c r="G1145" i="11"/>
  <c r="F1145" i="11"/>
  <c r="G1144" i="11"/>
  <c r="F1144" i="11"/>
  <c r="F1143" i="11"/>
  <c r="G1143" i="11" s="1"/>
  <c r="G1142" i="11"/>
  <c r="F1142" i="11"/>
  <c r="G1141" i="11"/>
  <c r="F1141" i="11"/>
  <c r="F1140" i="11"/>
  <c r="G1140" i="11" s="1"/>
  <c r="G1139" i="11"/>
  <c r="F1139" i="11"/>
  <c r="G1138" i="11"/>
  <c r="F1138" i="11"/>
  <c r="F1137" i="11"/>
  <c r="G1137" i="11" s="1"/>
  <c r="G1136" i="11"/>
  <c r="F1136" i="11"/>
  <c r="G1135" i="11"/>
  <c r="F1135" i="11"/>
  <c r="F1134" i="11"/>
  <c r="G1134" i="11" s="1"/>
  <c r="G1133" i="11"/>
  <c r="F1133" i="11"/>
  <c r="G1132" i="11"/>
  <c r="F1132" i="11"/>
  <c r="F1131" i="11"/>
  <c r="G1131" i="11" s="1"/>
  <c r="G1130" i="11"/>
  <c r="F1130" i="11"/>
  <c r="G1129" i="11"/>
  <c r="F1129" i="11"/>
  <c r="F1128" i="11"/>
  <c r="G1128" i="11" s="1"/>
  <c r="G1127" i="11"/>
  <c r="F1127" i="11"/>
  <c r="G1126" i="11"/>
  <c r="F1126" i="11"/>
  <c r="F1125" i="11"/>
  <c r="G1125" i="11" s="1"/>
  <c r="G1124" i="11"/>
  <c r="F1124" i="11"/>
  <c r="G1123" i="11"/>
  <c r="F1123" i="11"/>
  <c r="F1122" i="11"/>
  <c r="G1122" i="11" s="1"/>
  <c r="G1121" i="11"/>
  <c r="F1121" i="11"/>
  <c r="G1120" i="11"/>
  <c r="F1120" i="11"/>
  <c r="F1119" i="11"/>
  <c r="G1119" i="11" s="1"/>
  <c r="G1118" i="11"/>
  <c r="F1118" i="11"/>
  <c r="G1117" i="11"/>
  <c r="F1117" i="11"/>
  <c r="F1116" i="11"/>
  <c r="G1116" i="11" s="1"/>
  <c r="G1115" i="11"/>
  <c r="F1115" i="11"/>
  <c r="G1114" i="11"/>
  <c r="F1114" i="11"/>
  <c r="F1113" i="11"/>
  <c r="G1113" i="11" s="1"/>
  <c r="G1112" i="11"/>
  <c r="F1112" i="11"/>
  <c r="G1111" i="11"/>
  <c r="F1111" i="11"/>
  <c r="F1110" i="11"/>
  <c r="G1110" i="11" s="1"/>
  <c r="G1109" i="11"/>
  <c r="F1109" i="11"/>
  <c r="G1108" i="11"/>
  <c r="F1108" i="11"/>
  <c r="F1107" i="11"/>
  <c r="G1107" i="11" s="1"/>
  <c r="G1106" i="11"/>
  <c r="F1106" i="11"/>
  <c r="G1105" i="11"/>
  <c r="F1105" i="11"/>
  <c r="F1104" i="11"/>
  <c r="G1104" i="11" s="1"/>
  <c r="G1103" i="11"/>
  <c r="F1103" i="11"/>
  <c r="G1102" i="11"/>
  <c r="F1102" i="11"/>
  <c r="F1101" i="11"/>
  <c r="G1101" i="11" s="1"/>
  <c r="G1100" i="11"/>
  <c r="F1100" i="11"/>
  <c r="G1099" i="11"/>
  <c r="F1099" i="11"/>
  <c r="F1098" i="11"/>
  <c r="G1098" i="11" s="1"/>
  <c r="G1097" i="11"/>
  <c r="F1097" i="11"/>
  <c r="G1096" i="11"/>
  <c r="F1096" i="11"/>
  <c r="F1095" i="11"/>
  <c r="G1095" i="11" s="1"/>
  <c r="G1094" i="11"/>
  <c r="F1094" i="11"/>
  <c r="G1093" i="11"/>
  <c r="F1093" i="11"/>
  <c r="F1092" i="11"/>
  <c r="G1092" i="11" s="1"/>
  <c r="G1091" i="11"/>
  <c r="F1091" i="11"/>
  <c r="G1090" i="11"/>
  <c r="F1090" i="11"/>
  <c r="F1089" i="11"/>
  <c r="G1089" i="11" s="1"/>
  <c r="G1088" i="11"/>
  <c r="F1088" i="11"/>
  <c r="G1087" i="11"/>
  <c r="F1087" i="11"/>
  <c r="F1086" i="11"/>
  <c r="G1086" i="11" s="1"/>
  <c r="G1085" i="11"/>
  <c r="F1085" i="11"/>
  <c r="G1084" i="11"/>
  <c r="F1084" i="11"/>
  <c r="F1083" i="11"/>
  <c r="G1083" i="11" s="1"/>
  <c r="G1082" i="11"/>
  <c r="F1082" i="11"/>
  <c r="G1081" i="11"/>
  <c r="F1081" i="11"/>
  <c r="F1080" i="11"/>
  <c r="G1080" i="11" s="1"/>
  <c r="G1079" i="11"/>
  <c r="F1079" i="11"/>
  <c r="G1078" i="11"/>
  <c r="F1078" i="11"/>
  <c r="F1077" i="11"/>
  <c r="G1077" i="11" s="1"/>
  <c r="G1076" i="11"/>
  <c r="F1076" i="11"/>
  <c r="G1075" i="11"/>
  <c r="F1075" i="11"/>
  <c r="F1074" i="11"/>
  <c r="G1074" i="11" s="1"/>
  <c r="G1073" i="11"/>
  <c r="F1073" i="11"/>
  <c r="G1072" i="11"/>
  <c r="F1072" i="11"/>
  <c r="F1071" i="11"/>
  <c r="G1071" i="11" s="1"/>
  <c r="G1070" i="11"/>
  <c r="F1070" i="11"/>
  <c r="G1069" i="11"/>
  <c r="F1069" i="11"/>
  <c r="F1068" i="11"/>
  <c r="G1068" i="11" s="1"/>
  <c r="G1067" i="11"/>
  <c r="F1067" i="11"/>
  <c r="G1066" i="11"/>
  <c r="F1066" i="11"/>
  <c r="F1065" i="11"/>
  <c r="G1065" i="11" s="1"/>
  <c r="G1064" i="11"/>
  <c r="F1064" i="11"/>
  <c r="G1063" i="11"/>
  <c r="F1063" i="11"/>
  <c r="F1062" i="11"/>
  <c r="G1062" i="11" s="1"/>
  <c r="G1061" i="11"/>
  <c r="F1061" i="11"/>
  <c r="G1060" i="11"/>
  <c r="F1060" i="11"/>
  <c r="F1059" i="11"/>
  <c r="G1059" i="11" s="1"/>
  <c r="G1058" i="11"/>
  <c r="F1058" i="11"/>
  <c r="G1057" i="11"/>
  <c r="F1057" i="11"/>
  <c r="F1056" i="11"/>
  <c r="G1056" i="11" s="1"/>
  <c r="G1055" i="11"/>
  <c r="F1055" i="11"/>
  <c r="G1054" i="11"/>
  <c r="F1054" i="11"/>
  <c r="F1053" i="11"/>
  <c r="G1053" i="11" s="1"/>
  <c r="G1052" i="11"/>
  <c r="F1052" i="11"/>
  <c r="G1051" i="11"/>
  <c r="F1051" i="11"/>
  <c r="F1050" i="11"/>
  <c r="G1050" i="11" s="1"/>
  <c r="G1049" i="11"/>
  <c r="F1049" i="11"/>
  <c r="G1048" i="11"/>
  <c r="F1048" i="11"/>
  <c r="F1047" i="11"/>
  <c r="G1047" i="11" s="1"/>
  <c r="G1046" i="11"/>
  <c r="F1046" i="11"/>
  <c r="G1045" i="11"/>
  <c r="F1045" i="11"/>
  <c r="F1044" i="11"/>
  <c r="G1044" i="11" s="1"/>
  <c r="F1043" i="11"/>
  <c r="G1043" i="11" s="1"/>
  <c r="G1042" i="11"/>
  <c r="F1042" i="11"/>
  <c r="F1041" i="11"/>
  <c r="G1041" i="11" s="1"/>
  <c r="G1040" i="11"/>
  <c r="F1040" i="11"/>
  <c r="G1039" i="11"/>
  <c r="F1039" i="11"/>
  <c r="F1038" i="11"/>
  <c r="G1038" i="11" s="1"/>
  <c r="F1037" i="11"/>
  <c r="G1037" i="11" s="1"/>
  <c r="G1036" i="11"/>
  <c r="F1036" i="11"/>
  <c r="F1035" i="11"/>
  <c r="G1035" i="11" s="1"/>
  <c r="G1034" i="11"/>
  <c r="F1034" i="11"/>
  <c r="G1033" i="11"/>
  <c r="F1033" i="11"/>
  <c r="F1032" i="11"/>
  <c r="G1032" i="11" s="1"/>
  <c r="F1031" i="11"/>
  <c r="G1031" i="11" s="1"/>
  <c r="G1030" i="11"/>
  <c r="F1030" i="11"/>
  <c r="F1029" i="11"/>
  <c r="G1029" i="11" s="1"/>
  <c r="G1028" i="11"/>
  <c r="F1028" i="11"/>
  <c r="G1027" i="11"/>
  <c r="F1027" i="11"/>
  <c r="F1026" i="11"/>
  <c r="G1026" i="11" s="1"/>
  <c r="F1025" i="11"/>
  <c r="G1025" i="11" s="1"/>
  <c r="G1024" i="11"/>
  <c r="F1024" i="11"/>
  <c r="F1023" i="11"/>
  <c r="G1023" i="11" s="1"/>
  <c r="G1022" i="11"/>
  <c r="F1022" i="11"/>
  <c r="G1021" i="11"/>
  <c r="F1021" i="11"/>
  <c r="F1020" i="11"/>
  <c r="G1020" i="11" s="1"/>
  <c r="F1019" i="11"/>
  <c r="G1019" i="11" s="1"/>
  <c r="G1018" i="11"/>
  <c r="F1018" i="11"/>
  <c r="F1017" i="11"/>
  <c r="G1017" i="11" s="1"/>
  <c r="G1016" i="11"/>
  <c r="F1016" i="11"/>
  <c r="G1015" i="11"/>
  <c r="F1015" i="11"/>
  <c r="F1014" i="11"/>
  <c r="G1014" i="11" s="1"/>
  <c r="F1013" i="11"/>
  <c r="G1013" i="11" s="1"/>
  <c r="G1012" i="11"/>
  <c r="F1012" i="11"/>
  <c r="F1011" i="11"/>
  <c r="G1011" i="11" s="1"/>
  <c r="G1010" i="11"/>
  <c r="F1010" i="11"/>
  <c r="G1009" i="11"/>
  <c r="F1009" i="11"/>
  <c r="F1008" i="11"/>
  <c r="G1008" i="11" s="1"/>
  <c r="F1007" i="11"/>
  <c r="G1007" i="11" s="1"/>
  <c r="G1006" i="11"/>
  <c r="F1006" i="11"/>
  <c r="F1005" i="11"/>
  <c r="G1005" i="11" s="1"/>
  <c r="G1004" i="11"/>
  <c r="F1004" i="11"/>
  <c r="G1003" i="11"/>
  <c r="F1003" i="11"/>
  <c r="F1002" i="11"/>
  <c r="G1002" i="11" s="1"/>
  <c r="F1001" i="11"/>
  <c r="G1001" i="11" s="1"/>
  <c r="F1000" i="11"/>
  <c r="G1000" i="11" s="1"/>
  <c r="F999" i="11"/>
  <c r="G999" i="11" s="1"/>
  <c r="G998" i="11"/>
  <c r="F998" i="11"/>
  <c r="G997" i="11"/>
  <c r="F997" i="11"/>
  <c r="F996" i="11"/>
  <c r="G996" i="11" s="1"/>
  <c r="F995" i="11"/>
  <c r="G995" i="11" s="1"/>
  <c r="F994" i="11"/>
  <c r="G994" i="11" s="1"/>
  <c r="F993" i="11"/>
  <c r="G993" i="11" s="1"/>
  <c r="G992" i="11"/>
  <c r="F992" i="11"/>
  <c r="G991" i="11"/>
  <c r="F991" i="11"/>
  <c r="F990" i="11"/>
  <c r="G990" i="11" s="1"/>
  <c r="F989" i="11"/>
  <c r="G989" i="11" s="1"/>
  <c r="F988" i="11"/>
  <c r="G988" i="11" s="1"/>
  <c r="F987" i="11"/>
  <c r="G987" i="11" s="1"/>
  <c r="G986" i="11"/>
  <c r="F986" i="11"/>
  <c r="G985" i="11"/>
  <c r="F985" i="11"/>
  <c r="F984" i="11"/>
  <c r="G984" i="11" s="1"/>
  <c r="F983" i="11"/>
  <c r="G983" i="11" s="1"/>
  <c r="F982" i="11"/>
  <c r="G982" i="11" s="1"/>
  <c r="F981" i="11"/>
  <c r="G981" i="11" s="1"/>
  <c r="G980" i="11"/>
  <c r="F980" i="11"/>
  <c r="G979" i="11"/>
  <c r="F979" i="11"/>
  <c r="F978" i="11"/>
  <c r="G978" i="11" s="1"/>
  <c r="F977" i="11"/>
  <c r="G977" i="11" s="1"/>
  <c r="F976" i="11"/>
  <c r="G976" i="11" s="1"/>
  <c r="F975" i="11"/>
  <c r="G975" i="11" s="1"/>
  <c r="G974" i="11"/>
  <c r="F974" i="11"/>
  <c r="G973" i="11"/>
  <c r="F973" i="11"/>
  <c r="F972" i="11"/>
  <c r="G972" i="11" s="1"/>
  <c r="F971" i="11"/>
  <c r="G971" i="11" s="1"/>
  <c r="F970" i="11"/>
  <c r="G970" i="11" s="1"/>
  <c r="F969" i="11"/>
  <c r="G969" i="11" s="1"/>
  <c r="G968" i="11"/>
  <c r="F968" i="11"/>
  <c r="G967" i="11"/>
  <c r="F967" i="11"/>
  <c r="F966" i="11"/>
  <c r="G966" i="11" s="1"/>
  <c r="F965" i="11"/>
  <c r="G965" i="11" s="1"/>
  <c r="F964" i="11"/>
  <c r="G964" i="11" s="1"/>
  <c r="F963" i="11"/>
  <c r="G963" i="11" s="1"/>
  <c r="G962" i="11"/>
  <c r="F962" i="11"/>
  <c r="G961" i="11"/>
  <c r="F961" i="11"/>
  <c r="F960" i="11"/>
  <c r="G960" i="11" s="1"/>
  <c r="F959" i="11"/>
  <c r="G959" i="11" s="1"/>
  <c r="F958" i="11"/>
  <c r="G958" i="11" s="1"/>
  <c r="F957" i="11"/>
  <c r="G957" i="11" s="1"/>
  <c r="G956" i="11"/>
  <c r="F956" i="11"/>
  <c r="G955" i="11"/>
  <c r="F955" i="11"/>
  <c r="F954" i="11"/>
  <c r="G954" i="11" s="1"/>
  <c r="F953" i="11"/>
  <c r="G953" i="11" s="1"/>
  <c r="F952" i="11"/>
  <c r="G952" i="11" s="1"/>
  <c r="F951" i="11"/>
  <c r="G951" i="11" s="1"/>
  <c r="G950" i="11"/>
  <c r="F950" i="11"/>
  <c r="G949" i="11"/>
  <c r="F949" i="11"/>
  <c r="F948" i="11"/>
  <c r="G948" i="11" s="1"/>
  <c r="F947" i="11"/>
  <c r="G947" i="11" s="1"/>
  <c r="F946" i="11"/>
  <c r="G946" i="11" s="1"/>
  <c r="F945" i="11"/>
  <c r="G945" i="11" s="1"/>
  <c r="G944" i="11"/>
  <c r="F944" i="11"/>
  <c r="G943" i="11"/>
  <c r="F943" i="11"/>
  <c r="F942" i="11"/>
  <c r="G942" i="11" s="1"/>
  <c r="F941" i="11"/>
  <c r="G941" i="11" s="1"/>
  <c r="F940" i="11"/>
  <c r="G940" i="11" s="1"/>
  <c r="F939" i="11"/>
  <c r="G939" i="11" s="1"/>
  <c r="G938" i="11"/>
  <c r="F938" i="11"/>
  <c r="G937" i="11"/>
  <c r="F937" i="11"/>
  <c r="F936" i="11"/>
  <c r="G936" i="11" s="1"/>
  <c r="F935" i="11"/>
  <c r="G935" i="11" s="1"/>
  <c r="F934" i="11"/>
  <c r="G934" i="11" s="1"/>
  <c r="F933" i="11"/>
  <c r="G933" i="11" s="1"/>
  <c r="G932" i="11"/>
  <c r="F932" i="11"/>
  <c r="G931" i="11"/>
  <c r="F931" i="11"/>
  <c r="F930" i="11"/>
  <c r="G930" i="11" s="1"/>
  <c r="F929" i="11"/>
  <c r="G929" i="11" s="1"/>
  <c r="F928" i="11"/>
  <c r="G928" i="11" s="1"/>
  <c r="F927" i="11"/>
  <c r="G927" i="11" s="1"/>
  <c r="G926" i="11"/>
  <c r="F926" i="11"/>
  <c r="G925" i="11"/>
  <c r="F925" i="11"/>
  <c r="F924" i="11"/>
  <c r="G924" i="11" s="1"/>
  <c r="F923" i="11"/>
  <c r="G923" i="11" s="1"/>
  <c r="F922" i="11"/>
  <c r="G922" i="11" s="1"/>
  <c r="F921" i="11"/>
  <c r="G921" i="11" s="1"/>
  <c r="G920" i="11"/>
  <c r="F920" i="11"/>
  <c r="G919" i="11"/>
  <c r="F919" i="11"/>
  <c r="F918" i="11"/>
  <c r="G918" i="11" s="1"/>
  <c r="F917" i="11"/>
  <c r="G917" i="11" s="1"/>
  <c r="F916" i="11"/>
  <c r="G916" i="11" s="1"/>
  <c r="F915" i="11"/>
  <c r="G915" i="11" s="1"/>
  <c r="G914" i="11"/>
  <c r="F914" i="11"/>
  <c r="G913" i="11"/>
  <c r="F913" i="11"/>
  <c r="F912" i="11"/>
  <c r="G912" i="11" s="1"/>
  <c r="F911" i="11"/>
  <c r="G911" i="11" s="1"/>
  <c r="F910" i="11"/>
  <c r="G910" i="11" s="1"/>
  <c r="F909" i="11"/>
  <c r="G909" i="11" s="1"/>
  <c r="G908" i="11"/>
  <c r="F908" i="11"/>
  <c r="G907" i="11"/>
  <c r="F907" i="11"/>
  <c r="F906" i="11"/>
  <c r="G906" i="11" s="1"/>
  <c r="F905" i="11"/>
  <c r="G905" i="11" s="1"/>
  <c r="F904" i="11"/>
  <c r="G904" i="11" s="1"/>
  <c r="F903" i="11"/>
  <c r="G903" i="11" s="1"/>
  <c r="G902" i="11"/>
  <c r="F902" i="11"/>
  <c r="G901" i="11"/>
  <c r="F901" i="11"/>
  <c r="F900" i="11"/>
  <c r="G900" i="11" s="1"/>
  <c r="F899" i="11"/>
  <c r="G899" i="11" s="1"/>
  <c r="F898" i="11"/>
  <c r="G898" i="11" s="1"/>
  <c r="F897" i="11"/>
  <c r="G897" i="11" s="1"/>
  <c r="G896" i="11"/>
  <c r="F896" i="11"/>
  <c r="G895" i="11"/>
  <c r="F895" i="11"/>
  <c r="G894" i="11"/>
  <c r="F894" i="11"/>
  <c r="G893" i="11"/>
  <c r="F893" i="11"/>
  <c r="G892" i="11"/>
  <c r="F892" i="11"/>
  <c r="G891" i="11"/>
  <c r="F891" i="11"/>
  <c r="G890" i="11"/>
  <c r="F890" i="11"/>
  <c r="G889" i="11"/>
  <c r="F889" i="11"/>
  <c r="G888" i="11"/>
  <c r="F888" i="11"/>
  <c r="G887" i="11"/>
  <c r="F887" i="11"/>
  <c r="G886" i="11"/>
  <c r="F886" i="11"/>
  <c r="G885" i="11"/>
  <c r="F885" i="11"/>
  <c r="G884" i="11"/>
  <c r="F884" i="11"/>
  <c r="G883" i="11"/>
  <c r="F883" i="11"/>
  <c r="G882" i="11"/>
  <c r="F882" i="11"/>
  <c r="G881" i="11"/>
  <c r="F881" i="11"/>
  <c r="G880" i="11"/>
  <c r="F880" i="11"/>
  <c r="G879" i="11"/>
  <c r="F879" i="11"/>
  <c r="G878" i="11"/>
  <c r="F878" i="11"/>
  <c r="G877" i="11"/>
  <c r="F877" i="11"/>
  <c r="G876" i="11"/>
  <c r="F876" i="11"/>
  <c r="G875" i="11"/>
  <c r="F875" i="11"/>
  <c r="G874" i="11"/>
  <c r="F874" i="11"/>
  <c r="G873" i="11"/>
  <c r="F873" i="11"/>
  <c r="G872" i="11"/>
  <c r="F872" i="11"/>
  <c r="G871" i="11"/>
  <c r="F871" i="11"/>
  <c r="G870" i="11"/>
  <c r="F870" i="11"/>
  <c r="G869" i="11"/>
  <c r="F869" i="11"/>
  <c r="G868" i="11"/>
  <c r="F868" i="11"/>
  <c r="G867" i="11"/>
  <c r="F867" i="11"/>
  <c r="G866" i="11"/>
  <c r="F866" i="11"/>
  <c r="G865" i="11"/>
  <c r="F865" i="11"/>
  <c r="G864" i="11"/>
  <c r="F864" i="11"/>
  <c r="G863" i="11"/>
  <c r="F863" i="11"/>
  <c r="G862" i="11"/>
  <c r="F862" i="11"/>
  <c r="G861" i="11"/>
  <c r="F861" i="11"/>
  <c r="G860" i="11"/>
  <c r="F860" i="11"/>
  <c r="G859" i="11"/>
  <c r="F859" i="11"/>
  <c r="G858" i="11"/>
  <c r="F858" i="11"/>
  <c r="G857" i="11"/>
  <c r="F857" i="11"/>
  <c r="G856" i="11"/>
  <c r="F856" i="11"/>
  <c r="G855" i="11"/>
  <c r="F855" i="11"/>
  <c r="G854" i="11"/>
  <c r="F854" i="11"/>
  <c r="G853" i="11"/>
  <c r="F853" i="11"/>
  <c r="G852" i="11"/>
  <c r="F852" i="11"/>
  <c r="G851" i="11"/>
  <c r="F851" i="11"/>
  <c r="G850" i="11"/>
  <c r="F850" i="11"/>
  <c r="G849" i="11"/>
  <c r="F849" i="11"/>
  <c r="G848" i="11"/>
  <c r="F848" i="11"/>
  <c r="G847" i="11"/>
  <c r="F847" i="11"/>
  <c r="G846" i="11"/>
  <c r="F846" i="11"/>
  <c r="G845" i="11"/>
  <c r="F845" i="11"/>
  <c r="G844" i="11"/>
  <c r="F844" i="11"/>
  <c r="G843" i="11"/>
  <c r="F843" i="11"/>
  <c r="G842" i="11"/>
  <c r="F842" i="11"/>
  <c r="G841" i="11"/>
  <c r="F841" i="11"/>
  <c r="G840" i="11"/>
  <c r="F840" i="11"/>
  <c r="G839" i="11"/>
  <c r="F839" i="11"/>
  <c r="G838" i="11"/>
  <c r="F838" i="11"/>
  <c r="G837" i="11"/>
  <c r="F837" i="11"/>
  <c r="G836" i="11"/>
  <c r="F836" i="11"/>
  <c r="G835" i="11"/>
  <c r="F835" i="11"/>
  <c r="G834" i="11"/>
  <c r="F834" i="11"/>
  <c r="G833" i="11"/>
  <c r="F833" i="11"/>
  <c r="G832" i="11"/>
  <c r="F832" i="11"/>
  <c r="G831" i="11"/>
  <c r="F831" i="11"/>
  <c r="G830" i="11"/>
  <c r="F830" i="11"/>
  <c r="G829" i="11"/>
  <c r="F829" i="11"/>
  <c r="G828" i="11"/>
  <c r="F828" i="11"/>
  <c r="G827" i="11"/>
  <c r="F827" i="11"/>
  <c r="G826" i="11"/>
  <c r="F826" i="11"/>
  <c r="G825" i="11"/>
  <c r="F825" i="11"/>
  <c r="G824" i="11"/>
  <c r="F824" i="11"/>
  <c r="G823" i="11"/>
  <c r="F823" i="11"/>
  <c r="G822" i="11"/>
  <c r="F822" i="11"/>
  <c r="G821" i="11"/>
  <c r="F821" i="11"/>
  <c r="G820" i="11"/>
  <c r="F820" i="11"/>
  <c r="G819" i="11"/>
  <c r="F819" i="11"/>
  <c r="G818" i="11"/>
  <c r="F818" i="11"/>
  <c r="G817" i="11"/>
  <c r="F817" i="11"/>
  <c r="G816" i="11"/>
  <c r="F816" i="11"/>
  <c r="G815" i="11"/>
  <c r="F815" i="11"/>
  <c r="G814" i="11"/>
  <c r="F814" i="11"/>
  <c r="G813" i="11"/>
  <c r="F813" i="11"/>
  <c r="G812" i="11"/>
  <c r="F812" i="11"/>
  <c r="G811" i="11"/>
  <c r="F811" i="11"/>
  <c r="G810" i="11"/>
  <c r="F810" i="11"/>
  <c r="G809" i="11"/>
  <c r="F809" i="11"/>
  <c r="G808" i="11"/>
  <c r="F808" i="11"/>
  <c r="G807" i="11"/>
  <c r="F807" i="11"/>
  <c r="G806" i="11"/>
  <c r="F806" i="11"/>
  <c r="G805" i="11"/>
  <c r="F805" i="11"/>
  <c r="G804" i="11"/>
  <c r="F804" i="11"/>
  <c r="G803" i="11"/>
  <c r="F803" i="11"/>
  <c r="G802" i="11"/>
  <c r="F802" i="11"/>
  <c r="G801" i="11"/>
  <c r="F801" i="11"/>
  <c r="G800" i="11"/>
  <c r="F800" i="11"/>
  <c r="G799" i="11"/>
  <c r="F799" i="11"/>
  <c r="G798" i="11"/>
  <c r="F798" i="11"/>
  <c r="G797" i="11"/>
  <c r="F797" i="11"/>
  <c r="G796" i="11"/>
  <c r="F796" i="11"/>
  <c r="G795" i="11"/>
  <c r="F795" i="11"/>
  <c r="G794" i="11"/>
  <c r="F794" i="11"/>
  <c r="G793" i="11"/>
  <c r="F793" i="11"/>
  <c r="G792" i="11"/>
  <c r="F792" i="11"/>
  <c r="G791" i="11"/>
  <c r="F791" i="11"/>
  <c r="G790" i="11"/>
  <c r="F790" i="11"/>
  <c r="G789" i="11"/>
  <c r="F789" i="11"/>
  <c r="G788" i="11"/>
  <c r="F788" i="11"/>
  <c r="G787" i="11"/>
  <c r="F787" i="11"/>
  <c r="G786" i="11"/>
  <c r="F786" i="11"/>
  <c r="G785" i="11"/>
  <c r="F785" i="11"/>
  <c r="G784" i="11"/>
  <c r="F784" i="11"/>
  <c r="G783" i="11"/>
  <c r="F783" i="11"/>
  <c r="G782" i="11"/>
  <c r="F782" i="11"/>
  <c r="G781" i="11"/>
  <c r="F781" i="11"/>
  <c r="G780" i="11"/>
  <c r="F780" i="11"/>
  <c r="G779" i="11"/>
  <c r="F779" i="11"/>
  <c r="G778" i="11"/>
  <c r="F778" i="11"/>
  <c r="G777" i="11"/>
  <c r="F777" i="11"/>
  <c r="G776" i="11"/>
  <c r="F776" i="11"/>
  <c r="G775" i="11"/>
  <c r="F775" i="11"/>
  <c r="G774" i="11"/>
  <c r="F774" i="11"/>
  <c r="G773" i="11"/>
  <c r="F773" i="11"/>
  <c r="G772" i="11"/>
  <c r="F772" i="11"/>
  <c r="G771" i="11"/>
  <c r="F771" i="11"/>
  <c r="G770" i="11"/>
  <c r="F770" i="11"/>
  <c r="G769" i="11"/>
  <c r="F769" i="11"/>
  <c r="G768" i="11"/>
  <c r="F768" i="11"/>
  <c r="G767" i="11"/>
  <c r="F767" i="11"/>
  <c r="G766" i="11"/>
  <c r="F766" i="11"/>
  <c r="G765" i="11"/>
  <c r="F765" i="11"/>
  <c r="G764" i="11"/>
  <c r="F764" i="11"/>
  <c r="G763" i="11"/>
  <c r="F763" i="11"/>
  <c r="G762" i="11"/>
  <c r="F762" i="11"/>
  <c r="G761" i="11"/>
  <c r="F761" i="11"/>
  <c r="G760" i="11"/>
  <c r="F760" i="11"/>
  <c r="G759" i="11"/>
  <c r="F759" i="11"/>
  <c r="G758" i="11"/>
  <c r="F758" i="11"/>
  <c r="G757" i="11"/>
  <c r="F757" i="11"/>
  <c r="G756" i="11"/>
  <c r="F756" i="11"/>
  <c r="G755" i="11"/>
  <c r="F755" i="11"/>
  <c r="G754" i="11"/>
  <c r="F754" i="11"/>
  <c r="G753" i="11"/>
  <c r="F753" i="11"/>
  <c r="G752" i="11"/>
  <c r="F752" i="11"/>
  <c r="G751" i="11"/>
  <c r="F751" i="11"/>
  <c r="G750" i="11"/>
  <c r="F750" i="11"/>
  <c r="G749" i="11"/>
  <c r="F749" i="11"/>
  <c r="G748" i="11"/>
  <c r="F748" i="11"/>
  <c r="G747" i="11"/>
  <c r="F747" i="11"/>
  <c r="G746" i="11"/>
  <c r="F746" i="11"/>
  <c r="G745" i="11"/>
  <c r="F745" i="11"/>
  <c r="G744" i="11"/>
  <c r="F744" i="11"/>
  <c r="G743" i="11"/>
  <c r="F743" i="11"/>
  <c r="G742" i="11"/>
  <c r="F742" i="11"/>
  <c r="G741" i="11"/>
  <c r="F741" i="11"/>
  <c r="G740" i="11"/>
  <c r="F740" i="11"/>
  <c r="G739" i="11"/>
  <c r="F739" i="11"/>
  <c r="G738" i="11"/>
  <c r="F738" i="11"/>
  <c r="G737" i="11"/>
  <c r="F737" i="11"/>
  <c r="G736" i="11"/>
  <c r="F736" i="11"/>
  <c r="G735" i="11"/>
  <c r="F735" i="11"/>
  <c r="G734" i="11"/>
  <c r="F734" i="11"/>
  <c r="G733" i="11"/>
  <c r="F733" i="11"/>
  <c r="G732" i="11"/>
  <c r="F732" i="11"/>
  <c r="G731" i="11"/>
  <c r="F731" i="11"/>
  <c r="G730" i="11"/>
  <c r="F730" i="11"/>
  <c r="G729" i="11"/>
  <c r="F729" i="11"/>
  <c r="G728" i="11"/>
  <c r="F728" i="11"/>
  <c r="G727" i="11"/>
  <c r="F727" i="11"/>
  <c r="G726" i="11"/>
  <c r="F726" i="11"/>
  <c r="G725" i="11"/>
  <c r="F725" i="11"/>
  <c r="G724" i="11"/>
  <c r="F724" i="11"/>
  <c r="G723" i="11"/>
  <c r="F723" i="11"/>
  <c r="G722" i="11"/>
  <c r="F722" i="11"/>
  <c r="G721" i="11"/>
  <c r="F721" i="11"/>
  <c r="G720" i="11"/>
  <c r="F720" i="11"/>
  <c r="G719" i="11"/>
  <c r="F719" i="11"/>
  <c r="G718" i="11"/>
  <c r="F718" i="11"/>
  <c r="G717" i="11"/>
  <c r="F717" i="11"/>
  <c r="G716" i="11"/>
  <c r="F716" i="11"/>
  <c r="G715" i="11"/>
  <c r="F715" i="11"/>
  <c r="G714" i="11"/>
  <c r="F714" i="11"/>
  <c r="G713" i="11"/>
  <c r="F713" i="11"/>
  <c r="G712" i="11"/>
  <c r="F712" i="11"/>
  <c r="G711" i="11"/>
  <c r="F711" i="11"/>
  <c r="G710" i="11"/>
  <c r="F710" i="11"/>
  <c r="G709" i="11"/>
  <c r="F709" i="11"/>
  <c r="G708" i="11"/>
  <c r="F708" i="11"/>
  <c r="G707" i="11"/>
  <c r="F707" i="11"/>
  <c r="G706" i="11"/>
  <c r="F706" i="11"/>
  <c r="G705" i="11"/>
  <c r="F705" i="11"/>
  <c r="G704" i="11"/>
  <c r="F704" i="11"/>
  <c r="G703" i="11"/>
  <c r="F703" i="11"/>
  <c r="G702" i="11"/>
  <c r="F702" i="11"/>
  <c r="G701" i="11"/>
  <c r="F701" i="11"/>
  <c r="G700" i="11"/>
  <c r="F700" i="11"/>
  <c r="G699" i="11"/>
  <c r="F699" i="11"/>
  <c r="G698" i="11"/>
  <c r="F698" i="11"/>
  <c r="G697" i="11"/>
  <c r="F697" i="11"/>
  <c r="G696" i="11"/>
  <c r="F696" i="11"/>
  <c r="G695" i="11"/>
  <c r="F695" i="11"/>
  <c r="G694" i="11"/>
  <c r="F694" i="11"/>
  <c r="G693" i="11"/>
  <c r="F693" i="11"/>
  <c r="G692" i="11"/>
  <c r="F692" i="11"/>
  <c r="G691" i="11"/>
  <c r="F691" i="11"/>
  <c r="G690" i="11"/>
  <c r="F690" i="11"/>
  <c r="G689" i="11"/>
  <c r="F689" i="11"/>
  <c r="G688" i="11"/>
  <c r="F688" i="11"/>
  <c r="G687" i="11"/>
  <c r="F687" i="11"/>
  <c r="G686" i="11"/>
  <c r="F686" i="11"/>
  <c r="G685" i="11"/>
  <c r="F685" i="11"/>
  <c r="G684" i="11"/>
  <c r="F684" i="11"/>
  <c r="G683" i="11"/>
  <c r="F683" i="11"/>
  <c r="G682" i="11"/>
  <c r="F682" i="11"/>
  <c r="G681" i="11"/>
  <c r="F681" i="11"/>
  <c r="G680" i="11"/>
  <c r="F680" i="11"/>
  <c r="G679" i="11"/>
  <c r="F679" i="11"/>
  <c r="G678" i="11"/>
  <c r="F678" i="11"/>
  <c r="G677" i="11"/>
  <c r="F677" i="11"/>
  <c r="G676" i="11"/>
  <c r="F676" i="11"/>
  <c r="G675" i="11"/>
  <c r="F675" i="11"/>
  <c r="G674" i="11"/>
  <c r="F674" i="11"/>
  <c r="G673" i="11"/>
  <c r="F673" i="11"/>
  <c r="G672" i="11"/>
  <c r="F672" i="11"/>
  <c r="G671" i="11"/>
  <c r="F671" i="11"/>
  <c r="G670" i="11"/>
  <c r="F670" i="11"/>
  <c r="G669" i="11"/>
  <c r="F669" i="11"/>
  <c r="G668" i="11"/>
  <c r="F668" i="11"/>
  <c r="G667" i="11"/>
  <c r="F667" i="11"/>
  <c r="G666" i="11"/>
  <c r="F666" i="11"/>
  <c r="G665" i="11"/>
  <c r="F665" i="11"/>
  <c r="G664" i="11"/>
  <c r="F664" i="11"/>
  <c r="G663" i="11"/>
  <c r="F663" i="11"/>
  <c r="G662" i="11"/>
  <c r="F662" i="11"/>
  <c r="G661" i="11"/>
  <c r="F661" i="11"/>
  <c r="G660" i="11"/>
  <c r="F660" i="11"/>
  <c r="G659" i="11"/>
  <c r="F659" i="11"/>
  <c r="G658" i="11"/>
  <c r="F658" i="11"/>
  <c r="G657" i="11"/>
  <c r="F657" i="11"/>
  <c r="G656" i="11"/>
  <c r="F656" i="11"/>
  <c r="G655" i="11"/>
  <c r="F655" i="11"/>
  <c r="G654" i="11"/>
  <c r="F654" i="11"/>
  <c r="G653" i="11"/>
  <c r="F653" i="11"/>
  <c r="G652" i="11"/>
  <c r="F652" i="11"/>
  <c r="G651" i="11"/>
  <c r="F651" i="11"/>
  <c r="G650" i="11"/>
  <c r="F650" i="11"/>
  <c r="G649" i="11"/>
  <c r="F649" i="11"/>
  <c r="G648" i="11"/>
  <c r="F648" i="11"/>
  <c r="G647" i="11"/>
  <c r="F647" i="11"/>
  <c r="G646" i="11"/>
  <c r="F646" i="11"/>
  <c r="G645" i="11"/>
  <c r="F645" i="11"/>
  <c r="G644" i="11"/>
  <c r="F644" i="11"/>
  <c r="G643" i="11"/>
  <c r="F643" i="11"/>
  <c r="G642" i="11"/>
  <c r="F642" i="11"/>
  <c r="G641" i="11"/>
  <c r="F641" i="11"/>
  <c r="G640" i="11"/>
  <c r="F640" i="11"/>
  <c r="G639" i="11"/>
  <c r="F639" i="11"/>
  <c r="G638" i="11"/>
  <c r="F638" i="11"/>
  <c r="G637" i="11"/>
  <c r="F637" i="11"/>
  <c r="G636" i="11"/>
  <c r="F636" i="11"/>
  <c r="G635" i="11"/>
  <c r="F635" i="11"/>
  <c r="G634" i="11"/>
  <c r="F634" i="11"/>
  <c r="G633" i="11"/>
  <c r="F633" i="11"/>
  <c r="G632" i="11"/>
  <c r="F632" i="11"/>
  <c r="G631" i="11"/>
  <c r="F631" i="11"/>
  <c r="G630" i="11"/>
  <c r="F630" i="11"/>
  <c r="G629" i="11"/>
  <c r="F629" i="11"/>
  <c r="G628" i="11"/>
  <c r="F628" i="11"/>
  <c r="G627" i="11"/>
  <c r="F627" i="11"/>
  <c r="G626" i="11"/>
  <c r="F626" i="11"/>
  <c r="G625" i="11"/>
  <c r="F625" i="11"/>
  <c r="G624" i="11"/>
  <c r="F624" i="11"/>
  <c r="G623" i="11"/>
  <c r="F623" i="11"/>
  <c r="G622" i="11"/>
  <c r="F622" i="11"/>
  <c r="G621" i="11"/>
  <c r="F621" i="11"/>
  <c r="G620" i="11"/>
  <c r="F620" i="11"/>
  <c r="G619" i="11"/>
  <c r="F619" i="11"/>
  <c r="G618" i="11"/>
  <c r="F618" i="11"/>
  <c r="G617" i="11"/>
  <c r="F617" i="11"/>
  <c r="G616" i="11"/>
  <c r="F616" i="11"/>
  <c r="G615" i="11"/>
  <c r="F615" i="11"/>
  <c r="G614" i="11"/>
  <c r="F614" i="11"/>
  <c r="G613" i="11"/>
  <c r="F613" i="11"/>
  <c r="G612" i="11"/>
  <c r="F612" i="11"/>
  <c r="G611" i="11"/>
  <c r="F611" i="11"/>
  <c r="G610" i="11"/>
  <c r="F610" i="11"/>
  <c r="G609" i="11"/>
  <c r="F609" i="11"/>
  <c r="G608" i="11"/>
  <c r="F608" i="11"/>
  <c r="G607" i="11"/>
  <c r="F607" i="11"/>
  <c r="G606" i="11"/>
  <c r="F606" i="11"/>
  <c r="G605" i="11"/>
  <c r="F605" i="11"/>
  <c r="G604" i="11"/>
  <c r="F604" i="11"/>
  <c r="G603" i="11"/>
  <c r="F603" i="11"/>
  <c r="G602" i="11"/>
  <c r="F602" i="11"/>
  <c r="G601" i="11"/>
  <c r="F601" i="11"/>
  <c r="G600" i="11"/>
  <c r="F600" i="11"/>
  <c r="G599" i="11"/>
  <c r="F599" i="11"/>
  <c r="G598" i="11"/>
  <c r="F598" i="11"/>
  <c r="G597" i="11"/>
  <c r="F597" i="11"/>
  <c r="G596" i="11"/>
  <c r="F596" i="11"/>
  <c r="G595" i="11"/>
  <c r="F595" i="11"/>
  <c r="G594" i="11"/>
  <c r="F594" i="11"/>
  <c r="G593" i="11"/>
  <c r="F593" i="11"/>
  <c r="G592" i="11"/>
  <c r="F592" i="11"/>
  <c r="G591" i="11"/>
  <c r="F591" i="11"/>
  <c r="G590" i="11"/>
  <c r="F590" i="11"/>
  <c r="G589" i="11"/>
  <c r="F589" i="11"/>
  <c r="G588" i="11"/>
  <c r="F588" i="11"/>
  <c r="G587" i="11"/>
  <c r="F587" i="11"/>
  <c r="F586" i="11"/>
  <c r="G586" i="11" s="1"/>
  <c r="G585" i="11"/>
  <c r="F585" i="11"/>
  <c r="G584" i="11"/>
  <c r="F584" i="11"/>
  <c r="G583" i="11"/>
  <c r="F583" i="11"/>
  <c r="G582" i="11"/>
  <c r="F582" i="11"/>
  <c r="G581" i="11"/>
  <c r="F581" i="11"/>
  <c r="G580" i="11"/>
  <c r="F580" i="11"/>
  <c r="G579" i="11"/>
  <c r="F579" i="11"/>
  <c r="G578" i="11"/>
  <c r="F578" i="11"/>
  <c r="G577" i="11"/>
  <c r="F577" i="11"/>
  <c r="G576" i="11"/>
  <c r="F576" i="11"/>
  <c r="G575" i="11"/>
  <c r="F575" i="11"/>
  <c r="F574" i="11"/>
  <c r="G574" i="11" s="1"/>
  <c r="G573" i="11"/>
  <c r="F573" i="11"/>
  <c r="G572" i="11"/>
  <c r="F572" i="11"/>
  <c r="F571" i="11"/>
  <c r="G571" i="11" s="1"/>
  <c r="G570" i="11"/>
  <c r="F570" i="11"/>
  <c r="G569" i="11"/>
  <c r="F569" i="11"/>
  <c r="F568" i="11"/>
  <c r="G568" i="11" s="1"/>
  <c r="G567" i="11"/>
  <c r="F567" i="11"/>
  <c r="G566" i="11"/>
  <c r="F566" i="11"/>
  <c r="F565" i="11"/>
  <c r="G565" i="11" s="1"/>
  <c r="G564" i="11"/>
  <c r="F564" i="11"/>
  <c r="G563" i="11"/>
  <c r="F563" i="11"/>
  <c r="F562" i="11"/>
  <c r="G562" i="11" s="1"/>
  <c r="G561" i="11"/>
  <c r="F561" i="11"/>
  <c r="G560" i="11"/>
  <c r="F560" i="11"/>
  <c r="F559" i="11"/>
  <c r="G559" i="11" s="1"/>
  <c r="G558" i="11"/>
  <c r="F558" i="11"/>
  <c r="G557" i="11"/>
  <c r="F557" i="11"/>
  <c r="F556" i="11"/>
  <c r="G556" i="11" s="1"/>
  <c r="G555" i="11"/>
  <c r="F555" i="11"/>
  <c r="G554" i="11"/>
  <c r="F554" i="11"/>
  <c r="F553" i="11"/>
  <c r="G553" i="11" s="1"/>
  <c r="G552" i="11"/>
  <c r="F552" i="11"/>
  <c r="G551" i="11"/>
  <c r="F551" i="11"/>
  <c r="F550" i="11"/>
  <c r="G550" i="11" s="1"/>
  <c r="G549" i="11"/>
  <c r="F549" i="11"/>
  <c r="G548" i="11"/>
  <c r="F548" i="11"/>
  <c r="F547" i="11"/>
  <c r="G547" i="11" s="1"/>
  <c r="G546" i="11"/>
  <c r="F546" i="11"/>
  <c r="G545" i="11"/>
  <c r="F545" i="11"/>
  <c r="F544" i="11"/>
  <c r="G544" i="11" s="1"/>
  <c r="G543" i="11"/>
  <c r="F543" i="11"/>
  <c r="G542" i="11"/>
  <c r="F542" i="11"/>
  <c r="F541" i="11"/>
  <c r="G541" i="11" s="1"/>
  <c r="G540" i="11"/>
  <c r="F540" i="11"/>
  <c r="G539" i="11"/>
  <c r="F539" i="11"/>
  <c r="F538" i="11"/>
  <c r="G538" i="11" s="1"/>
  <c r="G537" i="11"/>
  <c r="F537" i="11"/>
  <c r="G536" i="11"/>
  <c r="F536" i="11"/>
  <c r="F535" i="11"/>
  <c r="G535" i="11" s="1"/>
  <c r="G534" i="11"/>
  <c r="F534" i="11"/>
  <c r="G533" i="11"/>
  <c r="F533" i="11"/>
  <c r="F532" i="11"/>
  <c r="G532" i="11" s="1"/>
  <c r="G531" i="11"/>
  <c r="F531" i="11"/>
  <c r="G530" i="11"/>
  <c r="F530" i="11"/>
  <c r="F529" i="11"/>
  <c r="G529" i="11" s="1"/>
  <c r="G528" i="11"/>
  <c r="F528" i="11"/>
  <c r="G527" i="11"/>
  <c r="F527" i="11"/>
  <c r="F526" i="11"/>
  <c r="G526" i="11" s="1"/>
  <c r="G525" i="11"/>
  <c r="F525" i="11"/>
  <c r="G524" i="11"/>
  <c r="F524" i="11"/>
  <c r="F523" i="11"/>
  <c r="G523" i="11" s="1"/>
  <c r="G522" i="11"/>
  <c r="F522" i="11"/>
  <c r="G521" i="11"/>
  <c r="F521" i="11"/>
  <c r="F520" i="11"/>
  <c r="G520" i="11" s="1"/>
  <c r="G519" i="11"/>
  <c r="F519" i="11"/>
  <c r="G518" i="11"/>
  <c r="F518" i="11"/>
  <c r="F517" i="11"/>
  <c r="G517" i="11" s="1"/>
  <c r="G516" i="11"/>
  <c r="F516" i="11"/>
  <c r="G515" i="11"/>
  <c r="F515" i="11"/>
  <c r="F514" i="11"/>
  <c r="G514" i="11" s="1"/>
  <c r="G513" i="11"/>
  <c r="F513" i="11"/>
  <c r="G512" i="11"/>
  <c r="F512" i="11"/>
  <c r="F511" i="11"/>
  <c r="G511" i="11" s="1"/>
  <c r="G510" i="11"/>
  <c r="F510" i="11"/>
  <c r="G509" i="11"/>
  <c r="F509" i="11"/>
  <c r="F508" i="11"/>
  <c r="G508" i="11" s="1"/>
  <c r="G507" i="11"/>
  <c r="F507" i="11"/>
  <c r="G506" i="11"/>
  <c r="F506" i="11"/>
  <c r="F505" i="11"/>
  <c r="G505" i="11" s="1"/>
  <c r="G504" i="11"/>
  <c r="F504" i="11"/>
  <c r="G503" i="11"/>
  <c r="F503" i="11"/>
  <c r="F502" i="11"/>
  <c r="G502" i="11" s="1"/>
  <c r="G501" i="11"/>
  <c r="F501" i="11"/>
  <c r="G500" i="11"/>
  <c r="F500" i="11"/>
  <c r="F499" i="11"/>
  <c r="G499" i="11" s="1"/>
  <c r="G498" i="11"/>
  <c r="F498" i="11"/>
  <c r="G497" i="11"/>
  <c r="F497" i="11"/>
  <c r="F496" i="11"/>
  <c r="G496" i="11" s="1"/>
  <c r="G495" i="11"/>
  <c r="F495" i="11"/>
  <c r="G494" i="11"/>
  <c r="F494" i="11"/>
  <c r="F493" i="11"/>
  <c r="G493" i="11" s="1"/>
  <c r="G492" i="11"/>
  <c r="F492" i="11"/>
  <c r="G491" i="11"/>
  <c r="F491" i="11"/>
  <c r="F490" i="11"/>
  <c r="G490" i="11" s="1"/>
  <c r="G489" i="11"/>
  <c r="F489" i="11"/>
  <c r="G488" i="11"/>
  <c r="F488" i="11"/>
  <c r="F487" i="11"/>
  <c r="G487" i="11" s="1"/>
  <c r="G486" i="11"/>
  <c r="F486" i="11"/>
  <c r="G485" i="11"/>
  <c r="F485" i="11"/>
  <c r="F484" i="11"/>
  <c r="G484" i="11" s="1"/>
  <c r="G483" i="11"/>
  <c r="F483" i="11"/>
  <c r="G482" i="11"/>
  <c r="F482" i="11"/>
  <c r="F481" i="11"/>
  <c r="G481" i="11" s="1"/>
  <c r="G480" i="11"/>
  <c r="F480" i="11"/>
  <c r="G479" i="11"/>
  <c r="F479" i="11"/>
  <c r="F478" i="11"/>
  <c r="G478" i="11" s="1"/>
  <c r="G477" i="11"/>
  <c r="F477" i="11"/>
  <c r="G476" i="11"/>
  <c r="F476" i="11"/>
  <c r="F475" i="11"/>
  <c r="G475" i="11" s="1"/>
  <c r="G474" i="11"/>
  <c r="F474" i="11"/>
  <c r="G473" i="11"/>
  <c r="F473" i="11"/>
  <c r="F472" i="11"/>
  <c r="G472" i="11" s="1"/>
  <c r="G471" i="11"/>
  <c r="F471" i="11"/>
  <c r="G470" i="11"/>
  <c r="F470" i="11"/>
  <c r="F469" i="11"/>
  <c r="G469" i="11" s="1"/>
  <c r="G468" i="11"/>
  <c r="F468" i="11"/>
  <c r="G467" i="11"/>
  <c r="F467" i="11"/>
  <c r="F466" i="11"/>
  <c r="G466" i="11" s="1"/>
  <c r="G465" i="11"/>
  <c r="F465" i="11"/>
  <c r="G464" i="11"/>
  <c r="F464" i="11"/>
  <c r="F463" i="11"/>
  <c r="G463" i="11" s="1"/>
  <c r="G462" i="11"/>
  <c r="F462" i="11"/>
  <c r="G461" i="11"/>
  <c r="F461" i="11"/>
  <c r="F460" i="11"/>
  <c r="G460" i="11" s="1"/>
  <c r="G459" i="11"/>
  <c r="F459" i="11"/>
  <c r="G458" i="11"/>
  <c r="F458" i="11"/>
  <c r="F457" i="11"/>
  <c r="G457" i="11" s="1"/>
  <c r="G456" i="11"/>
  <c r="F456" i="11"/>
  <c r="G455" i="11"/>
  <c r="F455" i="11"/>
  <c r="F454" i="11"/>
  <c r="G454" i="11" s="1"/>
  <c r="G453" i="11"/>
  <c r="F453" i="11"/>
  <c r="G452" i="11"/>
  <c r="F452" i="11"/>
  <c r="F451" i="11"/>
  <c r="G451" i="11" s="1"/>
  <c r="G450" i="11"/>
  <c r="F450" i="11"/>
  <c r="G449" i="11"/>
  <c r="F449" i="11"/>
  <c r="F448" i="11"/>
  <c r="G448" i="11" s="1"/>
  <c r="G447" i="11"/>
  <c r="F447" i="11"/>
  <c r="G446" i="11"/>
  <c r="F446" i="11"/>
  <c r="F445" i="11"/>
  <c r="G445" i="11" s="1"/>
  <c r="G444" i="11"/>
  <c r="F444" i="11"/>
  <c r="G443" i="11"/>
  <c r="F443" i="11"/>
  <c r="G442" i="11"/>
  <c r="F442" i="11"/>
  <c r="G441" i="11"/>
  <c r="F441" i="11"/>
  <c r="G440" i="11"/>
  <c r="F440" i="11"/>
  <c r="G439" i="11"/>
  <c r="F439" i="11"/>
  <c r="G438" i="11"/>
  <c r="F438" i="11"/>
  <c r="G437" i="11"/>
  <c r="F437" i="11"/>
  <c r="G436" i="11"/>
  <c r="F436" i="11"/>
  <c r="G435" i="11"/>
  <c r="F435" i="11"/>
  <c r="G434" i="11"/>
  <c r="F434" i="11"/>
  <c r="G433" i="11"/>
  <c r="F433" i="11"/>
  <c r="G432" i="11"/>
  <c r="F432" i="11"/>
  <c r="G431" i="11"/>
  <c r="F431" i="11"/>
  <c r="G430" i="11"/>
  <c r="F430" i="11"/>
  <c r="G429" i="11"/>
  <c r="F429" i="11"/>
  <c r="G428" i="11"/>
  <c r="F428" i="11"/>
  <c r="G427" i="11"/>
  <c r="F427" i="11"/>
  <c r="G426" i="11"/>
  <c r="F426" i="11"/>
  <c r="G425" i="11"/>
  <c r="F425" i="11"/>
  <c r="G424" i="11"/>
  <c r="F424" i="11"/>
  <c r="G423" i="11"/>
  <c r="F423" i="11"/>
  <c r="G422" i="11"/>
  <c r="F422" i="11"/>
  <c r="G421" i="11"/>
  <c r="F421" i="11"/>
  <c r="G420" i="11"/>
  <c r="F420" i="11"/>
  <c r="G419" i="11"/>
  <c r="F419" i="11"/>
  <c r="G418" i="11"/>
  <c r="F418" i="11"/>
  <c r="G417" i="11"/>
  <c r="F417" i="11"/>
  <c r="G416" i="11"/>
  <c r="F416" i="11"/>
  <c r="G415" i="11"/>
  <c r="F415" i="11"/>
  <c r="G414" i="11"/>
  <c r="F414" i="11"/>
  <c r="G413" i="11"/>
  <c r="F413" i="11"/>
  <c r="G412" i="11"/>
  <c r="F412" i="11"/>
  <c r="G411" i="11"/>
  <c r="F411" i="11"/>
  <c r="G410" i="11"/>
  <c r="F410" i="11"/>
  <c r="G409" i="11"/>
  <c r="F409" i="11"/>
  <c r="G408" i="11"/>
  <c r="F408" i="11"/>
  <c r="G407" i="11"/>
  <c r="F407" i="11"/>
  <c r="F406" i="11"/>
  <c r="G406" i="11" s="1"/>
  <c r="G405" i="11"/>
  <c r="F405" i="11"/>
  <c r="G404" i="11"/>
  <c r="F404" i="11"/>
  <c r="F403" i="11"/>
  <c r="G403" i="11" s="1"/>
  <c r="G402" i="11"/>
  <c r="F402" i="11"/>
  <c r="G401" i="11"/>
  <c r="F401" i="11"/>
  <c r="F400" i="11"/>
  <c r="G400" i="11" s="1"/>
  <c r="G399" i="11"/>
  <c r="F399" i="11"/>
  <c r="G398" i="11"/>
  <c r="F398" i="11"/>
  <c r="F397" i="11"/>
  <c r="G397" i="11" s="1"/>
  <c r="G396" i="11"/>
  <c r="F396" i="11"/>
  <c r="G395" i="11"/>
  <c r="F395" i="11"/>
  <c r="F394" i="11"/>
  <c r="G394" i="11" s="1"/>
  <c r="G393" i="11"/>
  <c r="F393" i="11"/>
  <c r="G392" i="11"/>
  <c r="F392" i="11"/>
  <c r="F391" i="11"/>
  <c r="G391" i="11" s="1"/>
  <c r="G390" i="11"/>
  <c r="F390" i="11"/>
  <c r="G389" i="11"/>
  <c r="F389" i="11"/>
  <c r="F388" i="11"/>
  <c r="G388" i="11" s="1"/>
  <c r="G387" i="11"/>
  <c r="F387" i="11"/>
  <c r="G386" i="11"/>
  <c r="F386" i="11"/>
  <c r="F385" i="11"/>
  <c r="G385" i="11" s="1"/>
  <c r="G384" i="11"/>
  <c r="F384" i="11"/>
  <c r="G383" i="11"/>
  <c r="F383" i="11"/>
  <c r="G382" i="11"/>
  <c r="F382" i="11"/>
  <c r="G381" i="11"/>
  <c r="F381" i="11"/>
  <c r="G380" i="11"/>
  <c r="F380" i="11"/>
  <c r="G379" i="11"/>
  <c r="F379" i="11"/>
  <c r="G378" i="11"/>
  <c r="F378" i="11"/>
  <c r="G377" i="11"/>
  <c r="F377" i="11"/>
  <c r="G376" i="11"/>
  <c r="F376" i="11"/>
  <c r="G375" i="11"/>
  <c r="F375" i="11"/>
  <c r="G374" i="11"/>
  <c r="F374" i="11"/>
  <c r="G373" i="11"/>
  <c r="F373" i="11"/>
  <c r="G372" i="11"/>
  <c r="F372" i="11"/>
  <c r="G371" i="11"/>
  <c r="F371" i="11"/>
  <c r="G370" i="11"/>
  <c r="F370" i="11"/>
  <c r="G369" i="11"/>
  <c r="F369" i="11"/>
  <c r="G368" i="11"/>
  <c r="F368" i="11"/>
  <c r="G367" i="11"/>
  <c r="F367" i="11"/>
  <c r="G366" i="11"/>
  <c r="F366" i="11"/>
  <c r="G365" i="11"/>
  <c r="F365" i="11"/>
  <c r="F364" i="11"/>
  <c r="G364" i="11" s="1"/>
  <c r="G363" i="11"/>
  <c r="F363" i="11"/>
  <c r="G362" i="11"/>
  <c r="F362" i="11"/>
  <c r="F361" i="11"/>
  <c r="G361" i="11" s="1"/>
  <c r="G360" i="11"/>
  <c r="F360" i="11"/>
  <c r="G359" i="11"/>
  <c r="F359" i="11"/>
  <c r="F358" i="11"/>
  <c r="G358" i="11" s="1"/>
  <c r="G357" i="11"/>
  <c r="F357" i="11"/>
  <c r="G356" i="11"/>
  <c r="F356" i="11"/>
  <c r="F355" i="11"/>
  <c r="G355" i="11" s="1"/>
  <c r="G354" i="11"/>
  <c r="F354" i="11"/>
  <c r="G353" i="11"/>
  <c r="F353" i="11"/>
  <c r="F352" i="11"/>
  <c r="G352" i="11" s="1"/>
  <c r="G351" i="11"/>
  <c r="F351" i="11"/>
  <c r="G350" i="11"/>
  <c r="F350" i="11"/>
  <c r="F349" i="11"/>
  <c r="G349" i="11" s="1"/>
  <c r="G348" i="11"/>
  <c r="F348" i="11"/>
  <c r="G347" i="11"/>
  <c r="F347" i="11"/>
  <c r="F346" i="11"/>
  <c r="G346" i="11" s="1"/>
  <c r="G345" i="11"/>
  <c r="F345" i="11"/>
  <c r="G344" i="11"/>
  <c r="F344" i="11"/>
  <c r="G343" i="11"/>
  <c r="F343" i="11"/>
  <c r="G342" i="11"/>
  <c r="F342" i="11"/>
  <c r="G341" i="11"/>
  <c r="F341" i="11"/>
  <c r="G340" i="11"/>
  <c r="F340" i="11"/>
  <c r="G339" i="11"/>
  <c r="F339" i="11"/>
  <c r="G338" i="11"/>
  <c r="F338" i="11"/>
  <c r="G337" i="11"/>
  <c r="F337" i="11"/>
  <c r="G336" i="11"/>
  <c r="F336" i="11"/>
  <c r="G335" i="11"/>
  <c r="F335" i="11"/>
  <c r="F334" i="11"/>
  <c r="G334" i="11" s="1"/>
  <c r="G333" i="11"/>
  <c r="F333" i="11"/>
  <c r="G332" i="11"/>
  <c r="F332" i="11"/>
  <c r="F331" i="11"/>
  <c r="G331" i="11" s="1"/>
  <c r="G330" i="11"/>
  <c r="F330" i="11"/>
  <c r="G329" i="11"/>
  <c r="F329" i="11"/>
  <c r="F328" i="11"/>
  <c r="G328" i="11" s="1"/>
  <c r="G327" i="11"/>
  <c r="F327" i="11"/>
  <c r="G326" i="11"/>
  <c r="F326" i="11"/>
  <c r="F325" i="11"/>
  <c r="G325" i="11" s="1"/>
  <c r="G324" i="11"/>
  <c r="F324" i="11"/>
  <c r="G323" i="11"/>
  <c r="F323" i="11"/>
  <c r="F322" i="11"/>
  <c r="G322" i="11" s="1"/>
  <c r="G321" i="11"/>
  <c r="F321" i="11"/>
  <c r="G320" i="11"/>
  <c r="F320" i="11"/>
  <c r="F319" i="11"/>
  <c r="G319" i="11" s="1"/>
  <c r="G318" i="11"/>
  <c r="F318" i="11"/>
  <c r="G317" i="11"/>
  <c r="F317" i="11"/>
  <c r="F316" i="11"/>
  <c r="G316" i="11" s="1"/>
  <c r="G315" i="11"/>
  <c r="F315" i="11"/>
  <c r="G314" i="11"/>
  <c r="F314" i="11"/>
  <c r="F313" i="11"/>
  <c r="G313" i="11" s="1"/>
  <c r="G312" i="11"/>
  <c r="F312" i="11"/>
  <c r="G311" i="11"/>
  <c r="F311" i="11"/>
  <c r="F310" i="11"/>
  <c r="G310" i="11" s="1"/>
  <c r="G309" i="11"/>
  <c r="F309" i="11"/>
  <c r="G308" i="11"/>
  <c r="F308" i="11"/>
  <c r="F307" i="11"/>
  <c r="G307" i="11" s="1"/>
  <c r="G306" i="11"/>
  <c r="F306" i="11"/>
  <c r="G305" i="11"/>
  <c r="F305" i="11"/>
  <c r="G304" i="11"/>
  <c r="F304" i="11"/>
  <c r="G303" i="11"/>
  <c r="F303" i="11"/>
  <c r="G302" i="11"/>
  <c r="F302" i="11"/>
  <c r="G301" i="11"/>
  <c r="F301" i="11"/>
  <c r="G300" i="11"/>
  <c r="F300" i="11"/>
  <c r="G299" i="11"/>
  <c r="F299" i="11"/>
  <c r="G298" i="11"/>
  <c r="F298" i="11"/>
  <c r="G297" i="11"/>
  <c r="F297" i="11"/>
  <c r="G296" i="11"/>
  <c r="F296" i="11"/>
  <c r="F295" i="11"/>
  <c r="G295" i="11" s="1"/>
  <c r="G294" i="11"/>
  <c r="F294" i="11"/>
  <c r="G293" i="11"/>
  <c r="F293" i="11"/>
  <c r="F292" i="11"/>
  <c r="G292" i="11" s="1"/>
  <c r="G291" i="11"/>
  <c r="F291" i="11"/>
  <c r="G290" i="11"/>
  <c r="F290" i="11"/>
  <c r="F289" i="11"/>
  <c r="G289" i="11" s="1"/>
  <c r="G288" i="11"/>
  <c r="F288" i="11"/>
  <c r="G287" i="11"/>
  <c r="F287" i="11"/>
  <c r="F286" i="11"/>
  <c r="G286" i="11" s="1"/>
  <c r="G285" i="11"/>
  <c r="F285" i="11"/>
  <c r="G284" i="11"/>
  <c r="F284" i="11"/>
  <c r="F283" i="11"/>
  <c r="G283" i="11" s="1"/>
  <c r="G282" i="11"/>
  <c r="F282" i="11"/>
  <c r="G281" i="11"/>
  <c r="F281" i="11"/>
  <c r="F280" i="11"/>
  <c r="G280" i="11" s="1"/>
  <c r="G279" i="11"/>
  <c r="F279" i="11"/>
  <c r="G278" i="11"/>
  <c r="F278" i="11"/>
  <c r="F277" i="11"/>
  <c r="G277" i="11" s="1"/>
  <c r="G276" i="11"/>
  <c r="F276" i="11"/>
  <c r="G275" i="11"/>
  <c r="F275" i="11"/>
  <c r="F274" i="11"/>
  <c r="G274" i="11" s="1"/>
  <c r="G273" i="11"/>
  <c r="F273" i="11"/>
  <c r="G272" i="11"/>
  <c r="F272" i="11"/>
  <c r="F271" i="11"/>
  <c r="G271" i="11" s="1"/>
  <c r="G270" i="11"/>
  <c r="F270" i="11"/>
  <c r="G269" i="11"/>
  <c r="F269" i="11"/>
  <c r="F268" i="11"/>
  <c r="G268" i="11" s="1"/>
  <c r="G267" i="11"/>
  <c r="F267" i="11"/>
  <c r="G266" i="11"/>
  <c r="F266" i="11"/>
  <c r="F265" i="11"/>
  <c r="G265" i="11" s="1"/>
  <c r="G264" i="11"/>
  <c r="F264" i="11"/>
  <c r="G263" i="11"/>
  <c r="F263" i="11"/>
  <c r="F262" i="11"/>
  <c r="G262" i="11" s="1"/>
  <c r="G261" i="11"/>
  <c r="F261" i="11"/>
  <c r="G260" i="11"/>
  <c r="F260" i="11"/>
  <c r="F259" i="11"/>
  <c r="G259" i="11" s="1"/>
  <c r="G258" i="11"/>
  <c r="F258" i="11"/>
  <c r="G257" i="11"/>
  <c r="F257" i="11"/>
  <c r="F256" i="11"/>
  <c r="G256" i="11" s="1"/>
  <c r="G255" i="11"/>
  <c r="F255" i="11"/>
  <c r="G254" i="11"/>
  <c r="F254" i="11"/>
  <c r="F253" i="11"/>
  <c r="G253" i="11" s="1"/>
  <c r="G252" i="11"/>
  <c r="F252" i="11"/>
  <c r="G251" i="11"/>
  <c r="F251" i="11"/>
  <c r="F250" i="11"/>
  <c r="G250" i="11" s="1"/>
  <c r="G249" i="11"/>
  <c r="F249" i="11"/>
  <c r="G248" i="11"/>
  <c r="F248" i="11"/>
  <c r="F247" i="11"/>
  <c r="G247" i="11" s="1"/>
  <c r="G246" i="11"/>
  <c r="F246" i="11"/>
  <c r="G245" i="11"/>
  <c r="F245" i="11"/>
  <c r="F244" i="11"/>
  <c r="G244" i="11" s="1"/>
  <c r="F243" i="11"/>
  <c r="G243" i="11" s="1"/>
  <c r="G242" i="11"/>
  <c r="F242" i="11"/>
  <c r="F241" i="11"/>
  <c r="G241" i="11" s="1"/>
  <c r="G240" i="11"/>
  <c r="F240" i="11"/>
  <c r="G239" i="11"/>
  <c r="F239" i="11"/>
  <c r="F238" i="11"/>
  <c r="G238" i="11" s="1"/>
  <c r="G237" i="11"/>
  <c r="F237" i="11"/>
  <c r="G236" i="11"/>
  <c r="F236" i="11"/>
  <c r="F235" i="11"/>
  <c r="G235" i="11" s="1"/>
  <c r="G234" i="11"/>
  <c r="F234" i="11"/>
  <c r="G233" i="11"/>
  <c r="F233" i="11"/>
  <c r="F232" i="11"/>
  <c r="G232" i="11" s="1"/>
  <c r="G231" i="11"/>
  <c r="F231" i="11"/>
  <c r="G230" i="11"/>
  <c r="F230" i="11"/>
  <c r="F229" i="11"/>
  <c r="G229" i="11" s="1"/>
  <c r="F228" i="11"/>
  <c r="G228" i="11" s="1"/>
  <c r="G227" i="11"/>
  <c r="F227" i="11"/>
  <c r="F226" i="11"/>
  <c r="G226" i="11" s="1"/>
  <c r="F225" i="11"/>
  <c r="G225" i="11" s="1"/>
  <c r="G224" i="11"/>
  <c r="F224" i="11"/>
  <c r="F223" i="11"/>
  <c r="G223" i="11" s="1"/>
  <c r="G222" i="11"/>
  <c r="F222" i="11"/>
  <c r="G221" i="11"/>
  <c r="F221" i="11"/>
  <c r="F220" i="11"/>
  <c r="G220" i="11" s="1"/>
  <c r="G219" i="11"/>
  <c r="F219" i="11"/>
  <c r="G218" i="11"/>
  <c r="F218" i="11"/>
  <c r="F217" i="11"/>
  <c r="G217" i="11" s="1"/>
  <c r="G216" i="11"/>
  <c r="F216" i="11"/>
  <c r="G215" i="11"/>
  <c r="F215" i="11"/>
  <c r="F214" i="11"/>
  <c r="G214" i="11" s="1"/>
  <c r="G213" i="11"/>
  <c r="F213" i="11"/>
  <c r="G212" i="11"/>
  <c r="F212" i="11"/>
  <c r="F211" i="11"/>
  <c r="G211" i="11" s="1"/>
  <c r="F210" i="11"/>
  <c r="G210" i="11" s="1"/>
  <c r="G209" i="11"/>
  <c r="F209" i="11"/>
  <c r="F208" i="11"/>
  <c r="G208" i="11" s="1"/>
  <c r="F207" i="11"/>
  <c r="G207" i="11" s="1"/>
  <c r="G206" i="11"/>
  <c r="F206" i="11"/>
  <c r="F205" i="11"/>
  <c r="G205" i="11" s="1"/>
  <c r="G204" i="11"/>
  <c r="F204" i="11"/>
  <c r="G203" i="11"/>
  <c r="F203" i="11"/>
  <c r="F202" i="11"/>
  <c r="G202" i="11" s="1"/>
  <c r="G201" i="11"/>
  <c r="F201" i="11"/>
  <c r="G200" i="11"/>
  <c r="F200" i="11"/>
  <c r="F199" i="11"/>
  <c r="G199" i="11" s="1"/>
  <c r="G198" i="11"/>
  <c r="F198" i="11"/>
  <c r="G197" i="11"/>
  <c r="F197" i="11"/>
  <c r="F196" i="11"/>
  <c r="G196" i="11" s="1"/>
  <c r="G195" i="11"/>
  <c r="F195" i="11"/>
  <c r="G194" i="11"/>
  <c r="F194" i="11"/>
  <c r="F193" i="11"/>
  <c r="G193" i="11" s="1"/>
  <c r="F192" i="11"/>
  <c r="G192" i="11" s="1"/>
  <c r="G191" i="11"/>
  <c r="F191" i="11"/>
  <c r="F190" i="11"/>
  <c r="G190" i="11" s="1"/>
  <c r="F189" i="11"/>
  <c r="G189" i="11" s="1"/>
  <c r="G188" i="11"/>
  <c r="F188" i="11"/>
  <c r="F187" i="11"/>
  <c r="G187" i="11" s="1"/>
  <c r="G186" i="11"/>
  <c r="F186" i="11"/>
  <c r="G185" i="11"/>
  <c r="F185" i="11"/>
  <c r="F184" i="11"/>
  <c r="G184" i="11" s="1"/>
  <c r="F183" i="11"/>
  <c r="G183" i="11" s="1"/>
  <c r="G182" i="11"/>
  <c r="F182" i="11"/>
  <c r="F181" i="11"/>
  <c r="G181" i="11" s="1"/>
  <c r="F180" i="11"/>
  <c r="G180" i="11" s="1"/>
  <c r="G179" i="11"/>
  <c r="F179" i="11"/>
  <c r="F178" i="11"/>
  <c r="G178" i="11" s="1"/>
  <c r="G177" i="11"/>
  <c r="F177" i="11"/>
  <c r="G176" i="11"/>
  <c r="F176" i="11"/>
  <c r="F175" i="11"/>
  <c r="G175" i="11" s="1"/>
  <c r="G174" i="11"/>
  <c r="F174" i="11"/>
  <c r="G173" i="11"/>
  <c r="F173" i="11"/>
  <c r="F172" i="11"/>
  <c r="G172" i="11" s="1"/>
  <c r="G171" i="11"/>
  <c r="F171" i="11"/>
  <c r="G170" i="11"/>
  <c r="F170" i="11"/>
  <c r="F169" i="11"/>
  <c r="G169" i="11" s="1"/>
  <c r="G168" i="11"/>
  <c r="F168" i="11"/>
  <c r="G167" i="11"/>
  <c r="F167" i="11"/>
  <c r="F166" i="11"/>
  <c r="G166" i="11" s="1"/>
  <c r="G165" i="11"/>
  <c r="F165" i="11"/>
  <c r="G164" i="11"/>
  <c r="F164" i="11"/>
  <c r="F163" i="11"/>
  <c r="G163" i="11" s="1"/>
  <c r="G162" i="11"/>
  <c r="F162" i="11"/>
  <c r="G161" i="11"/>
  <c r="F161" i="11"/>
  <c r="F160" i="11"/>
  <c r="G160" i="11" s="1"/>
  <c r="G159" i="11"/>
  <c r="F159" i="11"/>
  <c r="G158" i="11"/>
  <c r="F158" i="11"/>
  <c r="F157" i="11"/>
  <c r="G157" i="11" s="1"/>
  <c r="G156" i="11"/>
  <c r="F156" i="11"/>
  <c r="G155" i="11"/>
  <c r="F155" i="11"/>
  <c r="F154" i="11"/>
  <c r="G154" i="11" s="1"/>
  <c r="G153" i="11"/>
  <c r="F153" i="11"/>
  <c r="G152" i="11"/>
  <c r="F152" i="11"/>
  <c r="F151" i="11"/>
  <c r="G151" i="11" s="1"/>
  <c r="G150" i="11"/>
  <c r="F150" i="11"/>
  <c r="G149" i="11"/>
  <c r="F149" i="11"/>
  <c r="F148" i="11"/>
  <c r="G148" i="11" s="1"/>
  <c r="G147" i="11"/>
  <c r="F147" i="11"/>
  <c r="G146" i="11"/>
  <c r="F146" i="11"/>
  <c r="F145" i="11"/>
  <c r="G145" i="11" s="1"/>
  <c r="G144" i="11"/>
  <c r="F144" i="11"/>
  <c r="G143" i="11"/>
  <c r="F143" i="11"/>
  <c r="F142" i="11"/>
  <c r="G142" i="11" s="1"/>
  <c r="G141" i="11"/>
  <c r="F141" i="11"/>
  <c r="G140" i="11"/>
  <c r="F140" i="11"/>
  <c r="F139" i="11"/>
  <c r="G139" i="11" s="1"/>
  <c r="G138" i="11"/>
  <c r="F138" i="11"/>
  <c r="G137" i="11"/>
  <c r="F137" i="11"/>
  <c r="F136" i="11"/>
  <c r="G136" i="11" s="1"/>
  <c r="G135" i="11"/>
  <c r="F135" i="11"/>
  <c r="G134" i="11"/>
  <c r="F134" i="11"/>
  <c r="F133" i="11"/>
  <c r="G133" i="11" s="1"/>
  <c r="G132" i="11"/>
  <c r="F132" i="11"/>
  <c r="G131" i="11"/>
  <c r="F131" i="11"/>
  <c r="F130" i="11"/>
  <c r="G130" i="11" s="1"/>
  <c r="F129" i="11"/>
  <c r="G129" i="11" s="1"/>
  <c r="G128" i="11"/>
  <c r="F128" i="11"/>
  <c r="F127" i="11"/>
  <c r="G127" i="11" s="1"/>
  <c r="F126" i="11"/>
  <c r="G126" i="11" s="1"/>
  <c r="G125" i="11"/>
  <c r="F125" i="11"/>
  <c r="F124" i="11"/>
  <c r="G124" i="11" s="1"/>
  <c r="F123" i="11"/>
  <c r="G123" i="11" s="1"/>
  <c r="G122" i="11"/>
  <c r="F122" i="11"/>
  <c r="F121" i="11"/>
  <c r="G121" i="11" s="1"/>
  <c r="F120" i="11"/>
  <c r="G120" i="11" s="1"/>
  <c r="G119" i="11"/>
  <c r="F119" i="11"/>
  <c r="F118" i="11"/>
  <c r="G118" i="11" s="1"/>
  <c r="F117" i="11"/>
  <c r="G117" i="11" s="1"/>
  <c r="G116" i="11"/>
  <c r="F116" i="11"/>
  <c r="F115" i="11"/>
  <c r="G115" i="11" s="1"/>
  <c r="F114" i="11"/>
  <c r="G114" i="11" s="1"/>
  <c r="G113" i="11"/>
  <c r="F113" i="11"/>
  <c r="F112" i="11"/>
  <c r="G112" i="11" s="1"/>
  <c r="F111" i="11"/>
  <c r="G111" i="11" s="1"/>
  <c r="G110" i="11"/>
  <c r="F110" i="11"/>
  <c r="F109" i="11"/>
  <c r="G109" i="11" s="1"/>
  <c r="F108" i="11"/>
  <c r="G108" i="11" s="1"/>
  <c r="G107" i="11"/>
  <c r="F107" i="11"/>
  <c r="F106" i="11"/>
  <c r="G106" i="11" s="1"/>
  <c r="F105" i="11"/>
  <c r="G105" i="11" s="1"/>
  <c r="G104" i="11"/>
  <c r="F104" i="11"/>
  <c r="F103" i="11"/>
  <c r="G103" i="11" s="1"/>
  <c r="F102" i="11"/>
  <c r="G102" i="11" s="1"/>
  <c r="G101" i="11"/>
  <c r="F101" i="11"/>
  <c r="F100" i="11"/>
  <c r="G100" i="11" s="1"/>
  <c r="F99" i="11"/>
  <c r="G99" i="11" s="1"/>
  <c r="G98" i="11"/>
  <c r="F98" i="11"/>
  <c r="F97" i="11"/>
  <c r="G97" i="11" s="1"/>
  <c r="F96" i="11"/>
  <c r="G96" i="11" s="1"/>
  <c r="G95" i="11"/>
  <c r="F95" i="11"/>
  <c r="F94" i="11"/>
  <c r="G94" i="11" s="1"/>
  <c r="G93" i="11"/>
  <c r="F93" i="11"/>
  <c r="G92" i="11"/>
  <c r="F92" i="11"/>
  <c r="F91" i="11"/>
  <c r="G91" i="11" s="1"/>
  <c r="G90" i="11"/>
  <c r="F90" i="11"/>
  <c r="G89" i="11"/>
  <c r="F89" i="11"/>
  <c r="F88" i="11"/>
  <c r="G88" i="11" s="1"/>
  <c r="G87" i="11"/>
  <c r="F87" i="11"/>
  <c r="G86" i="11"/>
  <c r="F86" i="11"/>
  <c r="F85" i="11"/>
  <c r="G85" i="11" s="1"/>
  <c r="F84" i="11"/>
  <c r="G84" i="11" s="1"/>
  <c r="G83" i="11"/>
  <c r="F83" i="11"/>
  <c r="F82" i="11"/>
  <c r="G82" i="11" s="1"/>
  <c r="F81" i="11"/>
  <c r="G81" i="11" s="1"/>
  <c r="G80" i="11"/>
  <c r="F80" i="11"/>
  <c r="F79" i="11"/>
  <c r="G79" i="11" s="1"/>
  <c r="F78" i="11"/>
  <c r="G78" i="11" s="1"/>
  <c r="G77" i="11"/>
  <c r="F77" i="11"/>
  <c r="F76" i="11"/>
  <c r="G76" i="11" s="1"/>
  <c r="G75" i="11"/>
  <c r="F75" i="11"/>
  <c r="G74" i="11"/>
  <c r="F74" i="11"/>
  <c r="F73" i="11"/>
  <c r="G73" i="11" s="1"/>
  <c r="G72" i="11"/>
  <c r="F72" i="11"/>
  <c r="G71" i="11"/>
  <c r="F71" i="11"/>
  <c r="F70" i="11"/>
  <c r="G70" i="11" s="1"/>
  <c r="G69" i="11"/>
  <c r="F69" i="11"/>
  <c r="G68" i="11"/>
  <c r="F68" i="11"/>
  <c r="F67" i="11"/>
  <c r="G67" i="11" s="1"/>
  <c r="G66" i="11"/>
  <c r="F66" i="11"/>
  <c r="G65" i="11"/>
  <c r="F65" i="11"/>
  <c r="F64" i="11"/>
  <c r="G64" i="11" s="1"/>
  <c r="F63" i="11"/>
  <c r="G63" i="11" s="1"/>
  <c r="G62" i="11"/>
  <c r="F62" i="11"/>
  <c r="F61" i="11"/>
  <c r="G61" i="11" s="1"/>
  <c r="F60" i="11"/>
  <c r="G60" i="11" s="1"/>
  <c r="G59" i="11"/>
  <c r="F59" i="11"/>
  <c r="F58" i="11"/>
  <c r="G58" i="11" s="1"/>
  <c r="G57" i="11"/>
  <c r="F57" i="11"/>
  <c r="G56" i="11"/>
  <c r="F56" i="11"/>
  <c r="F55" i="11"/>
  <c r="G55" i="11" s="1"/>
  <c r="G54" i="11"/>
  <c r="F54" i="11"/>
  <c r="G53" i="11"/>
  <c r="F53" i="11"/>
  <c r="F52" i="11"/>
  <c r="G52" i="11" s="1"/>
  <c r="G51" i="11"/>
  <c r="F51" i="11"/>
  <c r="G50" i="11"/>
  <c r="F50" i="11"/>
  <c r="F49" i="11"/>
  <c r="G49" i="11" s="1"/>
  <c r="G48" i="11"/>
  <c r="F48" i="11"/>
  <c r="G47" i="11"/>
  <c r="F47" i="11"/>
  <c r="F46" i="11"/>
  <c r="G46" i="11" s="1"/>
  <c r="F45" i="11"/>
  <c r="G45" i="11" s="1"/>
  <c r="G44" i="11"/>
  <c r="F44" i="11"/>
  <c r="F43" i="11"/>
  <c r="G43" i="11" s="1"/>
  <c r="F42" i="11"/>
  <c r="G42" i="11" s="1"/>
  <c r="G41" i="11"/>
  <c r="F41" i="11"/>
  <c r="F40" i="11"/>
  <c r="G40" i="11" s="1"/>
  <c r="F39" i="11"/>
  <c r="G39" i="11" s="1"/>
  <c r="G38" i="11"/>
  <c r="F38" i="11"/>
  <c r="F37" i="11"/>
  <c r="G37" i="11" s="1"/>
  <c r="F36" i="11"/>
  <c r="G36" i="11" s="1"/>
  <c r="G35" i="11"/>
  <c r="F35" i="11"/>
  <c r="F34" i="11"/>
  <c r="G34" i="11" s="1"/>
  <c r="F33" i="11"/>
  <c r="G33" i="11" s="1"/>
  <c r="G32" i="11"/>
  <c r="F32" i="11"/>
  <c r="F31" i="11"/>
  <c r="G31" i="11" s="1"/>
  <c r="F30" i="11"/>
  <c r="G30" i="11" s="1"/>
  <c r="G29" i="11"/>
  <c r="F29" i="11"/>
  <c r="F28" i="11"/>
  <c r="G28" i="11" s="1"/>
  <c r="F27" i="11"/>
  <c r="G27" i="11" s="1"/>
  <c r="G26" i="11"/>
  <c r="F26" i="11"/>
  <c r="F25" i="11"/>
  <c r="G25" i="11" s="1"/>
  <c r="G24" i="11"/>
  <c r="F24" i="11"/>
  <c r="G23" i="11"/>
  <c r="F23" i="11"/>
  <c r="F22" i="11"/>
  <c r="G22" i="11" s="1"/>
  <c r="G21" i="11"/>
  <c r="F21" i="11"/>
  <c r="G20" i="11"/>
  <c r="F20" i="11"/>
  <c r="F19" i="11"/>
  <c r="G19" i="11" s="1"/>
  <c r="G18" i="11"/>
  <c r="F18" i="11"/>
  <c r="G17" i="11"/>
  <c r="F17" i="11"/>
  <c r="F16" i="11"/>
  <c r="G16" i="11" s="1"/>
  <c r="F15" i="11"/>
  <c r="G15" i="11" s="1"/>
  <c r="F14" i="11"/>
  <c r="G14" i="11" s="1"/>
  <c r="G13" i="11"/>
  <c r="F13" i="11"/>
  <c r="G12" i="11"/>
  <c r="F12" i="11"/>
  <c r="F11" i="11"/>
  <c r="G11" i="11" s="1"/>
  <c r="F10" i="11"/>
  <c r="G10" i="11" s="1"/>
  <c r="J9" i="11"/>
  <c r="J10" i="11" s="1"/>
  <c r="J8" i="11"/>
  <c r="C20" i="14"/>
  <c r="C21" i="14"/>
  <c r="C22" i="14"/>
  <c r="C17" i="14"/>
  <c r="C23" i="14"/>
  <c r="C18" i="14"/>
  <c r="C24" i="14"/>
  <c r="C19" i="14"/>
  <c r="C25" i="14"/>
  <c r="I15" i="13" l="1"/>
  <c r="I13" i="13"/>
  <c r="I9" i="13"/>
  <c r="I14" i="13" s="1"/>
  <c r="B14" i="14"/>
  <c r="J14" i="11"/>
  <c r="J15" i="11"/>
  <c r="F7" i="6"/>
  <c r="F15" i="6"/>
  <c r="F20" i="6"/>
  <c r="F10" i="6"/>
  <c r="F14" i="6"/>
  <c r="F11" i="6"/>
  <c r="I19" i="3"/>
  <c r="J5" i="3"/>
  <c r="I5" i="3"/>
  <c r="H7" i="3"/>
  <c r="K7" i="3"/>
  <c r="K10" i="3"/>
  <c r="I10" i="3"/>
  <c r="H10" i="3"/>
  <c r="F21" i="6"/>
  <c r="I21" i="3"/>
  <c r="F19" i="6"/>
  <c r="J11" i="3"/>
  <c r="I11" i="3"/>
  <c r="F17" i="6"/>
  <c r="H11" i="3"/>
  <c r="I18" i="3"/>
  <c r="E26" i="3" s="1"/>
  <c r="E28" i="3" s="1"/>
  <c r="M22" i="3" s="1"/>
  <c r="K4" i="3"/>
  <c r="I4" i="3"/>
  <c r="H4" i="3"/>
  <c r="K11" i="3"/>
  <c r="I24" i="3"/>
  <c r="J6" i="3"/>
  <c r="H3" i="3"/>
  <c r="H9" i="3"/>
  <c r="H26" i="3" l="1"/>
  <c r="H28" i="3" s="1"/>
  <c r="M25" i="3" s="1"/>
  <c r="G26" i="3"/>
  <c r="G28" i="3" s="1"/>
  <c r="M24" i="3" s="1"/>
  <c r="A26" i="3"/>
  <c r="A28" i="3" s="1"/>
  <c r="M18" i="3" s="1"/>
  <c r="M27" i="3" s="1"/>
  <c r="C26" i="3"/>
  <c r="C28" i="3" s="1"/>
  <c r="M20" i="3" s="1"/>
  <c r="D26" i="3"/>
  <c r="D28" i="3" s="1"/>
  <c r="M21" i="3" s="1"/>
  <c r="F26" i="3"/>
  <c r="F28" i="3" s="1"/>
  <c r="M23" i="3" s="1"/>
  <c r="B26" i="3"/>
  <c r="B28" i="3" s="1"/>
  <c r="M19" i="3" s="1"/>
  <c r="M26" i="3" l="1"/>
  <c r="P26" i="3" s="1"/>
  <c r="P27" i="3"/>
  <c r="P24" i="3"/>
  <c r="P19" i="3"/>
  <c r="P25" i="3"/>
  <c r="P23" i="3"/>
  <c r="P22" i="3"/>
  <c r="P21" i="3"/>
  <c r="P20" i="3"/>
</calcChain>
</file>

<file path=xl/connections.xml><?xml version="1.0" encoding="utf-8"?>
<connections xmlns="http://schemas.openxmlformats.org/spreadsheetml/2006/main">
  <connection id="1" name="DataCollector01" type="6" refreshedVersion="6" background="1" saveData="1">
    <textPr sourceFile="C:\Users\UO277906\Desktop\Examen\CES_Enero_2022-23\DataCollector01.tsv" semicolon="1">
      <textFields count="2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info" type="6" refreshedVersion="6" background="1" saveData="1">
    <textPr codePage="932" sourceFile="C:\Users\UO277906\Desktop\Examen\CES_Enero_2022-23\info.txt" semicolon="1">
      <textFields>
        <textField/>
      </textFields>
    </textPr>
  </connection>
</connections>
</file>

<file path=xl/sharedStrings.xml><?xml version="1.0" encoding="utf-8"?>
<sst xmlns="http://schemas.openxmlformats.org/spreadsheetml/2006/main" count="206" uniqueCount="172">
  <si>
    <t>Alternativas servidores http</t>
  </si>
  <si>
    <t>Plataformas</t>
  </si>
  <si>
    <t>Apache</t>
  </si>
  <si>
    <t>IIS</t>
  </si>
  <si>
    <t>Lighttpd</t>
  </si>
  <si>
    <t>Nginx</t>
  </si>
  <si>
    <t>Mes</t>
  </si>
  <si>
    <t>Nº usuarios</t>
  </si>
  <si>
    <t>HORA INICIO DE MEDICION  Mon Jan  9 09:42:35 2023</t>
  </si>
  <si>
    <t>HORA FIN DE MEDICION Mon Jan  9 09:45:05 2023</t>
  </si>
  <si>
    <t xml:space="preserve"> </t>
  </si>
  <si>
    <t xml:space="preserve">Parametros del experimento: </t>
  </si>
  <si>
    <t>Usuarios: 100</t>
  </si>
  <si>
    <t xml:space="preserve"> Tpo. Reflex (seg)</t>
  </si>
  <si>
    <t xml:space="preserve"> IP servidor: 192.168.203.238</t>
  </si>
  <si>
    <t xml:space="preserve"> Transitorio (seg): 20</t>
  </si>
  <si>
    <t xml:space="preserve"> Medicion (seg): 150 </t>
  </si>
  <si>
    <t>Nｺ usu.</t>
  </si>
  <si>
    <t xml:space="preserve"> Nｺ pet.</t>
  </si>
  <si>
    <t xml:space="preserve"> Tpo Reflex (mseg)</t>
  </si>
  <si>
    <t xml:space="preserve"> Tpo. Ini. (mseg)</t>
  </si>
  <si>
    <t xml:space="preserve"> Tpo. Fin (mseg)</t>
  </si>
  <si>
    <t>Tpo. Respuesta (mseg)</t>
  </si>
  <si>
    <t>Tpo. Respuesta (seg)</t>
  </si>
  <si>
    <t>Nº Usuarios / t. reflex</t>
  </si>
  <si>
    <t>Productividad máxima teórica (pet/seg)</t>
  </si>
  <si>
    <t>Productividad real medida (pet/seg)</t>
  </si>
  <si>
    <t>% Productividad obtenido</t>
  </si>
  <si>
    <t>T.respuesta promedio (seg)</t>
  </si>
  <si>
    <t>Percentil 90</t>
  </si>
  <si>
    <t>(PDH-TSV 4.0) (Hora estándar romance)(-60)</t>
  </si>
  <si>
    <t>\\GI-AN-B3_08\Disco físico(0 D: C:)\% de tiempo de disco</t>
  </si>
  <si>
    <t>\\GI-AN-B3_08\Disco físico(0 D: C:)\% de tiempo inactivo</t>
  </si>
  <si>
    <t>\\GI-AN-B3_08\Disco físico(0 D: C:)\Bytes de disco/s</t>
  </si>
  <si>
    <t>\\GI-AN-B3_08\Disco físico(0 D: C:)\Promedio de segundos de disco/transferencia</t>
  </si>
  <si>
    <t>\\GI-AN-B3_08\Disco físico(0 D: C:)\Transferencias de disco/s</t>
  </si>
  <si>
    <t>\\GI-AN-B3_08\Interfaz de red(Controladora Realtek PCIe GBE Family)\Ancho de banda actual</t>
  </si>
  <si>
    <t>\\GI-AN-B3_08\Interfaz de red(isatap.{E4048626-77B4-455C-B3B1-413959881D9F})\Ancho de banda actual</t>
  </si>
  <si>
    <t>\\GI-AN-B3_08\Interfaz de red(Controladora Realtek PCIe GBE Family)\Paquetes/s</t>
  </si>
  <si>
    <t>\\GI-AN-B3_08\Interfaz de red(isatap.{E4048626-77B4-455C-B3B1-413959881D9F})\Paquetes/s</t>
  </si>
  <si>
    <t>\\GI-AN-B3_08\Interfaz de red(Controladora Realtek PCIe GBE Family)\Total de bytes/s</t>
  </si>
  <si>
    <t>\\GI-AN-B3_08\Interfaz de red(isatap.{E4048626-77B4-455C-B3B1-413959881D9F})\Total de bytes/s</t>
  </si>
  <si>
    <t>\\GI-AN-B3_08\Memoria\Bytes confirmados</t>
  </si>
  <si>
    <t>\\GI-AN-B3_08\Memoria\Bytes de caché</t>
  </si>
  <si>
    <t>\\GI-AN-B3_08\Memoria\Bytes disponibles</t>
  </si>
  <si>
    <t>\\GI-AN-B3_08\Memoria\Errores de caché/s</t>
  </si>
  <si>
    <t>\\GI-AN-B3_08\Memoria\Errores de página/s</t>
  </si>
  <si>
    <t>\\GI-AN-B3_08\Memoria\Páginas/s</t>
  </si>
  <si>
    <t>\\GI-AN-B3_08\Procesador(_Total)\% de tiempo de DPC</t>
  </si>
  <si>
    <t>\\GI-AN-B3_08\Procesador(_Total)\% de tiempo de interrupción</t>
  </si>
  <si>
    <t>\\GI-AN-B3_08\Procesador(_Total)\% de tiempo de procesador</t>
  </si>
  <si>
    <t>\\GI-AN-B3_08\Procesador(_Total)\% de tiempo inactivo</t>
  </si>
  <si>
    <t>\\GI-AN-B3_08\Sistema\Cambios de contexto/s</t>
  </si>
  <si>
    <t>\\GI-AN-B3_08\Sistema\Llamadas al sistema/s</t>
  </si>
  <si>
    <t>Uso de recursos (%)</t>
  </si>
  <si>
    <t>CPU</t>
  </si>
  <si>
    <t>Disco</t>
  </si>
  <si>
    <t>Red</t>
  </si>
  <si>
    <t>Memoria</t>
  </si>
  <si>
    <t>Promedio % tiempo de procesador</t>
  </si>
  <si>
    <t>100 - promedio % tiempo inactivo disco</t>
  </si>
  <si>
    <t>Memoria instalada (GB)</t>
  </si>
  <si>
    <t>1 GB = 2^30</t>
  </si>
  <si>
    <t>X disco</t>
  </si>
  <si>
    <t>Promedio total de transferencias/seg del disco</t>
  </si>
  <si>
    <t>Nº experimentos</t>
  </si>
  <si>
    <t>Nº replicas</t>
  </si>
  <si>
    <t>Promedio</t>
  </si>
  <si>
    <t>Errores</t>
  </si>
  <si>
    <t>Error 1</t>
  </si>
  <si>
    <t>Error 2</t>
  </si>
  <si>
    <t>Error 3</t>
  </si>
  <si>
    <t>Error 4</t>
  </si>
  <si>
    <t>Nota: asumimos que el programa ha comenzado a las 10:42:35 (fila 36) y se ha parado a las10:45:05 (fila 186)</t>
  </si>
  <si>
    <t>V disco</t>
  </si>
  <si>
    <t>Promedio pruebas</t>
  </si>
  <si>
    <t>I</t>
  </si>
  <si>
    <t>A</t>
  </si>
  <si>
    <t>B</t>
  </si>
  <si>
    <t>C</t>
  </si>
  <si>
    <t>AB</t>
  </si>
  <si>
    <t>AC</t>
  </si>
  <si>
    <t>BC</t>
  </si>
  <si>
    <t>ABC</t>
  </si>
  <si>
    <t>Y</t>
  </si>
  <si>
    <t>SUMAPRODUCTO</t>
  </si>
  <si>
    <t>Total</t>
  </si>
  <si>
    <t>SUMAPRODUCTO / Nº Experimentos</t>
  </si>
  <si>
    <t>Total/2^k</t>
  </si>
  <si>
    <t>q0</t>
  </si>
  <si>
    <t>qA</t>
  </si>
  <si>
    <t>qB</t>
  </si>
  <si>
    <t>qC</t>
  </si>
  <si>
    <t>qAB</t>
  </si>
  <si>
    <t>qAC</t>
  </si>
  <si>
    <t>qBC</t>
  </si>
  <si>
    <t>qABC</t>
  </si>
  <si>
    <t>k</t>
  </si>
  <si>
    <t>Grados libertad</t>
  </si>
  <si>
    <t>SSY</t>
  </si>
  <si>
    <t>SS0</t>
  </si>
  <si>
    <t>SSA</t>
  </si>
  <si>
    <t>SSB</t>
  </si>
  <si>
    <t>SSC</t>
  </si>
  <si>
    <t>SSAB</t>
  </si>
  <si>
    <t>SSAC</t>
  </si>
  <si>
    <t>SSBC</t>
  </si>
  <si>
    <t>SSABC</t>
  </si>
  <si>
    <t>SSE</t>
  </si>
  <si>
    <t>SST</t>
  </si>
  <si>
    <t>Contar nº de pruebas</t>
  </si>
  <si>
    <t>Sumacuadrados de las pruebas</t>
  </si>
  <si>
    <t xml:space="preserve">2^k * Nº replicas * Potencia(q0) </t>
  </si>
  <si>
    <t xml:space="preserve">2^k * Nº replicas * Potencia(qA) </t>
  </si>
  <si>
    <t>2^k  * Nº replicas * Potencia(qB)</t>
  </si>
  <si>
    <t xml:space="preserve">2^k * Nº replicas * Potencia(qC) </t>
  </si>
  <si>
    <t xml:space="preserve">2^k * Nº replicas * Potencia(qAB) </t>
  </si>
  <si>
    <t xml:space="preserve">2^k * Nº replicas * Potencia(qAC) </t>
  </si>
  <si>
    <t xml:space="preserve">2^k * Nº replicas * Potencia(qBC) </t>
  </si>
  <si>
    <t xml:space="preserve">2^k * Nº replicas * Potencia(qABC) </t>
  </si>
  <si>
    <t>SST - SUMA(SSA hasta SSABC)</t>
  </si>
  <si>
    <t>SSY - SS0</t>
  </si>
  <si>
    <t>E</t>
  </si>
  <si>
    <t>T</t>
  </si>
  <si>
    <t>%</t>
  </si>
  <si>
    <t>El error es de 98,86</t>
  </si>
  <si>
    <t>Clases</t>
  </si>
  <si>
    <t>Frecuencia</t>
  </si>
  <si>
    <t>Frecuencia relativa</t>
  </si>
  <si>
    <t>Nº peticiones</t>
  </si>
  <si>
    <t>Previsión(Nº usuarios)</t>
  </si>
  <si>
    <t>Límite de confianza inferior(Nº usuarios)</t>
  </si>
  <si>
    <t>Límite de confianza superior(Nº usuarios)</t>
  </si>
  <si>
    <t>Usuarios nuevos</t>
  </si>
  <si>
    <t>Tiempo respuesta esperado</t>
  </si>
  <si>
    <t>Tiempo reflexion</t>
  </si>
  <si>
    <t>Productividad Esperada</t>
  </si>
  <si>
    <t>Utilizacion maxima</t>
  </si>
  <si>
    <t>V CPU</t>
  </si>
  <si>
    <t>V RED</t>
  </si>
  <si>
    <t>V DISCO</t>
  </si>
  <si>
    <t>S CPU</t>
  </si>
  <si>
    <t>S RED</t>
  </si>
  <si>
    <t>S DISCO</t>
  </si>
  <si>
    <t>IP CPU</t>
  </si>
  <si>
    <t>IP RED</t>
  </si>
  <si>
    <t>IP DISCO</t>
  </si>
  <si>
    <t>CPU CORES BASE</t>
  </si>
  <si>
    <t>CPU CORES NUEVOS</t>
  </si>
  <si>
    <t>N CPU</t>
  </si>
  <si>
    <t>N RED</t>
  </si>
  <si>
    <t>N DISCO</t>
  </si>
  <si>
    <t>IPR CPU</t>
  </si>
  <si>
    <t>IPR RED</t>
  </si>
  <si>
    <t>IPR DISCO</t>
  </si>
  <si>
    <t>X Disco</t>
  </si>
  <si>
    <t>D CPU</t>
  </si>
  <si>
    <t>X (pet/seg)</t>
  </si>
  <si>
    <t>% cpu</t>
  </si>
  <si>
    <t>% red</t>
  </si>
  <si>
    <t>% disco</t>
  </si>
  <si>
    <t>D Disco</t>
  </si>
  <si>
    <t>D red</t>
  </si>
  <si>
    <t>V red</t>
  </si>
  <si>
    <t>S Disco</t>
  </si>
  <si>
    <t>S red</t>
  </si>
  <si>
    <t>IPN PCU</t>
  </si>
  <si>
    <t>IPN RED</t>
  </si>
  <si>
    <t>IPN DISCO</t>
  </si>
  <si>
    <t>Intel Xeon Gold 6334 3.6 GHz (8 nucleos) (max 2 chips)</t>
  </si>
  <si>
    <t>Adaptador ethernet de 100 mbps</t>
  </si>
  <si>
    <t xml:space="preserve">Seagate Maxtor Z1 SSD - 960 GB, 2.5" SATA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</si>
</sst>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000"/>
    <numFmt numFmtId="165" formatCode="0.00000E+0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u/>
      <sz val="11"/>
      <color theme="4" tint="-0.499984740745262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Times New Roman"/>
      <family val="1"/>
    </font>
    <font>
      <sz val="11"/>
      <color theme="1"/>
      <name val="Arial"/>
      <family val="2"/>
    </font>
    <font>
      <sz val="10"/>
      <color indexed="8"/>
      <name val="Arial"/>
      <family val="2"/>
    </font>
    <font>
      <u/>
      <sz val="11"/>
      <color theme="4" tint="-0.499984740745262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i/>
      <sz val="11"/>
      <color theme="4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indexed="5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48">
    <xf numFmtId="0" fontId="0" fillId="0" borderId="0" xfId="0"/>
    <xf numFmtId="0" fontId="0" fillId="0" borderId="0" xfId="0" applyFont="1" applyFill="1" applyBorder="1"/>
    <xf numFmtId="0" fontId="18" fillId="0" borderId="0" xfId="0" applyFont="1" applyFill="1" applyBorder="1"/>
    <xf numFmtId="0" fontId="18" fillId="0" borderId="0" xfId="0" applyFont="1" applyFill="1" applyBorder="1" applyAlignment="1">
      <alignment horizontal="center"/>
    </xf>
    <xf numFmtId="0" fontId="0" fillId="0" borderId="0" xfId="0"/>
    <xf numFmtId="0" fontId="1" fillId="0" borderId="0" xfId="0" applyFont="1"/>
    <xf numFmtId="0" fontId="0" fillId="0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/>
    <xf numFmtId="47" fontId="0" fillId="0" borderId="0" xfId="0" applyNumberFormat="1"/>
    <xf numFmtId="22" fontId="0" fillId="0" borderId="0" xfId="0" applyNumberFormat="1"/>
    <xf numFmtId="0" fontId="22" fillId="0" borderId="0" xfId="0" applyFont="1" applyAlignment="1">
      <alignment horizontal="center" vertical="center"/>
    </xf>
    <xf numFmtId="0" fontId="23" fillId="0" borderId="10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/>
    </xf>
    <xf numFmtId="0" fontId="25" fillId="0" borderId="0" xfId="0" applyFont="1"/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27" fillId="0" borderId="0" xfId="0" applyFont="1"/>
    <xf numFmtId="0" fontId="24" fillId="0" borderId="0" xfId="0" applyFont="1" applyAlignment="1">
      <alignment horizontal="center" vertical="center"/>
    </xf>
    <xf numFmtId="0" fontId="28" fillId="0" borderId="20" xfId="0" applyFont="1" applyBorder="1"/>
    <xf numFmtId="0" fontId="21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NumberFormat="1"/>
    <xf numFmtId="0" fontId="29" fillId="0" borderId="0" xfId="0" applyFont="1" applyFill="1"/>
    <xf numFmtId="0" fontId="29" fillId="0" borderId="0" xfId="0" applyFont="1"/>
    <xf numFmtId="164" fontId="0" fillId="0" borderId="0" xfId="0" applyNumberFormat="1"/>
    <xf numFmtId="0" fontId="19" fillId="34" borderId="20" xfId="0" applyNumberFormat="1" applyFont="1" applyFill="1" applyBorder="1" applyAlignment="1" applyProtection="1">
      <alignment horizontal="center" vertical="center"/>
    </xf>
    <xf numFmtId="0" fontId="19" fillId="0" borderId="20" xfId="0" applyNumberFormat="1" applyFont="1" applyFill="1" applyBorder="1" applyAlignment="1" applyProtection="1">
      <alignment horizontal="center" vertical="center"/>
    </xf>
    <xf numFmtId="0" fontId="19" fillId="0" borderId="20" xfId="42" applyBorder="1" applyAlignment="1">
      <alignment horizontal="center" vertical="center"/>
    </xf>
    <xf numFmtId="165" fontId="19" fillId="0" borderId="20" xfId="0" applyNumberFormat="1" applyFont="1" applyFill="1" applyBorder="1" applyAlignment="1" applyProtection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3" borderId="0" xfId="0" applyFont="1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19" fillId="0" borderId="0" xfId="0" applyNumberFormat="1" applyFont="1" applyFill="1" applyBorder="1" applyAlignment="1" applyProtection="1">
      <alignment horizontal="center" vertical="center"/>
    </xf>
    <xf numFmtId="3" fontId="0" fillId="0" borderId="0" xfId="0" applyNumberFormat="1"/>
    <xf numFmtId="0" fontId="19" fillId="35" borderId="21" xfId="0" applyFont="1" applyFill="1" applyBorder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_xlchart.0</cx:f>
      </cx:numDim>
    </cx:data>
  </cx:chartData>
  <cx:chart>
    <cx:title pos="t" align="ctr" overlay="0"/>
    <cx:plotArea>
      <cx:plotAreaRegion>
        <cx:series layoutId="clusteredColumn" uniqueId="{D917304E-FFCB-470E-9D5C-CF5FDDE9D269}">
          <cx:tx>
            <cx:txData>
              <cx:f>_xlchart.1</cx:f>
              <cx:v>Tpo. Respuesta (seg)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Histograma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9.0703577307073902E-2"/>
          <c:y val="0.11315989946674185"/>
          <c:w val="0.78422082832866236"/>
          <c:h val="0.67853723323389081"/>
        </c:manualLayout>
      </c:layout>
      <c:barChart>
        <c:barDir val="col"/>
        <c:grouping val="clustered"/>
        <c:varyColors val="0"/>
        <c:ser>
          <c:idx val="0"/>
          <c:order val="0"/>
          <c:tx>
            <c:v>Frecuencia</c:v>
          </c:tx>
          <c:invertIfNegative val="0"/>
          <c:cat>
            <c:numRef>
              <c:f>Histograma!$D$5:$D$22</c:f>
              <c:numCache>
                <c:formatCode>General</c:formatCode>
                <c:ptCount val="18"/>
                <c:pt idx="0">
                  <c:v>5.0000000000000001E-3</c:v>
                </c:pt>
                <c:pt idx="1">
                  <c:v>7.4999999999999997E-3</c:v>
                </c:pt>
                <c:pt idx="2">
                  <c:v>0.01</c:v>
                </c:pt>
                <c:pt idx="3">
                  <c:v>1.2500000000000001E-2</c:v>
                </c:pt>
                <c:pt idx="4">
                  <c:v>1.5000000000000001E-2</c:v>
                </c:pt>
                <c:pt idx="5">
                  <c:v>1.7500000000000002E-2</c:v>
                </c:pt>
                <c:pt idx="6">
                  <c:v>0.02</c:v>
                </c:pt>
                <c:pt idx="7">
                  <c:v>2.2499999999999999E-2</c:v>
                </c:pt>
                <c:pt idx="8">
                  <c:v>2.4999999999999998E-2</c:v>
                </c:pt>
                <c:pt idx="9">
                  <c:v>2.7499999999999997E-2</c:v>
                </c:pt>
                <c:pt idx="10">
                  <c:v>2.9999999999999995E-2</c:v>
                </c:pt>
                <c:pt idx="11">
                  <c:v>3.2499999999999994E-2</c:v>
                </c:pt>
                <c:pt idx="12">
                  <c:v>3.4999999999999996E-2</c:v>
                </c:pt>
                <c:pt idx="13">
                  <c:v>3.7499999999999999E-2</c:v>
                </c:pt>
                <c:pt idx="14">
                  <c:v>0.04</c:v>
                </c:pt>
                <c:pt idx="15">
                  <c:v>4.2500000000000003E-2</c:v>
                </c:pt>
                <c:pt idx="16">
                  <c:v>4.5000000000000005E-2</c:v>
                </c:pt>
                <c:pt idx="17">
                  <c:v>4.7500000000000007E-2</c:v>
                </c:pt>
              </c:numCache>
            </c:numRef>
          </c:cat>
          <c:val>
            <c:numRef>
              <c:f>Histograma!$E$5:$E$22</c:f>
              <c:numCache>
                <c:formatCode>General</c:formatCode>
                <c:ptCount val="18"/>
                <c:pt idx="0">
                  <c:v>2</c:v>
                </c:pt>
                <c:pt idx="1">
                  <c:v>158</c:v>
                </c:pt>
                <c:pt idx="2">
                  <c:v>758</c:v>
                </c:pt>
                <c:pt idx="3">
                  <c:v>1079</c:v>
                </c:pt>
                <c:pt idx="4">
                  <c:v>1126</c:v>
                </c:pt>
                <c:pt idx="5">
                  <c:v>1021</c:v>
                </c:pt>
                <c:pt idx="6">
                  <c:v>840</c:v>
                </c:pt>
                <c:pt idx="7">
                  <c:v>875</c:v>
                </c:pt>
                <c:pt idx="8">
                  <c:v>649</c:v>
                </c:pt>
                <c:pt idx="9">
                  <c:v>360</c:v>
                </c:pt>
                <c:pt idx="10">
                  <c:v>158</c:v>
                </c:pt>
                <c:pt idx="11">
                  <c:v>91</c:v>
                </c:pt>
                <c:pt idx="12">
                  <c:v>33</c:v>
                </c:pt>
                <c:pt idx="13">
                  <c:v>7</c:v>
                </c:pt>
                <c:pt idx="14">
                  <c:v>15</c:v>
                </c:pt>
                <c:pt idx="15">
                  <c:v>17</c:v>
                </c:pt>
                <c:pt idx="16">
                  <c:v>14</c:v>
                </c:pt>
                <c:pt idx="17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4-4186-9F4A-1E9B1E618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21894239"/>
        <c:axId val="1"/>
      </c:barChart>
      <c:catAx>
        <c:axId val="9218942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Lim SUP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Frecuencia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21894239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Hoja5!$B$1</c:f>
              <c:strCache>
                <c:ptCount val="1"/>
                <c:pt idx="0">
                  <c:v>Nº usuarios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Hoja5!$A$2:$A$13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Hoja5!$B$2:$B$13</c:f>
              <c:numCache>
                <c:formatCode>General</c:formatCode>
                <c:ptCount val="12"/>
                <c:pt idx="0">
                  <c:v>20</c:v>
                </c:pt>
                <c:pt idx="1">
                  <c:v>35</c:v>
                </c:pt>
                <c:pt idx="2">
                  <c:v>67</c:v>
                </c:pt>
                <c:pt idx="3">
                  <c:v>81</c:v>
                </c:pt>
                <c:pt idx="4">
                  <c:v>95</c:v>
                </c:pt>
                <c:pt idx="5">
                  <c:v>125</c:v>
                </c:pt>
                <c:pt idx="6">
                  <c:v>145</c:v>
                </c:pt>
                <c:pt idx="7">
                  <c:v>152</c:v>
                </c:pt>
                <c:pt idx="8">
                  <c:v>171</c:v>
                </c:pt>
                <c:pt idx="9">
                  <c:v>182</c:v>
                </c:pt>
                <c:pt idx="10">
                  <c:v>190</c:v>
                </c:pt>
                <c:pt idx="11">
                  <c:v>204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AE-4A42-B1DF-F4C6A68BC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0317983"/>
        <c:axId val="1110318815"/>
      </c:scatterChart>
      <c:valAx>
        <c:axId val="1110317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10318815"/>
        <c:crosses val="autoZero"/>
        <c:crossBetween val="midCat"/>
      </c:valAx>
      <c:valAx>
        <c:axId val="111031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10317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457199</xdr:colOff>
      <xdr:row>7394</xdr:row>
      <xdr:rowOff>9524</xdr:rowOff>
    </xdr:from>
    <xdr:to>
      <xdr:col>12</xdr:col>
      <xdr:colOff>123824</xdr:colOff>
      <xdr:row>7417</xdr:row>
      <xdr:rowOff>19049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2" name="Gráfico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733425</xdr:colOff>
      <xdr:row>0</xdr:row>
      <xdr:rowOff>142875</xdr:rowOff>
    </xdr:from>
    <xdr:to>
      <xdr:col>19</xdr:col>
      <xdr:colOff>0</xdr:colOff>
      <xdr:row>30</xdr:row>
      <xdr:rowOff>171450</xdr:rowOff>
    </xdr:to>
    <xdr:graphicFrame macro="">
      <xdr:nvGraphicFramePr>
        <xdr:cNvPr id="2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761999</xdr:colOff>
      <xdr:row>2</xdr:row>
      <xdr:rowOff>190499</xdr:rowOff>
    </xdr:from>
    <xdr:to>
      <xdr:col>15</xdr:col>
      <xdr:colOff>0</xdr:colOff>
      <xdr:row>27</xdr:row>
      <xdr:rowOff>66675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info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DataCollector0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7457"/>
  <sheetViews>
    <sheetView workbookViewId="0">
      <selection activeCell="D3" sqref="D3"/>
    </sheetView>
  </sheetViews>
  <sheetFormatPr baseColWidth="10" defaultRowHeight="15" x14ac:dyDescent="0.25"/>
  <cols>
    <col min="1" max="1" width="47.5703125" style="8" bestFit="1" customWidth="1"/>
    <col min="2" max="2" width="16.42578125" style="8" bestFit="1" customWidth="1"/>
    <col min="3" max="3" width="17.5703125" style="8" bestFit="1" customWidth="1"/>
    <col min="4" max="4" width="25.85546875" style="8" bestFit="1" customWidth="1"/>
    <col min="5" max="5" width="19" style="8" bestFit="1" customWidth="1"/>
    <col min="6" max="6" width="21.7109375" style="8" bestFit="1" customWidth="1"/>
    <col min="7" max="7" width="19.85546875" style="8" bestFit="1" customWidth="1"/>
    <col min="8" max="8" width="11.42578125" style="8"/>
    <col min="9" max="9" width="36.7109375" style="8" bestFit="1" customWidth="1"/>
    <col min="10" max="10" width="12" style="8" bestFit="1" customWidth="1"/>
    <col min="11" max="11" width="20.140625" style="8" bestFit="1" customWidth="1"/>
    <col min="12" max="16384" width="11.42578125" style="8"/>
  </cols>
  <sheetData>
    <row r="2" spans="1:11" x14ac:dyDescent="0.25">
      <c r="A2" s="8" t="s">
        <v>8</v>
      </c>
    </row>
    <row r="3" spans="1:11" x14ac:dyDescent="0.25">
      <c r="C3" s="9" t="s">
        <v>7</v>
      </c>
      <c r="D3" s="9">
        <v>100</v>
      </c>
    </row>
    <row r="4" spans="1:11" x14ac:dyDescent="0.25">
      <c r="A4" s="8" t="s">
        <v>9</v>
      </c>
      <c r="C4" s="9" t="s">
        <v>13</v>
      </c>
      <c r="D4" s="9">
        <v>2</v>
      </c>
    </row>
    <row r="5" spans="1:11" x14ac:dyDescent="0.25">
      <c r="A5" s="8" t="s">
        <v>10</v>
      </c>
    </row>
    <row r="7" spans="1:11" x14ac:dyDescent="0.25">
      <c r="A7" s="8" t="s">
        <v>11</v>
      </c>
    </row>
    <row r="8" spans="1:11" x14ac:dyDescent="0.25">
      <c r="A8" s="8" t="s">
        <v>12</v>
      </c>
      <c r="B8" s="8" t="s">
        <v>13</v>
      </c>
      <c r="C8" s="8">
        <v>2</v>
      </c>
      <c r="D8" s="8" t="s">
        <v>14</v>
      </c>
      <c r="E8" s="8" t="s">
        <v>15</v>
      </c>
      <c r="F8" s="8" t="s">
        <v>16</v>
      </c>
      <c r="I8" s="5" t="s">
        <v>25</v>
      </c>
      <c r="J8" s="4">
        <f>D3/D4</f>
        <v>50</v>
      </c>
      <c r="K8" s="11" t="s">
        <v>24</v>
      </c>
    </row>
    <row r="9" spans="1:11" x14ac:dyDescent="0.25">
      <c r="A9" s="8" t="s">
        <v>17</v>
      </c>
      <c r="B9" s="8" t="s">
        <v>18</v>
      </c>
      <c r="C9" s="8" t="s">
        <v>19</v>
      </c>
      <c r="D9" s="8" t="s">
        <v>20</v>
      </c>
      <c r="E9" s="8" t="s">
        <v>21</v>
      </c>
      <c r="F9" s="10" t="s">
        <v>22</v>
      </c>
      <c r="G9" s="10" t="s">
        <v>23</v>
      </c>
      <c r="I9" s="5" t="s">
        <v>26</v>
      </c>
      <c r="J9" s="4">
        <f>(COUNT(B9:B7752)/(MAX(E9:E7752)-MIN(D9:D7752)))*1000</f>
        <v>49.650455687882463</v>
      </c>
    </row>
    <row r="10" spans="1:11" x14ac:dyDescent="0.25">
      <c r="A10" s="8">
        <v>0</v>
      </c>
      <c r="B10" s="8">
        <v>0</v>
      </c>
      <c r="C10" s="8">
        <v>7356.328125</v>
      </c>
      <c r="D10" s="8">
        <v>21531.705077999999</v>
      </c>
      <c r="E10" s="8">
        <v>21544.75</v>
      </c>
      <c r="F10" s="8">
        <f>E10-D10</f>
        <v>13.044922000000952</v>
      </c>
      <c r="G10" s="8">
        <f>F10/1000</f>
        <v>1.3044922000000951E-2</v>
      </c>
      <c r="I10" s="5" t="s">
        <v>27</v>
      </c>
      <c r="J10" s="4">
        <f>(J9*100)/J8</f>
        <v>99.300911375764912</v>
      </c>
    </row>
    <row r="11" spans="1:11" x14ac:dyDescent="0.25">
      <c r="A11" s="8">
        <v>0</v>
      </c>
      <c r="B11" s="8">
        <v>1</v>
      </c>
      <c r="C11" s="8">
        <v>19.812764999999999</v>
      </c>
      <c r="D11" s="8">
        <v>28902.669922000001</v>
      </c>
      <c r="E11" s="8">
        <v>28912.355468999998</v>
      </c>
      <c r="F11" s="8">
        <f t="shared" ref="F11:F74" si="0">E11-D11</f>
        <v>9.6855469999973138</v>
      </c>
      <c r="G11" s="8">
        <f t="shared" ref="G11:G74" si="1">F11/1000</f>
        <v>9.6855469999973139E-3</v>
      </c>
    </row>
    <row r="12" spans="1:11" x14ac:dyDescent="0.25">
      <c r="A12" s="8">
        <v>0</v>
      </c>
      <c r="B12" s="8">
        <v>2</v>
      </c>
      <c r="C12" s="8">
        <v>124.98362</v>
      </c>
      <c r="D12" s="8">
        <v>28933.953125</v>
      </c>
      <c r="E12" s="8">
        <v>28950.916015999999</v>
      </c>
      <c r="F12" s="8">
        <f t="shared" si="0"/>
        <v>16.962890999999217</v>
      </c>
      <c r="G12" s="8">
        <f t="shared" si="1"/>
        <v>1.6962890999999217E-2</v>
      </c>
    </row>
    <row r="13" spans="1:11" x14ac:dyDescent="0.25">
      <c r="A13" s="8">
        <v>0</v>
      </c>
      <c r="B13" s="8">
        <v>3</v>
      </c>
      <c r="C13" s="8">
        <v>147.657242</v>
      </c>
      <c r="D13" s="8">
        <v>29090.248047000001</v>
      </c>
      <c r="E13" s="8">
        <v>29109.857422000001</v>
      </c>
      <c r="F13" s="8">
        <f t="shared" si="0"/>
        <v>19.609375</v>
      </c>
      <c r="G13" s="8">
        <f t="shared" si="1"/>
        <v>1.9609374999999998E-2</v>
      </c>
    </row>
    <row r="14" spans="1:11" x14ac:dyDescent="0.25">
      <c r="A14" s="8">
        <v>0</v>
      </c>
      <c r="B14" s="8">
        <v>4</v>
      </c>
      <c r="C14" s="8">
        <v>341.54623400000003</v>
      </c>
      <c r="D14" s="8">
        <v>29262.109375</v>
      </c>
      <c r="E14" s="8">
        <v>29275.041015999999</v>
      </c>
      <c r="F14" s="8">
        <f t="shared" si="0"/>
        <v>12.931640999999217</v>
      </c>
      <c r="G14" s="8">
        <f t="shared" si="1"/>
        <v>1.2931640999999218E-2</v>
      </c>
      <c r="I14" s="5" t="s">
        <v>28</v>
      </c>
      <c r="J14" s="4">
        <f>AVERAGE(G10:G7753)</f>
        <v>1.9109381288802303E-2</v>
      </c>
    </row>
    <row r="15" spans="1:11" x14ac:dyDescent="0.25">
      <c r="A15" s="8">
        <v>0</v>
      </c>
      <c r="B15" s="8">
        <v>5</v>
      </c>
      <c r="C15" s="8">
        <v>519.76629600000001</v>
      </c>
      <c r="D15" s="8">
        <v>29621.515625</v>
      </c>
      <c r="E15" s="8">
        <v>29632.570313</v>
      </c>
      <c r="F15" s="8">
        <f t="shared" si="0"/>
        <v>11.054688000000169</v>
      </c>
      <c r="G15" s="8">
        <f t="shared" si="1"/>
        <v>1.105468800000017E-2</v>
      </c>
      <c r="I15" s="5" t="s">
        <v>29</v>
      </c>
      <c r="J15" s="4">
        <f>PERCENTILE(G10:G7753,0.9)</f>
        <v>2.6270703100002357E-2</v>
      </c>
    </row>
    <row r="16" spans="1:11" x14ac:dyDescent="0.25">
      <c r="A16" s="8">
        <v>0</v>
      </c>
      <c r="B16" s="8">
        <v>6</v>
      </c>
      <c r="C16" s="8">
        <v>1303.7301030000001</v>
      </c>
      <c r="D16" s="8">
        <v>30156.025390999999</v>
      </c>
      <c r="E16" s="8">
        <v>30177.537109000001</v>
      </c>
      <c r="F16" s="8">
        <f t="shared" si="0"/>
        <v>21.511718000001565</v>
      </c>
      <c r="G16" s="8">
        <f t="shared" si="1"/>
        <v>2.1511718000001564E-2</v>
      </c>
    </row>
    <row r="17" spans="1:7" x14ac:dyDescent="0.25">
      <c r="A17" s="8">
        <v>0</v>
      </c>
      <c r="B17" s="8">
        <v>7</v>
      </c>
      <c r="C17" s="8">
        <v>1273.273193</v>
      </c>
      <c r="D17" s="8">
        <v>31487.892577999999</v>
      </c>
      <c r="E17" s="8">
        <v>31505</v>
      </c>
      <c r="F17" s="8">
        <f t="shared" si="0"/>
        <v>17.107422000000952</v>
      </c>
      <c r="G17" s="8">
        <f t="shared" si="1"/>
        <v>1.7107422000000951E-2</v>
      </c>
    </row>
    <row r="18" spans="1:7" x14ac:dyDescent="0.25">
      <c r="A18" s="8">
        <v>0</v>
      </c>
      <c r="B18" s="8">
        <v>8</v>
      </c>
      <c r="C18" s="8">
        <v>863.87255900000002</v>
      </c>
      <c r="D18" s="8">
        <v>32785.691405999998</v>
      </c>
      <c r="E18" s="8">
        <v>32793.25</v>
      </c>
      <c r="F18" s="8">
        <f t="shared" si="0"/>
        <v>7.5585940000019036</v>
      </c>
      <c r="G18" s="8">
        <f t="shared" si="1"/>
        <v>7.5585940000019039E-3</v>
      </c>
    </row>
    <row r="19" spans="1:7" x14ac:dyDescent="0.25">
      <c r="A19" s="8">
        <v>0</v>
      </c>
      <c r="B19" s="8">
        <v>9</v>
      </c>
      <c r="C19" s="8">
        <v>1009.29895</v>
      </c>
      <c r="D19" s="8">
        <v>33665.65625</v>
      </c>
      <c r="E19" s="8">
        <v>33673.621094000002</v>
      </c>
      <c r="F19" s="8">
        <f t="shared" si="0"/>
        <v>7.9648440000019036</v>
      </c>
      <c r="G19" s="8">
        <f t="shared" si="1"/>
        <v>7.9648440000019034E-3</v>
      </c>
    </row>
    <row r="20" spans="1:7" x14ac:dyDescent="0.25">
      <c r="A20" s="8">
        <v>0</v>
      </c>
      <c r="B20" s="8">
        <v>10</v>
      </c>
      <c r="C20" s="8">
        <v>5893.033203</v>
      </c>
      <c r="D20" s="8">
        <v>34686.253905999998</v>
      </c>
      <c r="E20" s="8">
        <v>34703.113280999998</v>
      </c>
      <c r="F20" s="8">
        <f t="shared" si="0"/>
        <v>16.859375</v>
      </c>
      <c r="G20" s="8">
        <f t="shared" si="1"/>
        <v>1.6859374999999999E-2</v>
      </c>
    </row>
    <row r="21" spans="1:7" x14ac:dyDescent="0.25">
      <c r="A21" s="8">
        <v>0</v>
      </c>
      <c r="B21" s="8">
        <v>11</v>
      </c>
      <c r="C21" s="8">
        <v>1396.14563</v>
      </c>
      <c r="D21" s="8">
        <v>40606.234375</v>
      </c>
      <c r="E21" s="8">
        <v>40624.640625</v>
      </c>
      <c r="F21" s="8">
        <f t="shared" si="0"/>
        <v>18.40625</v>
      </c>
      <c r="G21" s="8">
        <f t="shared" si="1"/>
        <v>1.8406249999999999E-2</v>
      </c>
    </row>
    <row r="22" spans="1:7" x14ac:dyDescent="0.25">
      <c r="A22" s="8">
        <v>0</v>
      </c>
      <c r="B22" s="8">
        <v>12</v>
      </c>
      <c r="C22" s="8">
        <v>4527.7666019999997</v>
      </c>
      <c r="D22" s="8">
        <v>42028.335937999997</v>
      </c>
      <c r="E22" s="8">
        <v>42035.714844000002</v>
      </c>
      <c r="F22" s="8">
        <f t="shared" si="0"/>
        <v>7.3789060000053723</v>
      </c>
      <c r="G22" s="8">
        <f t="shared" si="1"/>
        <v>7.3789060000053726E-3</v>
      </c>
    </row>
    <row r="23" spans="1:7" x14ac:dyDescent="0.25">
      <c r="A23" s="8">
        <v>0</v>
      </c>
      <c r="B23" s="8">
        <v>13</v>
      </c>
      <c r="C23" s="8">
        <v>8747.4589840000008</v>
      </c>
      <c r="D23" s="8">
        <v>46563.195312999997</v>
      </c>
      <c r="E23" s="8">
        <v>46583.335937999997</v>
      </c>
      <c r="F23" s="8">
        <f t="shared" si="0"/>
        <v>20.140625</v>
      </c>
      <c r="G23" s="8">
        <f t="shared" si="1"/>
        <v>2.0140624999999999E-2</v>
      </c>
    </row>
    <row r="24" spans="1:7" x14ac:dyDescent="0.25">
      <c r="A24" s="8">
        <v>0</v>
      </c>
      <c r="B24" s="8">
        <v>14</v>
      </c>
      <c r="C24" s="8">
        <v>110.288788</v>
      </c>
      <c r="D24" s="8">
        <v>55331.742187999997</v>
      </c>
      <c r="E24" s="8">
        <v>55359.441405999998</v>
      </c>
      <c r="F24" s="8">
        <f t="shared" si="0"/>
        <v>27.699218000001565</v>
      </c>
      <c r="G24" s="8">
        <f t="shared" si="1"/>
        <v>2.7699218000001566E-2</v>
      </c>
    </row>
    <row r="25" spans="1:7" x14ac:dyDescent="0.25">
      <c r="A25" s="8">
        <v>0</v>
      </c>
      <c r="B25" s="8">
        <v>15</v>
      </c>
      <c r="C25" s="8">
        <v>3986.7534179999998</v>
      </c>
      <c r="D25" s="8">
        <v>55472.347655999998</v>
      </c>
      <c r="E25" s="8">
        <v>55488.589844000002</v>
      </c>
      <c r="F25" s="8">
        <f t="shared" si="0"/>
        <v>16.242188000003807</v>
      </c>
      <c r="G25" s="8">
        <f t="shared" si="1"/>
        <v>1.6242188000003807E-2</v>
      </c>
    </row>
    <row r="26" spans="1:7" x14ac:dyDescent="0.25">
      <c r="A26" s="8">
        <v>0</v>
      </c>
      <c r="B26" s="8">
        <v>16</v>
      </c>
      <c r="C26" s="8">
        <v>3400.9995119999999</v>
      </c>
      <c r="D26" s="8">
        <v>59481.667969000002</v>
      </c>
      <c r="E26" s="8">
        <v>59489.25</v>
      </c>
      <c r="F26" s="8">
        <f t="shared" si="0"/>
        <v>7.5820309999980964</v>
      </c>
      <c r="G26" s="8">
        <f t="shared" si="1"/>
        <v>7.5820309999980965E-3</v>
      </c>
    </row>
    <row r="27" spans="1:7" x14ac:dyDescent="0.25">
      <c r="A27" s="8">
        <v>0</v>
      </c>
      <c r="B27" s="8">
        <v>17</v>
      </c>
      <c r="C27" s="8">
        <v>151.14312699999999</v>
      </c>
      <c r="D27" s="8">
        <v>62891.640625</v>
      </c>
      <c r="E27" s="8">
        <v>62905.398437999997</v>
      </c>
      <c r="F27" s="8">
        <f t="shared" si="0"/>
        <v>13.757812999996531</v>
      </c>
      <c r="G27" s="8">
        <f t="shared" si="1"/>
        <v>1.3757812999996531E-2</v>
      </c>
    </row>
    <row r="28" spans="1:7" x14ac:dyDescent="0.25">
      <c r="A28" s="8">
        <v>0</v>
      </c>
      <c r="B28" s="8">
        <v>18</v>
      </c>
      <c r="C28" s="8">
        <v>2119.7036130000001</v>
      </c>
      <c r="D28" s="8">
        <v>63063.527344000002</v>
      </c>
      <c r="E28" s="8">
        <v>63085.121094000002</v>
      </c>
      <c r="F28" s="8">
        <f t="shared" si="0"/>
        <v>21.59375</v>
      </c>
      <c r="G28" s="8">
        <f t="shared" si="1"/>
        <v>2.1593749999999998E-2</v>
      </c>
    </row>
    <row r="29" spans="1:7" x14ac:dyDescent="0.25">
      <c r="A29" s="8">
        <v>0</v>
      </c>
      <c r="B29" s="8">
        <v>19</v>
      </c>
      <c r="C29" s="8">
        <v>666.20507799999996</v>
      </c>
      <c r="D29" s="8">
        <v>65215.355469000002</v>
      </c>
      <c r="E29" s="8">
        <v>65240.851562999997</v>
      </c>
      <c r="F29" s="8">
        <f t="shared" si="0"/>
        <v>25.496093999994628</v>
      </c>
      <c r="G29" s="8">
        <f t="shared" si="1"/>
        <v>2.5496093999994626E-2</v>
      </c>
    </row>
    <row r="30" spans="1:7" x14ac:dyDescent="0.25">
      <c r="A30" s="8">
        <v>0</v>
      </c>
      <c r="B30" s="8">
        <v>20</v>
      </c>
      <c r="C30" s="8">
        <v>1554.228149</v>
      </c>
      <c r="D30" s="8">
        <v>65918.570313000004</v>
      </c>
      <c r="E30" s="8">
        <v>65928.710938000004</v>
      </c>
      <c r="F30" s="8">
        <f t="shared" si="0"/>
        <v>10.140625</v>
      </c>
      <c r="G30" s="8">
        <f t="shared" si="1"/>
        <v>1.0140625E-2</v>
      </c>
    </row>
    <row r="31" spans="1:7" x14ac:dyDescent="0.25">
      <c r="A31" s="8">
        <v>0</v>
      </c>
      <c r="B31" s="8">
        <v>21</v>
      </c>
      <c r="C31" s="8">
        <v>88.925690000000003</v>
      </c>
      <c r="D31" s="8">
        <v>67498.367188000004</v>
      </c>
      <c r="E31" s="8">
        <v>67512.882813000004</v>
      </c>
      <c r="F31" s="8">
        <f t="shared" si="0"/>
        <v>14.515625</v>
      </c>
      <c r="G31" s="8">
        <f t="shared" si="1"/>
        <v>1.4515625000000001E-2</v>
      </c>
    </row>
    <row r="32" spans="1:7" x14ac:dyDescent="0.25">
      <c r="A32" s="8">
        <v>0</v>
      </c>
      <c r="B32" s="8">
        <v>22</v>
      </c>
      <c r="C32" s="8">
        <v>148.380325</v>
      </c>
      <c r="D32" s="8">
        <v>67607.773438000004</v>
      </c>
      <c r="E32" s="8">
        <v>67625.34375</v>
      </c>
      <c r="F32" s="8">
        <f t="shared" si="0"/>
        <v>17.570311999996193</v>
      </c>
      <c r="G32" s="8">
        <f t="shared" si="1"/>
        <v>1.7570311999996192E-2</v>
      </c>
    </row>
    <row r="33" spans="1:7" x14ac:dyDescent="0.25">
      <c r="A33" s="8">
        <v>0</v>
      </c>
      <c r="B33" s="8">
        <v>23</v>
      </c>
      <c r="C33" s="8">
        <v>3167.1801759999998</v>
      </c>
      <c r="D33" s="8">
        <v>67779.625</v>
      </c>
      <c r="E33" s="8">
        <v>67793.382813000004</v>
      </c>
      <c r="F33" s="8">
        <f t="shared" si="0"/>
        <v>13.757813000003807</v>
      </c>
      <c r="G33" s="8">
        <f t="shared" si="1"/>
        <v>1.3757813000003807E-2</v>
      </c>
    </row>
    <row r="34" spans="1:7" x14ac:dyDescent="0.25">
      <c r="A34" s="8">
        <v>0</v>
      </c>
      <c r="B34" s="8">
        <v>24</v>
      </c>
      <c r="C34" s="8">
        <v>1166.2441409999999</v>
      </c>
      <c r="D34" s="8">
        <v>70960.734375</v>
      </c>
      <c r="E34" s="8">
        <v>70990.53125</v>
      </c>
      <c r="F34" s="8">
        <f t="shared" si="0"/>
        <v>29.796875</v>
      </c>
      <c r="G34" s="8">
        <f t="shared" si="1"/>
        <v>2.9796875E-2</v>
      </c>
    </row>
    <row r="35" spans="1:7" x14ac:dyDescent="0.25">
      <c r="A35" s="8">
        <v>0</v>
      </c>
      <c r="B35" s="8">
        <v>25</v>
      </c>
      <c r="C35" s="8">
        <v>3590.1831050000001</v>
      </c>
      <c r="D35" s="8">
        <v>72169.820313000004</v>
      </c>
      <c r="E35" s="8">
        <v>72186.648438000004</v>
      </c>
      <c r="F35" s="8">
        <f t="shared" si="0"/>
        <v>16.828125</v>
      </c>
      <c r="G35" s="8">
        <f t="shared" si="1"/>
        <v>1.6828124999999999E-2</v>
      </c>
    </row>
    <row r="36" spans="1:7" x14ac:dyDescent="0.25">
      <c r="A36" s="8">
        <v>0</v>
      </c>
      <c r="B36" s="8">
        <v>26</v>
      </c>
      <c r="C36" s="8">
        <v>3288.5590820000002</v>
      </c>
      <c r="D36" s="8">
        <v>75788.085938000004</v>
      </c>
      <c r="E36" s="8">
        <v>75802.921875</v>
      </c>
      <c r="F36" s="8">
        <f t="shared" si="0"/>
        <v>14.835936999996193</v>
      </c>
      <c r="G36" s="8">
        <f t="shared" si="1"/>
        <v>1.4835936999996193E-2</v>
      </c>
    </row>
    <row r="37" spans="1:7" x14ac:dyDescent="0.25">
      <c r="A37" s="8">
        <v>0</v>
      </c>
      <c r="B37" s="8">
        <v>27</v>
      </c>
      <c r="C37" s="8">
        <v>1362.5701899999999</v>
      </c>
      <c r="D37" s="8">
        <v>79091.570313000004</v>
      </c>
      <c r="E37" s="8">
        <v>79113.515625</v>
      </c>
      <c r="F37" s="8">
        <f t="shared" si="0"/>
        <v>21.945311999996193</v>
      </c>
      <c r="G37" s="8">
        <f t="shared" si="1"/>
        <v>2.1945311999996192E-2</v>
      </c>
    </row>
    <row r="38" spans="1:7" x14ac:dyDescent="0.25">
      <c r="A38" s="8">
        <v>0</v>
      </c>
      <c r="B38" s="8">
        <v>28</v>
      </c>
      <c r="C38" s="8">
        <v>6175.9296880000002</v>
      </c>
      <c r="D38" s="8">
        <v>80489.382813000004</v>
      </c>
      <c r="E38" s="8">
        <v>80506.914063000004</v>
      </c>
      <c r="F38" s="8">
        <f t="shared" si="0"/>
        <v>17.53125</v>
      </c>
      <c r="G38" s="8">
        <f t="shared" si="1"/>
        <v>1.7531250000000002E-2</v>
      </c>
    </row>
    <row r="39" spans="1:7" x14ac:dyDescent="0.25">
      <c r="A39" s="8">
        <v>0</v>
      </c>
      <c r="B39" s="8">
        <v>29</v>
      </c>
      <c r="C39" s="8">
        <v>1333.112061</v>
      </c>
      <c r="D39" s="8">
        <v>86690.226563000004</v>
      </c>
      <c r="E39" s="8">
        <v>86703.945313000004</v>
      </c>
      <c r="F39" s="8">
        <f t="shared" si="0"/>
        <v>13.71875</v>
      </c>
      <c r="G39" s="8">
        <f t="shared" si="1"/>
        <v>1.371875E-2</v>
      </c>
    </row>
    <row r="40" spans="1:7" x14ac:dyDescent="0.25">
      <c r="A40" s="8">
        <v>0</v>
      </c>
      <c r="B40" s="8">
        <v>30</v>
      </c>
      <c r="C40" s="8">
        <v>480.57693499999999</v>
      </c>
      <c r="D40" s="8">
        <v>88037.265625</v>
      </c>
      <c r="E40" s="8">
        <v>88055.359375</v>
      </c>
      <c r="F40" s="8">
        <f t="shared" si="0"/>
        <v>18.09375</v>
      </c>
      <c r="G40" s="8">
        <f t="shared" si="1"/>
        <v>1.8093749999999999E-2</v>
      </c>
    </row>
    <row r="41" spans="1:7" x14ac:dyDescent="0.25">
      <c r="A41" s="8">
        <v>0</v>
      </c>
      <c r="B41" s="8">
        <v>31</v>
      </c>
      <c r="C41" s="8">
        <v>933.31658900000002</v>
      </c>
      <c r="D41" s="8">
        <v>88537.328125</v>
      </c>
      <c r="E41" s="8">
        <v>88554.421875</v>
      </c>
      <c r="F41" s="8">
        <f t="shared" si="0"/>
        <v>17.09375</v>
      </c>
      <c r="G41" s="8">
        <f t="shared" si="1"/>
        <v>1.7093750000000001E-2</v>
      </c>
    </row>
    <row r="42" spans="1:7" x14ac:dyDescent="0.25">
      <c r="A42" s="8">
        <v>0</v>
      </c>
      <c r="B42" s="8">
        <v>32</v>
      </c>
      <c r="C42" s="8">
        <v>1160.02063</v>
      </c>
      <c r="D42" s="8">
        <v>89490.546875</v>
      </c>
      <c r="E42" s="8">
        <v>89498.03125</v>
      </c>
      <c r="F42" s="8">
        <f t="shared" si="0"/>
        <v>7.484375</v>
      </c>
      <c r="G42" s="8">
        <f t="shared" si="1"/>
        <v>7.4843749999999997E-3</v>
      </c>
    </row>
    <row r="43" spans="1:7" x14ac:dyDescent="0.25">
      <c r="A43" s="8">
        <v>0</v>
      </c>
      <c r="B43" s="8">
        <v>33</v>
      </c>
      <c r="C43" s="8">
        <v>1030.33728</v>
      </c>
      <c r="D43" s="8">
        <v>90667.320313000004</v>
      </c>
      <c r="E43" s="8">
        <v>90689.710938000004</v>
      </c>
      <c r="F43" s="8">
        <f t="shared" si="0"/>
        <v>22.390625</v>
      </c>
      <c r="G43" s="8">
        <f t="shared" si="1"/>
        <v>2.2390625000000001E-2</v>
      </c>
    </row>
    <row r="44" spans="1:7" x14ac:dyDescent="0.25">
      <c r="A44" s="8">
        <v>0</v>
      </c>
      <c r="B44" s="8">
        <v>34</v>
      </c>
      <c r="C44" s="8">
        <v>266.932007</v>
      </c>
      <c r="D44" s="8">
        <v>91729.953125</v>
      </c>
      <c r="E44" s="8">
        <v>91775.992188000004</v>
      </c>
      <c r="F44" s="8">
        <f t="shared" si="0"/>
        <v>46.039063000003807</v>
      </c>
      <c r="G44" s="8">
        <f t="shared" si="1"/>
        <v>4.6039063000003808E-2</v>
      </c>
    </row>
    <row r="45" spans="1:7" x14ac:dyDescent="0.25">
      <c r="A45" s="8">
        <v>0</v>
      </c>
      <c r="B45" s="8">
        <v>35</v>
      </c>
      <c r="C45" s="8">
        <v>777.66851799999995</v>
      </c>
      <c r="D45" s="8">
        <v>92042.421875</v>
      </c>
      <c r="E45" s="8">
        <v>92058.015625</v>
      </c>
      <c r="F45" s="8">
        <f t="shared" si="0"/>
        <v>15.59375</v>
      </c>
      <c r="G45" s="8">
        <f t="shared" si="1"/>
        <v>1.559375E-2</v>
      </c>
    </row>
    <row r="46" spans="1:7" x14ac:dyDescent="0.25">
      <c r="A46" s="8">
        <v>0</v>
      </c>
      <c r="B46" s="8">
        <v>36</v>
      </c>
      <c r="C46" s="8">
        <v>1625.036987</v>
      </c>
      <c r="D46" s="8">
        <v>92841.546875</v>
      </c>
      <c r="E46" s="8">
        <v>92852.414063000004</v>
      </c>
      <c r="F46" s="8">
        <f t="shared" si="0"/>
        <v>10.867188000003807</v>
      </c>
      <c r="G46" s="8">
        <f t="shared" si="1"/>
        <v>1.0867188000003808E-2</v>
      </c>
    </row>
    <row r="47" spans="1:7" x14ac:dyDescent="0.25">
      <c r="A47" s="8">
        <v>0</v>
      </c>
      <c r="B47" s="8">
        <v>37</v>
      </c>
      <c r="C47" s="8">
        <v>259.13494900000001</v>
      </c>
      <c r="D47" s="8">
        <v>94483.273438000004</v>
      </c>
      <c r="E47" s="8">
        <v>94506.625</v>
      </c>
      <c r="F47" s="8">
        <f t="shared" si="0"/>
        <v>23.351561999996193</v>
      </c>
      <c r="G47" s="8">
        <f t="shared" si="1"/>
        <v>2.3351561999996193E-2</v>
      </c>
    </row>
    <row r="48" spans="1:7" x14ac:dyDescent="0.25">
      <c r="A48" s="8">
        <v>0</v>
      </c>
      <c r="B48" s="8">
        <v>38</v>
      </c>
      <c r="C48" s="8">
        <v>4396.5253910000001</v>
      </c>
      <c r="D48" s="8">
        <v>94779.984375</v>
      </c>
      <c r="E48" s="8">
        <v>94791.15625</v>
      </c>
      <c r="F48" s="8">
        <f t="shared" si="0"/>
        <v>11.171875</v>
      </c>
      <c r="G48" s="8">
        <f t="shared" si="1"/>
        <v>1.1171875E-2</v>
      </c>
    </row>
    <row r="49" spans="1:7" x14ac:dyDescent="0.25">
      <c r="A49" s="8">
        <v>0</v>
      </c>
      <c r="B49" s="8">
        <v>39</v>
      </c>
      <c r="C49" s="8">
        <v>4575.904297</v>
      </c>
      <c r="D49" s="8">
        <v>99191.546875</v>
      </c>
      <c r="E49" s="8">
        <v>99212.679688000004</v>
      </c>
      <c r="F49" s="8">
        <f t="shared" si="0"/>
        <v>21.132813000003807</v>
      </c>
      <c r="G49" s="8">
        <f t="shared" si="1"/>
        <v>2.1132813000003806E-2</v>
      </c>
    </row>
    <row r="50" spans="1:7" x14ac:dyDescent="0.25">
      <c r="A50" s="8">
        <v>0</v>
      </c>
      <c r="B50" s="8">
        <v>40</v>
      </c>
      <c r="C50" s="8">
        <v>798.85101299999997</v>
      </c>
      <c r="D50" s="8">
        <v>103800.164063</v>
      </c>
      <c r="E50" s="8">
        <v>103818.21875</v>
      </c>
      <c r="F50" s="8">
        <f t="shared" si="0"/>
        <v>18.054686999996193</v>
      </c>
      <c r="G50" s="8">
        <f t="shared" si="1"/>
        <v>1.8054686999996194E-2</v>
      </c>
    </row>
    <row r="51" spans="1:7" x14ac:dyDescent="0.25">
      <c r="A51" s="8">
        <v>0</v>
      </c>
      <c r="B51" s="8">
        <v>41</v>
      </c>
      <c r="C51" s="8">
        <v>7273.5249020000001</v>
      </c>
      <c r="D51" s="8">
        <v>104628.367188</v>
      </c>
      <c r="E51" s="8">
        <v>104653.273438</v>
      </c>
      <c r="F51" s="8">
        <f t="shared" si="0"/>
        <v>24.90625</v>
      </c>
      <c r="G51" s="8">
        <f t="shared" si="1"/>
        <v>2.4906250000000001E-2</v>
      </c>
    </row>
    <row r="52" spans="1:7" x14ac:dyDescent="0.25">
      <c r="A52" s="8">
        <v>0</v>
      </c>
      <c r="B52" s="8">
        <v>42</v>
      </c>
      <c r="C52" s="8">
        <v>3079.8933109999998</v>
      </c>
      <c r="D52" s="8">
        <v>111926.75</v>
      </c>
      <c r="E52" s="8">
        <v>111943.703125</v>
      </c>
      <c r="F52" s="8">
        <f t="shared" si="0"/>
        <v>16.953125</v>
      </c>
      <c r="G52" s="8">
        <f t="shared" si="1"/>
        <v>1.6953124999999999E-2</v>
      </c>
    </row>
    <row r="53" spans="1:7" x14ac:dyDescent="0.25">
      <c r="A53" s="8">
        <v>0</v>
      </c>
      <c r="B53" s="8">
        <v>43</v>
      </c>
      <c r="C53" s="8">
        <v>5960.3955079999996</v>
      </c>
      <c r="D53" s="8">
        <v>115036.171875</v>
      </c>
      <c r="E53" s="8">
        <v>115053.03125</v>
      </c>
      <c r="F53" s="8">
        <f t="shared" si="0"/>
        <v>16.859375</v>
      </c>
      <c r="G53" s="8">
        <f t="shared" si="1"/>
        <v>1.6859374999999999E-2</v>
      </c>
    </row>
    <row r="54" spans="1:7" x14ac:dyDescent="0.25">
      <c r="A54" s="8">
        <v>0</v>
      </c>
      <c r="B54" s="8">
        <v>44</v>
      </c>
      <c r="C54" s="8">
        <v>2138.107422</v>
      </c>
      <c r="D54" s="8">
        <v>121017.539063</v>
      </c>
      <c r="E54" s="8">
        <v>121034.6875</v>
      </c>
      <c r="F54" s="8">
        <f t="shared" si="0"/>
        <v>17.148436999996193</v>
      </c>
      <c r="G54" s="8">
        <f t="shared" si="1"/>
        <v>1.7148436999996193E-2</v>
      </c>
    </row>
    <row r="55" spans="1:7" x14ac:dyDescent="0.25">
      <c r="A55" s="8">
        <v>0</v>
      </c>
      <c r="B55" s="8">
        <v>45</v>
      </c>
      <c r="C55" s="8">
        <v>1194.880615</v>
      </c>
      <c r="D55" s="8">
        <v>123183.625</v>
      </c>
      <c r="E55" s="8">
        <v>123240.875</v>
      </c>
      <c r="F55" s="8">
        <f t="shared" si="0"/>
        <v>57.25</v>
      </c>
      <c r="G55" s="8">
        <f t="shared" si="1"/>
        <v>5.7250000000000002E-2</v>
      </c>
    </row>
    <row r="56" spans="1:7" x14ac:dyDescent="0.25">
      <c r="A56" s="8">
        <v>0</v>
      </c>
      <c r="B56" s="8">
        <v>46</v>
      </c>
      <c r="C56" s="8">
        <v>693.81781000000001</v>
      </c>
      <c r="D56" s="8">
        <v>124439.554688</v>
      </c>
      <c r="E56" s="8">
        <v>124447.359375</v>
      </c>
      <c r="F56" s="8">
        <f t="shared" si="0"/>
        <v>7.8046869999961928</v>
      </c>
      <c r="G56" s="8">
        <f t="shared" si="1"/>
        <v>7.8046869999961925E-3</v>
      </c>
    </row>
    <row r="57" spans="1:7" x14ac:dyDescent="0.25">
      <c r="A57" s="8">
        <v>0</v>
      </c>
      <c r="B57" s="8">
        <v>47</v>
      </c>
      <c r="C57" s="8">
        <v>2325.2641600000002</v>
      </c>
      <c r="D57" s="8">
        <v>125142.734375</v>
      </c>
      <c r="E57" s="8">
        <v>125157.9375</v>
      </c>
      <c r="F57" s="8">
        <f t="shared" si="0"/>
        <v>15.203125</v>
      </c>
      <c r="G57" s="8">
        <f t="shared" si="1"/>
        <v>1.5203125E-2</v>
      </c>
    </row>
    <row r="58" spans="1:7" x14ac:dyDescent="0.25">
      <c r="A58" s="8">
        <v>0</v>
      </c>
      <c r="B58" s="8">
        <v>48</v>
      </c>
      <c r="C58" s="8">
        <v>1214.276611</v>
      </c>
      <c r="D58" s="8">
        <v>127487.375</v>
      </c>
      <c r="E58" s="8">
        <v>127503.757813</v>
      </c>
      <c r="F58" s="8">
        <f t="shared" si="0"/>
        <v>16.382813000003807</v>
      </c>
      <c r="G58" s="8">
        <f t="shared" si="1"/>
        <v>1.6382813000003806E-2</v>
      </c>
    </row>
    <row r="59" spans="1:7" x14ac:dyDescent="0.25">
      <c r="A59" s="8">
        <v>0</v>
      </c>
      <c r="B59" s="8">
        <v>49</v>
      </c>
      <c r="C59" s="8">
        <v>1995.0792240000001</v>
      </c>
      <c r="D59" s="8">
        <v>128723.234375</v>
      </c>
      <c r="E59" s="8">
        <v>128740.757813</v>
      </c>
      <c r="F59" s="8">
        <f t="shared" si="0"/>
        <v>17.523438000003807</v>
      </c>
      <c r="G59" s="8">
        <f t="shared" si="1"/>
        <v>1.7523438000003808E-2</v>
      </c>
    </row>
    <row r="60" spans="1:7" x14ac:dyDescent="0.25">
      <c r="A60" s="8">
        <v>0</v>
      </c>
      <c r="B60" s="8">
        <v>50</v>
      </c>
      <c r="C60" s="8">
        <v>379.77642800000001</v>
      </c>
      <c r="D60" s="8">
        <v>130739.070313</v>
      </c>
      <c r="E60" s="8">
        <v>130758.546875</v>
      </c>
      <c r="F60" s="8">
        <f t="shared" si="0"/>
        <v>19.476561999996193</v>
      </c>
      <c r="G60" s="8">
        <f t="shared" si="1"/>
        <v>1.9476561999996193E-2</v>
      </c>
    </row>
    <row r="61" spans="1:7" x14ac:dyDescent="0.25">
      <c r="A61" s="8">
        <v>0</v>
      </c>
      <c r="B61" s="8">
        <v>51</v>
      </c>
      <c r="C61" s="8">
        <v>749.41461200000003</v>
      </c>
      <c r="D61" s="8">
        <v>131145.34375</v>
      </c>
      <c r="E61" s="8">
        <v>131162.28125</v>
      </c>
      <c r="F61" s="8">
        <f t="shared" si="0"/>
        <v>16.9375</v>
      </c>
      <c r="G61" s="8">
        <f t="shared" si="1"/>
        <v>1.6937500000000001E-2</v>
      </c>
    </row>
    <row r="62" spans="1:7" x14ac:dyDescent="0.25">
      <c r="A62" s="8">
        <v>0</v>
      </c>
      <c r="B62" s="8">
        <v>52</v>
      </c>
      <c r="C62" s="8">
        <v>382.80444299999999</v>
      </c>
      <c r="D62" s="8">
        <v>131920.8125</v>
      </c>
      <c r="E62" s="8">
        <v>131932.09375</v>
      </c>
      <c r="F62" s="8">
        <f t="shared" si="0"/>
        <v>11.28125</v>
      </c>
      <c r="G62" s="8">
        <f t="shared" si="1"/>
        <v>1.128125E-2</v>
      </c>
    </row>
    <row r="63" spans="1:7" x14ac:dyDescent="0.25">
      <c r="A63" s="8">
        <v>0</v>
      </c>
      <c r="B63" s="8">
        <v>53</v>
      </c>
      <c r="C63" s="8">
        <v>1485.199707</v>
      </c>
      <c r="D63" s="8">
        <v>132327.046875</v>
      </c>
      <c r="E63" s="8">
        <v>132338.359375</v>
      </c>
      <c r="F63" s="8">
        <f t="shared" si="0"/>
        <v>11.3125</v>
      </c>
      <c r="G63" s="8">
        <f t="shared" si="1"/>
        <v>1.13125E-2</v>
      </c>
    </row>
    <row r="64" spans="1:7" x14ac:dyDescent="0.25">
      <c r="A64" s="8">
        <v>0</v>
      </c>
      <c r="B64" s="8">
        <v>54</v>
      </c>
      <c r="C64" s="8">
        <v>3686.5329590000001</v>
      </c>
      <c r="D64" s="8">
        <v>133831.90625</v>
      </c>
      <c r="E64" s="8">
        <v>133852.78125</v>
      </c>
      <c r="F64" s="8">
        <f t="shared" si="0"/>
        <v>20.875</v>
      </c>
      <c r="G64" s="8">
        <f t="shared" si="1"/>
        <v>2.0875000000000001E-2</v>
      </c>
    </row>
    <row r="65" spans="1:7" x14ac:dyDescent="0.25">
      <c r="A65" s="8">
        <v>0</v>
      </c>
      <c r="B65" s="8">
        <v>55</v>
      </c>
      <c r="C65" s="8">
        <v>2938.3996579999998</v>
      </c>
      <c r="D65" s="8">
        <v>137546.8125</v>
      </c>
      <c r="E65" s="8">
        <v>137554.390625</v>
      </c>
      <c r="F65" s="8">
        <f t="shared" si="0"/>
        <v>7.578125</v>
      </c>
      <c r="G65" s="8">
        <f t="shared" si="1"/>
        <v>7.5781249999999998E-3</v>
      </c>
    </row>
    <row r="66" spans="1:7" x14ac:dyDescent="0.25">
      <c r="A66" s="8">
        <v>0</v>
      </c>
      <c r="B66" s="8">
        <v>56</v>
      </c>
      <c r="C66" s="8">
        <v>4488.2304690000001</v>
      </c>
      <c r="D66" s="8">
        <v>140498.4375</v>
      </c>
      <c r="E66" s="8">
        <v>140507.1875</v>
      </c>
      <c r="F66" s="8">
        <f t="shared" si="0"/>
        <v>8.75</v>
      </c>
      <c r="G66" s="8">
        <f t="shared" si="1"/>
        <v>8.7500000000000008E-3</v>
      </c>
    </row>
    <row r="67" spans="1:7" x14ac:dyDescent="0.25">
      <c r="A67" s="8">
        <v>0</v>
      </c>
      <c r="B67" s="8">
        <v>57</v>
      </c>
      <c r="C67" s="8">
        <v>2054.2036130000001</v>
      </c>
      <c r="D67" s="8">
        <v>145004.0625</v>
      </c>
      <c r="E67" s="8">
        <v>145013.328125</v>
      </c>
      <c r="F67" s="8">
        <f t="shared" si="0"/>
        <v>9.265625</v>
      </c>
      <c r="G67" s="8">
        <f t="shared" si="1"/>
        <v>9.2656249999999996E-3</v>
      </c>
    </row>
    <row r="68" spans="1:7" x14ac:dyDescent="0.25">
      <c r="A68" s="8">
        <v>0</v>
      </c>
      <c r="B68" s="8">
        <v>58</v>
      </c>
      <c r="C68" s="8">
        <v>13367.209961</v>
      </c>
      <c r="D68" s="8">
        <v>147068.515625</v>
      </c>
      <c r="E68" s="8">
        <v>147082.546875</v>
      </c>
      <c r="F68" s="8">
        <f t="shared" si="0"/>
        <v>14.03125</v>
      </c>
      <c r="G68" s="8">
        <f t="shared" si="1"/>
        <v>1.403125E-2</v>
      </c>
    </row>
    <row r="69" spans="1:7" x14ac:dyDescent="0.25">
      <c r="A69" s="8">
        <v>0</v>
      </c>
      <c r="B69" s="8">
        <v>59</v>
      </c>
      <c r="C69" s="8">
        <v>2708.1455080000001</v>
      </c>
      <c r="D69" s="8">
        <v>160455.109375</v>
      </c>
      <c r="E69" s="8">
        <v>160474.78125</v>
      </c>
      <c r="F69" s="8">
        <f t="shared" si="0"/>
        <v>19.671875</v>
      </c>
      <c r="G69" s="8">
        <f t="shared" si="1"/>
        <v>1.9671874999999998E-2</v>
      </c>
    </row>
    <row r="70" spans="1:7" x14ac:dyDescent="0.25">
      <c r="A70" s="8">
        <v>0</v>
      </c>
      <c r="B70" s="8">
        <v>60</v>
      </c>
      <c r="C70" s="8">
        <v>2582.3955080000001</v>
      </c>
      <c r="D70" s="8">
        <v>163190.21875</v>
      </c>
      <c r="E70" s="8">
        <v>163236.171875</v>
      </c>
      <c r="F70" s="8">
        <f t="shared" si="0"/>
        <v>45.953125</v>
      </c>
      <c r="G70" s="8">
        <f t="shared" si="1"/>
        <v>4.5953124999999997E-2</v>
      </c>
    </row>
    <row r="71" spans="1:7" x14ac:dyDescent="0.25">
      <c r="A71" s="8">
        <v>0</v>
      </c>
      <c r="B71" s="8">
        <v>61</v>
      </c>
      <c r="C71" s="8">
        <v>2276.0932619999999</v>
      </c>
      <c r="D71" s="8">
        <v>165827.28125</v>
      </c>
      <c r="E71" s="8">
        <v>165836.15625</v>
      </c>
      <c r="F71" s="8">
        <f t="shared" si="0"/>
        <v>8.875</v>
      </c>
      <c r="G71" s="8">
        <f t="shared" si="1"/>
        <v>8.8749999999999992E-3</v>
      </c>
    </row>
    <row r="72" spans="1:7" x14ac:dyDescent="0.25">
      <c r="A72" s="8">
        <v>0</v>
      </c>
      <c r="B72" s="8">
        <v>62</v>
      </c>
      <c r="C72" s="8">
        <v>7723.8715819999998</v>
      </c>
      <c r="D72" s="8">
        <v>168119.890625</v>
      </c>
      <c r="E72" s="8">
        <v>168128.59375</v>
      </c>
      <c r="F72" s="8">
        <f t="shared" si="0"/>
        <v>8.703125</v>
      </c>
      <c r="G72" s="8">
        <f t="shared" si="1"/>
        <v>8.7031250000000008E-3</v>
      </c>
    </row>
    <row r="73" spans="1:7" x14ac:dyDescent="0.25">
      <c r="A73" s="8">
        <v>1</v>
      </c>
      <c r="B73" s="8">
        <v>0</v>
      </c>
      <c r="C73" s="8">
        <v>370.05822799999999</v>
      </c>
      <c r="D73" s="8">
        <v>21438.142577999999</v>
      </c>
      <c r="E73" s="8">
        <v>21455.068359000001</v>
      </c>
      <c r="F73" s="8">
        <f t="shared" si="0"/>
        <v>16.925781000001734</v>
      </c>
      <c r="G73" s="8">
        <f t="shared" si="1"/>
        <v>1.6925781000001736E-2</v>
      </c>
    </row>
    <row r="74" spans="1:7" x14ac:dyDescent="0.25">
      <c r="A74" s="8">
        <v>1</v>
      </c>
      <c r="B74" s="8">
        <v>1</v>
      </c>
      <c r="C74" s="8">
        <v>1911.9263920000001</v>
      </c>
      <c r="D74" s="8">
        <v>21828.783202999999</v>
      </c>
      <c r="E74" s="8">
        <v>21848.341797000001</v>
      </c>
      <c r="F74" s="8">
        <f t="shared" si="0"/>
        <v>19.558594000001904</v>
      </c>
      <c r="G74" s="8">
        <f t="shared" si="1"/>
        <v>1.9558594000001903E-2</v>
      </c>
    </row>
    <row r="75" spans="1:7" x14ac:dyDescent="0.25">
      <c r="A75" s="8">
        <v>1</v>
      </c>
      <c r="B75" s="8">
        <v>2</v>
      </c>
      <c r="C75" s="8">
        <v>3649.4770509999998</v>
      </c>
      <c r="D75" s="8">
        <v>23771.683593999998</v>
      </c>
      <c r="E75" s="8">
        <v>23802.763672000001</v>
      </c>
      <c r="F75" s="8">
        <f t="shared" ref="F75:F138" si="2">E75-D75</f>
        <v>31.080078000002686</v>
      </c>
      <c r="G75" s="8">
        <f t="shared" ref="G75:G138" si="3">F75/1000</f>
        <v>3.1080078000002686E-2</v>
      </c>
    </row>
    <row r="76" spans="1:7" x14ac:dyDescent="0.25">
      <c r="A76" s="8">
        <v>1</v>
      </c>
      <c r="B76" s="8">
        <v>3</v>
      </c>
      <c r="C76" s="8">
        <v>1272.8118899999999</v>
      </c>
      <c r="D76" s="8">
        <v>27462.009765999999</v>
      </c>
      <c r="E76" s="8">
        <v>27470.851563</v>
      </c>
      <c r="F76" s="8">
        <f t="shared" si="2"/>
        <v>8.8417970000009518</v>
      </c>
      <c r="G76" s="8">
        <f t="shared" si="3"/>
        <v>8.8417970000009526E-3</v>
      </c>
    </row>
    <row r="77" spans="1:7" x14ac:dyDescent="0.25">
      <c r="A77" s="8">
        <v>1</v>
      </c>
      <c r="B77" s="8">
        <v>4</v>
      </c>
      <c r="C77" s="8">
        <v>440.010132</v>
      </c>
      <c r="D77" s="8">
        <v>28746.425781000002</v>
      </c>
      <c r="E77" s="8">
        <v>28766.048827999999</v>
      </c>
      <c r="F77" s="8">
        <f t="shared" si="2"/>
        <v>19.623046999997314</v>
      </c>
      <c r="G77" s="8">
        <f t="shared" si="3"/>
        <v>1.9623046999997312E-2</v>
      </c>
    </row>
    <row r="78" spans="1:7" x14ac:dyDescent="0.25">
      <c r="A78" s="8">
        <v>1</v>
      </c>
      <c r="B78" s="8">
        <v>5</v>
      </c>
      <c r="C78" s="8">
        <v>134.622772</v>
      </c>
      <c r="D78" s="8">
        <v>29215.164063</v>
      </c>
      <c r="E78" s="8">
        <v>29237.90625</v>
      </c>
      <c r="F78" s="8">
        <f t="shared" si="2"/>
        <v>22.742186999999831</v>
      </c>
      <c r="G78" s="8">
        <f t="shared" si="3"/>
        <v>2.2742186999999831E-2</v>
      </c>
    </row>
    <row r="79" spans="1:7" x14ac:dyDescent="0.25">
      <c r="A79" s="8">
        <v>1</v>
      </c>
      <c r="B79" s="8">
        <v>6</v>
      </c>
      <c r="C79" s="8">
        <v>144.768021</v>
      </c>
      <c r="D79" s="8">
        <v>29387.126952999999</v>
      </c>
      <c r="E79" s="8">
        <v>29398.125</v>
      </c>
      <c r="F79" s="8">
        <f t="shared" si="2"/>
        <v>10.998047000000952</v>
      </c>
      <c r="G79" s="8">
        <f t="shared" si="3"/>
        <v>1.0998047000000951E-2</v>
      </c>
    </row>
    <row r="80" spans="1:7" x14ac:dyDescent="0.25">
      <c r="A80" s="8">
        <v>1</v>
      </c>
      <c r="B80" s="8">
        <v>7</v>
      </c>
      <c r="C80" s="8">
        <v>1313.123047</v>
      </c>
      <c r="D80" s="8">
        <v>29543.486327999999</v>
      </c>
      <c r="E80" s="8">
        <v>29560.660156000002</v>
      </c>
      <c r="F80" s="8">
        <f t="shared" si="2"/>
        <v>17.173828000002686</v>
      </c>
      <c r="G80" s="8">
        <f t="shared" si="3"/>
        <v>1.7173828000002687E-2</v>
      </c>
    </row>
    <row r="81" spans="1:7" x14ac:dyDescent="0.25">
      <c r="A81" s="8">
        <v>1</v>
      </c>
      <c r="B81" s="8">
        <v>8</v>
      </c>
      <c r="C81" s="8">
        <v>2574.1984859999998</v>
      </c>
      <c r="D81" s="8">
        <v>30876.316406000002</v>
      </c>
      <c r="E81" s="8">
        <v>30887.904297000001</v>
      </c>
      <c r="F81" s="8">
        <f t="shared" si="2"/>
        <v>11.587890999999217</v>
      </c>
      <c r="G81" s="8">
        <f t="shared" si="3"/>
        <v>1.1587890999999217E-2</v>
      </c>
    </row>
    <row r="82" spans="1:7" x14ac:dyDescent="0.25">
      <c r="A82" s="8">
        <v>1</v>
      </c>
      <c r="B82" s="8">
        <v>9</v>
      </c>
      <c r="C82" s="8">
        <v>3235.8549800000001</v>
      </c>
      <c r="D82" s="8">
        <v>33462.582030999998</v>
      </c>
      <c r="E82" s="8">
        <v>33483.082030999998</v>
      </c>
      <c r="F82" s="8">
        <f t="shared" si="2"/>
        <v>20.5</v>
      </c>
      <c r="G82" s="8">
        <f t="shared" si="3"/>
        <v>2.0500000000000001E-2</v>
      </c>
    </row>
    <row r="83" spans="1:7" x14ac:dyDescent="0.25">
      <c r="A83" s="8">
        <v>1</v>
      </c>
      <c r="B83" s="8">
        <v>10</v>
      </c>
      <c r="C83" s="8">
        <v>5688.8305659999996</v>
      </c>
      <c r="D83" s="8">
        <v>36722.207030999998</v>
      </c>
      <c r="E83" s="8">
        <v>36743.550780999998</v>
      </c>
      <c r="F83" s="8">
        <f t="shared" si="2"/>
        <v>21.34375</v>
      </c>
      <c r="G83" s="8">
        <f t="shared" si="3"/>
        <v>2.1343750000000002E-2</v>
      </c>
    </row>
    <row r="84" spans="1:7" x14ac:dyDescent="0.25">
      <c r="A84" s="8">
        <v>1</v>
      </c>
      <c r="B84" s="8">
        <v>11</v>
      </c>
      <c r="C84" s="8">
        <v>1520.0032960000001</v>
      </c>
      <c r="D84" s="8">
        <v>42438.902344000002</v>
      </c>
      <c r="E84" s="8">
        <v>42446.238280999998</v>
      </c>
      <c r="F84" s="8">
        <f t="shared" si="2"/>
        <v>7.3359369999961928</v>
      </c>
      <c r="G84" s="8">
        <f t="shared" si="3"/>
        <v>7.335936999996193E-3</v>
      </c>
    </row>
    <row r="85" spans="1:7" x14ac:dyDescent="0.25">
      <c r="A85" s="8">
        <v>1</v>
      </c>
      <c r="B85" s="8">
        <v>12</v>
      </c>
      <c r="C85" s="8">
        <v>3591.6533199999999</v>
      </c>
      <c r="D85" s="8">
        <v>43974.835937999997</v>
      </c>
      <c r="E85" s="8">
        <v>43982.039062999997</v>
      </c>
      <c r="F85" s="8">
        <f t="shared" si="2"/>
        <v>7.203125</v>
      </c>
      <c r="G85" s="8">
        <f t="shared" si="3"/>
        <v>7.2031250000000003E-3</v>
      </c>
    </row>
    <row r="86" spans="1:7" x14ac:dyDescent="0.25">
      <c r="A86" s="8">
        <v>1</v>
      </c>
      <c r="B86" s="8">
        <v>13</v>
      </c>
      <c r="C86" s="8">
        <v>4444.3857420000004</v>
      </c>
      <c r="D86" s="8">
        <v>47579.183594000002</v>
      </c>
      <c r="E86" s="8">
        <v>47608.691405999998</v>
      </c>
      <c r="F86" s="8">
        <f t="shared" si="2"/>
        <v>29.507811999996193</v>
      </c>
      <c r="G86" s="8">
        <f t="shared" si="3"/>
        <v>2.9507811999996192E-2</v>
      </c>
    </row>
    <row r="87" spans="1:7" x14ac:dyDescent="0.25">
      <c r="A87" s="8">
        <v>1</v>
      </c>
      <c r="B87" s="8">
        <v>14</v>
      </c>
      <c r="C87" s="8">
        <v>3069.9536130000001</v>
      </c>
      <c r="D87" s="8">
        <v>52060.820312999997</v>
      </c>
      <c r="E87" s="8">
        <v>52071.414062999997</v>
      </c>
      <c r="F87" s="8">
        <f t="shared" si="2"/>
        <v>10.59375</v>
      </c>
      <c r="G87" s="8">
        <f t="shared" si="3"/>
        <v>1.0593750000000001E-2</v>
      </c>
    </row>
    <row r="88" spans="1:7" x14ac:dyDescent="0.25">
      <c r="A88" s="8">
        <v>1</v>
      </c>
      <c r="B88" s="8">
        <v>15</v>
      </c>
      <c r="C88" s="8">
        <v>1586.7536620000001</v>
      </c>
      <c r="D88" s="8">
        <v>55144.171875</v>
      </c>
      <c r="E88" s="8">
        <v>55157.367187999997</v>
      </c>
      <c r="F88" s="8">
        <f t="shared" si="2"/>
        <v>13.195312999996531</v>
      </c>
      <c r="G88" s="8">
        <f t="shared" si="3"/>
        <v>1.3195312999996531E-2</v>
      </c>
    </row>
    <row r="89" spans="1:7" x14ac:dyDescent="0.25">
      <c r="A89" s="8">
        <v>1</v>
      </c>
      <c r="B89" s="8">
        <v>16</v>
      </c>
      <c r="C89" s="8">
        <v>1446.9604489999999</v>
      </c>
      <c r="D89" s="8">
        <v>56753.71875</v>
      </c>
      <c r="E89" s="8">
        <v>56775.828125</v>
      </c>
      <c r="F89" s="8">
        <f t="shared" si="2"/>
        <v>22.109375</v>
      </c>
      <c r="G89" s="8">
        <f t="shared" si="3"/>
        <v>2.2109375000000001E-2</v>
      </c>
    </row>
    <row r="90" spans="1:7" x14ac:dyDescent="0.25">
      <c r="A90" s="8">
        <v>1</v>
      </c>
      <c r="B90" s="8">
        <v>17</v>
      </c>
      <c r="C90" s="8">
        <v>1809.9433590000001</v>
      </c>
      <c r="D90" s="8">
        <v>58226.570312999997</v>
      </c>
      <c r="E90" s="8">
        <v>58247.34375</v>
      </c>
      <c r="F90" s="8">
        <f t="shared" si="2"/>
        <v>20.773437000003469</v>
      </c>
      <c r="G90" s="8">
        <f t="shared" si="3"/>
        <v>2.0773437000003468E-2</v>
      </c>
    </row>
    <row r="91" spans="1:7" x14ac:dyDescent="0.25">
      <c r="A91" s="8">
        <v>1</v>
      </c>
      <c r="B91" s="8">
        <v>18</v>
      </c>
      <c r="C91" s="8">
        <v>2097.9794919999999</v>
      </c>
      <c r="D91" s="8">
        <v>60059.902344000002</v>
      </c>
      <c r="E91" s="8">
        <v>60077.246094000002</v>
      </c>
      <c r="F91" s="8">
        <f t="shared" si="2"/>
        <v>17.34375</v>
      </c>
      <c r="G91" s="8">
        <f t="shared" si="3"/>
        <v>1.7343750000000002E-2</v>
      </c>
    </row>
    <row r="92" spans="1:7" x14ac:dyDescent="0.25">
      <c r="A92" s="8">
        <v>1</v>
      </c>
      <c r="B92" s="8">
        <v>19</v>
      </c>
      <c r="C92" s="8">
        <v>929.62127699999996</v>
      </c>
      <c r="D92" s="8">
        <v>62184.992187999997</v>
      </c>
      <c r="E92" s="8">
        <v>62198</v>
      </c>
      <c r="F92" s="8">
        <f t="shared" si="2"/>
        <v>13.007812000003469</v>
      </c>
      <c r="G92" s="8">
        <f t="shared" si="3"/>
        <v>1.3007812000003468E-2</v>
      </c>
    </row>
    <row r="93" spans="1:7" x14ac:dyDescent="0.25">
      <c r="A93" s="8">
        <v>1</v>
      </c>
      <c r="B93" s="8">
        <v>20</v>
      </c>
      <c r="C93" s="8">
        <v>2658.414307</v>
      </c>
      <c r="D93" s="8">
        <v>63141.722655999998</v>
      </c>
      <c r="E93" s="8">
        <v>63158</v>
      </c>
      <c r="F93" s="8">
        <f t="shared" si="2"/>
        <v>16.277344000001904</v>
      </c>
      <c r="G93" s="8">
        <f t="shared" si="3"/>
        <v>1.6277344000001904E-2</v>
      </c>
    </row>
    <row r="94" spans="1:7" x14ac:dyDescent="0.25">
      <c r="A94" s="8">
        <v>1</v>
      </c>
      <c r="B94" s="8">
        <v>21</v>
      </c>
      <c r="C94" s="8">
        <v>6.4192200000000001</v>
      </c>
      <c r="D94" s="8">
        <v>65824.859375</v>
      </c>
      <c r="E94" s="8">
        <v>65850.851563000004</v>
      </c>
      <c r="F94" s="8">
        <f t="shared" si="2"/>
        <v>25.992188000003807</v>
      </c>
      <c r="G94" s="8">
        <f t="shared" si="3"/>
        <v>2.5992188000003809E-2</v>
      </c>
    </row>
    <row r="95" spans="1:7" x14ac:dyDescent="0.25">
      <c r="A95" s="8">
        <v>1</v>
      </c>
      <c r="B95" s="8">
        <v>22</v>
      </c>
      <c r="C95" s="8">
        <v>3033.1833499999998</v>
      </c>
      <c r="D95" s="8">
        <v>65871.742188000004</v>
      </c>
      <c r="E95" s="8">
        <v>65887.992188000004</v>
      </c>
      <c r="F95" s="8">
        <f t="shared" si="2"/>
        <v>16.25</v>
      </c>
      <c r="G95" s="8">
        <f t="shared" si="3"/>
        <v>1.6250000000000001E-2</v>
      </c>
    </row>
    <row r="96" spans="1:7" x14ac:dyDescent="0.25">
      <c r="A96" s="8">
        <v>1</v>
      </c>
      <c r="B96" s="8">
        <v>23</v>
      </c>
      <c r="C96" s="8">
        <v>536.53729199999998</v>
      </c>
      <c r="D96" s="8">
        <v>68936.078125</v>
      </c>
      <c r="E96" s="8">
        <v>68943.351563000004</v>
      </c>
      <c r="F96" s="8">
        <f t="shared" si="2"/>
        <v>7.2734380000038072</v>
      </c>
      <c r="G96" s="8">
        <f t="shared" si="3"/>
        <v>7.273438000003807E-3</v>
      </c>
    </row>
    <row r="97" spans="1:7" x14ac:dyDescent="0.25">
      <c r="A97" s="8">
        <v>1</v>
      </c>
      <c r="B97" s="8">
        <v>24</v>
      </c>
      <c r="C97" s="8">
        <v>1094.180908</v>
      </c>
      <c r="D97" s="8">
        <v>69483.25</v>
      </c>
      <c r="E97" s="8">
        <v>69502.53125</v>
      </c>
      <c r="F97" s="8">
        <f t="shared" si="2"/>
        <v>19.28125</v>
      </c>
      <c r="G97" s="8">
        <f t="shared" si="3"/>
        <v>1.928125E-2</v>
      </c>
    </row>
    <row r="98" spans="1:7" x14ac:dyDescent="0.25">
      <c r="A98" s="8">
        <v>1</v>
      </c>
      <c r="B98" s="8">
        <v>25</v>
      </c>
      <c r="C98" s="8">
        <v>7818.986328</v>
      </c>
      <c r="D98" s="8">
        <v>70601.25</v>
      </c>
      <c r="E98" s="8">
        <v>70633.828125</v>
      </c>
      <c r="F98" s="8">
        <f t="shared" si="2"/>
        <v>32.578125</v>
      </c>
      <c r="G98" s="8">
        <f t="shared" si="3"/>
        <v>3.2578124999999999E-2</v>
      </c>
    </row>
    <row r="99" spans="1:7" x14ac:dyDescent="0.25">
      <c r="A99" s="8">
        <v>1</v>
      </c>
      <c r="B99" s="8">
        <v>26</v>
      </c>
      <c r="C99" s="8">
        <v>324.31634500000001</v>
      </c>
      <c r="D99" s="8">
        <v>78466.539063000004</v>
      </c>
      <c r="E99" s="8">
        <v>78483.914063000004</v>
      </c>
      <c r="F99" s="8">
        <f t="shared" si="2"/>
        <v>17.375</v>
      </c>
      <c r="G99" s="8">
        <f t="shared" si="3"/>
        <v>1.7375000000000002E-2</v>
      </c>
    </row>
    <row r="100" spans="1:7" x14ac:dyDescent="0.25">
      <c r="A100" s="8">
        <v>1</v>
      </c>
      <c r="B100" s="8">
        <v>27</v>
      </c>
      <c r="C100" s="8">
        <v>33.669120999999997</v>
      </c>
      <c r="D100" s="8">
        <v>78810.3125</v>
      </c>
      <c r="E100" s="8">
        <v>78817.570313000004</v>
      </c>
      <c r="F100" s="8">
        <f t="shared" si="2"/>
        <v>7.2578130000038072</v>
      </c>
      <c r="G100" s="8">
        <f t="shared" si="3"/>
        <v>7.257813000003807E-3</v>
      </c>
    </row>
    <row r="101" spans="1:7" x14ac:dyDescent="0.25">
      <c r="A101" s="8">
        <v>1</v>
      </c>
      <c r="B101" s="8">
        <v>28</v>
      </c>
      <c r="C101" s="8">
        <v>100.38082900000001</v>
      </c>
      <c r="D101" s="8">
        <v>78857.195313000004</v>
      </c>
      <c r="E101" s="8">
        <v>78871.523438000004</v>
      </c>
      <c r="F101" s="8">
        <f t="shared" si="2"/>
        <v>14.328125</v>
      </c>
      <c r="G101" s="8">
        <f t="shared" si="3"/>
        <v>1.4328125000000001E-2</v>
      </c>
    </row>
    <row r="102" spans="1:7" x14ac:dyDescent="0.25">
      <c r="A102" s="8">
        <v>1</v>
      </c>
      <c r="B102" s="8">
        <v>29</v>
      </c>
      <c r="C102" s="8">
        <v>617.82550000000003</v>
      </c>
      <c r="D102" s="8">
        <v>78982.257813000004</v>
      </c>
      <c r="E102" s="8">
        <v>79002.726563000004</v>
      </c>
      <c r="F102" s="8">
        <f t="shared" si="2"/>
        <v>20.46875</v>
      </c>
      <c r="G102" s="8">
        <f t="shared" si="3"/>
        <v>2.0468750000000001E-2</v>
      </c>
    </row>
    <row r="103" spans="1:7" x14ac:dyDescent="0.25">
      <c r="A103" s="8">
        <v>1</v>
      </c>
      <c r="B103" s="8">
        <v>30</v>
      </c>
      <c r="C103" s="8">
        <v>1529.1602780000001</v>
      </c>
      <c r="D103" s="8">
        <v>79629.117188000004</v>
      </c>
      <c r="E103" s="8">
        <v>79654.734375</v>
      </c>
      <c r="F103" s="8">
        <f t="shared" si="2"/>
        <v>25.617186999996193</v>
      </c>
      <c r="G103" s="8">
        <f t="shared" si="3"/>
        <v>2.5617186999996194E-2</v>
      </c>
    </row>
    <row r="104" spans="1:7" x14ac:dyDescent="0.25">
      <c r="A104" s="8">
        <v>1</v>
      </c>
      <c r="B104" s="8">
        <v>31</v>
      </c>
      <c r="C104" s="8">
        <v>4444.9487300000001</v>
      </c>
      <c r="D104" s="8">
        <v>81192.632813000004</v>
      </c>
      <c r="E104" s="8">
        <v>81205.914063000004</v>
      </c>
      <c r="F104" s="8">
        <f t="shared" si="2"/>
        <v>13.28125</v>
      </c>
      <c r="G104" s="8">
        <f t="shared" si="3"/>
        <v>1.328125E-2</v>
      </c>
    </row>
    <row r="105" spans="1:7" x14ac:dyDescent="0.25">
      <c r="A105" s="8">
        <v>1</v>
      </c>
      <c r="B105" s="8">
        <v>32</v>
      </c>
      <c r="C105" s="8">
        <v>142.931442</v>
      </c>
      <c r="D105" s="8">
        <v>85658.835938000004</v>
      </c>
      <c r="E105" s="8">
        <v>85675.40625</v>
      </c>
      <c r="F105" s="8">
        <f t="shared" si="2"/>
        <v>16.570311999996193</v>
      </c>
      <c r="G105" s="8">
        <f t="shared" si="3"/>
        <v>1.6570311999996194E-2</v>
      </c>
    </row>
    <row r="106" spans="1:7" x14ac:dyDescent="0.25">
      <c r="A106" s="8">
        <v>1</v>
      </c>
      <c r="B106" s="8">
        <v>33</v>
      </c>
      <c r="C106" s="8">
        <v>153.44851700000001</v>
      </c>
      <c r="D106" s="8">
        <v>85830.75</v>
      </c>
      <c r="E106" s="8">
        <v>85984.085938000004</v>
      </c>
      <c r="F106" s="8">
        <f t="shared" si="2"/>
        <v>153.33593800000381</v>
      </c>
      <c r="G106" s="8">
        <f t="shared" si="3"/>
        <v>0.15333593800000381</v>
      </c>
    </row>
    <row r="107" spans="1:7" x14ac:dyDescent="0.25">
      <c r="A107" s="8">
        <v>1</v>
      </c>
      <c r="B107" s="8">
        <v>34</v>
      </c>
      <c r="C107" s="8">
        <v>204.985016</v>
      </c>
      <c r="D107" s="8">
        <v>86143.234375</v>
      </c>
      <c r="E107" s="8">
        <v>86155.375</v>
      </c>
      <c r="F107" s="8">
        <f t="shared" si="2"/>
        <v>12.140625</v>
      </c>
      <c r="G107" s="8">
        <f t="shared" si="3"/>
        <v>1.2140625E-2</v>
      </c>
    </row>
    <row r="108" spans="1:7" x14ac:dyDescent="0.25">
      <c r="A108" s="8">
        <v>1</v>
      </c>
      <c r="B108" s="8">
        <v>35</v>
      </c>
      <c r="C108" s="8">
        <v>1252.5</v>
      </c>
      <c r="D108" s="8">
        <v>86362.109375</v>
      </c>
      <c r="E108" s="8">
        <v>86393.15625</v>
      </c>
      <c r="F108" s="8">
        <f t="shared" si="2"/>
        <v>31.046875</v>
      </c>
      <c r="G108" s="8">
        <f t="shared" si="3"/>
        <v>3.1046875000000002E-2</v>
      </c>
    </row>
    <row r="109" spans="1:7" x14ac:dyDescent="0.25">
      <c r="A109" s="8">
        <v>1</v>
      </c>
      <c r="B109" s="8">
        <v>36</v>
      </c>
      <c r="C109" s="8">
        <v>4340.6723629999997</v>
      </c>
      <c r="D109" s="8">
        <v>87645.835938000004</v>
      </c>
      <c r="E109" s="8">
        <v>87659.046875</v>
      </c>
      <c r="F109" s="8">
        <f t="shared" si="2"/>
        <v>13.210936999996193</v>
      </c>
      <c r="G109" s="8">
        <f t="shared" si="3"/>
        <v>1.3210936999996193E-2</v>
      </c>
    </row>
    <row r="110" spans="1:7" x14ac:dyDescent="0.25">
      <c r="A110" s="8">
        <v>1</v>
      </c>
      <c r="B110" s="8">
        <v>37</v>
      </c>
      <c r="C110" s="8">
        <v>61.610137999999999</v>
      </c>
      <c r="D110" s="8">
        <v>92011.234375</v>
      </c>
      <c r="E110" s="8">
        <v>92024.601563000004</v>
      </c>
      <c r="F110" s="8">
        <f t="shared" si="2"/>
        <v>13.367188000003807</v>
      </c>
      <c r="G110" s="8">
        <f t="shared" si="3"/>
        <v>1.3367188000003808E-2</v>
      </c>
    </row>
    <row r="111" spans="1:7" x14ac:dyDescent="0.25">
      <c r="A111" s="8">
        <v>1</v>
      </c>
      <c r="B111" s="8">
        <v>38</v>
      </c>
      <c r="C111" s="8">
        <v>5705.6899409999996</v>
      </c>
      <c r="D111" s="8">
        <v>92089.421875</v>
      </c>
      <c r="E111" s="8">
        <v>92112.023438000004</v>
      </c>
      <c r="F111" s="8">
        <f t="shared" si="2"/>
        <v>22.601563000003807</v>
      </c>
      <c r="G111" s="8">
        <f t="shared" si="3"/>
        <v>2.2601563000003808E-2</v>
      </c>
    </row>
    <row r="112" spans="1:7" x14ac:dyDescent="0.25">
      <c r="A112" s="8">
        <v>1</v>
      </c>
      <c r="B112" s="8">
        <v>39</v>
      </c>
      <c r="C112" s="8">
        <v>7947.8603519999997</v>
      </c>
      <c r="D112" s="8">
        <v>97828.960938000004</v>
      </c>
      <c r="E112" s="8">
        <v>97852.070313000004</v>
      </c>
      <c r="F112" s="8">
        <f t="shared" si="2"/>
        <v>23.109375</v>
      </c>
      <c r="G112" s="8">
        <f t="shared" si="3"/>
        <v>2.3109375000000001E-2</v>
      </c>
    </row>
    <row r="113" spans="1:7" x14ac:dyDescent="0.25">
      <c r="A113" s="8">
        <v>1</v>
      </c>
      <c r="B113" s="8">
        <v>40</v>
      </c>
      <c r="C113" s="8">
        <v>1869.8229980000001</v>
      </c>
      <c r="D113" s="8">
        <v>105812.726563</v>
      </c>
      <c r="E113" s="8">
        <v>105843.546875</v>
      </c>
      <c r="F113" s="8">
        <f t="shared" si="2"/>
        <v>30.820311999996193</v>
      </c>
      <c r="G113" s="8">
        <f t="shared" si="3"/>
        <v>3.0820311999996193E-2</v>
      </c>
    </row>
    <row r="114" spans="1:7" x14ac:dyDescent="0.25">
      <c r="A114" s="8">
        <v>1</v>
      </c>
      <c r="B114" s="8">
        <v>41</v>
      </c>
      <c r="C114" s="8">
        <v>3214.7297359999998</v>
      </c>
      <c r="D114" s="8">
        <v>107719.851563</v>
      </c>
      <c r="E114" s="8">
        <v>107734.703125</v>
      </c>
      <c r="F114" s="8">
        <f t="shared" si="2"/>
        <v>14.851561999996193</v>
      </c>
      <c r="G114" s="8">
        <f t="shared" si="3"/>
        <v>1.4851561999996193E-2</v>
      </c>
    </row>
    <row r="115" spans="1:7" x14ac:dyDescent="0.25">
      <c r="A115" s="8">
        <v>1</v>
      </c>
      <c r="B115" s="8">
        <v>42</v>
      </c>
      <c r="C115" s="8">
        <v>1896.742432</v>
      </c>
      <c r="D115" s="8">
        <v>110955.320313</v>
      </c>
      <c r="E115" s="8">
        <v>110966.40625</v>
      </c>
      <c r="F115" s="8">
        <f t="shared" si="2"/>
        <v>11.085936999996193</v>
      </c>
      <c r="G115" s="8">
        <f t="shared" si="3"/>
        <v>1.1085936999996193E-2</v>
      </c>
    </row>
    <row r="116" spans="1:7" x14ac:dyDescent="0.25">
      <c r="A116" s="8">
        <v>1</v>
      </c>
      <c r="B116" s="8">
        <v>43</v>
      </c>
      <c r="C116" s="8">
        <v>2397.2116700000001</v>
      </c>
      <c r="D116" s="8">
        <v>112869.265625</v>
      </c>
      <c r="E116" s="8">
        <v>112896.007813</v>
      </c>
      <c r="F116" s="8">
        <f t="shared" si="2"/>
        <v>26.742188000003807</v>
      </c>
      <c r="G116" s="8">
        <f t="shared" si="3"/>
        <v>2.6742188000003806E-2</v>
      </c>
    </row>
    <row r="117" spans="1:7" x14ac:dyDescent="0.25">
      <c r="A117" s="8">
        <v>1</v>
      </c>
      <c r="B117" s="8">
        <v>44</v>
      </c>
      <c r="C117" s="8">
        <v>670.55328399999996</v>
      </c>
      <c r="D117" s="8">
        <v>115301.757813</v>
      </c>
      <c r="E117" s="8">
        <v>115309.273438</v>
      </c>
      <c r="F117" s="8">
        <f t="shared" si="2"/>
        <v>7.515625</v>
      </c>
      <c r="G117" s="8">
        <f t="shared" si="3"/>
        <v>7.5156249999999997E-3</v>
      </c>
    </row>
    <row r="118" spans="1:7" x14ac:dyDescent="0.25">
      <c r="A118" s="8">
        <v>1</v>
      </c>
      <c r="B118" s="8">
        <v>45</v>
      </c>
      <c r="C118" s="8">
        <v>545.65734899999995</v>
      </c>
      <c r="D118" s="8">
        <v>115989.429688</v>
      </c>
      <c r="E118" s="8">
        <v>115996.703125</v>
      </c>
      <c r="F118" s="8">
        <f t="shared" si="2"/>
        <v>7.2734369999961928</v>
      </c>
      <c r="G118" s="8">
        <f t="shared" si="3"/>
        <v>7.2734369999961929E-3</v>
      </c>
    </row>
    <row r="119" spans="1:7" x14ac:dyDescent="0.25">
      <c r="A119" s="8">
        <v>1</v>
      </c>
      <c r="B119" s="8">
        <v>46</v>
      </c>
      <c r="C119" s="8">
        <v>5.8068809999999997</v>
      </c>
      <c r="D119" s="8">
        <v>116551.96875</v>
      </c>
      <c r="E119" s="8">
        <v>116569.390625</v>
      </c>
      <c r="F119" s="8">
        <f t="shared" si="2"/>
        <v>17.421875</v>
      </c>
      <c r="G119" s="8">
        <f t="shared" si="3"/>
        <v>1.7421875E-2</v>
      </c>
    </row>
    <row r="120" spans="1:7" x14ac:dyDescent="0.25">
      <c r="A120" s="8">
        <v>1</v>
      </c>
      <c r="B120" s="8">
        <v>47</v>
      </c>
      <c r="C120" s="8">
        <v>70.442093</v>
      </c>
      <c r="D120" s="8">
        <v>116583.3125</v>
      </c>
      <c r="E120" s="8">
        <v>116606.078125</v>
      </c>
      <c r="F120" s="8">
        <f t="shared" si="2"/>
        <v>22.765625</v>
      </c>
      <c r="G120" s="8">
        <f t="shared" si="3"/>
        <v>2.2765625000000001E-2</v>
      </c>
    </row>
    <row r="121" spans="1:7" x14ac:dyDescent="0.25">
      <c r="A121" s="8">
        <v>1</v>
      </c>
      <c r="B121" s="8">
        <v>48</v>
      </c>
      <c r="C121" s="8">
        <v>3964.9196780000002</v>
      </c>
      <c r="D121" s="8">
        <v>116676.953125</v>
      </c>
      <c r="E121" s="8">
        <v>116695.882813</v>
      </c>
      <c r="F121" s="8">
        <f t="shared" si="2"/>
        <v>18.929688000003807</v>
      </c>
      <c r="G121" s="8">
        <f t="shared" si="3"/>
        <v>1.8929688000003806E-2</v>
      </c>
    </row>
    <row r="122" spans="1:7" x14ac:dyDescent="0.25">
      <c r="A122" s="8">
        <v>1</v>
      </c>
      <c r="B122" s="8">
        <v>49</v>
      </c>
      <c r="C122" s="8">
        <v>1109.9602050000001</v>
      </c>
      <c r="D122" s="8">
        <v>120671.71875</v>
      </c>
      <c r="E122" s="8">
        <v>120694.585938</v>
      </c>
      <c r="F122" s="8">
        <f t="shared" si="2"/>
        <v>22.867188000003807</v>
      </c>
      <c r="G122" s="8">
        <f t="shared" si="3"/>
        <v>2.2867188000003806E-2</v>
      </c>
    </row>
    <row r="123" spans="1:7" x14ac:dyDescent="0.25">
      <c r="A123" s="8">
        <v>1</v>
      </c>
      <c r="B123" s="8">
        <v>50</v>
      </c>
      <c r="C123" s="8">
        <v>2101.991211</v>
      </c>
      <c r="D123" s="8">
        <v>121814.570313</v>
      </c>
      <c r="E123" s="8">
        <v>121825.601563</v>
      </c>
      <c r="F123" s="8">
        <f t="shared" si="2"/>
        <v>11.03125</v>
      </c>
      <c r="G123" s="8">
        <f t="shared" si="3"/>
        <v>1.1031249999999999E-2</v>
      </c>
    </row>
    <row r="124" spans="1:7" x14ac:dyDescent="0.25">
      <c r="A124" s="8">
        <v>1</v>
      </c>
      <c r="B124" s="8">
        <v>51</v>
      </c>
      <c r="C124" s="8">
        <v>1665.470337</v>
      </c>
      <c r="D124" s="8">
        <v>123933.914063</v>
      </c>
      <c r="E124" s="8">
        <v>124046.203125</v>
      </c>
      <c r="F124" s="8">
        <f t="shared" si="2"/>
        <v>112.28906199999619</v>
      </c>
      <c r="G124" s="8">
        <f t="shared" si="3"/>
        <v>0.11228906199999619</v>
      </c>
    </row>
    <row r="125" spans="1:7" x14ac:dyDescent="0.25">
      <c r="A125" s="8">
        <v>1</v>
      </c>
      <c r="B125" s="8">
        <v>52</v>
      </c>
      <c r="C125" s="8">
        <v>1609.963135</v>
      </c>
      <c r="D125" s="8">
        <v>125721.367188</v>
      </c>
      <c r="E125" s="8">
        <v>125735.484375</v>
      </c>
      <c r="F125" s="8">
        <f t="shared" si="2"/>
        <v>14.117186999996193</v>
      </c>
      <c r="G125" s="8">
        <f t="shared" si="3"/>
        <v>1.4117186999996192E-2</v>
      </c>
    </row>
    <row r="126" spans="1:7" x14ac:dyDescent="0.25">
      <c r="A126" s="8">
        <v>1</v>
      </c>
      <c r="B126" s="8">
        <v>53</v>
      </c>
      <c r="C126" s="8">
        <v>1035.042725</v>
      </c>
      <c r="D126" s="8">
        <v>127346.6875</v>
      </c>
      <c r="E126" s="8">
        <v>127373.578125</v>
      </c>
      <c r="F126" s="8">
        <f t="shared" si="2"/>
        <v>26.890625</v>
      </c>
      <c r="G126" s="8">
        <f t="shared" si="3"/>
        <v>2.6890625000000001E-2</v>
      </c>
    </row>
    <row r="127" spans="1:7" x14ac:dyDescent="0.25">
      <c r="A127" s="8">
        <v>1</v>
      </c>
      <c r="B127" s="8">
        <v>54</v>
      </c>
      <c r="C127" s="8">
        <v>4185.8598629999997</v>
      </c>
      <c r="D127" s="8">
        <v>128410.5</v>
      </c>
      <c r="E127" s="8">
        <v>128433.539063</v>
      </c>
      <c r="F127" s="8">
        <f t="shared" si="2"/>
        <v>23.039063000003807</v>
      </c>
      <c r="G127" s="8">
        <f t="shared" si="3"/>
        <v>2.3039063000003808E-2</v>
      </c>
    </row>
    <row r="128" spans="1:7" x14ac:dyDescent="0.25">
      <c r="A128" s="8">
        <v>1</v>
      </c>
      <c r="B128" s="8">
        <v>55</v>
      </c>
      <c r="C128" s="8">
        <v>1282.0604249999999</v>
      </c>
      <c r="D128" s="8">
        <v>132623.984375</v>
      </c>
      <c r="E128" s="8">
        <v>132637.390625</v>
      </c>
      <c r="F128" s="8">
        <f t="shared" si="2"/>
        <v>13.40625</v>
      </c>
      <c r="G128" s="8">
        <f t="shared" si="3"/>
        <v>1.340625E-2</v>
      </c>
    </row>
    <row r="129" spans="1:7" x14ac:dyDescent="0.25">
      <c r="A129" s="8">
        <v>1</v>
      </c>
      <c r="B129" s="8">
        <v>56</v>
      </c>
      <c r="C129" s="8">
        <v>3974.2478030000002</v>
      </c>
      <c r="D129" s="8">
        <v>133925.640625</v>
      </c>
      <c r="E129" s="8">
        <v>133951.96875</v>
      </c>
      <c r="F129" s="8">
        <f t="shared" si="2"/>
        <v>26.328125</v>
      </c>
      <c r="G129" s="8">
        <f t="shared" si="3"/>
        <v>2.6328125000000001E-2</v>
      </c>
    </row>
    <row r="130" spans="1:7" x14ac:dyDescent="0.25">
      <c r="A130" s="8">
        <v>1</v>
      </c>
      <c r="B130" s="8">
        <v>57</v>
      </c>
      <c r="C130" s="8">
        <v>8580.3085940000001</v>
      </c>
      <c r="D130" s="8">
        <v>137937.484375</v>
      </c>
      <c r="E130" s="8">
        <v>137964.5</v>
      </c>
      <c r="F130" s="8">
        <f t="shared" si="2"/>
        <v>27.015625</v>
      </c>
      <c r="G130" s="8">
        <f t="shared" si="3"/>
        <v>2.7015625000000001E-2</v>
      </c>
    </row>
    <row r="131" spans="1:7" x14ac:dyDescent="0.25">
      <c r="A131" s="8">
        <v>1</v>
      </c>
      <c r="B131" s="8">
        <v>58</v>
      </c>
      <c r="C131" s="8">
        <v>2751.1577149999998</v>
      </c>
      <c r="D131" s="8">
        <v>146552.859375</v>
      </c>
      <c r="E131" s="8">
        <v>146576.65625</v>
      </c>
      <c r="F131" s="8">
        <f t="shared" si="2"/>
        <v>23.796875</v>
      </c>
      <c r="G131" s="8">
        <f t="shared" si="3"/>
        <v>2.3796874999999999E-2</v>
      </c>
    </row>
    <row r="132" spans="1:7" x14ac:dyDescent="0.25">
      <c r="A132" s="8">
        <v>1</v>
      </c>
      <c r="B132" s="8">
        <v>59</v>
      </c>
      <c r="C132" s="8">
        <v>1579.0766599999999</v>
      </c>
      <c r="D132" s="8">
        <v>149337.953125</v>
      </c>
      <c r="E132" s="8">
        <v>149351.5</v>
      </c>
      <c r="F132" s="8">
        <f t="shared" si="2"/>
        <v>13.546875</v>
      </c>
      <c r="G132" s="8">
        <f t="shared" si="3"/>
        <v>1.3546875E-2</v>
      </c>
    </row>
    <row r="133" spans="1:7" x14ac:dyDescent="0.25">
      <c r="A133" s="8">
        <v>1</v>
      </c>
      <c r="B133" s="8">
        <v>60</v>
      </c>
      <c r="C133" s="8">
        <v>7791.7753910000001</v>
      </c>
      <c r="D133" s="8">
        <v>150936.3125</v>
      </c>
      <c r="E133" s="8">
        <v>150955.546875</v>
      </c>
      <c r="F133" s="8">
        <f t="shared" si="2"/>
        <v>19.234375</v>
      </c>
      <c r="G133" s="8">
        <f t="shared" si="3"/>
        <v>1.9234375000000001E-2</v>
      </c>
    </row>
    <row r="134" spans="1:7" x14ac:dyDescent="0.25">
      <c r="A134" s="8">
        <v>1</v>
      </c>
      <c r="B134" s="8">
        <v>61</v>
      </c>
      <c r="C134" s="8">
        <v>1253.0710449999999</v>
      </c>
      <c r="D134" s="8">
        <v>158751.59375</v>
      </c>
      <c r="E134" s="8">
        <v>158764.40625</v>
      </c>
      <c r="F134" s="8">
        <f t="shared" si="2"/>
        <v>12.8125</v>
      </c>
      <c r="G134" s="8">
        <f t="shared" si="3"/>
        <v>1.2812499999999999E-2</v>
      </c>
    </row>
    <row r="135" spans="1:7" x14ac:dyDescent="0.25">
      <c r="A135" s="8">
        <v>1</v>
      </c>
      <c r="B135" s="8">
        <v>62</v>
      </c>
      <c r="C135" s="8">
        <v>768.41522199999997</v>
      </c>
      <c r="D135" s="8">
        <v>160033.109375</v>
      </c>
      <c r="E135" s="8">
        <v>160057.828125</v>
      </c>
      <c r="F135" s="8">
        <f t="shared" si="2"/>
        <v>24.71875</v>
      </c>
      <c r="G135" s="8">
        <f t="shared" si="3"/>
        <v>2.4718750000000001E-2</v>
      </c>
    </row>
    <row r="136" spans="1:7" x14ac:dyDescent="0.25">
      <c r="A136" s="8">
        <v>1</v>
      </c>
      <c r="B136" s="8">
        <v>63</v>
      </c>
      <c r="C136" s="8">
        <v>736.31787099999997</v>
      </c>
      <c r="D136" s="8">
        <v>160830.0625</v>
      </c>
      <c r="E136" s="8">
        <v>160840.84375</v>
      </c>
      <c r="F136" s="8">
        <f t="shared" si="2"/>
        <v>10.78125</v>
      </c>
      <c r="G136" s="8">
        <f t="shared" si="3"/>
        <v>1.0781249999999999E-2</v>
      </c>
    </row>
    <row r="137" spans="1:7" x14ac:dyDescent="0.25">
      <c r="A137" s="8">
        <v>1</v>
      </c>
      <c r="B137" s="8">
        <v>64</v>
      </c>
      <c r="C137" s="8">
        <v>2728.1030270000001</v>
      </c>
      <c r="D137" s="8">
        <v>161580.125</v>
      </c>
      <c r="E137" s="8">
        <v>161594.453125</v>
      </c>
      <c r="F137" s="8">
        <f t="shared" si="2"/>
        <v>14.328125</v>
      </c>
      <c r="G137" s="8">
        <f t="shared" si="3"/>
        <v>1.4328125000000001E-2</v>
      </c>
    </row>
    <row r="138" spans="1:7" x14ac:dyDescent="0.25">
      <c r="A138" s="8">
        <v>1</v>
      </c>
      <c r="B138" s="8">
        <v>65</v>
      </c>
      <c r="C138" s="8">
        <v>1695.307861</v>
      </c>
      <c r="D138" s="8">
        <v>164331</v>
      </c>
      <c r="E138" s="8">
        <v>164351.703125</v>
      </c>
      <c r="F138" s="8">
        <f t="shared" si="2"/>
        <v>20.703125</v>
      </c>
      <c r="G138" s="8">
        <f t="shared" si="3"/>
        <v>2.0703124999999999E-2</v>
      </c>
    </row>
    <row r="139" spans="1:7" x14ac:dyDescent="0.25">
      <c r="A139" s="8">
        <v>1</v>
      </c>
      <c r="B139" s="8">
        <v>66</v>
      </c>
      <c r="C139" s="8">
        <v>307.09118699999999</v>
      </c>
      <c r="D139" s="8">
        <v>166061.703125</v>
      </c>
      <c r="E139" s="8">
        <v>166069.21875</v>
      </c>
      <c r="F139" s="8">
        <f t="shared" ref="F139:F202" si="4">E139-D139</f>
        <v>7.515625</v>
      </c>
      <c r="G139" s="8">
        <f t="shared" ref="G139:G202" si="5">F139/1000</f>
        <v>7.5156249999999997E-3</v>
      </c>
    </row>
    <row r="140" spans="1:7" x14ac:dyDescent="0.25">
      <c r="A140" s="8">
        <v>1</v>
      </c>
      <c r="B140" s="8">
        <v>67</v>
      </c>
      <c r="C140" s="8">
        <v>983.68267800000001</v>
      </c>
      <c r="D140" s="8">
        <v>166379.90625</v>
      </c>
      <c r="E140" s="8">
        <v>166408.234375</v>
      </c>
      <c r="F140" s="8">
        <f t="shared" si="4"/>
        <v>28.328125</v>
      </c>
      <c r="G140" s="8">
        <f t="shared" si="5"/>
        <v>2.8328124999999999E-2</v>
      </c>
    </row>
    <row r="141" spans="1:7" x14ac:dyDescent="0.25">
      <c r="A141" s="8">
        <v>1</v>
      </c>
      <c r="B141" s="8">
        <v>68</v>
      </c>
      <c r="C141" s="8">
        <v>5245.4833980000003</v>
      </c>
      <c r="D141" s="8">
        <v>167400.46875</v>
      </c>
      <c r="E141" s="8">
        <v>167417.65625</v>
      </c>
      <c r="F141" s="8">
        <f t="shared" si="4"/>
        <v>17.1875</v>
      </c>
      <c r="G141" s="8">
        <f t="shared" si="5"/>
        <v>1.7187500000000001E-2</v>
      </c>
    </row>
    <row r="142" spans="1:7" x14ac:dyDescent="0.25">
      <c r="A142" s="8">
        <v>2</v>
      </c>
      <c r="B142" s="8">
        <v>0</v>
      </c>
      <c r="C142" s="8">
        <v>5264.064453</v>
      </c>
      <c r="D142" s="8">
        <v>20938.046875</v>
      </c>
      <c r="E142" s="8">
        <v>20979.882813</v>
      </c>
      <c r="F142" s="8">
        <f t="shared" si="4"/>
        <v>41.835938000000169</v>
      </c>
      <c r="G142" s="8">
        <f t="shared" si="5"/>
        <v>4.183593800000017E-2</v>
      </c>
    </row>
    <row r="143" spans="1:7" x14ac:dyDescent="0.25">
      <c r="A143" s="8">
        <v>2</v>
      </c>
      <c r="B143" s="8">
        <v>1</v>
      </c>
      <c r="C143" s="8">
        <v>6819.3735349999997</v>
      </c>
      <c r="D143" s="8">
        <v>26257.898438</v>
      </c>
      <c r="E143" s="8">
        <v>26268.212890999999</v>
      </c>
      <c r="F143" s="8">
        <f t="shared" si="4"/>
        <v>10.314452999999048</v>
      </c>
      <c r="G143" s="8">
        <f t="shared" si="5"/>
        <v>1.0314452999999049E-2</v>
      </c>
    </row>
    <row r="144" spans="1:7" x14ac:dyDescent="0.25">
      <c r="A144" s="8">
        <v>2</v>
      </c>
      <c r="B144" s="8">
        <v>2</v>
      </c>
      <c r="C144" s="8">
        <v>972.63372800000002</v>
      </c>
      <c r="D144" s="8">
        <v>33098.296875</v>
      </c>
      <c r="E144" s="8">
        <v>33149.8125</v>
      </c>
      <c r="F144" s="8">
        <f t="shared" si="4"/>
        <v>51.515625</v>
      </c>
      <c r="G144" s="8">
        <f t="shared" si="5"/>
        <v>5.1515625000000002E-2</v>
      </c>
    </row>
    <row r="145" spans="1:7" x14ac:dyDescent="0.25">
      <c r="A145" s="8">
        <v>2</v>
      </c>
      <c r="B145" s="8">
        <v>3</v>
      </c>
      <c r="C145" s="8">
        <v>144.30874600000001</v>
      </c>
      <c r="D145" s="8">
        <v>34123.695312999997</v>
      </c>
      <c r="E145" s="8">
        <v>34137.769530999998</v>
      </c>
      <c r="F145" s="8">
        <f t="shared" si="4"/>
        <v>14.074218000001565</v>
      </c>
      <c r="G145" s="8">
        <f t="shared" si="5"/>
        <v>1.4074218000001566E-2</v>
      </c>
    </row>
    <row r="146" spans="1:7" x14ac:dyDescent="0.25">
      <c r="A146" s="8">
        <v>2</v>
      </c>
      <c r="B146" s="8">
        <v>4</v>
      </c>
      <c r="C146" s="8">
        <v>141.88282799999999</v>
      </c>
      <c r="D146" s="8">
        <v>34295.648437999997</v>
      </c>
      <c r="E146" s="8">
        <v>34310.546875</v>
      </c>
      <c r="F146" s="8">
        <f t="shared" si="4"/>
        <v>14.898437000003469</v>
      </c>
      <c r="G146" s="8">
        <f t="shared" si="5"/>
        <v>1.4898437000003468E-2</v>
      </c>
    </row>
    <row r="147" spans="1:7" x14ac:dyDescent="0.25">
      <c r="A147" s="8">
        <v>2</v>
      </c>
      <c r="B147" s="8">
        <v>5</v>
      </c>
      <c r="C147" s="8">
        <v>3277.5295409999999</v>
      </c>
      <c r="D147" s="8">
        <v>34451.90625</v>
      </c>
      <c r="E147" s="8">
        <v>34467.488280999998</v>
      </c>
      <c r="F147" s="8">
        <f t="shared" si="4"/>
        <v>15.582030999998096</v>
      </c>
      <c r="G147" s="8">
        <f t="shared" si="5"/>
        <v>1.5582030999998097E-2</v>
      </c>
    </row>
    <row r="148" spans="1:7" x14ac:dyDescent="0.25">
      <c r="A148" s="8">
        <v>2</v>
      </c>
      <c r="B148" s="8">
        <v>6</v>
      </c>
      <c r="C148" s="8">
        <v>494.20605499999999</v>
      </c>
      <c r="D148" s="8">
        <v>37745.554687999997</v>
      </c>
      <c r="E148" s="8">
        <v>37864.230469000002</v>
      </c>
      <c r="F148" s="8">
        <f t="shared" si="4"/>
        <v>118.67578100000537</v>
      </c>
      <c r="G148" s="8">
        <f t="shared" si="5"/>
        <v>0.11867578100000538</v>
      </c>
    </row>
    <row r="149" spans="1:7" x14ac:dyDescent="0.25">
      <c r="A149" s="8">
        <v>2</v>
      </c>
      <c r="B149" s="8">
        <v>7</v>
      </c>
      <c r="C149" s="8">
        <v>265.74658199999999</v>
      </c>
      <c r="D149" s="8">
        <v>38370.652344000002</v>
      </c>
      <c r="E149" s="8">
        <v>38389.84375</v>
      </c>
      <c r="F149" s="8">
        <f t="shared" si="4"/>
        <v>19.191405999998096</v>
      </c>
      <c r="G149" s="8">
        <f t="shared" si="5"/>
        <v>1.9191405999998096E-2</v>
      </c>
    </row>
    <row r="150" spans="1:7" x14ac:dyDescent="0.25">
      <c r="A150" s="8">
        <v>2</v>
      </c>
      <c r="B150" s="8">
        <v>8</v>
      </c>
      <c r="C150" s="8">
        <v>1064.4451899999999</v>
      </c>
      <c r="D150" s="8">
        <v>38667.898437999997</v>
      </c>
      <c r="E150" s="8">
        <v>38680.992187999997</v>
      </c>
      <c r="F150" s="8">
        <f t="shared" si="4"/>
        <v>13.09375</v>
      </c>
      <c r="G150" s="8">
        <f t="shared" si="5"/>
        <v>1.3093749999999999E-2</v>
      </c>
    </row>
    <row r="151" spans="1:7" x14ac:dyDescent="0.25">
      <c r="A151" s="8">
        <v>2</v>
      </c>
      <c r="B151" s="8">
        <v>9</v>
      </c>
      <c r="C151" s="8">
        <v>2502.9641109999998</v>
      </c>
      <c r="D151" s="8">
        <v>39746.132812999997</v>
      </c>
      <c r="E151" s="8">
        <v>39767.261719000002</v>
      </c>
      <c r="F151" s="8">
        <f t="shared" si="4"/>
        <v>21.128906000005372</v>
      </c>
      <c r="G151" s="8">
        <f t="shared" si="5"/>
        <v>2.1128906000005374E-2</v>
      </c>
    </row>
    <row r="152" spans="1:7" x14ac:dyDescent="0.25">
      <c r="A152" s="8">
        <v>2</v>
      </c>
      <c r="B152" s="8">
        <v>10</v>
      </c>
      <c r="C152" s="8">
        <v>634.10168499999997</v>
      </c>
      <c r="D152" s="8">
        <v>42278.386719000002</v>
      </c>
      <c r="E152" s="8">
        <v>42290.253905999998</v>
      </c>
      <c r="F152" s="8">
        <f t="shared" si="4"/>
        <v>11.867186999996193</v>
      </c>
      <c r="G152" s="8">
        <f t="shared" si="5"/>
        <v>1.1867186999996194E-2</v>
      </c>
    </row>
    <row r="153" spans="1:7" x14ac:dyDescent="0.25">
      <c r="A153" s="8">
        <v>2</v>
      </c>
      <c r="B153" s="8">
        <v>11</v>
      </c>
      <c r="C153" s="8">
        <v>3612.7238769999999</v>
      </c>
      <c r="D153" s="8">
        <v>42939.546875</v>
      </c>
      <c r="E153" s="8">
        <v>42956.699219000002</v>
      </c>
      <c r="F153" s="8">
        <f t="shared" si="4"/>
        <v>17.152344000001904</v>
      </c>
      <c r="G153" s="8">
        <f t="shared" si="5"/>
        <v>1.7152344000001905E-2</v>
      </c>
    </row>
    <row r="154" spans="1:7" x14ac:dyDescent="0.25">
      <c r="A154" s="8">
        <v>2</v>
      </c>
      <c r="B154" s="8">
        <v>12</v>
      </c>
      <c r="C154" s="8">
        <v>137.824432</v>
      </c>
      <c r="D154" s="8">
        <v>46578.800780999998</v>
      </c>
      <c r="E154" s="8">
        <v>46606.808594000002</v>
      </c>
      <c r="F154" s="8">
        <f t="shared" si="4"/>
        <v>28.007813000003807</v>
      </c>
      <c r="G154" s="8">
        <f t="shared" si="5"/>
        <v>2.8007813000003809E-2</v>
      </c>
    </row>
    <row r="155" spans="1:7" x14ac:dyDescent="0.25">
      <c r="A155" s="8">
        <v>2</v>
      </c>
      <c r="B155" s="8">
        <v>13</v>
      </c>
      <c r="C155" s="8">
        <v>444.50256300000001</v>
      </c>
      <c r="D155" s="8">
        <v>46750.929687999997</v>
      </c>
      <c r="E155" s="8">
        <v>46763.730469000002</v>
      </c>
      <c r="F155" s="8">
        <f t="shared" si="4"/>
        <v>12.800781000005372</v>
      </c>
      <c r="G155" s="8">
        <f t="shared" si="5"/>
        <v>1.2800781000005373E-2</v>
      </c>
    </row>
    <row r="156" spans="1:7" x14ac:dyDescent="0.25">
      <c r="A156" s="8">
        <v>2</v>
      </c>
      <c r="B156" s="8">
        <v>14</v>
      </c>
      <c r="C156" s="8">
        <v>86.884804000000003</v>
      </c>
      <c r="D156" s="8">
        <v>47219.773437999997</v>
      </c>
      <c r="E156" s="8">
        <v>47243.785155999998</v>
      </c>
      <c r="F156" s="8">
        <f t="shared" si="4"/>
        <v>24.011718000001565</v>
      </c>
      <c r="G156" s="8">
        <f t="shared" si="5"/>
        <v>2.4011718000001566E-2</v>
      </c>
    </row>
    <row r="157" spans="1:7" x14ac:dyDescent="0.25">
      <c r="A157" s="8">
        <v>2</v>
      </c>
      <c r="B157" s="8">
        <v>15</v>
      </c>
      <c r="C157" s="8">
        <v>295.17068499999999</v>
      </c>
      <c r="D157" s="8">
        <v>47344.730469000002</v>
      </c>
      <c r="E157" s="8">
        <v>47352.585937999997</v>
      </c>
      <c r="F157" s="8">
        <f t="shared" si="4"/>
        <v>7.8554689999946277</v>
      </c>
      <c r="G157" s="8">
        <f t="shared" si="5"/>
        <v>7.8554689999946279E-3</v>
      </c>
    </row>
    <row r="158" spans="1:7" x14ac:dyDescent="0.25">
      <c r="A158" s="8">
        <v>2</v>
      </c>
      <c r="B158" s="8">
        <v>16</v>
      </c>
      <c r="C158" s="8">
        <v>1144.0593260000001</v>
      </c>
      <c r="D158" s="8">
        <v>47657.316405999998</v>
      </c>
      <c r="E158" s="8">
        <v>47668.742187999997</v>
      </c>
      <c r="F158" s="8">
        <f t="shared" si="4"/>
        <v>11.425781999998435</v>
      </c>
      <c r="G158" s="8">
        <f t="shared" si="5"/>
        <v>1.1425781999998434E-2</v>
      </c>
    </row>
    <row r="159" spans="1:7" x14ac:dyDescent="0.25">
      <c r="A159" s="8">
        <v>2</v>
      </c>
      <c r="B159" s="8">
        <v>17</v>
      </c>
      <c r="C159" s="8">
        <v>5210.482422</v>
      </c>
      <c r="D159" s="8">
        <v>48814.390625</v>
      </c>
      <c r="E159" s="8">
        <v>48829.382812999997</v>
      </c>
      <c r="F159" s="8">
        <f t="shared" si="4"/>
        <v>14.992187999996531</v>
      </c>
      <c r="G159" s="8">
        <f t="shared" si="5"/>
        <v>1.4992187999996531E-2</v>
      </c>
    </row>
    <row r="160" spans="1:7" x14ac:dyDescent="0.25">
      <c r="A160" s="8">
        <v>2</v>
      </c>
      <c r="B160" s="8">
        <v>18</v>
      </c>
      <c r="C160" s="8">
        <v>1014.360535</v>
      </c>
      <c r="D160" s="8">
        <v>54050.039062999997</v>
      </c>
      <c r="E160" s="8">
        <v>54066.375</v>
      </c>
      <c r="F160" s="8">
        <f t="shared" si="4"/>
        <v>16.335937000003469</v>
      </c>
      <c r="G160" s="8">
        <f t="shared" si="5"/>
        <v>1.6335937000003468E-2</v>
      </c>
    </row>
    <row r="161" spans="1:7" x14ac:dyDescent="0.25">
      <c r="A161" s="8">
        <v>2</v>
      </c>
      <c r="B161" s="8">
        <v>19</v>
      </c>
      <c r="C161" s="8">
        <v>870.55847200000005</v>
      </c>
      <c r="D161" s="8">
        <v>55081.730469000002</v>
      </c>
      <c r="E161" s="8">
        <v>55092.710937999997</v>
      </c>
      <c r="F161" s="8">
        <f t="shared" si="4"/>
        <v>10.980468999994628</v>
      </c>
      <c r="G161" s="8">
        <f t="shared" si="5"/>
        <v>1.0980468999994627E-2</v>
      </c>
    </row>
    <row r="162" spans="1:7" x14ac:dyDescent="0.25">
      <c r="A162" s="8">
        <v>2</v>
      </c>
      <c r="B162" s="8">
        <v>20</v>
      </c>
      <c r="C162" s="8">
        <v>650.68042000000003</v>
      </c>
      <c r="D162" s="8">
        <v>55972.230469000002</v>
      </c>
      <c r="E162" s="8">
        <v>55989.578125</v>
      </c>
      <c r="F162" s="8">
        <f t="shared" si="4"/>
        <v>17.347655999998096</v>
      </c>
      <c r="G162" s="8">
        <f t="shared" si="5"/>
        <v>1.7347655999998095E-2</v>
      </c>
    </row>
    <row r="163" spans="1:7" x14ac:dyDescent="0.25">
      <c r="A163" s="8">
        <v>2</v>
      </c>
      <c r="B163" s="8">
        <v>21</v>
      </c>
      <c r="C163" s="8">
        <v>5328.7392579999996</v>
      </c>
      <c r="D163" s="8">
        <v>56644.394530999998</v>
      </c>
      <c r="E163" s="8">
        <v>56655.796875</v>
      </c>
      <c r="F163" s="8">
        <f t="shared" si="4"/>
        <v>11.402344000001904</v>
      </c>
      <c r="G163" s="8">
        <f t="shared" si="5"/>
        <v>1.1402344000001903E-2</v>
      </c>
    </row>
    <row r="164" spans="1:7" x14ac:dyDescent="0.25">
      <c r="A164" s="8">
        <v>2</v>
      </c>
      <c r="B164" s="8">
        <v>22</v>
      </c>
      <c r="C164" s="8">
        <v>3211.686279</v>
      </c>
      <c r="D164" s="8">
        <v>61997.695312999997</v>
      </c>
      <c r="E164" s="8">
        <v>62011.386719000002</v>
      </c>
      <c r="F164" s="8">
        <f t="shared" si="4"/>
        <v>13.691406000005372</v>
      </c>
      <c r="G164" s="8">
        <f t="shared" si="5"/>
        <v>1.3691406000005372E-2</v>
      </c>
    </row>
    <row r="165" spans="1:7" x14ac:dyDescent="0.25">
      <c r="A165" s="8">
        <v>2</v>
      </c>
      <c r="B165" s="8">
        <v>23</v>
      </c>
      <c r="C165" s="8">
        <v>4385.0107420000004</v>
      </c>
      <c r="D165" s="8">
        <v>65231.007812999997</v>
      </c>
      <c r="E165" s="8">
        <v>65252.390625</v>
      </c>
      <c r="F165" s="8">
        <f t="shared" si="4"/>
        <v>21.382812000003469</v>
      </c>
      <c r="G165" s="8">
        <f t="shared" si="5"/>
        <v>2.1382812000003467E-2</v>
      </c>
    </row>
    <row r="166" spans="1:7" x14ac:dyDescent="0.25">
      <c r="A166" s="8">
        <v>2</v>
      </c>
      <c r="B166" s="8">
        <v>24</v>
      </c>
      <c r="C166" s="8">
        <v>1404.997803</v>
      </c>
      <c r="D166" s="8">
        <v>69639.609375</v>
      </c>
      <c r="E166" s="8">
        <v>69752.835938000004</v>
      </c>
      <c r="F166" s="8">
        <f t="shared" si="4"/>
        <v>113.22656300000381</v>
      </c>
      <c r="G166" s="8">
        <f t="shared" si="5"/>
        <v>0.1132265630000038</v>
      </c>
    </row>
    <row r="167" spans="1:7" x14ac:dyDescent="0.25">
      <c r="A167" s="8">
        <v>2</v>
      </c>
      <c r="B167" s="8">
        <v>25</v>
      </c>
      <c r="C167" s="8">
        <v>1790.873413</v>
      </c>
      <c r="D167" s="8">
        <v>71165.664063000004</v>
      </c>
      <c r="E167" s="8">
        <v>71174.703125</v>
      </c>
      <c r="F167" s="8">
        <f t="shared" si="4"/>
        <v>9.0390619999961928</v>
      </c>
      <c r="G167" s="8">
        <f t="shared" si="5"/>
        <v>9.0390619999961928E-3</v>
      </c>
    </row>
    <row r="168" spans="1:7" x14ac:dyDescent="0.25">
      <c r="A168" s="8">
        <v>2</v>
      </c>
      <c r="B168" s="8">
        <v>26</v>
      </c>
      <c r="C168" s="8">
        <v>613.25860599999999</v>
      </c>
      <c r="D168" s="8">
        <v>72966.78125</v>
      </c>
      <c r="E168" s="8">
        <v>72979.171875</v>
      </c>
      <c r="F168" s="8">
        <f t="shared" si="4"/>
        <v>12.390625</v>
      </c>
      <c r="G168" s="8">
        <f t="shared" si="5"/>
        <v>1.2390625000000001E-2</v>
      </c>
    </row>
    <row r="169" spans="1:7" x14ac:dyDescent="0.25">
      <c r="A169" s="8">
        <v>2</v>
      </c>
      <c r="B169" s="8">
        <v>27</v>
      </c>
      <c r="C169" s="8">
        <v>2579.7333979999999</v>
      </c>
      <c r="D169" s="8">
        <v>73607.539063000004</v>
      </c>
      <c r="E169" s="8">
        <v>73634.101563000004</v>
      </c>
      <c r="F169" s="8">
        <f t="shared" si="4"/>
        <v>26.5625</v>
      </c>
      <c r="G169" s="8">
        <f t="shared" si="5"/>
        <v>2.6562499999999999E-2</v>
      </c>
    </row>
    <row r="170" spans="1:7" x14ac:dyDescent="0.25">
      <c r="A170" s="8">
        <v>2</v>
      </c>
      <c r="B170" s="8">
        <v>28</v>
      </c>
      <c r="C170" s="8">
        <v>1710.7542719999999</v>
      </c>
      <c r="D170" s="8">
        <v>76225.757813000004</v>
      </c>
      <c r="E170" s="8">
        <v>76247.875</v>
      </c>
      <c r="F170" s="8">
        <f t="shared" si="4"/>
        <v>22.117186999996193</v>
      </c>
      <c r="G170" s="8">
        <f t="shared" si="5"/>
        <v>2.2117186999996194E-2</v>
      </c>
    </row>
    <row r="171" spans="1:7" x14ac:dyDescent="0.25">
      <c r="A171" s="8">
        <v>2</v>
      </c>
      <c r="B171" s="8">
        <v>29</v>
      </c>
      <c r="C171" s="8">
        <v>3531.1689449999999</v>
      </c>
      <c r="D171" s="8">
        <v>77963.484375</v>
      </c>
      <c r="E171" s="8">
        <v>77972.25</v>
      </c>
      <c r="F171" s="8">
        <f t="shared" si="4"/>
        <v>8.765625</v>
      </c>
      <c r="G171" s="8">
        <f t="shared" si="5"/>
        <v>8.7656250000000008E-3</v>
      </c>
    </row>
    <row r="172" spans="1:7" x14ac:dyDescent="0.25">
      <c r="A172" s="8">
        <v>2</v>
      </c>
      <c r="B172" s="8">
        <v>30</v>
      </c>
      <c r="C172" s="8">
        <v>2108.111328</v>
      </c>
      <c r="D172" s="8">
        <v>81505.132813000004</v>
      </c>
      <c r="E172" s="8">
        <v>81529.773438000004</v>
      </c>
      <c r="F172" s="8">
        <f t="shared" si="4"/>
        <v>24.640625</v>
      </c>
      <c r="G172" s="8">
        <f t="shared" si="5"/>
        <v>2.4640624999999999E-2</v>
      </c>
    </row>
    <row r="173" spans="1:7" x14ac:dyDescent="0.25">
      <c r="A173" s="8">
        <v>2</v>
      </c>
      <c r="B173" s="8">
        <v>31</v>
      </c>
      <c r="C173" s="8">
        <v>5440.4804690000001</v>
      </c>
      <c r="D173" s="8">
        <v>83640.351563000004</v>
      </c>
      <c r="E173" s="8">
        <v>83663.164063000004</v>
      </c>
      <c r="F173" s="8">
        <f t="shared" si="4"/>
        <v>22.8125</v>
      </c>
      <c r="G173" s="8">
        <f t="shared" si="5"/>
        <v>2.2812499999999999E-2</v>
      </c>
    </row>
    <row r="174" spans="1:7" x14ac:dyDescent="0.25">
      <c r="A174" s="8">
        <v>2</v>
      </c>
      <c r="B174" s="8">
        <v>32</v>
      </c>
      <c r="C174" s="8">
        <v>3451.4379880000001</v>
      </c>
      <c r="D174" s="8">
        <v>89115.515625</v>
      </c>
      <c r="E174" s="8">
        <v>89131.835938000004</v>
      </c>
      <c r="F174" s="8">
        <f t="shared" si="4"/>
        <v>16.320313000003807</v>
      </c>
      <c r="G174" s="8">
        <f t="shared" si="5"/>
        <v>1.6320313000003809E-2</v>
      </c>
    </row>
    <row r="175" spans="1:7" x14ac:dyDescent="0.25">
      <c r="A175" s="8">
        <v>2</v>
      </c>
      <c r="B175" s="8">
        <v>33</v>
      </c>
      <c r="C175" s="8">
        <v>1349.4639890000001</v>
      </c>
      <c r="D175" s="8">
        <v>92591.429688000004</v>
      </c>
      <c r="E175" s="8">
        <v>92620.492188000004</v>
      </c>
      <c r="F175" s="8">
        <f t="shared" si="4"/>
        <v>29.0625</v>
      </c>
      <c r="G175" s="8">
        <f t="shared" si="5"/>
        <v>2.9062500000000002E-2</v>
      </c>
    </row>
    <row r="176" spans="1:7" x14ac:dyDescent="0.25">
      <c r="A176" s="8">
        <v>2</v>
      </c>
      <c r="B176" s="8">
        <v>34</v>
      </c>
      <c r="C176" s="8">
        <v>921.28356900000006</v>
      </c>
      <c r="D176" s="8">
        <v>93982.617188000004</v>
      </c>
      <c r="E176" s="8">
        <v>94001.570313000004</v>
      </c>
      <c r="F176" s="8">
        <f t="shared" si="4"/>
        <v>18.953125</v>
      </c>
      <c r="G176" s="8">
        <f t="shared" si="5"/>
        <v>1.8953125000000001E-2</v>
      </c>
    </row>
    <row r="177" spans="1:7" x14ac:dyDescent="0.25">
      <c r="A177" s="8">
        <v>2</v>
      </c>
      <c r="B177" s="8">
        <v>35</v>
      </c>
      <c r="C177" s="8">
        <v>5491.1630859999996</v>
      </c>
      <c r="D177" s="8">
        <v>94936.382813000004</v>
      </c>
      <c r="E177" s="8">
        <v>94959.046875</v>
      </c>
      <c r="F177" s="8">
        <f t="shared" si="4"/>
        <v>22.664061999996193</v>
      </c>
      <c r="G177" s="8">
        <f t="shared" si="5"/>
        <v>2.2664061999996193E-2</v>
      </c>
    </row>
    <row r="178" spans="1:7" x14ac:dyDescent="0.25">
      <c r="A178" s="8">
        <v>2</v>
      </c>
      <c r="B178" s="8">
        <v>36</v>
      </c>
      <c r="C178" s="8">
        <v>1653.156616</v>
      </c>
      <c r="D178" s="8">
        <v>100463.984375</v>
      </c>
      <c r="E178" s="8">
        <v>100487.0625</v>
      </c>
      <c r="F178" s="8">
        <f t="shared" si="4"/>
        <v>23.078125</v>
      </c>
      <c r="G178" s="8">
        <f t="shared" si="5"/>
        <v>2.3078125000000001E-2</v>
      </c>
    </row>
    <row r="179" spans="1:7" x14ac:dyDescent="0.25">
      <c r="A179" s="8">
        <v>2</v>
      </c>
      <c r="B179" s="8">
        <v>37</v>
      </c>
      <c r="C179" s="8">
        <v>1042.0189210000001</v>
      </c>
      <c r="D179" s="8">
        <v>102151.3125</v>
      </c>
      <c r="E179" s="8">
        <v>102173.34375</v>
      </c>
      <c r="F179" s="8">
        <f t="shared" si="4"/>
        <v>22.03125</v>
      </c>
      <c r="G179" s="8">
        <f t="shared" si="5"/>
        <v>2.2031249999999999E-2</v>
      </c>
    </row>
    <row r="180" spans="1:7" x14ac:dyDescent="0.25">
      <c r="A180" s="8">
        <v>2</v>
      </c>
      <c r="B180" s="8">
        <v>38</v>
      </c>
      <c r="C180" s="8">
        <v>195.67454499999999</v>
      </c>
      <c r="D180" s="8">
        <v>103228.976563</v>
      </c>
      <c r="E180" s="8">
        <v>103240.304688</v>
      </c>
      <c r="F180" s="8">
        <f t="shared" si="4"/>
        <v>11.328125</v>
      </c>
      <c r="G180" s="8">
        <f t="shared" si="5"/>
        <v>1.1328125E-2</v>
      </c>
    </row>
    <row r="181" spans="1:7" x14ac:dyDescent="0.25">
      <c r="A181" s="8">
        <v>2</v>
      </c>
      <c r="B181" s="8">
        <v>39</v>
      </c>
      <c r="C181" s="8">
        <v>2476.891846</v>
      </c>
      <c r="D181" s="8">
        <v>103447.6875</v>
      </c>
      <c r="E181" s="8">
        <v>103458.671875</v>
      </c>
      <c r="F181" s="8">
        <f t="shared" si="4"/>
        <v>10.984375</v>
      </c>
      <c r="G181" s="8">
        <f t="shared" si="5"/>
        <v>1.0984374999999999E-2</v>
      </c>
    </row>
    <row r="182" spans="1:7" x14ac:dyDescent="0.25">
      <c r="A182" s="8">
        <v>2</v>
      </c>
      <c r="B182" s="8">
        <v>40</v>
      </c>
      <c r="C182" s="8">
        <v>791.22106900000006</v>
      </c>
      <c r="D182" s="8">
        <v>105937.742188</v>
      </c>
      <c r="E182" s="8">
        <v>105960.78125</v>
      </c>
      <c r="F182" s="8">
        <f t="shared" si="4"/>
        <v>23.039061999996193</v>
      </c>
      <c r="G182" s="8">
        <f t="shared" si="5"/>
        <v>2.3039061999996193E-2</v>
      </c>
    </row>
    <row r="183" spans="1:7" x14ac:dyDescent="0.25">
      <c r="A183" s="8">
        <v>2</v>
      </c>
      <c r="B183" s="8">
        <v>41</v>
      </c>
      <c r="C183" s="8">
        <v>139.59085099999999</v>
      </c>
      <c r="D183" s="8">
        <v>106765.96875</v>
      </c>
      <c r="E183" s="8">
        <v>106789.039063</v>
      </c>
      <c r="F183" s="8">
        <f t="shared" si="4"/>
        <v>23.070313000003807</v>
      </c>
      <c r="G183" s="8">
        <f t="shared" si="5"/>
        <v>2.3070313000003808E-2</v>
      </c>
    </row>
    <row r="184" spans="1:7" x14ac:dyDescent="0.25">
      <c r="A184" s="8">
        <v>2</v>
      </c>
      <c r="B184" s="8">
        <v>42</v>
      </c>
      <c r="C184" s="8">
        <v>1813.114014</v>
      </c>
      <c r="D184" s="8">
        <v>106937.742188</v>
      </c>
      <c r="E184" s="8">
        <v>106957.953125</v>
      </c>
      <c r="F184" s="8">
        <f t="shared" si="4"/>
        <v>20.210936999996193</v>
      </c>
      <c r="G184" s="8">
        <f t="shared" si="5"/>
        <v>2.0210936999996192E-2</v>
      </c>
    </row>
    <row r="185" spans="1:7" x14ac:dyDescent="0.25">
      <c r="A185" s="8">
        <v>2</v>
      </c>
      <c r="B185" s="8">
        <v>43</v>
      </c>
      <c r="C185" s="8">
        <v>2355.1596679999998</v>
      </c>
      <c r="D185" s="8">
        <v>108782.421875</v>
      </c>
      <c r="E185" s="8">
        <v>108794.914063</v>
      </c>
      <c r="F185" s="8">
        <f t="shared" si="4"/>
        <v>12.492188000003807</v>
      </c>
      <c r="G185" s="8">
        <f t="shared" si="5"/>
        <v>1.2492188000003807E-2</v>
      </c>
    </row>
    <row r="186" spans="1:7" x14ac:dyDescent="0.25">
      <c r="A186" s="8">
        <v>2</v>
      </c>
      <c r="B186" s="8">
        <v>44</v>
      </c>
      <c r="C186" s="8">
        <v>116.55490899999999</v>
      </c>
      <c r="D186" s="8">
        <v>111158.453125</v>
      </c>
      <c r="E186" s="8">
        <v>111181.898438</v>
      </c>
      <c r="F186" s="8">
        <f t="shared" si="4"/>
        <v>23.445313000003807</v>
      </c>
      <c r="G186" s="8">
        <f t="shared" si="5"/>
        <v>2.3445313000003808E-2</v>
      </c>
    </row>
    <row r="187" spans="1:7" x14ac:dyDescent="0.25">
      <c r="A187" s="8">
        <v>2</v>
      </c>
      <c r="B187" s="8">
        <v>45</v>
      </c>
      <c r="C187" s="8">
        <v>1064.029419</v>
      </c>
      <c r="D187" s="8">
        <v>111299.109375</v>
      </c>
      <c r="E187" s="8">
        <v>111312.484375</v>
      </c>
      <c r="F187" s="8">
        <f t="shared" si="4"/>
        <v>13.375</v>
      </c>
      <c r="G187" s="8">
        <f t="shared" si="5"/>
        <v>1.3375E-2</v>
      </c>
    </row>
    <row r="188" spans="1:7" x14ac:dyDescent="0.25">
      <c r="A188" s="8">
        <v>2</v>
      </c>
      <c r="B188" s="8">
        <v>46</v>
      </c>
      <c r="C188" s="8">
        <v>642.50024399999995</v>
      </c>
      <c r="D188" s="8">
        <v>112381.320313</v>
      </c>
      <c r="E188" s="8">
        <v>112402.265625</v>
      </c>
      <c r="F188" s="8">
        <f t="shared" si="4"/>
        <v>20.945311999996193</v>
      </c>
      <c r="G188" s="8">
        <f t="shared" si="5"/>
        <v>2.0945311999996191E-2</v>
      </c>
    </row>
    <row r="189" spans="1:7" x14ac:dyDescent="0.25">
      <c r="A189" s="8">
        <v>2</v>
      </c>
      <c r="B189" s="8">
        <v>47</v>
      </c>
      <c r="C189" s="8">
        <v>1636.071289</v>
      </c>
      <c r="D189" s="8">
        <v>113059.84375</v>
      </c>
      <c r="E189" s="8">
        <v>113073.65625</v>
      </c>
      <c r="F189" s="8">
        <f t="shared" si="4"/>
        <v>13.8125</v>
      </c>
      <c r="G189" s="8">
        <f t="shared" si="5"/>
        <v>1.38125E-2</v>
      </c>
    </row>
    <row r="190" spans="1:7" x14ac:dyDescent="0.25">
      <c r="A190" s="8">
        <v>2</v>
      </c>
      <c r="B190" s="8">
        <v>48</v>
      </c>
      <c r="C190" s="8">
        <v>1901.1591800000001</v>
      </c>
      <c r="D190" s="8">
        <v>114721.992188</v>
      </c>
      <c r="E190" s="8">
        <v>114749.320313</v>
      </c>
      <c r="F190" s="8">
        <f t="shared" si="4"/>
        <v>27.328125</v>
      </c>
      <c r="G190" s="8">
        <f t="shared" si="5"/>
        <v>2.7328125000000002E-2</v>
      </c>
    </row>
    <row r="191" spans="1:7" x14ac:dyDescent="0.25">
      <c r="A191" s="8">
        <v>2</v>
      </c>
      <c r="B191" s="8">
        <v>49</v>
      </c>
      <c r="C191" s="8">
        <v>2248.8510740000002</v>
      </c>
      <c r="D191" s="8">
        <v>116661.375</v>
      </c>
      <c r="E191" s="8">
        <v>116683.460938</v>
      </c>
      <c r="F191" s="8">
        <f t="shared" si="4"/>
        <v>22.085938000003807</v>
      </c>
      <c r="G191" s="8">
        <f t="shared" si="5"/>
        <v>2.2085938000003809E-2</v>
      </c>
    </row>
    <row r="192" spans="1:7" x14ac:dyDescent="0.25">
      <c r="A192" s="8">
        <v>2</v>
      </c>
      <c r="B192" s="8">
        <v>50</v>
      </c>
      <c r="C192" s="8">
        <v>1287.281616</v>
      </c>
      <c r="D192" s="8">
        <v>118931.945313</v>
      </c>
      <c r="E192" s="8">
        <v>119021.859375</v>
      </c>
      <c r="F192" s="8">
        <f t="shared" si="4"/>
        <v>89.914061999996193</v>
      </c>
      <c r="G192" s="8">
        <f t="shared" si="5"/>
        <v>8.9914061999996187E-2</v>
      </c>
    </row>
    <row r="193" spans="1:7" x14ac:dyDescent="0.25">
      <c r="A193" s="8">
        <v>2</v>
      </c>
      <c r="B193" s="8">
        <v>51</v>
      </c>
      <c r="C193" s="8">
        <v>2015.8756100000001</v>
      </c>
      <c r="D193" s="8">
        <v>120312.359375</v>
      </c>
      <c r="E193" s="8">
        <v>120325.8125</v>
      </c>
      <c r="F193" s="8">
        <f t="shared" si="4"/>
        <v>13.453125</v>
      </c>
      <c r="G193" s="8">
        <f t="shared" si="5"/>
        <v>1.3453125E-2</v>
      </c>
    </row>
    <row r="194" spans="1:7" x14ac:dyDescent="0.25">
      <c r="A194" s="8">
        <v>2</v>
      </c>
      <c r="B194" s="8">
        <v>52</v>
      </c>
      <c r="C194" s="8">
        <v>1162.529663</v>
      </c>
      <c r="D194" s="8">
        <v>122345.875</v>
      </c>
      <c r="E194" s="8">
        <v>122375.773438</v>
      </c>
      <c r="F194" s="8">
        <f t="shared" si="4"/>
        <v>29.898438000003807</v>
      </c>
      <c r="G194" s="8">
        <f t="shared" si="5"/>
        <v>2.9898438000003809E-2</v>
      </c>
    </row>
    <row r="195" spans="1:7" x14ac:dyDescent="0.25">
      <c r="A195" s="8">
        <v>2</v>
      </c>
      <c r="B195" s="8">
        <v>53</v>
      </c>
      <c r="C195" s="8">
        <v>2959.1967770000001</v>
      </c>
      <c r="D195" s="8">
        <v>123543.257813</v>
      </c>
      <c r="E195" s="8">
        <v>123554.390625</v>
      </c>
      <c r="F195" s="8">
        <f t="shared" si="4"/>
        <v>11.132811999996193</v>
      </c>
      <c r="G195" s="8">
        <f t="shared" si="5"/>
        <v>1.1132811999996193E-2</v>
      </c>
    </row>
    <row r="196" spans="1:7" x14ac:dyDescent="0.25">
      <c r="A196" s="8">
        <v>2</v>
      </c>
      <c r="B196" s="8">
        <v>54</v>
      </c>
      <c r="C196" s="8">
        <v>450.53363000000002</v>
      </c>
      <c r="D196" s="8">
        <v>126518.570313</v>
      </c>
      <c r="E196" s="8">
        <v>126541.09375</v>
      </c>
      <c r="F196" s="8">
        <f t="shared" si="4"/>
        <v>22.523436999996193</v>
      </c>
      <c r="G196" s="8">
        <f t="shared" si="5"/>
        <v>2.2523436999996194E-2</v>
      </c>
    </row>
    <row r="197" spans="1:7" x14ac:dyDescent="0.25">
      <c r="A197" s="8">
        <v>2</v>
      </c>
      <c r="B197" s="8">
        <v>55</v>
      </c>
      <c r="C197" s="8">
        <v>280.50988799999999</v>
      </c>
      <c r="D197" s="8">
        <v>127002.789063</v>
      </c>
      <c r="E197" s="8">
        <v>127010.34375</v>
      </c>
      <c r="F197" s="8">
        <f t="shared" si="4"/>
        <v>7.5546869999961928</v>
      </c>
      <c r="G197" s="8">
        <f t="shared" si="5"/>
        <v>7.5546869999961932E-3</v>
      </c>
    </row>
    <row r="198" spans="1:7" x14ac:dyDescent="0.25">
      <c r="A198" s="8">
        <v>2</v>
      </c>
      <c r="B198" s="8">
        <v>56</v>
      </c>
      <c r="C198" s="8">
        <v>2579.955078</v>
      </c>
      <c r="D198" s="8">
        <v>127299.882813</v>
      </c>
      <c r="E198" s="8">
        <v>127317.765625</v>
      </c>
      <c r="F198" s="8">
        <f t="shared" si="4"/>
        <v>17.882811999996193</v>
      </c>
      <c r="G198" s="8">
        <f t="shared" si="5"/>
        <v>1.7882811999996192E-2</v>
      </c>
    </row>
    <row r="199" spans="1:7" x14ac:dyDescent="0.25">
      <c r="A199" s="8">
        <v>2</v>
      </c>
      <c r="B199" s="8">
        <v>57</v>
      </c>
      <c r="C199" s="8">
        <v>441.07516500000003</v>
      </c>
      <c r="D199" s="8">
        <v>129910.789063</v>
      </c>
      <c r="E199" s="8">
        <v>129927.867188</v>
      </c>
      <c r="F199" s="8">
        <f t="shared" si="4"/>
        <v>17.078125</v>
      </c>
      <c r="G199" s="8">
        <f t="shared" si="5"/>
        <v>1.7078125E-2</v>
      </c>
    </row>
    <row r="200" spans="1:7" x14ac:dyDescent="0.25">
      <c r="A200" s="8">
        <v>2</v>
      </c>
      <c r="B200" s="8">
        <v>58</v>
      </c>
      <c r="C200" s="8">
        <v>763.58099400000003</v>
      </c>
      <c r="D200" s="8">
        <v>130379.65625</v>
      </c>
      <c r="E200" s="8">
        <v>130393.960938</v>
      </c>
      <c r="F200" s="8">
        <f t="shared" si="4"/>
        <v>14.304688000003807</v>
      </c>
      <c r="G200" s="8">
        <f t="shared" si="5"/>
        <v>1.4304688000003807E-2</v>
      </c>
    </row>
    <row r="201" spans="1:7" x14ac:dyDescent="0.25">
      <c r="A201" s="8">
        <v>2</v>
      </c>
      <c r="B201" s="8">
        <v>59</v>
      </c>
      <c r="C201" s="8">
        <v>5388.3388670000004</v>
      </c>
      <c r="D201" s="8">
        <v>131160.96875</v>
      </c>
      <c r="E201" s="8">
        <v>131178.859375</v>
      </c>
      <c r="F201" s="8">
        <f t="shared" si="4"/>
        <v>17.890625</v>
      </c>
      <c r="G201" s="8">
        <f t="shared" si="5"/>
        <v>1.7890625E-2</v>
      </c>
    </row>
    <row r="202" spans="1:7" x14ac:dyDescent="0.25">
      <c r="A202" s="8">
        <v>2</v>
      </c>
      <c r="B202" s="8">
        <v>60</v>
      </c>
      <c r="C202" s="8">
        <v>4531.2929690000001</v>
      </c>
      <c r="D202" s="8">
        <v>136571.015625</v>
      </c>
      <c r="E202" s="8">
        <v>136586.90625</v>
      </c>
      <c r="F202" s="8">
        <f t="shared" si="4"/>
        <v>15.890625</v>
      </c>
      <c r="G202" s="8">
        <f t="shared" si="5"/>
        <v>1.5890624999999999E-2</v>
      </c>
    </row>
    <row r="203" spans="1:7" x14ac:dyDescent="0.25">
      <c r="A203" s="8">
        <v>2</v>
      </c>
      <c r="B203" s="8">
        <v>61</v>
      </c>
      <c r="C203" s="8">
        <v>4431.4726559999999</v>
      </c>
      <c r="D203" s="8">
        <v>141123.5</v>
      </c>
      <c r="E203" s="8">
        <v>141149.5625</v>
      </c>
      <c r="F203" s="8">
        <f t="shared" ref="F203:F266" si="6">E203-D203</f>
        <v>26.0625</v>
      </c>
      <c r="G203" s="8">
        <f t="shared" ref="G203:G266" si="7">F203/1000</f>
        <v>2.6062499999999999E-2</v>
      </c>
    </row>
    <row r="204" spans="1:7" x14ac:dyDescent="0.25">
      <c r="A204" s="8">
        <v>2</v>
      </c>
      <c r="B204" s="8">
        <v>62</v>
      </c>
      <c r="C204" s="8">
        <v>3313.0410160000001</v>
      </c>
      <c r="D204" s="8">
        <v>145583.984375</v>
      </c>
      <c r="E204" s="8">
        <v>145607.921875</v>
      </c>
      <c r="F204" s="8">
        <f t="shared" si="6"/>
        <v>23.9375</v>
      </c>
      <c r="G204" s="8">
        <f t="shared" si="7"/>
        <v>2.39375E-2</v>
      </c>
    </row>
    <row r="205" spans="1:7" x14ac:dyDescent="0.25">
      <c r="A205" s="8">
        <v>2</v>
      </c>
      <c r="B205" s="8">
        <v>63</v>
      </c>
      <c r="C205" s="8">
        <v>358.706909</v>
      </c>
      <c r="D205" s="8">
        <v>148931.578125</v>
      </c>
      <c r="E205" s="8">
        <v>148949.359375</v>
      </c>
      <c r="F205" s="8">
        <f t="shared" si="6"/>
        <v>17.78125</v>
      </c>
      <c r="G205" s="8">
        <f t="shared" si="7"/>
        <v>1.7781249999999998E-2</v>
      </c>
    </row>
    <row r="206" spans="1:7" x14ac:dyDescent="0.25">
      <c r="A206" s="8">
        <v>2</v>
      </c>
      <c r="B206" s="8">
        <v>64</v>
      </c>
      <c r="C206" s="8">
        <v>3419.8073730000001</v>
      </c>
      <c r="D206" s="8">
        <v>149322.375</v>
      </c>
      <c r="E206" s="8">
        <v>149331.015625</v>
      </c>
      <c r="F206" s="8">
        <f t="shared" si="6"/>
        <v>8.640625</v>
      </c>
      <c r="G206" s="8">
        <f t="shared" si="7"/>
        <v>8.6406250000000007E-3</v>
      </c>
    </row>
    <row r="207" spans="1:7" x14ac:dyDescent="0.25">
      <c r="A207" s="8">
        <v>2</v>
      </c>
      <c r="B207" s="8">
        <v>65</v>
      </c>
      <c r="C207" s="8">
        <v>95.189132999999998</v>
      </c>
      <c r="D207" s="8">
        <v>152765.546875</v>
      </c>
      <c r="E207" s="8">
        <v>152782.96875</v>
      </c>
      <c r="F207" s="8">
        <f t="shared" si="6"/>
        <v>17.421875</v>
      </c>
      <c r="G207" s="8">
        <f t="shared" si="7"/>
        <v>1.7421875E-2</v>
      </c>
    </row>
    <row r="208" spans="1:7" x14ac:dyDescent="0.25">
      <c r="A208" s="8">
        <v>2</v>
      </c>
      <c r="B208" s="8">
        <v>66</v>
      </c>
      <c r="C208" s="8">
        <v>527.29986599999995</v>
      </c>
      <c r="D208" s="8">
        <v>152890.75</v>
      </c>
      <c r="E208" s="8">
        <v>152906.1875</v>
      </c>
      <c r="F208" s="8">
        <f t="shared" si="6"/>
        <v>15.4375</v>
      </c>
      <c r="G208" s="8">
        <f t="shared" si="7"/>
        <v>1.54375E-2</v>
      </c>
    </row>
    <row r="209" spans="1:7" x14ac:dyDescent="0.25">
      <c r="A209" s="8">
        <v>2</v>
      </c>
      <c r="B209" s="8">
        <v>67</v>
      </c>
      <c r="C209" s="8">
        <v>554.49700900000005</v>
      </c>
      <c r="D209" s="8">
        <v>153437.6875</v>
      </c>
      <c r="E209" s="8">
        <v>153460.765625</v>
      </c>
      <c r="F209" s="8">
        <f t="shared" si="6"/>
        <v>23.078125</v>
      </c>
      <c r="G209" s="8">
        <f t="shared" si="7"/>
        <v>2.3078125000000001E-2</v>
      </c>
    </row>
    <row r="210" spans="1:7" x14ac:dyDescent="0.25">
      <c r="A210" s="8">
        <v>2</v>
      </c>
      <c r="B210" s="8">
        <v>68</v>
      </c>
      <c r="C210" s="8">
        <v>1415.2513429999999</v>
      </c>
      <c r="D210" s="8">
        <v>154015.859375</v>
      </c>
      <c r="E210" s="8">
        <v>154035.15625</v>
      </c>
      <c r="F210" s="8">
        <f t="shared" si="6"/>
        <v>19.296875</v>
      </c>
      <c r="G210" s="8">
        <f t="shared" si="7"/>
        <v>1.9296875000000002E-2</v>
      </c>
    </row>
    <row r="211" spans="1:7" x14ac:dyDescent="0.25">
      <c r="A211" s="8">
        <v>2</v>
      </c>
      <c r="B211" s="8">
        <v>69</v>
      </c>
      <c r="C211" s="8">
        <v>829.94183299999997</v>
      </c>
      <c r="D211" s="8">
        <v>155453.59375</v>
      </c>
      <c r="E211" s="8">
        <v>155461.375</v>
      </c>
      <c r="F211" s="8">
        <f t="shared" si="6"/>
        <v>7.78125</v>
      </c>
      <c r="G211" s="8">
        <f t="shared" si="7"/>
        <v>7.78125E-3</v>
      </c>
    </row>
    <row r="212" spans="1:7" x14ac:dyDescent="0.25">
      <c r="A212" s="8">
        <v>2</v>
      </c>
      <c r="B212" s="8">
        <v>70</v>
      </c>
      <c r="C212" s="8">
        <v>4842.5375979999999</v>
      </c>
      <c r="D212" s="8">
        <v>156297.390625</v>
      </c>
      <c r="E212" s="8">
        <v>156309.65625</v>
      </c>
      <c r="F212" s="8">
        <f t="shared" si="6"/>
        <v>12.265625</v>
      </c>
      <c r="G212" s="8">
        <f t="shared" si="7"/>
        <v>1.2265625E-2</v>
      </c>
    </row>
    <row r="213" spans="1:7" x14ac:dyDescent="0.25">
      <c r="A213" s="8">
        <v>2</v>
      </c>
      <c r="B213" s="8">
        <v>71</v>
      </c>
      <c r="C213" s="8">
        <v>2014.7052000000001</v>
      </c>
      <c r="D213" s="8">
        <v>161158.3125</v>
      </c>
      <c r="E213" s="8">
        <v>161176.609375</v>
      </c>
      <c r="F213" s="8">
        <f t="shared" si="6"/>
        <v>18.296875</v>
      </c>
      <c r="G213" s="8">
        <f t="shared" si="7"/>
        <v>1.8296875000000001E-2</v>
      </c>
    </row>
    <row r="214" spans="1:7" x14ac:dyDescent="0.25">
      <c r="A214" s="8">
        <v>2</v>
      </c>
      <c r="B214" s="8">
        <v>72</v>
      </c>
      <c r="C214" s="8">
        <v>2505.953125</v>
      </c>
      <c r="D214" s="8">
        <v>163205.875</v>
      </c>
      <c r="E214" s="8">
        <v>163246.796875</v>
      </c>
      <c r="F214" s="8">
        <f t="shared" si="6"/>
        <v>40.921875</v>
      </c>
      <c r="G214" s="8">
        <f t="shared" si="7"/>
        <v>4.0921875000000003E-2</v>
      </c>
    </row>
    <row r="215" spans="1:7" x14ac:dyDescent="0.25">
      <c r="A215" s="8">
        <v>2</v>
      </c>
      <c r="B215" s="8">
        <v>73</v>
      </c>
      <c r="C215" s="8">
        <v>1508.161621</v>
      </c>
      <c r="D215" s="8">
        <v>165764.796875</v>
      </c>
      <c r="E215" s="8">
        <v>165786.984375</v>
      </c>
      <c r="F215" s="8">
        <f t="shared" si="6"/>
        <v>22.1875</v>
      </c>
      <c r="G215" s="8">
        <f t="shared" si="7"/>
        <v>2.2187499999999999E-2</v>
      </c>
    </row>
    <row r="216" spans="1:7" x14ac:dyDescent="0.25">
      <c r="A216" s="8">
        <v>2</v>
      </c>
      <c r="B216" s="8">
        <v>74</v>
      </c>
      <c r="C216" s="8">
        <v>13.657724</v>
      </c>
      <c r="D216" s="8">
        <v>167306.6875</v>
      </c>
      <c r="E216" s="8">
        <v>167318.03125</v>
      </c>
      <c r="F216" s="8">
        <f t="shared" si="6"/>
        <v>11.34375</v>
      </c>
      <c r="G216" s="8">
        <f t="shared" si="7"/>
        <v>1.134375E-2</v>
      </c>
    </row>
    <row r="217" spans="1:7" x14ac:dyDescent="0.25">
      <c r="A217" s="8">
        <v>2</v>
      </c>
      <c r="B217" s="8">
        <v>75</v>
      </c>
      <c r="C217" s="8">
        <v>108.54817199999999</v>
      </c>
      <c r="D217" s="8">
        <v>167337.75</v>
      </c>
      <c r="E217" s="8">
        <v>167345.390625</v>
      </c>
      <c r="F217" s="8">
        <f t="shared" si="6"/>
        <v>7.640625</v>
      </c>
      <c r="G217" s="8">
        <f t="shared" si="7"/>
        <v>7.6406249999999998E-3</v>
      </c>
    </row>
    <row r="218" spans="1:7" x14ac:dyDescent="0.25">
      <c r="A218" s="8">
        <v>2</v>
      </c>
      <c r="B218" s="8">
        <v>76</v>
      </c>
      <c r="C218" s="8">
        <v>553.36981200000002</v>
      </c>
      <c r="D218" s="8">
        <v>167462.765625</v>
      </c>
      <c r="E218" s="8">
        <v>167473.828125</v>
      </c>
      <c r="F218" s="8">
        <f t="shared" si="6"/>
        <v>11.0625</v>
      </c>
      <c r="G218" s="8">
        <f t="shared" si="7"/>
        <v>1.1062499999999999E-2</v>
      </c>
    </row>
    <row r="219" spans="1:7" x14ac:dyDescent="0.25">
      <c r="A219" s="8">
        <v>2</v>
      </c>
      <c r="B219" s="8">
        <v>77</v>
      </c>
      <c r="C219" s="8">
        <v>4897.5839839999999</v>
      </c>
      <c r="D219" s="8">
        <v>168041.71875</v>
      </c>
      <c r="E219" s="8">
        <v>168053.90625</v>
      </c>
      <c r="F219" s="8">
        <f t="shared" si="6"/>
        <v>12.1875</v>
      </c>
      <c r="G219" s="8">
        <f t="shared" si="7"/>
        <v>1.21875E-2</v>
      </c>
    </row>
    <row r="220" spans="1:7" x14ac:dyDescent="0.25">
      <c r="A220" s="8">
        <v>3</v>
      </c>
      <c r="B220" s="8">
        <v>0</v>
      </c>
      <c r="C220" s="8">
        <v>215.83427399999999</v>
      </c>
      <c r="D220" s="8">
        <v>20844.289063</v>
      </c>
      <c r="E220" s="8">
        <v>20969.076172000001</v>
      </c>
      <c r="F220" s="8">
        <f t="shared" si="6"/>
        <v>124.78710900000078</v>
      </c>
      <c r="G220" s="8">
        <f t="shared" si="7"/>
        <v>0.12478710900000078</v>
      </c>
    </row>
    <row r="221" spans="1:7" x14ac:dyDescent="0.25">
      <c r="A221" s="8">
        <v>3</v>
      </c>
      <c r="B221" s="8">
        <v>1</v>
      </c>
      <c r="C221" s="8">
        <v>5297.4345700000003</v>
      </c>
      <c r="D221" s="8">
        <v>21188.138672000001</v>
      </c>
      <c r="E221" s="8">
        <v>21204.759765999999</v>
      </c>
      <c r="F221" s="8">
        <f t="shared" si="6"/>
        <v>16.621093999998266</v>
      </c>
      <c r="G221" s="8">
        <f t="shared" si="7"/>
        <v>1.6621093999998265E-2</v>
      </c>
    </row>
    <row r="222" spans="1:7" x14ac:dyDescent="0.25">
      <c r="A222" s="8">
        <v>3</v>
      </c>
      <c r="B222" s="8">
        <v>2</v>
      </c>
      <c r="C222" s="8">
        <v>1108.7910159999999</v>
      </c>
      <c r="D222" s="8">
        <v>26508.572265999999</v>
      </c>
      <c r="E222" s="8">
        <v>26645.400390999999</v>
      </c>
      <c r="F222" s="8">
        <f t="shared" si="6"/>
        <v>136.828125</v>
      </c>
      <c r="G222" s="8">
        <f t="shared" si="7"/>
        <v>0.13682812499999999</v>
      </c>
    </row>
    <row r="223" spans="1:7" x14ac:dyDescent="0.25">
      <c r="A223" s="8">
        <v>3</v>
      </c>
      <c r="B223" s="8">
        <v>3</v>
      </c>
      <c r="C223" s="8">
        <v>35.035159999999998</v>
      </c>
      <c r="D223" s="8">
        <v>27759.703125</v>
      </c>
      <c r="E223" s="8">
        <v>27776.818359000001</v>
      </c>
      <c r="F223" s="8">
        <f t="shared" si="6"/>
        <v>17.115234000000783</v>
      </c>
      <c r="G223" s="8">
        <f t="shared" si="7"/>
        <v>1.7115234000000784E-2</v>
      </c>
    </row>
    <row r="224" spans="1:7" x14ac:dyDescent="0.25">
      <c r="A224" s="8">
        <v>3</v>
      </c>
      <c r="B224" s="8">
        <v>4</v>
      </c>
      <c r="C224" s="8">
        <v>1243.6142580000001</v>
      </c>
      <c r="D224" s="8">
        <v>27822.201172000001</v>
      </c>
      <c r="E224" s="8">
        <v>27835.423827999999</v>
      </c>
      <c r="F224" s="8">
        <f t="shared" si="6"/>
        <v>13.222655999998096</v>
      </c>
      <c r="G224" s="8">
        <f t="shared" si="7"/>
        <v>1.3222655999998096E-2</v>
      </c>
    </row>
    <row r="225" spans="1:7" x14ac:dyDescent="0.25">
      <c r="A225" s="8">
        <v>3</v>
      </c>
      <c r="B225" s="8">
        <v>5</v>
      </c>
      <c r="C225" s="8">
        <v>1700.729126</v>
      </c>
      <c r="D225" s="8">
        <v>29090.224609000001</v>
      </c>
      <c r="E225" s="8">
        <v>29122.515625</v>
      </c>
      <c r="F225" s="8">
        <f t="shared" si="6"/>
        <v>32.291015999999217</v>
      </c>
      <c r="G225" s="8">
        <f t="shared" si="7"/>
        <v>3.2291015999999215E-2</v>
      </c>
    </row>
    <row r="226" spans="1:7" x14ac:dyDescent="0.25">
      <c r="A226" s="8">
        <v>3</v>
      </c>
      <c r="B226" s="8">
        <v>6</v>
      </c>
      <c r="C226" s="8">
        <v>154.041718</v>
      </c>
      <c r="D226" s="8">
        <v>30829.550781000002</v>
      </c>
      <c r="E226" s="8">
        <v>30838.138672000001</v>
      </c>
      <c r="F226" s="8">
        <f t="shared" si="6"/>
        <v>8.5878909999992175</v>
      </c>
      <c r="G226" s="8">
        <f t="shared" si="7"/>
        <v>8.5878909999992179E-3</v>
      </c>
    </row>
    <row r="227" spans="1:7" x14ac:dyDescent="0.25">
      <c r="A227" s="8">
        <v>3</v>
      </c>
      <c r="B227" s="8">
        <v>7</v>
      </c>
      <c r="C227" s="8">
        <v>139.00178500000001</v>
      </c>
      <c r="D227" s="8">
        <v>31003.494140999999</v>
      </c>
      <c r="E227" s="8">
        <v>31014.466797000001</v>
      </c>
      <c r="F227" s="8">
        <f t="shared" si="6"/>
        <v>10.972656000001734</v>
      </c>
      <c r="G227" s="8">
        <f t="shared" si="7"/>
        <v>1.0972656000001734E-2</v>
      </c>
    </row>
    <row r="228" spans="1:7" x14ac:dyDescent="0.25">
      <c r="A228" s="8">
        <v>3</v>
      </c>
      <c r="B228" s="8">
        <v>8</v>
      </c>
      <c r="C228" s="8">
        <v>278.82519500000001</v>
      </c>
      <c r="D228" s="8">
        <v>31159.765625</v>
      </c>
      <c r="E228" s="8">
        <v>31169.941406000002</v>
      </c>
      <c r="F228" s="8">
        <f t="shared" si="6"/>
        <v>10.175781000001734</v>
      </c>
      <c r="G228" s="8">
        <f t="shared" si="7"/>
        <v>1.0175781000001735E-2</v>
      </c>
    </row>
    <row r="229" spans="1:7" x14ac:dyDescent="0.25">
      <c r="A229" s="8">
        <v>3</v>
      </c>
      <c r="B229" s="8">
        <v>9</v>
      </c>
      <c r="C229" s="8">
        <v>2503.6042480000001</v>
      </c>
      <c r="D229" s="8">
        <v>31456.609375</v>
      </c>
      <c r="E229" s="8">
        <v>31482</v>
      </c>
      <c r="F229" s="8">
        <f t="shared" si="6"/>
        <v>25.390625</v>
      </c>
      <c r="G229" s="8">
        <f t="shared" si="7"/>
        <v>2.5390625E-2</v>
      </c>
    </row>
    <row r="230" spans="1:7" x14ac:dyDescent="0.25">
      <c r="A230" s="8">
        <v>3</v>
      </c>
      <c r="B230" s="8">
        <v>10</v>
      </c>
      <c r="C230" s="8">
        <v>1185.4735109999999</v>
      </c>
      <c r="D230" s="8">
        <v>33993.859375</v>
      </c>
      <c r="E230" s="8">
        <v>34015.925780999998</v>
      </c>
      <c r="F230" s="8">
        <f t="shared" si="6"/>
        <v>22.066405999998096</v>
      </c>
      <c r="G230" s="8">
        <f t="shared" si="7"/>
        <v>2.2066405999998095E-2</v>
      </c>
    </row>
    <row r="231" spans="1:7" x14ac:dyDescent="0.25">
      <c r="A231" s="8">
        <v>3</v>
      </c>
      <c r="B231" s="8">
        <v>11</v>
      </c>
      <c r="C231" s="8">
        <v>4301.4868159999996</v>
      </c>
      <c r="D231" s="8">
        <v>35201.929687999997</v>
      </c>
      <c r="E231" s="8">
        <v>35212.058594000002</v>
      </c>
      <c r="F231" s="8">
        <f t="shared" si="6"/>
        <v>10.128906000005372</v>
      </c>
      <c r="G231" s="8">
        <f t="shared" si="7"/>
        <v>1.0128906000005372E-2</v>
      </c>
    </row>
    <row r="232" spans="1:7" x14ac:dyDescent="0.25">
      <c r="A232" s="8">
        <v>3</v>
      </c>
      <c r="B232" s="8">
        <v>12</v>
      </c>
      <c r="C232" s="8">
        <v>4517.2246089999999</v>
      </c>
      <c r="D232" s="8">
        <v>39527.363280999998</v>
      </c>
      <c r="E232" s="8">
        <v>39538.480469000002</v>
      </c>
      <c r="F232" s="8">
        <f t="shared" si="6"/>
        <v>11.117188000003807</v>
      </c>
      <c r="G232" s="8">
        <f t="shared" si="7"/>
        <v>1.1117188000003808E-2</v>
      </c>
    </row>
    <row r="233" spans="1:7" x14ac:dyDescent="0.25">
      <c r="A233" s="8">
        <v>3</v>
      </c>
      <c r="B233" s="8">
        <v>13</v>
      </c>
      <c r="C233" s="8">
        <v>2471.8439939999998</v>
      </c>
      <c r="D233" s="8">
        <v>44068.71875</v>
      </c>
      <c r="E233" s="8">
        <v>44094.4375</v>
      </c>
      <c r="F233" s="8">
        <f t="shared" si="6"/>
        <v>25.71875</v>
      </c>
      <c r="G233" s="8">
        <f t="shared" si="7"/>
        <v>2.5718749999999999E-2</v>
      </c>
    </row>
    <row r="234" spans="1:7" x14ac:dyDescent="0.25">
      <c r="A234" s="8">
        <v>3</v>
      </c>
      <c r="B234" s="8">
        <v>14</v>
      </c>
      <c r="C234" s="8">
        <v>3027.0739749999998</v>
      </c>
      <c r="D234" s="8">
        <v>46578.839844000002</v>
      </c>
      <c r="E234" s="8">
        <v>46595.019530999998</v>
      </c>
      <c r="F234" s="8">
        <f t="shared" si="6"/>
        <v>16.179686999996193</v>
      </c>
      <c r="G234" s="8">
        <f t="shared" si="7"/>
        <v>1.6179686999996192E-2</v>
      </c>
    </row>
    <row r="235" spans="1:7" x14ac:dyDescent="0.25">
      <c r="A235" s="8">
        <v>3</v>
      </c>
      <c r="B235" s="8">
        <v>15</v>
      </c>
      <c r="C235" s="8">
        <v>857.58367899999996</v>
      </c>
      <c r="D235" s="8">
        <v>49623.636719000002</v>
      </c>
      <c r="E235" s="8">
        <v>49641.445312999997</v>
      </c>
      <c r="F235" s="8">
        <f t="shared" si="6"/>
        <v>17.808593999994628</v>
      </c>
      <c r="G235" s="8">
        <f t="shared" si="7"/>
        <v>1.7808593999994626E-2</v>
      </c>
    </row>
    <row r="236" spans="1:7" x14ac:dyDescent="0.25">
      <c r="A236" s="8">
        <v>3</v>
      </c>
      <c r="B236" s="8">
        <v>16</v>
      </c>
      <c r="C236" s="8">
        <v>3806.9147950000001</v>
      </c>
      <c r="D236" s="8">
        <v>50502.878905999998</v>
      </c>
      <c r="E236" s="8">
        <v>50524.050780999998</v>
      </c>
      <c r="F236" s="8">
        <f t="shared" si="6"/>
        <v>21.171875</v>
      </c>
      <c r="G236" s="8">
        <f t="shared" si="7"/>
        <v>2.1171875E-2</v>
      </c>
    </row>
    <row r="237" spans="1:7" x14ac:dyDescent="0.25">
      <c r="A237" s="8">
        <v>3</v>
      </c>
      <c r="B237" s="8">
        <v>17</v>
      </c>
      <c r="C237" s="8">
        <v>1688.339111</v>
      </c>
      <c r="D237" s="8">
        <v>54331.613280999998</v>
      </c>
      <c r="E237" s="8">
        <v>54354.347655999998</v>
      </c>
      <c r="F237" s="8">
        <f t="shared" si="6"/>
        <v>22.734375</v>
      </c>
      <c r="G237" s="8">
        <f t="shared" si="7"/>
        <v>2.2734375000000001E-2</v>
      </c>
    </row>
    <row r="238" spans="1:7" x14ac:dyDescent="0.25">
      <c r="A238" s="8">
        <v>3</v>
      </c>
      <c r="B238" s="8">
        <v>18</v>
      </c>
      <c r="C238" s="8">
        <v>2272.6677249999998</v>
      </c>
      <c r="D238" s="8">
        <v>56050.550780999998</v>
      </c>
      <c r="E238" s="8">
        <v>56062.457030999998</v>
      </c>
      <c r="F238" s="8">
        <f t="shared" si="6"/>
        <v>11.90625</v>
      </c>
      <c r="G238" s="8">
        <f t="shared" si="7"/>
        <v>1.190625E-2</v>
      </c>
    </row>
    <row r="239" spans="1:7" x14ac:dyDescent="0.25">
      <c r="A239" s="8">
        <v>3</v>
      </c>
      <c r="B239" s="8">
        <v>19</v>
      </c>
      <c r="C239" s="8">
        <v>500.85949699999998</v>
      </c>
      <c r="D239" s="8">
        <v>58337.785155999998</v>
      </c>
      <c r="E239" s="8">
        <v>58358.746094000002</v>
      </c>
      <c r="F239" s="8">
        <f t="shared" si="6"/>
        <v>20.960938000003807</v>
      </c>
      <c r="G239" s="8">
        <f t="shared" si="7"/>
        <v>2.0960938000003808E-2</v>
      </c>
    </row>
    <row r="240" spans="1:7" x14ac:dyDescent="0.25">
      <c r="A240" s="8">
        <v>3</v>
      </c>
      <c r="B240" s="8">
        <v>20</v>
      </c>
      <c r="C240" s="8">
        <v>1309.595581</v>
      </c>
      <c r="D240" s="8">
        <v>58872.332030999998</v>
      </c>
      <c r="E240" s="8">
        <v>58893.25</v>
      </c>
      <c r="F240" s="8">
        <f t="shared" si="6"/>
        <v>20.917969000001904</v>
      </c>
      <c r="G240" s="8">
        <f t="shared" si="7"/>
        <v>2.0917969000001903E-2</v>
      </c>
    </row>
    <row r="241" spans="1:7" x14ac:dyDescent="0.25">
      <c r="A241" s="8">
        <v>3</v>
      </c>
      <c r="B241" s="8">
        <v>21</v>
      </c>
      <c r="C241" s="8">
        <v>124.39896400000001</v>
      </c>
      <c r="D241" s="8">
        <v>60216.226562999997</v>
      </c>
      <c r="E241" s="8">
        <v>60235.828125</v>
      </c>
      <c r="F241" s="8">
        <f t="shared" si="6"/>
        <v>19.601562000003469</v>
      </c>
      <c r="G241" s="8">
        <f t="shared" si="7"/>
        <v>1.9601562000003469E-2</v>
      </c>
    </row>
    <row r="242" spans="1:7" x14ac:dyDescent="0.25">
      <c r="A242" s="8">
        <v>3</v>
      </c>
      <c r="B242" s="8">
        <v>22</v>
      </c>
      <c r="C242" s="8">
        <v>2425.5402829999998</v>
      </c>
      <c r="D242" s="8">
        <v>60372.40625</v>
      </c>
      <c r="E242" s="8">
        <v>60393.367187999997</v>
      </c>
      <c r="F242" s="8">
        <f t="shared" si="6"/>
        <v>20.960937999996531</v>
      </c>
      <c r="G242" s="8">
        <f t="shared" si="7"/>
        <v>2.0960937999996532E-2</v>
      </c>
    </row>
    <row r="243" spans="1:7" x14ac:dyDescent="0.25">
      <c r="A243" s="8">
        <v>3</v>
      </c>
      <c r="B243" s="8">
        <v>23</v>
      </c>
      <c r="C243" s="8">
        <v>2982.6518550000001</v>
      </c>
      <c r="D243" s="8">
        <v>62829.148437999997</v>
      </c>
      <c r="E243" s="8">
        <v>62845.066405999998</v>
      </c>
      <c r="F243" s="8">
        <f t="shared" si="6"/>
        <v>15.917968000001565</v>
      </c>
      <c r="G243" s="8">
        <f t="shared" si="7"/>
        <v>1.5917968000001566E-2</v>
      </c>
    </row>
    <row r="244" spans="1:7" x14ac:dyDescent="0.25">
      <c r="A244" s="8">
        <v>3</v>
      </c>
      <c r="B244" s="8">
        <v>24</v>
      </c>
      <c r="C244" s="8">
        <v>1963.7143550000001</v>
      </c>
      <c r="D244" s="8">
        <v>65840.265625</v>
      </c>
      <c r="E244" s="8">
        <v>65863.289063000004</v>
      </c>
      <c r="F244" s="8">
        <f t="shared" si="6"/>
        <v>23.023438000003807</v>
      </c>
      <c r="G244" s="8">
        <f t="shared" si="7"/>
        <v>2.3023438000003806E-2</v>
      </c>
    </row>
    <row r="245" spans="1:7" x14ac:dyDescent="0.25">
      <c r="A245" s="8">
        <v>3</v>
      </c>
      <c r="B245" s="8">
        <v>25</v>
      </c>
      <c r="C245" s="8">
        <v>389.98693800000001</v>
      </c>
      <c r="D245" s="8">
        <v>67826.585938000004</v>
      </c>
      <c r="E245" s="8">
        <v>67843.789063000004</v>
      </c>
      <c r="F245" s="8">
        <f t="shared" si="6"/>
        <v>17.203125</v>
      </c>
      <c r="G245" s="8">
        <f t="shared" si="7"/>
        <v>1.7203125E-2</v>
      </c>
    </row>
    <row r="246" spans="1:7" x14ac:dyDescent="0.25">
      <c r="A246" s="8">
        <v>3</v>
      </c>
      <c r="B246" s="8">
        <v>26</v>
      </c>
      <c r="C246" s="8">
        <v>3186.905029</v>
      </c>
      <c r="D246" s="8">
        <v>68248.257813000004</v>
      </c>
      <c r="E246" s="8">
        <v>68255.929688000004</v>
      </c>
      <c r="F246" s="8">
        <f t="shared" si="6"/>
        <v>7.671875</v>
      </c>
      <c r="G246" s="8">
        <f t="shared" si="7"/>
        <v>7.6718749999999999E-3</v>
      </c>
    </row>
    <row r="247" spans="1:7" x14ac:dyDescent="0.25">
      <c r="A247" s="8">
        <v>3</v>
      </c>
      <c r="B247" s="8">
        <v>27</v>
      </c>
      <c r="C247" s="8">
        <v>3927.16626</v>
      </c>
      <c r="D247" s="8">
        <v>71446.945313000004</v>
      </c>
      <c r="E247" s="8">
        <v>71459.140625</v>
      </c>
      <c r="F247" s="8">
        <f t="shared" si="6"/>
        <v>12.195311999996193</v>
      </c>
      <c r="G247" s="8">
        <f t="shared" si="7"/>
        <v>1.2195311999996192E-2</v>
      </c>
    </row>
    <row r="248" spans="1:7" x14ac:dyDescent="0.25">
      <c r="A248" s="8">
        <v>3</v>
      </c>
      <c r="B248" s="8">
        <v>28</v>
      </c>
      <c r="C248" s="8">
        <v>364.04501299999998</v>
      </c>
      <c r="D248" s="8">
        <v>75393.289063000004</v>
      </c>
      <c r="E248" s="8">
        <v>75482.234375</v>
      </c>
      <c r="F248" s="8">
        <f t="shared" si="6"/>
        <v>88.945311999996193</v>
      </c>
      <c r="G248" s="8">
        <f t="shared" si="7"/>
        <v>8.8945311999996196E-2</v>
      </c>
    </row>
    <row r="249" spans="1:7" x14ac:dyDescent="0.25">
      <c r="A249" s="8">
        <v>3</v>
      </c>
      <c r="B249" s="8">
        <v>29</v>
      </c>
      <c r="C249" s="8">
        <v>1304.7845460000001</v>
      </c>
      <c r="D249" s="8">
        <v>75850.648438000004</v>
      </c>
      <c r="E249" s="8">
        <v>75880.890625</v>
      </c>
      <c r="F249" s="8">
        <f t="shared" si="6"/>
        <v>30.242186999996193</v>
      </c>
      <c r="G249" s="8">
        <f t="shared" si="7"/>
        <v>3.0242186999996194E-2</v>
      </c>
    </row>
    <row r="250" spans="1:7" x14ac:dyDescent="0.25">
      <c r="A250" s="8">
        <v>3</v>
      </c>
      <c r="B250" s="8">
        <v>30</v>
      </c>
      <c r="C250" s="8">
        <v>405.70010400000001</v>
      </c>
      <c r="D250" s="8">
        <v>77194.609375</v>
      </c>
      <c r="E250" s="8">
        <v>77215.601563000004</v>
      </c>
      <c r="F250" s="8">
        <f t="shared" si="6"/>
        <v>20.992188000003807</v>
      </c>
      <c r="G250" s="8">
        <f t="shared" si="7"/>
        <v>2.0992188000003808E-2</v>
      </c>
    </row>
    <row r="251" spans="1:7" x14ac:dyDescent="0.25">
      <c r="A251" s="8">
        <v>3</v>
      </c>
      <c r="B251" s="8">
        <v>31</v>
      </c>
      <c r="C251" s="8">
        <v>1910.498047</v>
      </c>
      <c r="D251" s="8">
        <v>77632.804688000004</v>
      </c>
      <c r="E251" s="8">
        <v>77641.234375</v>
      </c>
      <c r="F251" s="8">
        <f t="shared" si="6"/>
        <v>8.4296869999961928</v>
      </c>
      <c r="G251" s="8">
        <f t="shared" si="7"/>
        <v>8.4296869999961922E-3</v>
      </c>
    </row>
    <row r="252" spans="1:7" x14ac:dyDescent="0.25">
      <c r="A252" s="8">
        <v>3</v>
      </c>
      <c r="B252" s="8">
        <v>32</v>
      </c>
      <c r="C252" s="8">
        <v>2906.5588379999999</v>
      </c>
      <c r="D252" s="8">
        <v>79566.617188000004</v>
      </c>
      <c r="E252" s="8">
        <v>79577.820313000004</v>
      </c>
      <c r="F252" s="8">
        <f t="shared" si="6"/>
        <v>11.203125</v>
      </c>
      <c r="G252" s="8">
        <f t="shared" si="7"/>
        <v>1.1203125E-2</v>
      </c>
    </row>
    <row r="253" spans="1:7" x14ac:dyDescent="0.25">
      <c r="A253" s="8">
        <v>3</v>
      </c>
      <c r="B253" s="8">
        <v>33</v>
      </c>
      <c r="C253" s="8">
        <v>533.028503</v>
      </c>
      <c r="D253" s="8">
        <v>82495.59375</v>
      </c>
      <c r="E253" s="8">
        <v>82517.96875</v>
      </c>
      <c r="F253" s="8">
        <f t="shared" si="6"/>
        <v>22.375</v>
      </c>
      <c r="G253" s="8">
        <f t="shared" si="7"/>
        <v>2.2374999999999999E-2</v>
      </c>
    </row>
    <row r="254" spans="1:7" x14ac:dyDescent="0.25">
      <c r="A254" s="8">
        <v>3</v>
      </c>
      <c r="B254" s="8">
        <v>34</v>
      </c>
      <c r="C254" s="8">
        <v>3163.6142580000001</v>
      </c>
      <c r="D254" s="8">
        <v>83057.960938000004</v>
      </c>
      <c r="E254" s="8">
        <v>83079.632813000004</v>
      </c>
      <c r="F254" s="8">
        <f t="shared" si="6"/>
        <v>21.671875</v>
      </c>
      <c r="G254" s="8">
        <f t="shared" si="7"/>
        <v>2.1671875E-2</v>
      </c>
    </row>
    <row r="255" spans="1:7" x14ac:dyDescent="0.25">
      <c r="A255" s="8">
        <v>3</v>
      </c>
      <c r="B255" s="8">
        <v>35</v>
      </c>
      <c r="C255" s="8">
        <v>1581.363159</v>
      </c>
      <c r="D255" s="8">
        <v>86252.726563000004</v>
      </c>
      <c r="E255" s="8">
        <v>86267.992188000004</v>
      </c>
      <c r="F255" s="8">
        <f t="shared" si="6"/>
        <v>15.265625</v>
      </c>
      <c r="G255" s="8">
        <f t="shared" si="7"/>
        <v>1.5265625E-2</v>
      </c>
    </row>
    <row r="256" spans="1:7" x14ac:dyDescent="0.25">
      <c r="A256" s="8">
        <v>3</v>
      </c>
      <c r="B256" s="8">
        <v>36</v>
      </c>
      <c r="C256" s="8">
        <v>1451.4954829999999</v>
      </c>
      <c r="D256" s="8">
        <v>87849.820313000004</v>
      </c>
      <c r="E256" s="8">
        <v>87863.53125</v>
      </c>
      <c r="F256" s="8">
        <f t="shared" si="6"/>
        <v>13.710936999996193</v>
      </c>
      <c r="G256" s="8">
        <f t="shared" si="7"/>
        <v>1.3710936999996193E-2</v>
      </c>
    </row>
    <row r="257" spans="1:7" x14ac:dyDescent="0.25">
      <c r="A257" s="8">
        <v>3</v>
      </c>
      <c r="B257" s="8">
        <v>37</v>
      </c>
      <c r="C257" s="8">
        <v>3826.2546390000002</v>
      </c>
      <c r="D257" s="8">
        <v>89318.6875</v>
      </c>
      <c r="E257" s="8">
        <v>89341.257813000004</v>
      </c>
      <c r="F257" s="8">
        <f t="shared" si="6"/>
        <v>22.570313000003807</v>
      </c>
      <c r="G257" s="8">
        <f t="shared" si="7"/>
        <v>2.2570313000003808E-2</v>
      </c>
    </row>
    <row r="258" spans="1:7" x14ac:dyDescent="0.25">
      <c r="A258" s="8">
        <v>3</v>
      </c>
      <c r="B258" s="8">
        <v>38</v>
      </c>
      <c r="C258" s="8">
        <v>3679.9887699999999</v>
      </c>
      <c r="D258" s="8">
        <v>93169.78125</v>
      </c>
      <c r="E258" s="8">
        <v>93187.953125</v>
      </c>
      <c r="F258" s="8">
        <f t="shared" si="6"/>
        <v>18.171875</v>
      </c>
      <c r="G258" s="8">
        <f t="shared" si="7"/>
        <v>1.8171875000000001E-2</v>
      </c>
    </row>
    <row r="259" spans="1:7" x14ac:dyDescent="0.25">
      <c r="A259" s="8">
        <v>3</v>
      </c>
      <c r="B259" s="8">
        <v>39</v>
      </c>
      <c r="C259" s="8">
        <v>403.234375</v>
      </c>
      <c r="D259" s="8">
        <v>96868.585938000004</v>
      </c>
      <c r="E259" s="8">
        <v>96886.179688000004</v>
      </c>
      <c r="F259" s="8">
        <f t="shared" si="6"/>
        <v>17.59375</v>
      </c>
      <c r="G259" s="8">
        <f t="shared" si="7"/>
        <v>1.7593749999999998E-2</v>
      </c>
    </row>
    <row r="260" spans="1:7" x14ac:dyDescent="0.25">
      <c r="A260" s="8">
        <v>3</v>
      </c>
      <c r="B260" s="8">
        <v>40</v>
      </c>
      <c r="C260" s="8">
        <v>3555.938232</v>
      </c>
      <c r="D260" s="8">
        <v>97293.921875</v>
      </c>
      <c r="E260" s="8">
        <v>97309.710938000004</v>
      </c>
      <c r="F260" s="8">
        <f t="shared" si="6"/>
        <v>15.789063000003807</v>
      </c>
      <c r="G260" s="8">
        <f t="shared" si="7"/>
        <v>1.5789063000003808E-2</v>
      </c>
    </row>
    <row r="261" spans="1:7" x14ac:dyDescent="0.25">
      <c r="A261" s="8">
        <v>3</v>
      </c>
      <c r="B261" s="8">
        <v>41</v>
      </c>
      <c r="C261" s="8">
        <v>1730.5214840000001</v>
      </c>
      <c r="D261" s="8">
        <v>100870.21875</v>
      </c>
      <c r="E261" s="8">
        <v>100893.445313</v>
      </c>
      <c r="F261" s="8">
        <f t="shared" si="6"/>
        <v>23.226563000003807</v>
      </c>
      <c r="G261" s="8">
        <f t="shared" si="7"/>
        <v>2.3226563000003808E-2</v>
      </c>
    </row>
    <row r="262" spans="1:7" x14ac:dyDescent="0.25">
      <c r="A262" s="8">
        <v>3</v>
      </c>
      <c r="B262" s="8">
        <v>42</v>
      </c>
      <c r="C262" s="8">
        <v>1939.261841</v>
      </c>
      <c r="D262" s="8">
        <v>102625.453125</v>
      </c>
      <c r="E262" s="8">
        <v>102639.679688</v>
      </c>
      <c r="F262" s="8">
        <f t="shared" si="6"/>
        <v>14.226563000003807</v>
      </c>
      <c r="G262" s="8">
        <f t="shared" si="7"/>
        <v>1.4226563000003807E-2</v>
      </c>
    </row>
    <row r="263" spans="1:7" x14ac:dyDescent="0.25">
      <c r="A263" s="8">
        <v>3</v>
      </c>
      <c r="B263" s="8">
        <v>43</v>
      </c>
      <c r="C263" s="8">
        <v>83.381766999999996</v>
      </c>
      <c r="D263" s="8">
        <v>104581.492188</v>
      </c>
      <c r="E263" s="8">
        <v>104595.359375</v>
      </c>
      <c r="F263" s="8">
        <f t="shared" si="6"/>
        <v>13.867186999996193</v>
      </c>
      <c r="G263" s="8">
        <f t="shared" si="7"/>
        <v>1.3867186999996194E-2</v>
      </c>
    </row>
    <row r="264" spans="1:7" x14ac:dyDescent="0.25">
      <c r="A264" s="8">
        <v>3</v>
      </c>
      <c r="B264" s="8">
        <v>44</v>
      </c>
      <c r="C264" s="8">
        <v>1147.1979980000001</v>
      </c>
      <c r="D264" s="8">
        <v>104690.6875</v>
      </c>
      <c r="E264" s="8">
        <v>104699.125</v>
      </c>
      <c r="F264" s="8">
        <f t="shared" si="6"/>
        <v>8.4375</v>
      </c>
      <c r="G264" s="8">
        <f t="shared" si="7"/>
        <v>8.4375000000000006E-3</v>
      </c>
    </row>
    <row r="265" spans="1:7" x14ac:dyDescent="0.25">
      <c r="A265" s="8">
        <v>3</v>
      </c>
      <c r="B265" s="8">
        <v>45</v>
      </c>
      <c r="C265" s="8">
        <v>4757.1035160000001</v>
      </c>
      <c r="D265" s="8">
        <v>105859.695313</v>
      </c>
      <c r="E265" s="8">
        <v>105869.125</v>
      </c>
      <c r="F265" s="8">
        <f t="shared" si="6"/>
        <v>9.4296869999961928</v>
      </c>
      <c r="G265" s="8">
        <f t="shared" si="7"/>
        <v>9.4296869999961931E-3</v>
      </c>
    </row>
    <row r="266" spans="1:7" x14ac:dyDescent="0.25">
      <c r="A266" s="8">
        <v>3</v>
      </c>
      <c r="B266" s="8">
        <v>46</v>
      </c>
      <c r="C266" s="8">
        <v>313.64920000000001</v>
      </c>
      <c r="D266" s="8">
        <v>110627.140625</v>
      </c>
      <c r="E266" s="8">
        <v>110648.109375</v>
      </c>
      <c r="F266" s="8">
        <f t="shared" si="6"/>
        <v>20.96875</v>
      </c>
      <c r="G266" s="8">
        <f t="shared" si="7"/>
        <v>2.0968750000000001E-2</v>
      </c>
    </row>
    <row r="267" spans="1:7" x14ac:dyDescent="0.25">
      <c r="A267" s="8">
        <v>3</v>
      </c>
      <c r="B267" s="8">
        <v>47</v>
      </c>
      <c r="C267" s="8">
        <v>233.79672199999999</v>
      </c>
      <c r="D267" s="8">
        <v>110970.9375</v>
      </c>
      <c r="E267" s="8">
        <v>110978.9375</v>
      </c>
      <c r="F267" s="8">
        <f t="shared" ref="F267:F330" si="8">E267-D267</f>
        <v>8</v>
      </c>
      <c r="G267" s="8">
        <f t="shared" ref="G267:G330" si="9">F267/1000</f>
        <v>8.0000000000000002E-3</v>
      </c>
    </row>
    <row r="268" spans="1:7" x14ac:dyDescent="0.25">
      <c r="A268" s="8">
        <v>3</v>
      </c>
      <c r="B268" s="8">
        <v>48</v>
      </c>
      <c r="C268" s="8">
        <v>3126.2631839999999</v>
      </c>
      <c r="D268" s="8">
        <v>111220.992188</v>
      </c>
      <c r="E268" s="8">
        <v>111242.226563</v>
      </c>
      <c r="F268" s="8">
        <f t="shared" si="8"/>
        <v>21.234375</v>
      </c>
      <c r="G268" s="8">
        <f t="shared" si="9"/>
        <v>2.1234375E-2</v>
      </c>
    </row>
    <row r="269" spans="1:7" x14ac:dyDescent="0.25">
      <c r="A269" s="8">
        <v>3</v>
      </c>
      <c r="B269" s="8">
        <v>49</v>
      </c>
      <c r="C269" s="8">
        <v>2324.678711</v>
      </c>
      <c r="D269" s="8">
        <v>114378.25</v>
      </c>
      <c r="E269" s="8">
        <v>114385.976563</v>
      </c>
      <c r="F269" s="8">
        <f t="shared" si="8"/>
        <v>7.7265630000038072</v>
      </c>
      <c r="G269" s="8">
        <f t="shared" si="9"/>
        <v>7.7265630000038074E-3</v>
      </c>
    </row>
    <row r="270" spans="1:7" x14ac:dyDescent="0.25">
      <c r="A270" s="8">
        <v>3</v>
      </c>
      <c r="B270" s="8">
        <v>50</v>
      </c>
      <c r="C270" s="8">
        <v>2351.9916990000002</v>
      </c>
      <c r="D270" s="8">
        <v>116723.882813</v>
      </c>
      <c r="E270" s="8">
        <v>116731.515625</v>
      </c>
      <c r="F270" s="8">
        <f t="shared" si="8"/>
        <v>7.6328119999961928</v>
      </c>
      <c r="G270" s="8">
        <f t="shared" si="9"/>
        <v>7.6328119999961924E-3</v>
      </c>
    </row>
    <row r="271" spans="1:7" x14ac:dyDescent="0.25">
      <c r="A271" s="8">
        <v>3</v>
      </c>
      <c r="B271" s="8">
        <v>51</v>
      </c>
      <c r="C271" s="8">
        <v>1718.6663820000001</v>
      </c>
      <c r="D271" s="8">
        <v>119088.210938</v>
      </c>
      <c r="E271" s="8">
        <v>119115.882813</v>
      </c>
      <c r="F271" s="8">
        <f t="shared" si="8"/>
        <v>27.671875</v>
      </c>
      <c r="G271" s="8">
        <f t="shared" si="9"/>
        <v>2.7671874999999999E-2</v>
      </c>
    </row>
    <row r="272" spans="1:7" x14ac:dyDescent="0.25">
      <c r="A272" s="8">
        <v>3</v>
      </c>
      <c r="B272" s="8">
        <v>52</v>
      </c>
      <c r="C272" s="8">
        <v>3075.9116210000002</v>
      </c>
      <c r="D272" s="8">
        <v>120845.515625</v>
      </c>
      <c r="E272" s="8">
        <v>120866.367188</v>
      </c>
      <c r="F272" s="8">
        <f t="shared" si="8"/>
        <v>20.851563000003807</v>
      </c>
      <c r="G272" s="8">
        <f t="shared" si="9"/>
        <v>2.0851563000003806E-2</v>
      </c>
    </row>
    <row r="273" spans="1:7" x14ac:dyDescent="0.25">
      <c r="A273" s="8">
        <v>3</v>
      </c>
      <c r="B273" s="8">
        <v>53</v>
      </c>
      <c r="C273" s="8">
        <v>1009.4001459999999</v>
      </c>
      <c r="D273" s="8">
        <v>123949.554688</v>
      </c>
      <c r="E273" s="8">
        <v>124046.203125</v>
      </c>
      <c r="F273" s="8">
        <f t="shared" si="8"/>
        <v>96.648436999996193</v>
      </c>
      <c r="G273" s="8">
        <f t="shared" si="9"/>
        <v>9.6648436999996187E-2</v>
      </c>
    </row>
    <row r="274" spans="1:7" x14ac:dyDescent="0.25">
      <c r="A274" s="8">
        <v>3</v>
      </c>
      <c r="B274" s="8">
        <v>54</v>
      </c>
      <c r="C274" s="8">
        <v>4020.6408689999998</v>
      </c>
      <c r="D274" s="8">
        <v>125064.46875</v>
      </c>
      <c r="E274" s="8">
        <v>125079.976563</v>
      </c>
      <c r="F274" s="8">
        <f t="shared" si="8"/>
        <v>15.507813000003807</v>
      </c>
      <c r="G274" s="8">
        <f t="shared" si="9"/>
        <v>1.5507813000003806E-2</v>
      </c>
    </row>
    <row r="275" spans="1:7" x14ac:dyDescent="0.25">
      <c r="A275" s="8">
        <v>3</v>
      </c>
      <c r="B275" s="8">
        <v>55</v>
      </c>
      <c r="C275" s="8">
        <v>9.9739159999999991</v>
      </c>
      <c r="D275" s="8">
        <v>129113.835938</v>
      </c>
      <c r="E275" s="8">
        <v>129139.796875</v>
      </c>
      <c r="F275" s="8">
        <f t="shared" si="8"/>
        <v>25.960936999996193</v>
      </c>
      <c r="G275" s="8">
        <f t="shared" si="9"/>
        <v>2.5960936999996194E-2</v>
      </c>
    </row>
    <row r="276" spans="1:7" x14ac:dyDescent="0.25">
      <c r="A276" s="8">
        <v>3</v>
      </c>
      <c r="B276" s="8">
        <v>56</v>
      </c>
      <c r="C276" s="8">
        <v>147.920242</v>
      </c>
      <c r="D276" s="8">
        <v>129160.734375</v>
      </c>
      <c r="E276" s="8">
        <v>129179.328125</v>
      </c>
      <c r="F276" s="8">
        <f t="shared" si="8"/>
        <v>18.59375</v>
      </c>
      <c r="G276" s="8">
        <f t="shared" si="9"/>
        <v>1.8593749999999999E-2</v>
      </c>
    </row>
    <row r="277" spans="1:7" x14ac:dyDescent="0.25">
      <c r="A277" s="8">
        <v>3</v>
      </c>
      <c r="B277" s="8">
        <v>57</v>
      </c>
      <c r="C277" s="8">
        <v>1555.157837</v>
      </c>
      <c r="D277" s="8">
        <v>129332.53125</v>
      </c>
      <c r="E277" s="8">
        <v>129379.5625</v>
      </c>
      <c r="F277" s="8">
        <f t="shared" si="8"/>
        <v>47.03125</v>
      </c>
      <c r="G277" s="8">
        <f t="shared" si="9"/>
        <v>4.7031249999999997E-2</v>
      </c>
    </row>
    <row r="278" spans="1:7" x14ac:dyDescent="0.25">
      <c r="A278" s="8">
        <v>3</v>
      </c>
      <c r="B278" s="8">
        <v>58</v>
      </c>
      <c r="C278" s="8">
        <v>644.43676800000003</v>
      </c>
      <c r="D278" s="8">
        <v>130942.039063</v>
      </c>
      <c r="E278" s="8">
        <v>130955.179688</v>
      </c>
      <c r="F278" s="8">
        <f t="shared" si="8"/>
        <v>13.140625</v>
      </c>
      <c r="G278" s="8">
        <f t="shared" si="9"/>
        <v>1.3140625E-2</v>
      </c>
    </row>
    <row r="279" spans="1:7" x14ac:dyDescent="0.25">
      <c r="A279" s="8">
        <v>3</v>
      </c>
      <c r="B279" s="8">
        <v>59</v>
      </c>
      <c r="C279" s="8">
        <v>2422.4638669999999</v>
      </c>
      <c r="D279" s="8">
        <v>131608.078125</v>
      </c>
      <c r="E279" s="8">
        <v>131631.875</v>
      </c>
      <c r="F279" s="8">
        <f t="shared" si="8"/>
        <v>23.796875</v>
      </c>
      <c r="G279" s="8">
        <f t="shared" si="9"/>
        <v>2.3796874999999999E-2</v>
      </c>
    </row>
    <row r="280" spans="1:7" x14ac:dyDescent="0.25">
      <c r="A280" s="8">
        <v>3</v>
      </c>
      <c r="B280" s="8">
        <v>60</v>
      </c>
      <c r="C280" s="8">
        <v>3793.040039</v>
      </c>
      <c r="D280" s="8">
        <v>134066.078125</v>
      </c>
      <c r="E280" s="8">
        <v>134078.125</v>
      </c>
      <c r="F280" s="8">
        <f t="shared" si="8"/>
        <v>12.046875</v>
      </c>
      <c r="G280" s="8">
        <f t="shared" si="9"/>
        <v>1.2046875E-2</v>
      </c>
    </row>
    <row r="281" spans="1:7" x14ac:dyDescent="0.25">
      <c r="A281" s="8">
        <v>3</v>
      </c>
      <c r="B281" s="8">
        <v>61</v>
      </c>
      <c r="C281" s="8">
        <v>2128.8845209999999</v>
      </c>
      <c r="D281" s="8">
        <v>137874.75</v>
      </c>
      <c r="E281" s="8">
        <v>137897.328125</v>
      </c>
      <c r="F281" s="8">
        <f t="shared" si="8"/>
        <v>22.578125</v>
      </c>
      <c r="G281" s="8">
        <f t="shared" si="9"/>
        <v>2.2578125000000001E-2</v>
      </c>
    </row>
    <row r="282" spans="1:7" x14ac:dyDescent="0.25">
      <c r="A282" s="8">
        <v>3</v>
      </c>
      <c r="B282" s="8">
        <v>62</v>
      </c>
      <c r="C282" s="8">
        <v>1019.02832</v>
      </c>
      <c r="D282" s="8">
        <v>140037.84375</v>
      </c>
      <c r="E282" s="8">
        <v>140046.265625</v>
      </c>
      <c r="F282" s="8">
        <f t="shared" si="8"/>
        <v>8.421875</v>
      </c>
      <c r="G282" s="8">
        <f t="shared" si="9"/>
        <v>8.4218750000000005E-3</v>
      </c>
    </row>
    <row r="283" spans="1:7" x14ac:dyDescent="0.25">
      <c r="A283" s="8">
        <v>3</v>
      </c>
      <c r="B283" s="8">
        <v>63</v>
      </c>
      <c r="C283" s="8">
        <v>1282.755737</v>
      </c>
      <c r="D283" s="8">
        <v>141076.59375</v>
      </c>
      <c r="E283" s="8">
        <v>141105.171875</v>
      </c>
      <c r="F283" s="8">
        <f t="shared" si="8"/>
        <v>28.578125</v>
      </c>
      <c r="G283" s="8">
        <f t="shared" si="9"/>
        <v>2.8578124999999999E-2</v>
      </c>
    </row>
    <row r="284" spans="1:7" x14ac:dyDescent="0.25">
      <c r="A284" s="8">
        <v>3</v>
      </c>
      <c r="B284" s="8">
        <v>64</v>
      </c>
      <c r="C284" s="8">
        <v>1284.3793949999999</v>
      </c>
      <c r="D284" s="8">
        <v>142390.203125</v>
      </c>
      <c r="E284" s="8">
        <v>142411</v>
      </c>
      <c r="F284" s="8">
        <f t="shared" si="8"/>
        <v>20.796875</v>
      </c>
      <c r="G284" s="8">
        <f t="shared" si="9"/>
        <v>2.0796874999999999E-2</v>
      </c>
    </row>
    <row r="285" spans="1:7" x14ac:dyDescent="0.25">
      <c r="A285" s="8">
        <v>3</v>
      </c>
      <c r="B285" s="8">
        <v>65</v>
      </c>
      <c r="C285" s="8">
        <v>4143.2578130000002</v>
      </c>
      <c r="D285" s="8">
        <v>143697.40625</v>
      </c>
      <c r="E285" s="8">
        <v>143708.578125</v>
      </c>
      <c r="F285" s="8">
        <f t="shared" si="8"/>
        <v>11.171875</v>
      </c>
      <c r="G285" s="8">
        <f t="shared" si="9"/>
        <v>1.1171875E-2</v>
      </c>
    </row>
    <row r="286" spans="1:7" x14ac:dyDescent="0.25">
      <c r="A286" s="8">
        <v>3</v>
      </c>
      <c r="B286" s="8">
        <v>66</v>
      </c>
      <c r="C286" s="8">
        <v>2827.976807</v>
      </c>
      <c r="D286" s="8">
        <v>147865.53125</v>
      </c>
      <c r="E286" s="8">
        <v>147873.28125</v>
      </c>
      <c r="F286" s="8">
        <f t="shared" si="8"/>
        <v>7.75</v>
      </c>
      <c r="G286" s="8">
        <f t="shared" si="9"/>
        <v>7.7499999999999999E-3</v>
      </c>
    </row>
    <row r="287" spans="1:7" x14ac:dyDescent="0.25">
      <c r="A287" s="8">
        <v>3</v>
      </c>
      <c r="B287" s="8">
        <v>67</v>
      </c>
      <c r="C287" s="8">
        <v>1369.9423830000001</v>
      </c>
      <c r="D287" s="8">
        <v>150702.0625</v>
      </c>
      <c r="E287" s="8">
        <v>150726.671875</v>
      </c>
      <c r="F287" s="8">
        <f t="shared" si="8"/>
        <v>24.609375</v>
      </c>
      <c r="G287" s="8">
        <f t="shared" si="9"/>
        <v>2.4609374999999999E-2</v>
      </c>
    </row>
    <row r="288" spans="1:7" x14ac:dyDescent="0.25">
      <c r="A288" s="8">
        <v>3</v>
      </c>
      <c r="B288" s="8">
        <v>68</v>
      </c>
      <c r="C288" s="8">
        <v>2438.1000979999999</v>
      </c>
      <c r="D288" s="8">
        <v>152108.40625</v>
      </c>
      <c r="E288" s="8">
        <v>152116.375</v>
      </c>
      <c r="F288" s="8">
        <f t="shared" si="8"/>
        <v>7.96875</v>
      </c>
      <c r="G288" s="8">
        <f t="shared" si="9"/>
        <v>7.9687500000000001E-3</v>
      </c>
    </row>
    <row r="289" spans="1:7" x14ac:dyDescent="0.25">
      <c r="A289" s="8">
        <v>3</v>
      </c>
      <c r="B289" s="8">
        <v>69</v>
      </c>
      <c r="C289" s="8">
        <v>1536.3845209999999</v>
      </c>
      <c r="D289" s="8">
        <v>154562.8125</v>
      </c>
      <c r="E289" s="8">
        <v>154581.28125</v>
      </c>
      <c r="F289" s="8">
        <f t="shared" si="8"/>
        <v>18.46875</v>
      </c>
      <c r="G289" s="8">
        <f t="shared" si="9"/>
        <v>1.8468749999999999E-2</v>
      </c>
    </row>
    <row r="290" spans="1:7" x14ac:dyDescent="0.25">
      <c r="A290" s="8">
        <v>3</v>
      </c>
      <c r="B290" s="8">
        <v>70</v>
      </c>
      <c r="C290" s="8">
        <v>6654.6064450000003</v>
      </c>
      <c r="D290" s="8">
        <v>156125.4375</v>
      </c>
      <c r="E290" s="8">
        <v>156142.859375</v>
      </c>
      <c r="F290" s="8">
        <f t="shared" si="8"/>
        <v>17.421875</v>
      </c>
      <c r="G290" s="8">
        <f t="shared" si="9"/>
        <v>1.7421875E-2</v>
      </c>
    </row>
    <row r="291" spans="1:7" x14ac:dyDescent="0.25">
      <c r="A291" s="8">
        <v>3</v>
      </c>
      <c r="B291" s="8">
        <v>71</v>
      </c>
      <c r="C291" s="8">
        <v>1489.9510499999999</v>
      </c>
      <c r="D291" s="8">
        <v>162799.609375</v>
      </c>
      <c r="E291" s="8">
        <v>162807.109375</v>
      </c>
      <c r="F291" s="8">
        <f t="shared" si="8"/>
        <v>7.5</v>
      </c>
      <c r="G291" s="8">
        <f t="shared" si="9"/>
        <v>7.4999999999999997E-3</v>
      </c>
    </row>
    <row r="292" spans="1:7" x14ac:dyDescent="0.25">
      <c r="A292" s="8">
        <v>3</v>
      </c>
      <c r="B292" s="8">
        <v>72</v>
      </c>
      <c r="C292" s="8">
        <v>6736.1791990000002</v>
      </c>
      <c r="D292" s="8">
        <v>164299.75</v>
      </c>
      <c r="E292" s="8">
        <v>164309.21875</v>
      </c>
      <c r="F292" s="8">
        <f t="shared" si="8"/>
        <v>9.46875</v>
      </c>
      <c r="G292" s="8">
        <f t="shared" si="9"/>
        <v>9.4687499999999997E-3</v>
      </c>
    </row>
    <row r="293" spans="1:7" x14ac:dyDescent="0.25">
      <c r="A293" s="8">
        <v>4</v>
      </c>
      <c r="B293" s="8">
        <v>0</v>
      </c>
      <c r="C293" s="8">
        <v>2857.3071289999998</v>
      </c>
      <c r="D293" s="8">
        <v>25396.853515999999</v>
      </c>
      <c r="E293" s="8">
        <v>25420.945313</v>
      </c>
      <c r="F293" s="8">
        <f t="shared" si="8"/>
        <v>24.091797000000952</v>
      </c>
      <c r="G293" s="8">
        <f t="shared" si="9"/>
        <v>2.4091797000000952E-2</v>
      </c>
    </row>
    <row r="294" spans="1:7" x14ac:dyDescent="0.25">
      <c r="A294" s="8">
        <v>4</v>
      </c>
      <c r="B294" s="8">
        <v>1</v>
      </c>
      <c r="C294" s="8">
        <v>163.82231100000001</v>
      </c>
      <c r="D294" s="8">
        <v>28290.90625</v>
      </c>
      <c r="E294" s="8">
        <v>28301.519531000002</v>
      </c>
      <c r="F294" s="8">
        <f t="shared" si="8"/>
        <v>10.613281000001734</v>
      </c>
      <c r="G294" s="8">
        <f t="shared" si="9"/>
        <v>1.0613281000001735E-2</v>
      </c>
    </row>
    <row r="295" spans="1:7" x14ac:dyDescent="0.25">
      <c r="A295" s="8">
        <v>4</v>
      </c>
      <c r="B295" s="8">
        <v>2</v>
      </c>
      <c r="C295" s="8">
        <v>136.12501499999999</v>
      </c>
      <c r="D295" s="8">
        <v>28465.125</v>
      </c>
      <c r="E295" s="8">
        <v>28484.609375</v>
      </c>
      <c r="F295" s="8">
        <f t="shared" si="8"/>
        <v>19.484375</v>
      </c>
      <c r="G295" s="8">
        <f t="shared" si="9"/>
        <v>1.9484375000000002E-2</v>
      </c>
    </row>
    <row r="296" spans="1:7" x14ac:dyDescent="0.25">
      <c r="A296" s="8">
        <v>4</v>
      </c>
      <c r="B296" s="8">
        <v>3</v>
      </c>
      <c r="C296" s="8">
        <v>1212.149658</v>
      </c>
      <c r="D296" s="8">
        <v>28621.367188</v>
      </c>
      <c r="E296" s="8">
        <v>28632.09375</v>
      </c>
      <c r="F296" s="8">
        <f t="shared" si="8"/>
        <v>10.726561999999831</v>
      </c>
      <c r="G296" s="8">
        <f t="shared" si="9"/>
        <v>1.072656199999983E-2</v>
      </c>
    </row>
    <row r="297" spans="1:7" x14ac:dyDescent="0.25">
      <c r="A297" s="8">
        <v>4</v>
      </c>
      <c r="B297" s="8">
        <v>4</v>
      </c>
      <c r="C297" s="8">
        <v>469.045593</v>
      </c>
      <c r="D297" s="8">
        <v>29855.888672000001</v>
      </c>
      <c r="E297" s="8">
        <v>29864.755859000001</v>
      </c>
      <c r="F297" s="8">
        <f t="shared" si="8"/>
        <v>8.8671869999998307</v>
      </c>
      <c r="G297" s="8">
        <f t="shared" si="9"/>
        <v>8.8671869999998303E-3</v>
      </c>
    </row>
    <row r="298" spans="1:7" x14ac:dyDescent="0.25">
      <c r="A298" s="8">
        <v>4</v>
      </c>
      <c r="B298" s="8">
        <v>5</v>
      </c>
      <c r="C298" s="8">
        <v>2938.929932</v>
      </c>
      <c r="D298" s="8">
        <v>30343.570313</v>
      </c>
      <c r="E298" s="8">
        <v>30366.582031000002</v>
      </c>
      <c r="F298" s="8">
        <f t="shared" si="8"/>
        <v>23.011718000001565</v>
      </c>
      <c r="G298" s="8">
        <f t="shared" si="9"/>
        <v>2.3011718000001565E-2</v>
      </c>
    </row>
    <row r="299" spans="1:7" x14ac:dyDescent="0.25">
      <c r="A299" s="8">
        <v>4</v>
      </c>
      <c r="B299" s="8">
        <v>6</v>
      </c>
      <c r="C299" s="8">
        <v>875.37481700000001</v>
      </c>
      <c r="D299" s="8">
        <v>33317.035155999998</v>
      </c>
      <c r="E299" s="8">
        <v>33338.769530999998</v>
      </c>
      <c r="F299" s="8">
        <f t="shared" si="8"/>
        <v>21.734375</v>
      </c>
      <c r="G299" s="8">
        <f t="shared" si="9"/>
        <v>2.1734375E-2</v>
      </c>
    </row>
    <row r="300" spans="1:7" x14ac:dyDescent="0.25">
      <c r="A300" s="8">
        <v>4</v>
      </c>
      <c r="B300" s="8">
        <v>7</v>
      </c>
      <c r="C300" s="8">
        <v>160.38038599999999</v>
      </c>
      <c r="D300" s="8">
        <v>34217.496094000002</v>
      </c>
      <c r="E300" s="8">
        <v>34228.449219000002</v>
      </c>
      <c r="F300" s="8">
        <f t="shared" si="8"/>
        <v>10.953125</v>
      </c>
      <c r="G300" s="8">
        <f t="shared" si="9"/>
        <v>1.0953124999999999E-2</v>
      </c>
    </row>
    <row r="301" spans="1:7" x14ac:dyDescent="0.25">
      <c r="A301" s="8">
        <v>4</v>
      </c>
      <c r="B301" s="8">
        <v>8</v>
      </c>
      <c r="C301" s="8">
        <v>318.22406000000001</v>
      </c>
      <c r="D301" s="8">
        <v>34389.378905999998</v>
      </c>
      <c r="E301" s="8">
        <v>34400.296875</v>
      </c>
      <c r="F301" s="8">
        <f t="shared" si="8"/>
        <v>10.917969000001904</v>
      </c>
      <c r="G301" s="8">
        <f t="shared" si="9"/>
        <v>1.0917969000001904E-2</v>
      </c>
    </row>
    <row r="302" spans="1:7" x14ac:dyDescent="0.25">
      <c r="A302" s="8">
        <v>4</v>
      </c>
      <c r="B302" s="8">
        <v>9</v>
      </c>
      <c r="C302" s="8">
        <v>2574.6408689999998</v>
      </c>
      <c r="D302" s="8">
        <v>34733.191405999998</v>
      </c>
      <c r="E302" s="8">
        <v>34744.878905999998</v>
      </c>
      <c r="F302" s="8">
        <f t="shared" si="8"/>
        <v>11.6875</v>
      </c>
      <c r="G302" s="8">
        <f t="shared" si="9"/>
        <v>1.16875E-2</v>
      </c>
    </row>
    <row r="303" spans="1:7" x14ac:dyDescent="0.25">
      <c r="A303" s="8">
        <v>4</v>
      </c>
      <c r="B303" s="8">
        <v>10</v>
      </c>
      <c r="C303" s="8">
        <v>1992.7635499999999</v>
      </c>
      <c r="D303" s="8">
        <v>37331.691405999998</v>
      </c>
      <c r="E303" s="8">
        <v>37352.921875</v>
      </c>
      <c r="F303" s="8">
        <f t="shared" si="8"/>
        <v>21.230469000001904</v>
      </c>
      <c r="G303" s="8">
        <f t="shared" si="9"/>
        <v>2.1230469000001903E-2</v>
      </c>
    </row>
    <row r="304" spans="1:7" x14ac:dyDescent="0.25">
      <c r="A304" s="8">
        <v>4</v>
      </c>
      <c r="B304" s="8">
        <v>11</v>
      </c>
      <c r="C304" s="8">
        <v>1396.513672</v>
      </c>
      <c r="D304" s="8">
        <v>39355.480469000002</v>
      </c>
      <c r="E304" s="8">
        <v>39372.316405999998</v>
      </c>
      <c r="F304" s="8">
        <f t="shared" si="8"/>
        <v>16.835936999996193</v>
      </c>
      <c r="G304" s="8">
        <f t="shared" si="9"/>
        <v>1.6835936999996193E-2</v>
      </c>
    </row>
    <row r="305" spans="1:7" x14ac:dyDescent="0.25">
      <c r="A305" s="8">
        <v>4</v>
      </c>
      <c r="B305" s="8">
        <v>12</v>
      </c>
      <c r="C305" s="8">
        <v>205.45843500000001</v>
      </c>
      <c r="D305" s="8">
        <v>40778.179687999997</v>
      </c>
      <c r="E305" s="8">
        <v>40791.914062999997</v>
      </c>
      <c r="F305" s="8">
        <f t="shared" si="8"/>
        <v>13.734375</v>
      </c>
      <c r="G305" s="8">
        <f t="shared" si="9"/>
        <v>1.3734375E-2</v>
      </c>
    </row>
    <row r="306" spans="1:7" x14ac:dyDescent="0.25">
      <c r="A306" s="8">
        <v>4</v>
      </c>
      <c r="B306" s="8">
        <v>13</v>
      </c>
      <c r="C306" s="8">
        <v>498.97866800000003</v>
      </c>
      <c r="D306" s="8">
        <v>41012.632812999997</v>
      </c>
      <c r="E306" s="8">
        <v>41042.753905999998</v>
      </c>
      <c r="F306" s="8">
        <f t="shared" si="8"/>
        <v>30.121093000001565</v>
      </c>
      <c r="G306" s="8">
        <f t="shared" si="9"/>
        <v>3.0121093000001566E-2</v>
      </c>
    </row>
    <row r="307" spans="1:7" x14ac:dyDescent="0.25">
      <c r="A307" s="8">
        <v>4</v>
      </c>
      <c r="B307" s="8">
        <v>14</v>
      </c>
      <c r="C307" s="8">
        <v>15.010277</v>
      </c>
      <c r="D307" s="8">
        <v>41543.742187999997</v>
      </c>
      <c r="E307" s="8">
        <v>41559.558594000002</v>
      </c>
      <c r="F307" s="8">
        <f t="shared" si="8"/>
        <v>15.816406000005372</v>
      </c>
      <c r="G307" s="8">
        <f t="shared" si="9"/>
        <v>1.5816406000005372E-2</v>
      </c>
    </row>
    <row r="308" spans="1:7" x14ac:dyDescent="0.25">
      <c r="A308" s="8">
        <v>4</v>
      </c>
      <c r="B308" s="8">
        <v>15</v>
      </c>
      <c r="C308" s="8">
        <v>70.821472</v>
      </c>
      <c r="D308" s="8">
        <v>41575.152344000002</v>
      </c>
      <c r="E308" s="8">
        <v>41595.828125</v>
      </c>
      <c r="F308" s="8">
        <f t="shared" si="8"/>
        <v>20.675780999998096</v>
      </c>
      <c r="G308" s="8">
        <f t="shared" si="9"/>
        <v>2.0675780999998096E-2</v>
      </c>
    </row>
    <row r="309" spans="1:7" x14ac:dyDescent="0.25">
      <c r="A309" s="8">
        <v>4</v>
      </c>
      <c r="B309" s="8">
        <v>16</v>
      </c>
      <c r="C309" s="8">
        <v>2566.4750979999999</v>
      </c>
      <c r="D309" s="8">
        <v>41668.984375</v>
      </c>
      <c r="E309" s="8">
        <v>41682.054687999997</v>
      </c>
      <c r="F309" s="8">
        <f t="shared" si="8"/>
        <v>13.070312999996531</v>
      </c>
      <c r="G309" s="8">
        <f t="shared" si="9"/>
        <v>1.3070312999996531E-2</v>
      </c>
    </row>
    <row r="310" spans="1:7" x14ac:dyDescent="0.25">
      <c r="A310" s="8">
        <v>4</v>
      </c>
      <c r="B310" s="8">
        <v>17</v>
      </c>
      <c r="C310" s="8">
        <v>107.51741</v>
      </c>
      <c r="D310" s="8">
        <v>44256.183594000002</v>
      </c>
      <c r="E310" s="8">
        <v>44287.367187999997</v>
      </c>
      <c r="F310" s="8">
        <f t="shared" si="8"/>
        <v>31.183593999994628</v>
      </c>
      <c r="G310" s="8">
        <f t="shared" si="9"/>
        <v>3.1183593999994628E-2</v>
      </c>
    </row>
    <row r="311" spans="1:7" x14ac:dyDescent="0.25">
      <c r="A311" s="8">
        <v>4</v>
      </c>
      <c r="B311" s="8">
        <v>18</v>
      </c>
      <c r="C311" s="8">
        <v>635.27533000000005</v>
      </c>
      <c r="D311" s="8">
        <v>44396.847655999998</v>
      </c>
      <c r="E311" s="8">
        <v>44416.976562999997</v>
      </c>
      <c r="F311" s="8">
        <f t="shared" si="8"/>
        <v>20.128906999998435</v>
      </c>
      <c r="G311" s="8">
        <f t="shared" si="9"/>
        <v>2.0128906999998433E-2</v>
      </c>
    </row>
    <row r="312" spans="1:7" x14ac:dyDescent="0.25">
      <c r="A312" s="8">
        <v>4</v>
      </c>
      <c r="B312" s="8">
        <v>19</v>
      </c>
      <c r="C312" s="8">
        <v>772.54247999999995</v>
      </c>
      <c r="D312" s="8">
        <v>45053.105469000002</v>
      </c>
      <c r="E312" s="8">
        <v>45079.769530999998</v>
      </c>
      <c r="F312" s="8">
        <f t="shared" si="8"/>
        <v>26.664061999996193</v>
      </c>
      <c r="G312" s="8">
        <f t="shared" si="9"/>
        <v>2.6664061999996193E-2</v>
      </c>
    </row>
    <row r="313" spans="1:7" x14ac:dyDescent="0.25">
      <c r="A313" s="8">
        <v>4</v>
      </c>
      <c r="B313" s="8">
        <v>20</v>
      </c>
      <c r="C313" s="8">
        <v>1619.679443</v>
      </c>
      <c r="D313" s="8">
        <v>45866.578125</v>
      </c>
      <c r="E313" s="8">
        <v>45906.792969000002</v>
      </c>
      <c r="F313" s="8">
        <f t="shared" si="8"/>
        <v>40.214844000001904</v>
      </c>
      <c r="G313" s="8">
        <f t="shared" si="9"/>
        <v>4.0214844000001901E-2</v>
      </c>
    </row>
    <row r="314" spans="1:7" x14ac:dyDescent="0.25">
      <c r="A314" s="8">
        <v>4</v>
      </c>
      <c r="B314" s="8">
        <v>21</v>
      </c>
      <c r="C314" s="8">
        <v>2442.8564449999999</v>
      </c>
      <c r="D314" s="8">
        <v>47532.152344000002</v>
      </c>
      <c r="E314" s="8">
        <v>47551.003905999998</v>
      </c>
      <c r="F314" s="8">
        <f t="shared" si="8"/>
        <v>18.851561999996193</v>
      </c>
      <c r="G314" s="8">
        <f t="shared" si="9"/>
        <v>1.8851561999996193E-2</v>
      </c>
    </row>
    <row r="315" spans="1:7" x14ac:dyDescent="0.25">
      <c r="A315" s="8">
        <v>4</v>
      </c>
      <c r="B315" s="8">
        <v>22</v>
      </c>
      <c r="C315" s="8">
        <v>483.06225599999999</v>
      </c>
      <c r="D315" s="8">
        <v>50002.796875</v>
      </c>
      <c r="E315" s="8">
        <v>50010.816405999998</v>
      </c>
      <c r="F315" s="8">
        <f t="shared" si="8"/>
        <v>8.0195309999980964</v>
      </c>
      <c r="G315" s="8">
        <f t="shared" si="9"/>
        <v>8.0195309999980969E-3</v>
      </c>
    </row>
    <row r="316" spans="1:7" x14ac:dyDescent="0.25">
      <c r="A316" s="8">
        <v>4</v>
      </c>
      <c r="B316" s="8">
        <v>23</v>
      </c>
      <c r="C316" s="8">
        <v>2704.130615</v>
      </c>
      <c r="D316" s="8">
        <v>50502.882812999997</v>
      </c>
      <c r="E316" s="8">
        <v>50515.730469000002</v>
      </c>
      <c r="F316" s="8">
        <f t="shared" si="8"/>
        <v>12.847656000005372</v>
      </c>
      <c r="G316" s="8">
        <f t="shared" si="9"/>
        <v>1.2847656000005373E-2</v>
      </c>
    </row>
    <row r="317" spans="1:7" x14ac:dyDescent="0.25">
      <c r="A317" s="8">
        <v>4</v>
      </c>
      <c r="B317" s="8">
        <v>24</v>
      </c>
      <c r="C317" s="8">
        <v>2370.476318</v>
      </c>
      <c r="D317" s="8">
        <v>53233.71875</v>
      </c>
      <c r="E317" s="8">
        <v>53257.871094000002</v>
      </c>
      <c r="F317" s="8">
        <f t="shared" si="8"/>
        <v>24.152344000001904</v>
      </c>
      <c r="G317" s="8">
        <f t="shared" si="9"/>
        <v>2.4152344000001904E-2</v>
      </c>
    </row>
    <row r="318" spans="1:7" x14ac:dyDescent="0.25">
      <c r="A318" s="8">
        <v>4</v>
      </c>
      <c r="B318" s="8">
        <v>25</v>
      </c>
      <c r="C318" s="8">
        <v>2057.445068</v>
      </c>
      <c r="D318" s="8">
        <v>55628.570312999997</v>
      </c>
      <c r="E318" s="8">
        <v>55648.554687999997</v>
      </c>
      <c r="F318" s="8">
        <f t="shared" si="8"/>
        <v>19.984375</v>
      </c>
      <c r="G318" s="8">
        <f t="shared" si="9"/>
        <v>1.9984374999999999E-2</v>
      </c>
    </row>
    <row r="319" spans="1:7" x14ac:dyDescent="0.25">
      <c r="A319" s="8">
        <v>4</v>
      </c>
      <c r="B319" s="8">
        <v>26</v>
      </c>
      <c r="C319" s="8">
        <v>2132.6040039999998</v>
      </c>
      <c r="D319" s="8">
        <v>57710.964844000002</v>
      </c>
      <c r="E319" s="8">
        <v>57722.328125</v>
      </c>
      <c r="F319" s="8">
        <f t="shared" si="8"/>
        <v>11.363280999998096</v>
      </c>
      <c r="G319" s="8">
        <f t="shared" si="9"/>
        <v>1.1363280999998096E-2</v>
      </c>
    </row>
    <row r="320" spans="1:7" x14ac:dyDescent="0.25">
      <c r="A320" s="8">
        <v>4</v>
      </c>
      <c r="B320" s="8">
        <v>27</v>
      </c>
      <c r="C320" s="8">
        <v>2431.0898440000001</v>
      </c>
      <c r="D320" s="8">
        <v>59856.796875</v>
      </c>
      <c r="E320" s="8">
        <v>59867.933594000002</v>
      </c>
      <c r="F320" s="8">
        <f t="shared" si="8"/>
        <v>11.136719000001904</v>
      </c>
      <c r="G320" s="8">
        <f t="shared" si="9"/>
        <v>1.1136719000001903E-2</v>
      </c>
    </row>
    <row r="321" spans="1:7" x14ac:dyDescent="0.25">
      <c r="A321" s="8">
        <v>4</v>
      </c>
      <c r="B321" s="8">
        <v>28</v>
      </c>
      <c r="C321" s="8">
        <v>3390.6635740000002</v>
      </c>
      <c r="D321" s="8">
        <v>62313.449219000002</v>
      </c>
      <c r="E321" s="8">
        <v>62337.757812999997</v>
      </c>
      <c r="F321" s="8">
        <f t="shared" si="8"/>
        <v>24.308593999994628</v>
      </c>
      <c r="G321" s="8">
        <f t="shared" si="9"/>
        <v>2.4308593999994629E-2</v>
      </c>
    </row>
    <row r="322" spans="1:7" x14ac:dyDescent="0.25">
      <c r="A322" s="8">
        <v>4</v>
      </c>
      <c r="B322" s="8">
        <v>29</v>
      </c>
      <c r="C322" s="8">
        <v>2126.4084469999998</v>
      </c>
      <c r="D322" s="8">
        <v>65731.054688000004</v>
      </c>
      <c r="E322" s="8">
        <v>65742.296875</v>
      </c>
      <c r="F322" s="8">
        <f t="shared" si="8"/>
        <v>11.242186999996193</v>
      </c>
      <c r="G322" s="8">
        <f t="shared" si="9"/>
        <v>1.1242186999996193E-2</v>
      </c>
    </row>
    <row r="323" spans="1:7" x14ac:dyDescent="0.25">
      <c r="A323" s="8">
        <v>4</v>
      </c>
      <c r="B323" s="8">
        <v>30</v>
      </c>
      <c r="C323" s="8">
        <v>632.09143100000006</v>
      </c>
      <c r="D323" s="8">
        <v>67873.40625</v>
      </c>
      <c r="E323" s="8">
        <v>67896.351563000004</v>
      </c>
      <c r="F323" s="8">
        <f t="shared" si="8"/>
        <v>22.945313000003807</v>
      </c>
      <c r="G323" s="8">
        <f t="shared" si="9"/>
        <v>2.2945313000003808E-2</v>
      </c>
    </row>
    <row r="324" spans="1:7" x14ac:dyDescent="0.25">
      <c r="A324" s="8">
        <v>4</v>
      </c>
      <c r="B324" s="8">
        <v>31</v>
      </c>
      <c r="C324" s="8">
        <v>1558.8804929999999</v>
      </c>
      <c r="D324" s="8">
        <v>68529.703125</v>
      </c>
      <c r="E324" s="8">
        <v>68547.148438000004</v>
      </c>
      <c r="F324" s="8">
        <f t="shared" si="8"/>
        <v>17.445313000003807</v>
      </c>
      <c r="G324" s="8">
        <f t="shared" si="9"/>
        <v>1.7445313000003806E-2</v>
      </c>
    </row>
    <row r="325" spans="1:7" x14ac:dyDescent="0.25">
      <c r="A325" s="8">
        <v>4</v>
      </c>
      <c r="B325" s="8">
        <v>32</v>
      </c>
      <c r="C325" s="8">
        <v>817.77813700000002</v>
      </c>
      <c r="D325" s="8">
        <v>70108.421875</v>
      </c>
      <c r="E325" s="8">
        <v>70119.070313000004</v>
      </c>
      <c r="F325" s="8">
        <f t="shared" si="8"/>
        <v>10.648438000003807</v>
      </c>
      <c r="G325" s="8">
        <f t="shared" si="9"/>
        <v>1.0648438000003807E-2</v>
      </c>
    </row>
    <row r="326" spans="1:7" x14ac:dyDescent="0.25">
      <c r="A326" s="8">
        <v>4</v>
      </c>
      <c r="B326" s="8">
        <v>33</v>
      </c>
      <c r="C326" s="8">
        <v>2745.3688959999999</v>
      </c>
      <c r="D326" s="8">
        <v>70945.03125</v>
      </c>
      <c r="E326" s="8">
        <v>70968.445313000004</v>
      </c>
      <c r="F326" s="8">
        <f t="shared" si="8"/>
        <v>23.414063000003807</v>
      </c>
      <c r="G326" s="8">
        <f t="shared" si="9"/>
        <v>2.3414063000003808E-2</v>
      </c>
    </row>
    <row r="327" spans="1:7" x14ac:dyDescent="0.25">
      <c r="A327" s="8">
        <v>4</v>
      </c>
      <c r="B327" s="8">
        <v>34</v>
      </c>
      <c r="C327" s="8">
        <v>3246.6567380000001</v>
      </c>
      <c r="D327" s="8">
        <v>73716.898438000004</v>
      </c>
      <c r="E327" s="8">
        <v>73731.828125</v>
      </c>
      <c r="F327" s="8">
        <f t="shared" si="8"/>
        <v>14.929686999996193</v>
      </c>
      <c r="G327" s="8">
        <f t="shared" si="9"/>
        <v>1.4929686999996193E-2</v>
      </c>
    </row>
    <row r="328" spans="1:7" x14ac:dyDescent="0.25">
      <c r="A328" s="8">
        <v>4</v>
      </c>
      <c r="B328" s="8">
        <v>35</v>
      </c>
      <c r="C328" s="8">
        <v>591.23553500000003</v>
      </c>
      <c r="D328" s="8">
        <v>76991.453125</v>
      </c>
      <c r="E328" s="8">
        <v>77003.539063000004</v>
      </c>
      <c r="F328" s="8">
        <f t="shared" si="8"/>
        <v>12.085938000003807</v>
      </c>
      <c r="G328" s="8">
        <f t="shared" si="9"/>
        <v>1.2085938000003807E-2</v>
      </c>
    </row>
    <row r="329" spans="1:7" x14ac:dyDescent="0.25">
      <c r="A329" s="8">
        <v>4</v>
      </c>
      <c r="B329" s="8">
        <v>36</v>
      </c>
      <c r="C329" s="8">
        <v>134.16583299999999</v>
      </c>
      <c r="D329" s="8">
        <v>77601.507813000004</v>
      </c>
      <c r="E329" s="8">
        <v>77613.71875</v>
      </c>
      <c r="F329" s="8">
        <f t="shared" si="8"/>
        <v>12.210936999996193</v>
      </c>
      <c r="G329" s="8">
        <f t="shared" si="9"/>
        <v>1.2210936999996192E-2</v>
      </c>
    </row>
    <row r="330" spans="1:7" x14ac:dyDescent="0.25">
      <c r="A330" s="8">
        <v>4</v>
      </c>
      <c r="B330" s="8">
        <v>37</v>
      </c>
      <c r="C330" s="8">
        <v>1515.831177</v>
      </c>
      <c r="D330" s="8">
        <v>77757.765625</v>
      </c>
      <c r="E330" s="8">
        <v>77773.28125</v>
      </c>
      <c r="F330" s="8">
        <f t="shared" si="8"/>
        <v>15.515625</v>
      </c>
      <c r="G330" s="8">
        <f t="shared" si="9"/>
        <v>1.5515625E-2</v>
      </c>
    </row>
    <row r="331" spans="1:7" x14ac:dyDescent="0.25">
      <c r="A331" s="8">
        <v>4</v>
      </c>
      <c r="B331" s="8">
        <v>38</v>
      </c>
      <c r="C331" s="8">
        <v>2812.7238769999999</v>
      </c>
      <c r="D331" s="8">
        <v>79300.929688000004</v>
      </c>
      <c r="E331" s="8">
        <v>79316.929688000004</v>
      </c>
      <c r="F331" s="8">
        <f t="shared" ref="F331:F394" si="10">E331-D331</f>
        <v>16</v>
      </c>
      <c r="G331" s="8">
        <f t="shared" ref="G331:G394" si="11">F331/1000</f>
        <v>1.6E-2</v>
      </c>
    </row>
    <row r="332" spans="1:7" x14ac:dyDescent="0.25">
      <c r="A332" s="8">
        <v>4</v>
      </c>
      <c r="B332" s="8">
        <v>39</v>
      </c>
      <c r="C332" s="8">
        <v>3275.6450199999999</v>
      </c>
      <c r="D332" s="8">
        <v>82136.148438000004</v>
      </c>
      <c r="E332" s="8">
        <v>82159.078125</v>
      </c>
      <c r="F332" s="8">
        <f t="shared" si="10"/>
        <v>22.929686999996193</v>
      </c>
      <c r="G332" s="8">
        <f t="shared" si="11"/>
        <v>2.2929686999996191E-2</v>
      </c>
    </row>
    <row r="333" spans="1:7" x14ac:dyDescent="0.25">
      <c r="A333" s="8">
        <v>4</v>
      </c>
      <c r="B333" s="8">
        <v>40</v>
      </c>
      <c r="C333" s="8">
        <v>493.11233499999997</v>
      </c>
      <c r="D333" s="8">
        <v>85440.109375</v>
      </c>
      <c r="E333" s="8">
        <v>85455.234375</v>
      </c>
      <c r="F333" s="8">
        <f t="shared" si="10"/>
        <v>15.125</v>
      </c>
      <c r="G333" s="8">
        <f t="shared" si="11"/>
        <v>1.5125E-2</v>
      </c>
    </row>
    <row r="334" spans="1:7" x14ac:dyDescent="0.25">
      <c r="A334" s="8">
        <v>4</v>
      </c>
      <c r="B334" s="8">
        <v>41</v>
      </c>
      <c r="C334" s="8">
        <v>1824.176025</v>
      </c>
      <c r="D334" s="8">
        <v>85955.757813000004</v>
      </c>
      <c r="E334" s="8">
        <v>86003.320313000004</v>
      </c>
      <c r="F334" s="8">
        <f t="shared" si="10"/>
        <v>47.5625</v>
      </c>
      <c r="G334" s="8">
        <f t="shared" si="11"/>
        <v>4.7562500000000001E-2</v>
      </c>
    </row>
    <row r="335" spans="1:7" x14ac:dyDescent="0.25">
      <c r="A335" s="8">
        <v>4</v>
      </c>
      <c r="B335" s="8">
        <v>42</v>
      </c>
      <c r="C335" s="8">
        <v>358.34182700000002</v>
      </c>
      <c r="D335" s="8">
        <v>87834.101563000004</v>
      </c>
      <c r="E335" s="8">
        <v>87846.234375</v>
      </c>
      <c r="F335" s="8">
        <f t="shared" si="10"/>
        <v>12.132811999996193</v>
      </c>
      <c r="G335" s="8">
        <f t="shared" si="11"/>
        <v>1.2132811999996192E-2</v>
      </c>
    </row>
    <row r="336" spans="1:7" x14ac:dyDescent="0.25">
      <c r="A336" s="8">
        <v>4</v>
      </c>
      <c r="B336" s="8">
        <v>43</v>
      </c>
      <c r="C336" s="8">
        <v>368.95693999999997</v>
      </c>
      <c r="D336" s="8">
        <v>88209.148438000004</v>
      </c>
      <c r="E336" s="8">
        <v>88227.125</v>
      </c>
      <c r="F336" s="8">
        <f t="shared" si="10"/>
        <v>17.976561999996193</v>
      </c>
      <c r="G336" s="8">
        <f t="shared" si="11"/>
        <v>1.7976561999996192E-2</v>
      </c>
    </row>
    <row r="337" spans="1:7" x14ac:dyDescent="0.25">
      <c r="A337" s="8">
        <v>4</v>
      </c>
      <c r="B337" s="8">
        <v>44</v>
      </c>
      <c r="C337" s="8">
        <v>210.13107299999999</v>
      </c>
      <c r="D337" s="8">
        <v>88599.851563000004</v>
      </c>
      <c r="E337" s="8">
        <v>88613.75</v>
      </c>
      <c r="F337" s="8">
        <f t="shared" si="10"/>
        <v>13.898436999996193</v>
      </c>
      <c r="G337" s="8">
        <f t="shared" si="11"/>
        <v>1.3898436999996194E-2</v>
      </c>
    </row>
    <row r="338" spans="1:7" x14ac:dyDescent="0.25">
      <c r="A338" s="8">
        <v>4</v>
      </c>
      <c r="B338" s="8">
        <v>45</v>
      </c>
      <c r="C338" s="8">
        <v>3477.6635740000002</v>
      </c>
      <c r="D338" s="8">
        <v>88834.257813000004</v>
      </c>
      <c r="E338" s="8">
        <v>88842.203125</v>
      </c>
      <c r="F338" s="8">
        <f t="shared" si="10"/>
        <v>7.9453119999961928</v>
      </c>
      <c r="G338" s="8">
        <f t="shared" si="11"/>
        <v>7.9453119999961935E-3</v>
      </c>
    </row>
    <row r="339" spans="1:7" x14ac:dyDescent="0.25">
      <c r="A339" s="8">
        <v>4</v>
      </c>
      <c r="B339" s="8">
        <v>46</v>
      </c>
      <c r="C339" s="8">
        <v>1551.442139</v>
      </c>
      <c r="D339" s="8">
        <v>92323.757813000004</v>
      </c>
      <c r="E339" s="8">
        <v>92333.625</v>
      </c>
      <c r="F339" s="8">
        <f t="shared" si="10"/>
        <v>9.8671869999961928</v>
      </c>
      <c r="G339" s="8">
        <f t="shared" si="11"/>
        <v>9.8671869999961935E-3</v>
      </c>
    </row>
    <row r="340" spans="1:7" x14ac:dyDescent="0.25">
      <c r="A340" s="8">
        <v>4</v>
      </c>
      <c r="B340" s="8">
        <v>47</v>
      </c>
      <c r="C340" s="8">
        <v>4511.9746089999999</v>
      </c>
      <c r="D340" s="8">
        <v>93888.84375</v>
      </c>
      <c r="E340" s="8">
        <v>93906.257813000004</v>
      </c>
      <c r="F340" s="8">
        <f t="shared" si="10"/>
        <v>17.414063000003807</v>
      </c>
      <c r="G340" s="8">
        <f t="shared" si="11"/>
        <v>1.7414063000003806E-2</v>
      </c>
    </row>
    <row r="341" spans="1:7" x14ac:dyDescent="0.25">
      <c r="A341" s="8">
        <v>4</v>
      </c>
      <c r="B341" s="8">
        <v>48</v>
      </c>
      <c r="C341" s="8">
        <v>765.45971699999996</v>
      </c>
      <c r="D341" s="8">
        <v>98425.632813000004</v>
      </c>
      <c r="E341" s="8">
        <v>98436.75</v>
      </c>
      <c r="F341" s="8">
        <f t="shared" si="10"/>
        <v>11.117186999996193</v>
      </c>
      <c r="G341" s="8">
        <f t="shared" si="11"/>
        <v>1.1117186999996193E-2</v>
      </c>
    </row>
    <row r="342" spans="1:7" x14ac:dyDescent="0.25">
      <c r="A342" s="8">
        <v>4</v>
      </c>
      <c r="B342" s="8">
        <v>49</v>
      </c>
      <c r="C342" s="8">
        <v>204.173721</v>
      </c>
      <c r="D342" s="8">
        <v>99207.125</v>
      </c>
      <c r="E342" s="8">
        <v>99220.742188000004</v>
      </c>
      <c r="F342" s="8">
        <f t="shared" si="10"/>
        <v>13.617188000003807</v>
      </c>
      <c r="G342" s="8">
        <f t="shared" si="11"/>
        <v>1.3617188000003807E-2</v>
      </c>
    </row>
    <row r="343" spans="1:7" x14ac:dyDescent="0.25">
      <c r="A343" s="8">
        <v>4</v>
      </c>
      <c r="B343" s="8">
        <v>50</v>
      </c>
      <c r="C343" s="8">
        <v>1683.9426269999999</v>
      </c>
      <c r="D343" s="8">
        <v>99432.570313000004</v>
      </c>
      <c r="E343" s="8">
        <v>99450.820313000004</v>
      </c>
      <c r="F343" s="8">
        <f t="shared" si="10"/>
        <v>18.25</v>
      </c>
      <c r="G343" s="8">
        <f t="shared" si="11"/>
        <v>1.8249999999999999E-2</v>
      </c>
    </row>
    <row r="344" spans="1:7" x14ac:dyDescent="0.25">
      <c r="A344" s="8">
        <v>4</v>
      </c>
      <c r="B344" s="8">
        <v>51</v>
      </c>
      <c r="C344" s="8">
        <v>925.15734899999995</v>
      </c>
      <c r="D344" s="8">
        <v>101137.585938</v>
      </c>
      <c r="E344" s="8">
        <v>101149.234375</v>
      </c>
      <c r="F344" s="8">
        <f t="shared" si="10"/>
        <v>11.648436999996193</v>
      </c>
      <c r="G344" s="8">
        <f t="shared" si="11"/>
        <v>1.1648436999996193E-2</v>
      </c>
    </row>
    <row r="345" spans="1:7" x14ac:dyDescent="0.25">
      <c r="A345" s="8">
        <v>4</v>
      </c>
      <c r="B345" s="8">
        <v>52</v>
      </c>
      <c r="C345" s="8">
        <v>4228.376953</v>
      </c>
      <c r="D345" s="8">
        <v>102088.773438</v>
      </c>
      <c r="E345" s="8">
        <v>102099.914063</v>
      </c>
      <c r="F345" s="8">
        <f t="shared" si="10"/>
        <v>11.140625</v>
      </c>
      <c r="G345" s="8">
        <f t="shared" si="11"/>
        <v>1.1140624999999999E-2</v>
      </c>
    </row>
    <row r="346" spans="1:7" x14ac:dyDescent="0.25">
      <c r="A346" s="8">
        <v>4</v>
      </c>
      <c r="B346" s="8">
        <v>53</v>
      </c>
      <c r="C346" s="8">
        <v>1089.650024</v>
      </c>
      <c r="D346" s="8">
        <v>106328.445313</v>
      </c>
      <c r="E346" s="8">
        <v>106337.898438</v>
      </c>
      <c r="F346" s="8">
        <f t="shared" si="10"/>
        <v>9.453125</v>
      </c>
      <c r="G346" s="8">
        <f t="shared" si="11"/>
        <v>9.4531249999999997E-3</v>
      </c>
    </row>
    <row r="347" spans="1:7" x14ac:dyDescent="0.25">
      <c r="A347" s="8">
        <v>4</v>
      </c>
      <c r="B347" s="8">
        <v>54</v>
      </c>
      <c r="C347" s="8">
        <v>2276.2836910000001</v>
      </c>
      <c r="D347" s="8">
        <v>107438.5</v>
      </c>
      <c r="E347" s="8">
        <v>107450.203125</v>
      </c>
      <c r="F347" s="8">
        <f t="shared" si="10"/>
        <v>11.703125</v>
      </c>
      <c r="G347" s="8">
        <f t="shared" si="11"/>
        <v>1.1703125E-2</v>
      </c>
    </row>
    <row r="348" spans="1:7" x14ac:dyDescent="0.25">
      <c r="A348" s="8">
        <v>4</v>
      </c>
      <c r="B348" s="8">
        <v>55</v>
      </c>
      <c r="C348" s="8">
        <v>1393.8160399999999</v>
      </c>
      <c r="D348" s="8">
        <v>109736.40625</v>
      </c>
      <c r="E348" s="8">
        <v>109753.617188</v>
      </c>
      <c r="F348" s="8">
        <f t="shared" si="10"/>
        <v>17.210938000003807</v>
      </c>
      <c r="G348" s="8">
        <f t="shared" si="11"/>
        <v>1.7210938000003808E-2</v>
      </c>
    </row>
    <row r="349" spans="1:7" x14ac:dyDescent="0.25">
      <c r="A349" s="8">
        <v>4</v>
      </c>
      <c r="B349" s="8">
        <v>56</v>
      </c>
      <c r="C349" s="8">
        <v>9858.234375</v>
      </c>
      <c r="D349" s="8">
        <v>111158.40625</v>
      </c>
      <c r="E349" s="8">
        <v>111184.359375</v>
      </c>
      <c r="F349" s="8">
        <f t="shared" si="10"/>
        <v>25.953125</v>
      </c>
      <c r="G349" s="8">
        <f t="shared" si="11"/>
        <v>2.5953125E-2</v>
      </c>
    </row>
    <row r="350" spans="1:7" x14ac:dyDescent="0.25">
      <c r="A350" s="8">
        <v>4</v>
      </c>
      <c r="B350" s="8">
        <v>57</v>
      </c>
      <c r="C350" s="8">
        <v>4020.185547</v>
      </c>
      <c r="D350" s="8">
        <v>121048.8125</v>
      </c>
      <c r="E350" s="8">
        <v>121057.945313</v>
      </c>
      <c r="F350" s="8">
        <f t="shared" si="10"/>
        <v>9.1328130000038072</v>
      </c>
      <c r="G350" s="8">
        <f t="shared" si="11"/>
        <v>9.1328130000038078E-3</v>
      </c>
    </row>
    <row r="351" spans="1:7" x14ac:dyDescent="0.25">
      <c r="A351" s="8">
        <v>4</v>
      </c>
      <c r="B351" s="8">
        <v>58</v>
      </c>
      <c r="C351" s="8">
        <v>103.913788</v>
      </c>
      <c r="D351" s="8">
        <v>125080.101563</v>
      </c>
      <c r="E351" s="8">
        <v>125100.078125</v>
      </c>
      <c r="F351" s="8">
        <f t="shared" si="10"/>
        <v>19.976561999996193</v>
      </c>
      <c r="G351" s="8">
        <f t="shared" si="11"/>
        <v>1.9976561999996194E-2</v>
      </c>
    </row>
    <row r="352" spans="1:7" x14ac:dyDescent="0.25">
      <c r="A352" s="8">
        <v>4</v>
      </c>
      <c r="B352" s="8">
        <v>59</v>
      </c>
      <c r="C352" s="8">
        <v>116.943138</v>
      </c>
      <c r="D352" s="8">
        <v>125205.273438</v>
      </c>
      <c r="E352" s="8">
        <v>125229.96875</v>
      </c>
      <c r="F352" s="8">
        <f t="shared" si="10"/>
        <v>24.695311999996193</v>
      </c>
      <c r="G352" s="8">
        <f t="shared" si="11"/>
        <v>2.4695311999996191E-2</v>
      </c>
    </row>
    <row r="353" spans="1:7" x14ac:dyDescent="0.25">
      <c r="A353" s="8">
        <v>4</v>
      </c>
      <c r="B353" s="8">
        <v>60</v>
      </c>
      <c r="C353" s="8">
        <v>5588.5532229999999</v>
      </c>
      <c r="D353" s="8">
        <v>125361.492188</v>
      </c>
      <c r="E353" s="8">
        <v>125373.125</v>
      </c>
      <c r="F353" s="8">
        <f t="shared" si="10"/>
        <v>11.632811999996193</v>
      </c>
      <c r="G353" s="8">
        <f t="shared" si="11"/>
        <v>1.1632811999996193E-2</v>
      </c>
    </row>
    <row r="354" spans="1:7" x14ac:dyDescent="0.25">
      <c r="A354" s="8">
        <v>4</v>
      </c>
      <c r="B354" s="8">
        <v>61</v>
      </c>
      <c r="C354" s="8">
        <v>859.83404499999995</v>
      </c>
      <c r="D354" s="8">
        <v>130973.460938</v>
      </c>
      <c r="E354" s="8">
        <v>130997.921875</v>
      </c>
      <c r="F354" s="8">
        <f t="shared" si="10"/>
        <v>24.460936999996193</v>
      </c>
      <c r="G354" s="8">
        <f t="shared" si="11"/>
        <v>2.4460936999996193E-2</v>
      </c>
    </row>
    <row r="355" spans="1:7" x14ac:dyDescent="0.25">
      <c r="A355" s="8">
        <v>4</v>
      </c>
      <c r="B355" s="8">
        <v>62</v>
      </c>
      <c r="C355" s="8">
        <v>379.03845200000001</v>
      </c>
      <c r="D355" s="8">
        <v>131858.265625</v>
      </c>
      <c r="E355" s="8">
        <v>131878.328125</v>
      </c>
      <c r="F355" s="8">
        <f t="shared" si="10"/>
        <v>20.0625</v>
      </c>
      <c r="G355" s="8">
        <f t="shared" si="11"/>
        <v>2.00625E-2</v>
      </c>
    </row>
    <row r="356" spans="1:7" x14ac:dyDescent="0.25">
      <c r="A356" s="8">
        <v>4</v>
      </c>
      <c r="B356" s="8">
        <v>63</v>
      </c>
      <c r="C356" s="8">
        <v>900.30279499999995</v>
      </c>
      <c r="D356" s="8">
        <v>132264.578125</v>
      </c>
      <c r="E356" s="8">
        <v>132275.328125</v>
      </c>
      <c r="F356" s="8">
        <f t="shared" si="10"/>
        <v>10.75</v>
      </c>
      <c r="G356" s="8">
        <f t="shared" si="11"/>
        <v>1.0749999999999999E-2</v>
      </c>
    </row>
    <row r="357" spans="1:7" x14ac:dyDescent="0.25">
      <c r="A357" s="8">
        <v>4</v>
      </c>
      <c r="B357" s="8">
        <v>64</v>
      </c>
      <c r="C357" s="8">
        <v>3671.9340820000002</v>
      </c>
      <c r="D357" s="8">
        <v>133191.1875</v>
      </c>
      <c r="E357" s="8">
        <v>133209.140625</v>
      </c>
      <c r="F357" s="8">
        <f t="shared" si="10"/>
        <v>17.953125</v>
      </c>
      <c r="G357" s="8">
        <f t="shared" si="11"/>
        <v>1.7953125E-2</v>
      </c>
    </row>
    <row r="358" spans="1:7" x14ac:dyDescent="0.25">
      <c r="A358" s="8">
        <v>4</v>
      </c>
      <c r="B358" s="8">
        <v>65</v>
      </c>
      <c r="C358" s="8">
        <v>2317.2763669999999</v>
      </c>
      <c r="D358" s="8">
        <v>136887.921875</v>
      </c>
      <c r="E358" s="8">
        <v>136910.6875</v>
      </c>
      <c r="F358" s="8">
        <f t="shared" si="10"/>
        <v>22.765625</v>
      </c>
      <c r="G358" s="8">
        <f t="shared" si="11"/>
        <v>2.2765625000000001E-2</v>
      </c>
    </row>
    <row r="359" spans="1:7" x14ac:dyDescent="0.25">
      <c r="A359" s="8">
        <v>4</v>
      </c>
      <c r="B359" s="8">
        <v>66</v>
      </c>
      <c r="C359" s="8">
        <v>1567.549072</v>
      </c>
      <c r="D359" s="8">
        <v>139240.703125</v>
      </c>
      <c r="E359" s="8">
        <v>139261.125</v>
      </c>
      <c r="F359" s="8">
        <f t="shared" si="10"/>
        <v>20.421875</v>
      </c>
      <c r="G359" s="8">
        <f t="shared" si="11"/>
        <v>2.0421874999999999E-2</v>
      </c>
    </row>
    <row r="360" spans="1:7" x14ac:dyDescent="0.25">
      <c r="A360" s="8">
        <v>4</v>
      </c>
      <c r="B360" s="8">
        <v>67</v>
      </c>
      <c r="C360" s="8">
        <v>1790.1263429999999</v>
      </c>
      <c r="D360" s="8">
        <v>140842.21875</v>
      </c>
      <c r="E360" s="8">
        <v>140852.875</v>
      </c>
      <c r="F360" s="8">
        <f t="shared" si="10"/>
        <v>10.65625</v>
      </c>
      <c r="G360" s="8">
        <f t="shared" si="11"/>
        <v>1.0656250000000001E-2</v>
      </c>
    </row>
    <row r="361" spans="1:7" x14ac:dyDescent="0.25">
      <c r="A361" s="8">
        <v>4</v>
      </c>
      <c r="B361" s="8">
        <v>68</v>
      </c>
      <c r="C361" s="8">
        <v>2302.5532229999999</v>
      </c>
      <c r="D361" s="8">
        <v>142655.796875</v>
      </c>
      <c r="E361" s="8">
        <v>142719.65625</v>
      </c>
      <c r="F361" s="8">
        <f t="shared" si="10"/>
        <v>63.859375</v>
      </c>
      <c r="G361" s="8">
        <f t="shared" si="11"/>
        <v>6.3859374999999996E-2</v>
      </c>
    </row>
    <row r="362" spans="1:7" x14ac:dyDescent="0.25">
      <c r="A362" s="8">
        <v>4</v>
      </c>
      <c r="B362" s="8">
        <v>69</v>
      </c>
      <c r="C362" s="8">
        <v>4774.2998049999997</v>
      </c>
      <c r="D362" s="8">
        <v>145035.28125</v>
      </c>
      <c r="E362" s="8">
        <v>145055.703125</v>
      </c>
      <c r="F362" s="8">
        <f t="shared" si="10"/>
        <v>20.421875</v>
      </c>
      <c r="G362" s="8">
        <f t="shared" si="11"/>
        <v>2.0421874999999999E-2</v>
      </c>
    </row>
    <row r="363" spans="1:7" x14ac:dyDescent="0.25">
      <c r="A363" s="8">
        <v>4</v>
      </c>
      <c r="B363" s="8">
        <v>70</v>
      </c>
      <c r="C363" s="8">
        <v>1815.9873050000001</v>
      </c>
      <c r="D363" s="8">
        <v>149842.546875</v>
      </c>
      <c r="E363" s="8">
        <v>149864.125</v>
      </c>
      <c r="F363" s="8">
        <f t="shared" si="10"/>
        <v>21.578125</v>
      </c>
      <c r="G363" s="8">
        <f t="shared" si="11"/>
        <v>2.1578125E-2</v>
      </c>
    </row>
    <row r="364" spans="1:7" x14ac:dyDescent="0.25">
      <c r="A364" s="8">
        <v>4</v>
      </c>
      <c r="B364" s="8">
        <v>71</v>
      </c>
      <c r="C364" s="8">
        <v>858.896118</v>
      </c>
      <c r="D364" s="8">
        <v>151686.546875</v>
      </c>
      <c r="E364" s="8">
        <v>151705.046875</v>
      </c>
      <c r="F364" s="8">
        <f t="shared" si="10"/>
        <v>18.5</v>
      </c>
      <c r="G364" s="8">
        <f t="shared" si="11"/>
        <v>1.8499999999999999E-2</v>
      </c>
    </row>
    <row r="365" spans="1:7" x14ac:dyDescent="0.25">
      <c r="A365" s="8">
        <v>4</v>
      </c>
      <c r="B365" s="8">
        <v>72</v>
      </c>
      <c r="C365" s="8">
        <v>1119.8726810000001</v>
      </c>
      <c r="D365" s="8">
        <v>152578.234375</v>
      </c>
      <c r="E365" s="8">
        <v>152593.578125</v>
      </c>
      <c r="F365" s="8">
        <f t="shared" si="10"/>
        <v>15.34375</v>
      </c>
      <c r="G365" s="8">
        <f t="shared" si="11"/>
        <v>1.534375E-2</v>
      </c>
    </row>
    <row r="366" spans="1:7" x14ac:dyDescent="0.25">
      <c r="A366" s="8">
        <v>4</v>
      </c>
      <c r="B366" s="8">
        <v>73</v>
      </c>
      <c r="C366" s="8">
        <v>725.49823000000004</v>
      </c>
      <c r="D366" s="8">
        <v>153719.015625</v>
      </c>
      <c r="E366" s="8">
        <v>153741.15625</v>
      </c>
      <c r="F366" s="8">
        <f t="shared" si="10"/>
        <v>22.140625</v>
      </c>
      <c r="G366" s="8">
        <f t="shared" si="11"/>
        <v>2.2140625000000001E-2</v>
      </c>
    </row>
    <row r="367" spans="1:7" x14ac:dyDescent="0.25">
      <c r="A367" s="8">
        <v>4</v>
      </c>
      <c r="B367" s="8">
        <v>74</v>
      </c>
      <c r="C367" s="8">
        <v>1226.523682</v>
      </c>
      <c r="D367" s="8">
        <v>154469.03125</v>
      </c>
      <c r="E367" s="8">
        <v>154479.78125</v>
      </c>
      <c r="F367" s="8">
        <f t="shared" si="10"/>
        <v>10.75</v>
      </c>
      <c r="G367" s="8">
        <f t="shared" si="11"/>
        <v>1.0749999999999999E-2</v>
      </c>
    </row>
    <row r="368" spans="1:7" x14ac:dyDescent="0.25">
      <c r="A368" s="8">
        <v>4</v>
      </c>
      <c r="B368" s="8">
        <v>75</v>
      </c>
      <c r="C368" s="8">
        <v>3060.0634770000001</v>
      </c>
      <c r="D368" s="8">
        <v>155719.234375</v>
      </c>
      <c r="E368" s="8">
        <v>155734.890625</v>
      </c>
      <c r="F368" s="8">
        <f t="shared" si="10"/>
        <v>15.65625</v>
      </c>
      <c r="G368" s="8">
        <f t="shared" si="11"/>
        <v>1.565625E-2</v>
      </c>
    </row>
    <row r="369" spans="1:7" x14ac:dyDescent="0.25">
      <c r="A369" s="8">
        <v>4</v>
      </c>
      <c r="B369" s="8">
        <v>76</v>
      </c>
      <c r="C369" s="8">
        <v>1630.2707519999999</v>
      </c>
      <c r="D369" s="8">
        <v>158798.625</v>
      </c>
      <c r="E369" s="8">
        <v>158812.3125</v>
      </c>
      <c r="F369" s="8">
        <f t="shared" si="10"/>
        <v>13.6875</v>
      </c>
      <c r="G369" s="8">
        <f t="shared" si="11"/>
        <v>1.36875E-2</v>
      </c>
    </row>
    <row r="370" spans="1:7" x14ac:dyDescent="0.25">
      <c r="A370" s="8">
        <v>4</v>
      </c>
      <c r="B370" s="8">
        <v>77</v>
      </c>
      <c r="C370" s="8">
        <v>331.65152</v>
      </c>
      <c r="D370" s="8">
        <v>160455.078125</v>
      </c>
      <c r="E370" s="8">
        <v>160479.421875</v>
      </c>
      <c r="F370" s="8">
        <f t="shared" si="10"/>
        <v>24.34375</v>
      </c>
      <c r="G370" s="8">
        <f t="shared" si="11"/>
        <v>2.4343750000000001E-2</v>
      </c>
    </row>
    <row r="371" spans="1:7" x14ac:dyDescent="0.25">
      <c r="A371" s="8">
        <v>4</v>
      </c>
      <c r="B371" s="8">
        <v>78</v>
      </c>
      <c r="C371" s="8">
        <v>1940.871948</v>
      </c>
      <c r="D371" s="8">
        <v>160814.484375</v>
      </c>
      <c r="E371" s="8">
        <v>160831.4375</v>
      </c>
      <c r="F371" s="8">
        <f t="shared" si="10"/>
        <v>16.953125</v>
      </c>
      <c r="G371" s="8">
        <f t="shared" si="11"/>
        <v>1.6953124999999999E-2</v>
      </c>
    </row>
    <row r="372" spans="1:7" x14ac:dyDescent="0.25">
      <c r="A372" s="8">
        <v>4</v>
      </c>
      <c r="B372" s="8">
        <v>79</v>
      </c>
      <c r="C372" s="8">
        <v>5433.0791019999997</v>
      </c>
      <c r="D372" s="8">
        <v>162783.953125</v>
      </c>
      <c r="E372" s="8">
        <v>162796.3125</v>
      </c>
      <c r="F372" s="8">
        <f t="shared" si="10"/>
        <v>12.359375</v>
      </c>
      <c r="G372" s="8">
        <f t="shared" si="11"/>
        <v>1.2359375000000001E-2</v>
      </c>
    </row>
    <row r="373" spans="1:7" x14ac:dyDescent="0.25">
      <c r="A373" s="8">
        <v>4</v>
      </c>
      <c r="B373" s="8">
        <v>80</v>
      </c>
      <c r="C373" s="8">
        <v>4602.5473629999997</v>
      </c>
      <c r="D373" s="8">
        <v>168244.8125</v>
      </c>
      <c r="E373" s="8">
        <v>168285.40625</v>
      </c>
      <c r="F373" s="8">
        <f t="shared" si="10"/>
        <v>40.59375</v>
      </c>
      <c r="G373" s="8">
        <f t="shared" si="11"/>
        <v>4.0593749999999998E-2</v>
      </c>
    </row>
    <row r="374" spans="1:7" x14ac:dyDescent="0.25">
      <c r="A374" s="8">
        <v>5</v>
      </c>
      <c r="B374" s="8">
        <v>0</v>
      </c>
      <c r="C374" s="8">
        <v>537.33575399999995</v>
      </c>
      <c r="D374" s="8">
        <v>20056.998047000001</v>
      </c>
      <c r="E374" s="8">
        <v>20064.978515999999</v>
      </c>
      <c r="F374" s="8">
        <f t="shared" si="10"/>
        <v>7.9804689999982656</v>
      </c>
      <c r="G374" s="8">
        <f t="shared" si="11"/>
        <v>7.9804689999982657E-3</v>
      </c>
    </row>
    <row r="375" spans="1:7" x14ac:dyDescent="0.25">
      <c r="A375" s="8">
        <v>5</v>
      </c>
      <c r="B375" s="8">
        <v>1</v>
      </c>
      <c r="C375" s="8">
        <v>436.43859900000001</v>
      </c>
      <c r="D375" s="8">
        <v>20609.890625</v>
      </c>
      <c r="E375" s="8">
        <v>20623.390625</v>
      </c>
      <c r="F375" s="8">
        <f t="shared" si="10"/>
        <v>13.5</v>
      </c>
      <c r="G375" s="8">
        <f t="shared" si="11"/>
        <v>1.35E-2</v>
      </c>
    </row>
    <row r="376" spans="1:7" x14ac:dyDescent="0.25">
      <c r="A376" s="8">
        <v>5</v>
      </c>
      <c r="B376" s="8">
        <v>2</v>
      </c>
      <c r="C376" s="8">
        <v>1214.8367920000001</v>
      </c>
      <c r="D376" s="8">
        <v>21063.041015999999</v>
      </c>
      <c r="E376" s="8">
        <v>21081.556640999999</v>
      </c>
      <c r="F376" s="8">
        <f t="shared" si="10"/>
        <v>18.515625</v>
      </c>
      <c r="G376" s="8">
        <f t="shared" si="11"/>
        <v>1.8515625000000001E-2</v>
      </c>
    </row>
    <row r="377" spans="1:7" x14ac:dyDescent="0.25">
      <c r="A377" s="8">
        <v>5</v>
      </c>
      <c r="B377" s="8">
        <v>3</v>
      </c>
      <c r="C377" s="8">
        <v>5912.8872069999998</v>
      </c>
      <c r="D377" s="8">
        <v>22297.580077999999</v>
      </c>
      <c r="E377" s="8">
        <v>22311.490234000001</v>
      </c>
      <c r="F377" s="8">
        <f t="shared" si="10"/>
        <v>13.910156000001734</v>
      </c>
      <c r="G377" s="8">
        <f t="shared" si="11"/>
        <v>1.3910156000001735E-2</v>
      </c>
    </row>
    <row r="378" spans="1:7" x14ac:dyDescent="0.25">
      <c r="A378" s="8">
        <v>5</v>
      </c>
      <c r="B378" s="8">
        <v>4</v>
      </c>
      <c r="C378" s="8">
        <v>173.58450300000001</v>
      </c>
      <c r="D378" s="8">
        <v>28228.458984000001</v>
      </c>
      <c r="E378" s="8">
        <v>28246.003906000002</v>
      </c>
      <c r="F378" s="8">
        <f t="shared" si="10"/>
        <v>17.544922000000952</v>
      </c>
      <c r="G378" s="8">
        <f t="shared" si="11"/>
        <v>1.7544922000000952E-2</v>
      </c>
    </row>
    <row r="379" spans="1:7" x14ac:dyDescent="0.25">
      <c r="A379" s="8">
        <v>5</v>
      </c>
      <c r="B379" s="8">
        <v>5</v>
      </c>
      <c r="C379" s="8">
        <v>133.25225800000001</v>
      </c>
      <c r="D379" s="8">
        <v>28433.900390999999</v>
      </c>
      <c r="E379" s="8">
        <v>28451.222656000002</v>
      </c>
      <c r="F379" s="8">
        <f t="shared" si="10"/>
        <v>17.322265000002517</v>
      </c>
      <c r="G379" s="8">
        <f t="shared" si="11"/>
        <v>1.7322265000002515E-2</v>
      </c>
    </row>
    <row r="380" spans="1:7" x14ac:dyDescent="0.25">
      <c r="A380" s="8">
        <v>5</v>
      </c>
      <c r="B380" s="8">
        <v>6</v>
      </c>
      <c r="C380" s="8">
        <v>3018.220703</v>
      </c>
      <c r="D380" s="8">
        <v>28590.128906000002</v>
      </c>
      <c r="E380" s="8">
        <v>28615.439452999999</v>
      </c>
      <c r="F380" s="8">
        <f t="shared" si="10"/>
        <v>25.310546999997314</v>
      </c>
      <c r="G380" s="8">
        <f t="shared" si="11"/>
        <v>2.5310546999997314E-2</v>
      </c>
    </row>
    <row r="381" spans="1:7" x14ac:dyDescent="0.25">
      <c r="A381" s="8">
        <v>5</v>
      </c>
      <c r="B381" s="8">
        <v>7</v>
      </c>
      <c r="C381" s="8">
        <v>2435.4169919999999</v>
      </c>
      <c r="D381" s="8">
        <v>31644.994140999999</v>
      </c>
      <c r="E381" s="8">
        <v>31654.71875</v>
      </c>
      <c r="F381" s="8">
        <f t="shared" si="10"/>
        <v>9.7246090000007825</v>
      </c>
      <c r="G381" s="8">
        <f t="shared" si="11"/>
        <v>9.7246090000007827E-3</v>
      </c>
    </row>
    <row r="382" spans="1:7" x14ac:dyDescent="0.25">
      <c r="A382" s="8">
        <v>5</v>
      </c>
      <c r="B382" s="8">
        <v>8</v>
      </c>
      <c r="C382" s="8">
        <v>194.46322599999999</v>
      </c>
      <c r="D382" s="8">
        <v>34103.097655999998</v>
      </c>
      <c r="E382" s="8">
        <v>34123.972655999998</v>
      </c>
      <c r="F382" s="8">
        <f t="shared" si="10"/>
        <v>20.875</v>
      </c>
      <c r="G382" s="8">
        <f t="shared" si="11"/>
        <v>2.0875000000000001E-2</v>
      </c>
    </row>
    <row r="383" spans="1:7" x14ac:dyDescent="0.25">
      <c r="A383" s="8">
        <v>5</v>
      </c>
      <c r="B383" s="8">
        <v>9</v>
      </c>
      <c r="C383" s="8">
        <v>3490.2070309999999</v>
      </c>
      <c r="D383" s="8">
        <v>34326.847655999998</v>
      </c>
      <c r="E383" s="8">
        <v>34360.023437999997</v>
      </c>
      <c r="F383" s="8">
        <f t="shared" si="10"/>
        <v>33.175781999998435</v>
      </c>
      <c r="G383" s="8">
        <f t="shared" si="11"/>
        <v>3.3175781999998433E-2</v>
      </c>
    </row>
    <row r="384" spans="1:7" x14ac:dyDescent="0.25">
      <c r="A384" s="8">
        <v>5</v>
      </c>
      <c r="B384" s="8">
        <v>10</v>
      </c>
      <c r="C384" s="8">
        <v>598.549622</v>
      </c>
      <c r="D384" s="8">
        <v>37854.9375</v>
      </c>
      <c r="E384" s="8">
        <v>37872.613280999998</v>
      </c>
      <c r="F384" s="8">
        <f t="shared" si="10"/>
        <v>17.675780999998096</v>
      </c>
      <c r="G384" s="8">
        <f t="shared" si="11"/>
        <v>1.7675780999998097E-2</v>
      </c>
    </row>
    <row r="385" spans="1:7" x14ac:dyDescent="0.25">
      <c r="A385" s="8">
        <v>5</v>
      </c>
      <c r="B385" s="8">
        <v>11</v>
      </c>
      <c r="C385" s="8">
        <v>1758.1160890000001</v>
      </c>
      <c r="D385" s="8">
        <v>38480.019530999998</v>
      </c>
      <c r="E385" s="8">
        <v>38492.925780999998</v>
      </c>
      <c r="F385" s="8">
        <f t="shared" si="10"/>
        <v>12.90625</v>
      </c>
      <c r="G385" s="8">
        <f t="shared" si="11"/>
        <v>1.2906249999999999E-2</v>
      </c>
    </row>
    <row r="386" spans="1:7" x14ac:dyDescent="0.25">
      <c r="A386" s="8">
        <v>5</v>
      </c>
      <c r="B386" s="8">
        <v>12</v>
      </c>
      <c r="C386" s="8">
        <v>2206.094482</v>
      </c>
      <c r="D386" s="8">
        <v>40261.746094000002</v>
      </c>
      <c r="E386" s="8">
        <v>40277.332030999998</v>
      </c>
      <c r="F386" s="8">
        <f t="shared" si="10"/>
        <v>15.585936999996193</v>
      </c>
      <c r="G386" s="8">
        <f t="shared" si="11"/>
        <v>1.5585936999996193E-2</v>
      </c>
    </row>
    <row r="387" spans="1:7" x14ac:dyDescent="0.25">
      <c r="A387" s="8">
        <v>5</v>
      </c>
      <c r="B387" s="8">
        <v>13</v>
      </c>
      <c r="C387" s="8">
        <v>4880.7001950000003</v>
      </c>
      <c r="D387" s="8">
        <v>42485.824219000002</v>
      </c>
      <c r="E387" s="8">
        <v>42496.292969000002</v>
      </c>
      <c r="F387" s="8">
        <f t="shared" si="10"/>
        <v>10.46875</v>
      </c>
      <c r="G387" s="8">
        <f t="shared" si="11"/>
        <v>1.0468750000000001E-2</v>
      </c>
    </row>
    <row r="388" spans="1:7" x14ac:dyDescent="0.25">
      <c r="A388" s="8">
        <v>5</v>
      </c>
      <c r="B388" s="8">
        <v>14</v>
      </c>
      <c r="C388" s="8">
        <v>334.89627100000001</v>
      </c>
      <c r="D388" s="8">
        <v>47391.488280999998</v>
      </c>
      <c r="E388" s="8">
        <v>47404.640625</v>
      </c>
      <c r="F388" s="8">
        <f t="shared" si="10"/>
        <v>13.152344000001904</v>
      </c>
      <c r="G388" s="8">
        <f t="shared" si="11"/>
        <v>1.3152344000001903E-2</v>
      </c>
    </row>
    <row r="389" spans="1:7" x14ac:dyDescent="0.25">
      <c r="A389" s="8">
        <v>5</v>
      </c>
      <c r="B389" s="8">
        <v>15</v>
      </c>
      <c r="C389" s="8">
        <v>1962.737061</v>
      </c>
      <c r="D389" s="8">
        <v>47751.015625</v>
      </c>
      <c r="E389" s="8">
        <v>47906.878905999998</v>
      </c>
      <c r="F389" s="8">
        <f t="shared" si="10"/>
        <v>155.8632809999981</v>
      </c>
      <c r="G389" s="8">
        <f t="shared" si="11"/>
        <v>0.15586328099999811</v>
      </c>
    </row>
    <row r="390" spans="1:7" x14ac:dyDescent="0.25">
      <c r="A390" s="8">
        <v>5</v>
      </c>
      <c r="B390" s="8">
        <v>16</v>
      </c>
      <c r="C390" s="8">
        <v>2875.9882809999999</v>
      </c>
      <c r="D390" s="8">
        <v>49877.820312999997</v>
      </c>
      <c r="E390" s="8">
        <v>49898.496094000002</v>
      </c>
      <c r="F390" s="8">
        <f t="shared" si="10"/>
        <v>20.675781000005372</v>
      </c>
      <c r="G390" s="8">
        <f t="shared" si="11"/>
        <v>2.0675781000005371E-2</v>
      </c>
    </row>
    <row r="391" spans="1:7" x14ac:dyDescent="0.25">
      <c r="A391" s="8">
        <v>5</v>
      </c>
      <c r="B391" s="8">
        <v>17</v>
      </c>
      <c r="C391" s="8">
        <v>3154.1372070000002</v>
      </c>
      <c r="D391" s="8">
        <v>52779.664062999997</v>
      </c>
      <c r="E391" s="8">
        <v>52792.628905999998</v>
      </c>
      <c r="F391" s="8">
        <f t="shared" si="10"/>
        <v>12.964843000001565</v>
      </c>
      <c r="G391" s="8">
        <f t="shared" si="11"/>
        <v>1.2964843000001565E-2</v>
      </c>
    </row>
    <row r="392" spans="1:7" x14ac:dyDescent="0.25">
      <c r="A392" s="8">
        <v>5</v>
      </c>
      <c r="B392" s="8">
        <v>18</v>
      </c>
      <c r="C392" s="8">
        <v>1779.1019289999999</v>
      </c>
      <c r="D392" s="8">
        <v>55956.75</v>
      </c>
      <c r="E392" s="8">
        <v>55969.375</v>
      </c>
      <c r="F392" s="8">
        <f t="shared" si="10"/>
        <v>12.625</v>
      </c>
      <c r="G392" s="8">
        <f t="shared" si="11"/>
        <v>1.2625000000000001E-2</v>
      </c>
    </row>
    <row r="393" spans="1:7" x14ac:dyDescent="0.25">
      <c r="A393" s="8">
        <v>5</v>
      </c>
      <c r="B393" s="8">
        <v>19</v>
      </c>
      <c r="C393" s="8">
        <v>973.42804000000001</v>
      </c>
      <c r="D393" s="8">
        <v>57757.769530999998</v>
      </c>
      <c r="E393" s="8">
        <v>57764.785155999998</v>
      </c>
      <c r="F393" s="8">
        <f t="shared" si="10"/>
        <v>7.015625</v>
      </c>
      <c r="G393" s="8">
        <f t="shared" si="11"/>
        <v>7.0156250000000002E-3</v>
      </c>
    </row>
    <row r="394" spans="1:7" x14ac:dyDescent="0.25">
      <c r="A394" s="8">
        <v>5</v>
      </c>
      <c r="B394" s="8">
        <v>20</v>
      </c>
      <c r="C394" s="8">
        <v>1028.4991460000001</v>
      </c>
      <c r="D394" s="8">
        <v>58747.359375</v>
      </c>
      <c r="E394" s="8">
        <v>58761.1875</v>
      </c>
      <c r="F394" s="8">
        <f t="shared" si="10"/>
        <v>13.828125</v>
      </c>
      <c r="G394" s="8">
        <f t="shared" si="11"/>
        <v>1.3828125E-2</v>
      </c>
    </row>
    <row r="395" spans="1:7" x14ac:dyDescent="0.25">
      <c r="A395" s="8">
        <v>5</v>
      </c>
      <c r="B395" s="8">
        <v>21</v>
      </c>
      <c r="C395" s="8">
        <v>2933.630615</v>
      </c>
      <c r="D395" s="8">
        <v>59794.3125</v>
      </c>
      <c r="E395" s="8">
        <v>59810.816405999998</v>
      </c>
      <c r="F395" s="8">
        <f t="shared" ref="F395:F458" si="12">E395-D395</f>
        <v>16.503905999998096</v>
      </c>
      <c r="G395" s="8">
        <f t="shared" ref="G395:G458" si="13">F395/1000</f>
        <v>1.6503905999998097E-2</v>
      </c>
    </row>
    <row r="396" spans="1:7" x14ac:dyDescent="0.25">
      <c r="A396" s="8">
        <v>5</v>
      </c>
      <c r="B396" s="8">
        <v>22</v>
      </c>
      <c r="C396" s="8">
        <v>31.125692000000001</v>
      </c>
      <c r="D396" s="8">
        <v>62751.050780999998</v>
      </c>
      <c r="E396" s="8">
        <v>62764.429687999997</v>
      </c>
      <c r="F396" s="8">
        <f t="shared" si="12"/>
        <v>13.378906999998435</v>
      </c>
      <c r="G396" s="8">
        <f t="shared" si="13"/>
        <v>1.3378906999998434E-2</v>
      </c>
    </row>
    <row r="397" spans="1:7" x14ac:dyDescent="0.25">
      <c r="A397" s="8">
        <v>5</v>
      </c>
      <c r="B397" s="8">
        <v>23</v>
      </c>
      <c r="C397" s="8">
        <v>5405.5683589999999</v>
      </c>
      <c r="D397" s="8">
        <v>62797.910155999998</v>
      </c>
      <c r="E397" s="8">
        <v>62813.339844000002</v>
      </c>
      <c r="F397" s="8">
        <f t="shared" si="12"/>
        <v>15.429688000003807</v>
      </c>
      <c r="G397" s="8">
        <f t="shared" si="13"/>
        <v>1.5429688000003806E-2</v>
      </c>
    </row>
    <row r="398" spans="1:7" x14ac:dyDescent="0.25">
      <c r="A398" s="8">
        <v>5</v>
      </c>
      <c r="B398" s="8">
        <v>24</v>
      </c>
      <c r="C398" s="8">
        <v>1901.7910159999999</v>
      </c>
      <c r="D398" s="8">
        <v>68232.84375</v>
      </c>
      <c r="E398" s="8">
        <v>68247.40625</v>
      </c>
      <c r="F398" s="8">
        <f t="shared" si="12"/>
        <v>14.5625</v>
      </c>
      <c r="G398" s="8">
        <f t="shared" si="13"/>
        <v>1.4562500000000001E-2</v>
      </c>
    </row>
    <row r="399" spans="1:7" x14ac:dyDescent="0.25">
      <c r="A399" s="8">
        <v>5</v>
      </c>
      <c r="B399" s="8">
        <v>25</v>
      </c>
      <c r="C399" s="8">
        <v>1685.785034</v>
      </c>
      <c r="D399" s="8">
        <v>70155.210938000004</v>
      </c>
      <c r="E399" s="8">
        <v>70164.726563000004</v>
      </c>
      <c r="F399" s="8">
        <f t="shared" si="12"/>
        <v>9.515625</v>
      </c>
      <c r="G399" s="8">
        <f t="shared" si="13"/>
        <v>9.5156249999999998E-3</v>
      </c>
    </row>
    <row r="400" spans="1:7" x14ac:dyDescent="0.25">
      <c r="A400" s="8">
        <v>5</v>
      </c>
      <c r="B400" s="8">
        <v>26</v>
      </c>
      <c r="C400" s="8">
        <v>760.00781300000006</v>
      </c>
      <c r="D400" s="8">
        <v>71854.507813000004</v>
      </c>
      <c r="E400" s="8">
        <v>71866.765625</v>
      </c>
      <c r="F400" s="8">
        <f t="shared" si="12"/>
        <v>12.257811999996193</v>
      </c>
      <c r="G400" s="8">
        <f t="shared" si="13"/>
        <v>1.2257811999996192E-2</v>
      </c>
    </row>
    <row r="401" spans="1:7" x14ac:dyDescent="0.25">
      <c r="A401" s="8">
        <v>5</v>
      </c>
      <c r="B401" s="8">
        <v>27</v>
      </c>
      <c r="C401" s="8">
        <v>4803.7412109999996</v>
      </c>
      <c r="D401" s="8">
        <v>72638.640625</v>
      </c>
      <c r="E401" s="8">
        <v>72661.875</v>
      </c>
      <c r="F401" s="8">
        <f t="shared" si="12"/>
        <v>23.234375</v>
      </c>
      <c r="G401" s="8">
        <f t="shared" si="13"/>
        <v>2.3234375000000002E-2</v>
      </c>
    </row>
    <row r="402" spans="1:7" x14ac:dyDescent="0.25">
      <c r="A402" s="8">
        <v>5</v>
      </c>
      <c r="B402" s="8">
        <v>28</v>
      </c>
      <c r="C402" s="8">
        <v>213.93145799999999</v>
      </c>
      <c r="D402" s="8">
        <v>77476.53125</v>
      </c>
      <c r="E402" s="8">
        <v>77496.992188000004</v>
      </c>
      <c r="F402" s="8">
        <f t="shared" si="12"/>
        <v>20.460938000003807</v>
      </c>
      <c r="G402" s="8">
        <f t="shared" si="13"/>
        <v>2.0460938000003807E-2</v>
      </c>
    </row>
    <row r="403" spans="1:7" x14ac:dyDescent="0.25">
      <c r="A403" s="8">
        <v>5</v>
      </c>
      <c r="B403" s="8">
        <v>29</v>
      </c>
      <c r="C403" s="8">
        <v>2382.2922359999998</v>
      </c>
      <c r="D403" s="8">
        <v>77710.90625</v>
      </c>
      <c r="E403" s="8">
        <v>77727.914063000004</v>
      </c>
      <c r="F403" s="8">
        <f t="shared" si="12"/>
        <v>17.007813000003807</v>
      </c>
      <c r="G403" s="8">
        <f t="shared" si="13"/>
        <v>1.7007813000003806E-2</v>
      </c>
    </row>
    <row r="404" spans="1:7" x14ac:dyDescent="0.25">
      <c r="A404" s="8">
        <v>5</v>
      </c>
      <c r="B404" s="8">
        <v>30</v>
      </c>
      <c r="C404" s="8">
        <v>2047.2261960000001</v>
      </c>
      <c r="D404" s="8">
        <v>80113.5625</v>
      </c>
      <c r="E404" s="8">
        <v>80127.992188000004</v>
      </c>
      <c r="F404" s="8">
        <f t="shared" si="12"/>
        <v>14.429688000003807</v>
      </c>
      <c r="G404" s="8">
        <f t="shared" si="13"/>
        <v>1.4429688000003807E-2</v>
      </c>
    </row>
    <row r="405" spans="1:7" x14ac:dyDescent="0.25">
      <c r="A405" s="8">
        <v>5</v>
      </c>
      <c r="B405" s="8">
        <v>31</v>
      </c>
      <c r="C405" s="8">
        <v>1018.114197</v>
      </c>
      <c r="D405" s="8">
        <v>82182.984375</v>
      </c>
      <c r="E405" s="8">
        <v>82190.398438000004</v>
      </c>
      <c r="F405" s="8">
        <f t="shared" si="12"/>
        <v>7.4140630000038072</v>
      </c>
      <c r="G405" s="8">
        <f t="shared" si="13"/>
        <v>7.4140630000038071E-3</v>
      </c>
    </row>
    <row r="406" spans="1:7" x14ac:dyDescent="0.25">
      <c r="A406" s="8">
        <v>5</v>
      </c>
      <c r="B406" s="8">
        <v>32</v>
      </c>
      <c r="C406" s="8">
        <v>1446.834595</v>
      </c>
      <c r="D406" s="8">
        <v>83214.351563000004</v>
      </c>
      <c r="E406" s="8">
        <v>83235.320313000004</v>
      </c>
      <c r="F406" s="8">
        <f t="shared" si="12"/>
        <v>20.96875</v>
      </c>
      <c r="G406" s="8">
        <f t="shared" si="13"/>
        <v>2.0968750000000001E-2</v>
      </c>
    </row>
    <row r="407" spans="1:7" x14ac:dyDescent="0.25">
      <c r="A407" s="8">
        <v>5</v>
      </c>
      <c r="B407" s="8">
        <v>33</v>
      </c>
      <c r="C407" s="8">
        <v>10813.489258</v>
      </c>
      <c r="D407" s="8">
        <v>84688.445313000004</v>
      </c>
      <c r="E407" s="8">
        <v>84708.648438000004</v>
      </c>
      <c r="F407" s="8">
        <f t="shared" si="12"/>
        <v>20.203125</v>
      </c>
      <c r="G407" s="8">
        <f t="shared" si="13"/>
        <v>2.0203124999999999E-2</v>
      </c>
    </row>
    <row r="408" spans="1:7" x14ac:dyDescent="0.25">
      <c r="A408" s="8">
        <v>5</v>
      </c>
      <c r="B408" s="8">
        <v>34</v>
      </c>
      <c r="C408" s="8">
        <v>1672.3598629999999</v>
      </c>
      <c r="D408" s="8">
        <v>95522.09375</v>
      </c>
      <c r="E408" s="8">
        <v>95532.828125</v>
      </c>
      <c r="F408" s="8">
        <f t="shared" si="12"/>
        <v>10.734375</v>
      </c>
      <c r="G408" s="8">
        <f t="shared" si="13"/>
        <v>1.0734375000000001E-2</v>
      </c>
    </row>
    <row r="409" spans="1:7" x14ac:dyDescent="0.25">
      <c r="A409" s="8">
        <v>5</v>
      </c>
      <c r="B409" s="8">
        <v>35</v>
      </c>
      <c r="C409" s="8">
        <v>3417.4467770000001</v>
      </c>
      <c r="D409" s="8">
        <v>97216.03125</v>
      </c>
      <c r="E409" s="8">
        <v>97239.0625</v>
      </c>
      <c r="F409" s="8">
        <f t="shared" si="12"/>
        <v>23.03125</v>
      </c>
      <c r="G409" s="8">
        <f t="shared" si="13"/>
        <v>2.303125E-2</v>
      </c>
    </row>
    <row r="410" spans="1:7" x14ac:dyDescent="0.25">
      <c r="A410" s="8">
        <v>5</v>
      </c>
      <c r="B410" s="8">
        <v>36</v>
      </c>
      <c r="C410" s="8">
        <v>2110.9157709999999</v>
      </c>
      <c r="D410" s="8">
        <v>100667.101563</v>
      </c>
      <c r="E410" s="8">
        <v>100682.085938</v>
      </c>
      <c r="F410" s="8">
        <f t="shared" si="12"/>
        <v>14.984375</v>
      </c>
      <c r="G410" s="8">
        <f t="shared" si="13"/>
        <v>1.4984374999999999E-2</v>
      </c>
    </row>
    <row r="411" spans="1:7" x14ac:dyDescent="0.25">
      <c r="A411" s="8">
        <v>5</v>
      </c>
      <c r="B411" s="8">
        <v>37</v>
      </c>
      <c r="C411" s="8">
        <v>1099.462158</v>
      </c>
      <c r="D411" s="8">
        <v>102797.335938</v>
      </c>
      <c r="E411" s="8">
        <v>102809.96875</v>
      </c>
      <c r="F411" s="8">
        <f t="shared" si="12"/>
        <v>12.632811999996193</v>
      </c>
      <c r="G411" s="8">
        <f t="shared" si="13"/>
        <v>1.2632811999996192E-2</v>
      </c>
    </row>
    <row r="412" spans="1:7" x14ac:dyDescent="0.25">
      <c r="A412" s="8">
        <v>5</v>
      </c>
      <c r="B412" s="8">
        <v>38</v>
      </c>
      <c r="C412" s="8">
        <v>2284.109375</v>
      </c>
      <c r="D412" s="8">
        <v>103909.53125</v>
      </c>
      <c r="E412" s="8">
        <v>103922.796875</v>
      </c>
      <c r="F412" s="8">
        <f t="shared" si="12"/>
        <v>13.265625</v>
      </c>
      <c r="G412" s="8">
        <f t="shared" si="13"/>
        <v>1.3265625E-2</v>
      </c>
    </row>
    <row r="413" spans="1:7" x14ac:dyDescent="0.25">
      <c r="A413" s="8">
        <v>5</v>
      </c>
      <c r="B413" s="8">
        <v>39</v>
      </c>
      <c r="C413" s="8">
        <v>1600.4296879999999</v>
      </c>
      <c r="D413" s="8">
        <v>106219.0625</v>
      </c>
      <c r="E413" s="8">
        <v>106239.695313</v>
      </c>
      <c r="F413" s="8">
        <f t="shared" si="12"/>
        <v>20.632813000003807</v>
      </c>
      <c r="G413" s="8">
        <f t="shared" si="13"/>
        <v>2.0632813000003806E-2</v>
      </c>
    </row>
    <row r="414" spans="1:7" x14ac:dyDescent="0.25">
      <c r="A414" s="8">
        <v>5</v>
      </c>
      <c r="B414" s="8">
        <v>40</v>
      </c>
      <c r="C414" s="8">
        <v>1166.6816409999999</v>
      </c>
      <c r="D414" s="8">
        <v>107844.835938</v>
      </c>
      <c r="E414" s="8">
        <v>107862.234375</v>
      </c>
      <c r="F414" s="8">
        <f t="shared" si="12"/>
        <v>17.398436999996193</v>
      </c>
      <c r="G414" s="8">
        <f t="shared" si="13"/>
        <v>1.7398436999996193E-2</v>
      </c>
    </row>
    <row r="415" spans="1:7" x14ac:dyDescent="0.25">
      <c r="A415" s="8">
        <v>5</v>
      </c>
      <c r="B415" s="8">
        <v>41</v>
      </c>
      <c r="C415" s="8">
        <v>1266.248169</v>
      </c>
      <c r="D415" s="8">
        <v>109032.453125</v>
      </c>
      <c r="E415" s="8">
        <v>109047.25</v>
      </c>
      <c r="F415" s="8">
        <f t="shared" si="12"/>
        <v>14.796875</v>
      </c>
      <c r="G415" s="8">
        <f t="shared" si="13"/>
        <v>1.4796874999999999E-2</v>
      </c>
    </row>
    <row r="416" spans="1:7" x14ac:dyDescent="0.25">
      <c r="A416" s="8">
        <v>5</v>
      </c>
      <c r="B416" s="8">
        <v>42</v>
      </c>
      <c r="C416" s="8">
        <v>383.83944700000001</v>
      </c>
      <c r="D416" s="8">
        <v>110314.625</v>
      </c>
      <c r="E416" s="8">
        <v>110322.421875</v>
      </c>
      <c r="F416" s="8">
        <f t="shared" si="12"/>
        <v>7.796875</v>
      </c>
      <c r="G416" s="8">
        <f t="shared" si="13"/>
        <v>7.796875E-3</v>
      </c>
    </row>
    <row r="417" spans="1:7" x14ac:dyDescent="0.25">
      <c r="A417" s="8">
        <v>5</v>
      </c>
      <c r="B417" s="8">
        <v>43</v>
      </c>
      <c r="C417" s="8">
        <v>1508.940186</v>
      </c>
      <c r="D417" s="8">
        <v>110720.914063</v>
      </c>
      <c r="E417" s="8">
        <v>110728.328125</v>
      </c>
      <c r="F417" s="8">
        <f t="shared" si="12"/>
        <v>7.4140619999961928</v>
      </c>
      <c r="G417" s="8">
        <f t="shared" si="13"/>
        <v>7.4140619999961931E-3</v>
      </c>
    </row>
    <row r="418" spans="1:7" x14ac:dyDescent="0.25">
      <c r="A418" s="8">
        <v>5</v>
      </c>
      <c r="B418" s="8">
        <v>44</v>
      </c>
      <c r="C418" s="8">
        <v>105.71472199999999</v>
      </c>
      <c r="D418" s="8">
        <v>112240.882813</v>
      </c>
      <c r="E418" s="8">
        <v>112259.804688</v>
      </c>
      <c r="F418" s="8">
        <f t="shared" si="12"/>
        <v>18.921875</v>
      </c>
      <c r="G418" s="8">
        <f t="shared" si="13"/>
        <v>1.8921875000000001E-2</v>
      </c>
    </row>
    <row r="419" spans="1:7" x14ac:dyDescent="0.25">
      <c r="A419" s="8">
        <v>5</v>
      </c>
      <c r="B419" s="8">
        <v>45</v>
      </c>
      <c r="C419" s="8">
        <v>491.16061400000001</v>
      </c>
      <c r="D419" s="8">
        <v>112365.835938</v>
      </c>
      <c r="E419" s="8">
        <v>112380.875</v>
      </c>
      <c r="F419" s="8">
        <f t="shared" si="12"/>
        <v>15.039061999996193</v>
      </c>
      <c r="G419" s="8">
        <f t="shared" si="13"/>
        <v>1.5039061999996193E-2</v>
      </c>
    </row>
    <row r="420" spans="1:7" x14ac:dyDescent="0.25">
      <c r="A420" s="8">
        <v>5</v>
      </c>
      <c r="B420" s="8">
        <v>46</v>
      </c>
      <c r="C420" s="8">
        <v>1581.228638</v>
      </c>
      <c r="D420" s="8">
        <v>112884.867188</v>
      </c>
      <c r="E420" s="8">
        <v>112907.96875</v>
      </c>
      <c r="F420" s="8">
        <f t="shared" si="12"/>
        <v>23.101561999996193</v>
      </c>
      <c r="G420" s="8">
        <f t="shared" si="13"/>
        <v>2.3101561999996193E-2</v>
      </c>
    </row>
    <row r="421" spans="1:7" x14ac:dyDescent="0.25">
      <c r="A421" s="8">
        <v>5</v>
      </c>
      <c r="B421" s="8">
        <v>47</v>
      </c>
      <c r="C421" s="8">
        <v>1435.7926030000001</v>
      </c>
      <c r="D421" s="8">
        <v>114503.257813</v>
      </c>
      <c r="E421" s="8">
        <v>114515.476563</v>
      </c>
      <c r="F421" s="8">
        <f t="shared" si="12"/>
        <v>12.21875</v>
      </c>
      <c r="G421" s="8">
        <f t="shared" si="13"/>
        <v>1.221875E-2</v>
      </c>
    </row>
    <row r="422" spans="1:7" x14ac:dyDescent="0.25">
      <c r="A422" s="8">
        <v>5</v>
      </c>
      <c r="B422" s="8">
        <v>48</v>
      </c>
      <c r="C422" s="8">
        <v>6295.9243159999996</v>
      </c>
      <c r="D422" s="8">
        <v>115958.1875</v>
      </c>
      <c r="E422" s="8">
        <v>115976.484375</v>
      </c>
      <c r="F422" s="8">
        <f t="shared" si="12"/>
        <v>18.296875</v>
      </c>
      <c r="G422" s="8">
        <f t="shared" si="13"/>
        <v>1.8296875000000001E-2</v>
      </c>
    </row>
    <row r="423" spans="1:7" x14ac:dyDescent="0.25">
      <c r="A423" s="8">
        <v>5</v>
      </c>
      <c r="B423" s="8">
        <v>49</v>
      </c>
      <c r="C423" s="8">
        <v>1397.1273189999999</v>
      </c>
      <c r="D423" s="8">
        <v>122283.359375</v>
      </c>
      <c r="E423" s="8">
        <v>122316.523438</v>
      </c>
      <c r="F423" s="8">
        <f t="shared" si="12"/>
        <v>33.164063000003807</v>
      </c>
      <c r="G423" s="8">
        <f t="shared" si="13"/>
        <v>3.316406300000381E-2</v>
      </c>
    </row>
    <row r="424" spans="1:7" x14ac:dyDescent="0.25">
      <c r="A424" s="8">
        <v>5</v>
      </c>
      <c r="B424" s="8">
        <v>50</v>
      </c>
      <c r="C424" s="8">
        <v>10.464699</v>
      </c>
      <c r="D424" s="8">
        <v>123715.1875</v>
      </c>
      <c r="E424" s="8">
        <v>123728.359375</v>
      </c>
      <c r="F424" s="8">
        <f t="shared" si="12"/>
        <v>13.171875</v>
      </c>
      <c r="G424" s="8">
        <f t="shared" si="13"/>
        <v>1.3171875E-2</v>
      </c>
    </row>
    <row r="425" spans="1:7" x14ac:dyDescent="0.25">
      <c r="A425" s="8">
        <v>5</v>
      </c>
      <c r="B425" s="8">
        <v>51</v>
      </c>
      <c r="C425" s="8">
        <v>548.14465299999995</v>
      </c>
      <c r="D425" s="8">
        <v>123746.398438</v>
      </c>
      <c r="E425" s="8">
        <v>123777.164063</v>
      </c>
      <c r="F425" s="8">
        <f t="shared" si="12"/>
        <v>30.765625</v>
      </c>
      <c r="G425" s="8">
        <f t="shared" si="13"/>
        <v>3.0765625000000001E-2</v>
      </c>
    </row>
    <row r="426" spans="1:7" x14ac:dyDescent="0.25">
      <c r="A426" s="8">
        <v>5</v>
      </c>
      <c r="B426" s="8">
        <v>52</v>
      </c>
      <c r="C426" s="8">
        <v>795.21405000000004</v>
      </c>
      <c r="D426" s="8">
        <v>124330.234375</v>
      </c>
      <c r="E426" s="8">
        <v>124347</v>
      </c>
      <c r="F426" s="8">
        <f t="shared" si="12"/>
        <v>16.765625</v>
      </c>
      <c r="G426" s="8">
        <f t="shared" si="13"/>
        <v>1.6765624999999999E-2</v>
      </c>
    </row>
    <row r="427" spans="1:7" x14ac:dyDescent="0.25">
      <c r="A427" s="8">
        <v>5</v>
      </c>
      <c r="B427" s="8">
        <v>53</v>
      </c>
      <c r="C427" s="8">
        <v>286.06549100000001</v>
      </c>
      <c r="D427" s="8">
        <v>125142.742188</v>
      </c>
      <c r="E427" s="8">
        <v>125161.734375</v>
      </c>
      <c r="F427" s="8">
        <f t="shared" si="12"/>
        <v>18.992186999996193</v>
      </c>
      <c r="G427" s="8">
        <f t="shared" si="13"/>
        <v>1.8992186999996191E-2</v>
      </c>
    </row>
    <row r="428" spans="1:7" x14ac:dyDescent="0.25">
      <c r="A428" s="8">
        <v>5</v>
      </c>
      <c r="B428" s="8">
        <v>54</v>
      </c>
      <c r="C428" s="8">
        <v>2213.6496579999998</v>
      </c>
      <c r="D428" s="8">
        <v>125455.304688</v>
      </c>
      <c r="E428" s="8">
        <v>125469.851563</v>
      </c>
      <c r="F428" s="8">
        <f t="shared" si="12"/>
        <v>14.546875</v>
      </c>
      <c r="G428" s="8">
        <f t="shared" si="13"/>
        <v>1.4546875000000001E-2</v>
      </c>
    </row>
    <row r="429" spans="1:7" x14ac:dyDescent="0.25">
      <c r="A429" s="8">
        <v>5</v>
      </c>
      <c r="B429" s="8">
        <v>55</v>
      </c>
      <c r="C429" s="8">
        <v>491.86309799999998</v>
      </c>
      <c r="D429" s="8">
        <v>127690.570313</v>
      </c>
      <c r="E429" s="8">
        <v>127710.640625</v>
      </c>
      <c r="F429" s="8">
        <f t="shared" si="12"/>
        <v>20.070311999996193</v>
      </c>
      <c r="G429" s="8">
        <f t="shared" si="13"/>
        <v>2.0070311999996194E-2</v>
      </c>
    </row>
    <row r="430" spans="1:7" x14ac:dyDescent="0.25">
      <c r="A430" s="8">
        <v>5</v>
      </c>
      <c r="B430" s="8">
        <v>56</v>
      </c>
      <c r="C430" s="8">
        <v>1663.2258300000001</v>
      </c>
      <c r="D430" s="8">
        <v>128207.53125</v>
      </c>
      <c r="E430" s="8">
        <v>128218.414063</v>
      </c>
      <c r="F430" s="8">
        <f t="shared" si="12"/>
        <v>10.882813000003807</v>
      </c>
      <c r="G430" s="8">
        <f t="shared" si="13"/>
        <v>1.0882813000003808E-2</v>
      </c>
    </row>
    <row r="431" spans="1:7" x14ac:dyDescent="0.25">
      <c r="A431" s="8">
        <v>5</v>
      </c>
      <c r="B431" s="8">
        <v>57</v>
      </c>
      <c r="C431" s="8">
        <v>2140.0639649999998</v>
      </c>
      <c r="D431" s="8">
        <v>129895.21875</v>
      </c>
      <c r="E431" s="8">
        <v>129908.867188</v>
      </c>
      <c r="F431" s="8">
        <f t="shared" si="12"/>
        <v>13.648438000003807</v>
      </c>
      <c r="G431" s="8">
        <f t="shared" si="13"/>
        <v>1.3648438000003807E-2</v>
      </c>
    </row>
    <row r="432" spans="1:7" x14ac:dyDescent="0.25">
      <c r="A432" s="8">
        <v>5</v>
      </c>
      <c r="B432" s="8">
        <v>58</v>
      </c>
      <c r="C432" s="8">
        <v>334.03051799999997</v>
      </c>
      <c r="D432" s="8">
        <v>132061.40625</v>
      </c>
      <c r="E432" s="8">
        <v>132084.40625</v>
      </c>
      <c r="F432" s="8">
        <f t="shared" si="12"/>
        <v>23</v>
      </c>
      <c r="G432" s="8">
        <f t="shared" si="13"/>
        <v>2.3E-2</v>
      </c>
    </row>
    <row r="433" spans="1:7" x14ac:dyDescent="0.25">
      <c r="A433" s="8">
        <v>5</v>
      </c>
      <c r="B433" s="8">
        <v>59</v>
      </c>
      <c r="C433" s="8">
        <v>802.31201199999998</v>
      </c>
      <c r="D433" s="8">
        <v>132420.8125</v>
      </c>
      <c r="E433" s="8">
        <v>132437.625</v>
      </c>
      <c r="F433" s="8">
        <f t="shared" si="12"/>
        <v>16.8125</v>
      </c>
      <c r="G433" s="8">
        <f t="shared" si="13"/>
        <v>1.6812500000000001E-2</v>
      </c>
    </row>
    <row r="434" spans="1:7" x14ac:dyDescent="0.25">
      <c r="A434" s="8">
        <v>5</v>
      </c>
      <c r="B434" s="8">
        <v>60</v>
      </c>
      <c r="C434" s="8">
        <v>809.43530299999998</v>
      </c>
      <c r="D434" s="8">
        <v>133253.734375</v>
      </c>
      <c r="E434" s="8">
        <v>133276.03125</v>
      </c>
      <c r="F434" s="8">
        <f t="shared" si="12"/>
        <v>22.296875</v>
      </c>
      <c r="G434" s="8">
        <f t="shared" si="13"/>
        <v>2.2296875000000001E-2</v>
      </c>
    </row>
    <row r="435" spans="1:7" x14ac:dyDescent="0.25">
      <c r="A435" s="8">
        <v>5</v>
      </c>
      <c r="B435" s="8">
        <v>61</v>
      </c>
      <c r="C435" s="8">
        <v>1976.955811</v>
      </c>
      <c r="D435" s="8">
        <v>134097.5</v>
      </c>
      <c r="E435" s="8">
        <v>134121.328125</v>
      </c>
      <c r="F435" s="8">
        <f t="shared" si="12"/>
        <v>23.828125</v>
      </c>
      <c r="G435" s="8">
        <f t="shared" si="13"/>
        <v>2.3828124999999999E-2</v>
      </c>
    </row>
    <row r="436" spans="1:7" x14ac:dyDescent="0.25">
      <c r="A436" s="8">
        <v>5</v>
      </c>
      <c r="B436" s="8">
        <v>62</v>
      </c>
      <c r="C436" s="8">
        <v>2041.966919</v>
      </c>
      <c r="D436" s="8">
        <v>136100.890625</v>
      </c>
      <c r="E436" s="8">
        <v>136114.953125</v>
      </c>
      <c r="F436" s="8">
        <f t="shared" si="12"/>
        <v>14.0625</v>
      </c>
      <c r="G436" s="8">
        <f t="shared" si="13"/>
        <v>1.40625E-2</v>
      </c>
    </row>
    <row r="437" spans="1:7" x14ac:dyDescent="0.25">
      <c r="A437" s="8">
        <v>5</v>
      </c>
      <c r="B437" s="8">
        <v>63</v>
      </c>
      <c r="C437" s="8">
        <v>7.2766440000000001</v>
      </c>
      <c r="D437" s="8">
        <v>138156.15625</v>
      </c>
      <c r="E437" s="8">
        <v>138164.796875</v>
      </c>
      <c r="F437" s="8">
        <f t="shared" si="12"/>
        <v>8.640625</v>
      </c>
      <c r="G437" s="8">
        <f t="shared" si="13"/>
        <v>8.6406250000000007E-3</v>
      </c>
    </row>
    <row r="438" spans="1:7" x14ac:dyDescent="0.25">
      <c r="A438" s="8">
        <v>5</v>
      </c>
      <c r="B438" s="8">
        <v>64</v>
      </c>
      <c r="C438" s="8">
        <v>5697.2421880000002</v>
      </c>
      <c r="D438" s="8">
        <v>138187.453125</v>
      </c>
      <c r="E438" s="8">
        <v>138211.640625</v>
      </c>
      <c r="F438" s="8">
        <f t="shared" si="12"/>
        <v>24.1875</v>
      </c>
      <c r="G438" s="8">
        <f t="shared" si="13"/>
        <v>2.4187500000000001E-2</v>
      </c>
    </row>
    <row r="439" spans="1:7" x14ac:dyDescent="0.25">
      <c r="A439" s="8">
        <v>5</v>
      </c>
      <c r="B439" s="8">
        <v>65</v>
      </c>
      <c r="C439" s="8">
        <v>3786.5439449999999</v>
      </c>
      <c r="D439" s="8">
        <v>143916.171875</v>
      </c>
      <c r="E439" s="8">
        <v>143929.4375</v>
      </c>
      <c r="F439" s="8">
        <f t="shared" si="12"/>
        <v>13.265625</v>
      </c>
      <c r="G439" s="8">
        <f t="shared" si="13"/>
        <v>1.3265625E-2</v>
      </c>
    </row>
    <row r="440" spans="1:7" x14ac:dyDescent="0.25">
      <c r="A440" s="8">
        <v>5</v>
      </c>
      <c r="B440" s="8">
        <v>66</v>
      </c>
      <c r="C440" s="8">
        <v>41.318629999999999</v>
      </c>
      <c r="D440" s="8">
        <v>147724.875</v>
      </c>
      <c r="E440" s="8">
        <v>147737.640625</v>
      </c>
      <c r="F440" s="8">
        <f t="shared" si="12"/>
        <v>12.765625</v>
      </c>
      <c r="G440" s="8">
        <f t="shared" si="13"/>
        <v>1.2765624999999999E-2</v>
      </c>
    </row>
    <row r="441" spans="1:7" x14ac:dyDescent="0.25">
      <c r="A441" s="8">
        <v>5</v>
      </c>
      <c r="B441" s="8">
        <v>67</v>
      </c>
      <c r="C441" s="8">
        <v>313.149475</v>
      </c>
      <c r="D441" s="8">
        <v>147787.390625</v>
      </c>
      <c r="E441" s="8">
        <v>147803.09375</v>
      </c>
      <c r="F441" s="8">
        <f t="shared" si="12"/>
        <v>15.703125</v>
      </c>
      <c r="G441" s="8">
        <f t="shared" si="13"/>
        <v>1.5703124999999998E-2</v>
      </c>
    </row>
    <row r="442" spans="1:7" x14ac:dyDescent="0.25">
      <c r="A442" s="8">
        <v>5</v>
      </c>
      <c r="B442" s="8">
        <v>68</v>
      </c>
      <c r="C442" s="8">
        <v>1048.6069339999999</v>
      </c>
      <c r="D442" s="8">
        <v>148118.25</v>
      </c>
      <c r="E442" s="8">
        <v>148143</v>
      </c>
      <c r="F442" s="8">
        <f t="shared" si="12"/>
        <v>24.75</v>
      </c>
      <c r="G442" s="8">
        <f t="shared" si="13"/>
        <v>2.4750000000000001E-2</v>
      </c>
    </row>
    <row r="443" spans="1:7" x14ac:dyDescent="0.25">
      <c r="A443" s="8">
        <v>5</v>
      </c>
      <c r="B443" s="8">
        <v>69</v>
      </c>
      <c r="C443" s="8">
        <v>1648.2801509999999</v>
      </c>
      <c r="D443" s="8">
        <v>149197.296875</v>
      </c>
      <c r="E443" s="8">
        <v>149223.765625</v>
      </c>
      <c r="F443" s="8">
        <f t="shared" si="12"/>
        <v>26.46875</v>
      </c>
      <c r="G443" s="8">
        <f t="shared" si="13"/>
        <v>2.6468749999999999E-2</v>
      </c>
    </row>
    <row r="444" spans="1:7" x14ac:dyDescent="0.25">
      <c r="A444" s="8">
        <v>5</v>
      </c>
      <c r="B444" s="8">
        <v>70</v>
      </c>
      <c r="C444" s="8">
        <v>489.99056999999999</v>
      </c>
      <c r="D444" s="8">
        <v>150873.859375</v>
      </c>
      <c r="E444" s="8">
        <v>150895.1875</v>
      </c>
      <c r="F444" s="8">
        <f t="shared" si="12"/>
        <v>21.328125</v>
      </c>
      <c r="G444" s="8">
        <f t="shared" si="13"/>
        <v>2.1328125E-2</v>
      </c>
    </row>
    <row r="445" spans="1:7" x14ac:dyDescent="0.25">
      <c r="A445" s="8">
        <v>5</v>
      </c>
      <c r="B445" s="8">
        <v>71</v>
      </c>
      <c r="C445" s="8">
        <v>1688.339111</v>
      </c>
      <c r="D445" s="8">
        <v>151389.5625</v>
      </c>
      <c r="E445" s="8">
        <v>151400.53125</v>
      </c>
      <c r="F445" s="8">
        <f t="shared" si="12"/>
        <v>10.96875</v>
      </c>
      <c r="G445" s="8">
        <f t="shared" si="13"/>
        <v>1.0968749999999999E-2</v>
      </c>
    </row>
    <row r="446" spans="1:7" x14ac:dyDescent="0.25">
      <c r="A446" s="8">
        <v>5</v>
      </c>
      <c r="B446" s="8">
        <v>72</v>
      </c>
      <c r="C446" s="8">
        <v>91.543739000000002</v>
      </c>
      <c r="D446" s="8">
        <v>153093.890625</v>
      </c>
      <c r="E446" s="8">
        <v>153117.53125</v>
      </c>
      <c r="F446" s="8">
        <f t="shared" si="12"/>
        <v>23.640625</v>
      </c>
      <c r="G446" s="8">
        <f t="shared" si="13"/>
        <v>2.3640624999999998E-2</v>
      </c>
    </row>
    <row r="447" spans="1:7" x14ac:dyDescent="0.25">
      <c r="A447" s="8">
        <v>5</v>
      </c>
      <c r="B447" s="8">
        <v>73</v>
      </c>
      <c r="C447" s="8">
        <v>77.091697999999994</v>
      </c>
      <c r="D447" s="8">
        <v>153218.6875</v>
      </c>
      <c r="E447" s="8">
        <v>153240.078125</v>
      </c>
      <c r="F447" s="8">
        <f t="shared" si="12"/>
        <v>21.390625</v>
      </c>
      <c r="G447" s="8">
        <f t="shared" si="13"/>
        <v>2.1390625E-2</v>
      </c>
    </row>
    <row r="448" spans="1:7" x14ac:dyDescent="0.25">
      <c r="A448" s="8">
        <v>5</v>
      </c>
      <c r="B448" s="8">
        <v>74</v>
      </c>
      <c r="C448" s="8">
        <v>599.29083300000002</v>
      </c>
      <c r="D448" s="8">
        <v>153328.265625</v>
      </c>
      <c r="E448" s="8">
        <v>153345.046875</v>
      </c>
      <c r="F448" s="8">
        <f t="shared" si="12"/>
        <v>16.78125</v>
      </c>
      <c r="G448" s="8">
        <f t="shared" si="13"/>
        <v>1.6781250000000001E-2</v>
      </c>
    </row>
    <row r="449" spans="1:7" x14ac:dyDescent="0.25">
      <c r="A449" s="8">
        <v>5</v>
      </c>
      <c r="B449" s="8">
        <v>75</v>
      </c>
      <c r="C449" s="8">
        <v>300.980255</v>
      </c>
      <c r="D449" s="8">
        <v>153953.34375</v>
      </c>
      <c r="E449" s="8">
        <v>153960.734375</v>
      </c>
      <c r="F449" s="8">
        <f t="shared" si="12"/>
        <v>7.390625</v>
      </c>
      <c r="G449" s="8">
        <f t="shared" si="13"/>
        <v>7.3906249999999996E-3</v>
      </c>
    </row>
    <row r="450" spans="1:7" x14ac:dyDescent="0.25">
      <c r="A450" s="8">
        <v>5</v>
      </c>
      <c r="B450" s="8">
        <v>76</v>
      </c>
      <c r="C450" s="8">
        <v>5317.3779299999997</v>
      </c>
      <c r="D450" s="8">
        <v>154265.859375</v>
      </c>
      <c r="E450" s="8">
        <v>154279.65625</v>
      </c>
      <c r="F450" s="8">
        <f t="shared" si="12"/>
        <v>13.796875</v>
      </c>
      <c r="G450" s="8">
        <f t="shared" si="13"/>
        <v>1.3796875E-2</v>
      </c>
    </row>
    <row r="451" spans="1:7" x14ac:dyDescent="0.25">
      <c r="A451" s="8">
        <v>5</v>
      </c>
      <c r="B451" s="8">
        <v>77</v>
      </c>
      <c r="C451" s="8">
        <v>1672.9233400000001</v>
      </c>
      <c r="D451" s="8">
        <v>159611.203125</v>
      </c>
      <c r="E451" s="8">
        <v>159630.4375</v>
      </c>
      <c r="F451" s="8">
        <f t="shared" si="12"/>
        <v>19.234375</v>
      </c>
      <c r="G451" s="8">
        <f t="shared" si="13"/>
        <v>1.9234375000000001E-2</v>
      </c>
    </row>
    <row r="452" spans="1:7" x14ac:dyDescent="0.25">
      <c r="A452" s="8">
        <v>5</v>
      </c>
      <c r="B452" s="8">
        <v>78</v>
      </c>
      <c r="C452" s="8">
        <v>492.72186299999998</v>
      </c>
      <c r="D452" s="8">
        <v>161314.5</v>
      </c>
      <c r="E452" s="8">
        <v>161331.890625</v>
      </c>
      <c r="F452" s="8">
        <f t="shared" si="12"/>
        <v>17.390625</v>
      </c>
      <c r="G452" s="8">
        <f t="shared" si="13"/>
        <v>1.7390625E-2</v>
      </c>
    </row>
    <row r="453" spans="1:7" x14ac:dyDescent="0.25">
      <c r="A453" s="8">
        <v>5</v>
      </c>
      <c r="B453" s="8">
        <v>79</v>
      </c>
      <c r="C453" s="8">
        <v>782.53692599999999</v>
      </c>
      <c r="D453" s="8">
        <v>161830.1875</v>
      </c>
      <c r="E453" s="8">
        <v>161849.90625</v>
      </c>
      <c r="F453" s="8">
        <f t="shared" si="12"/>
        <v>19.71875</v>
      </c>
      <c r="G453" s="8">
        <f t="shared" si="13"/>
        <v>1.971875E-2</v>
      </c>
    </row>
    <row r="454" spans="1:7" x14ac:dyDescent="0.25">
      <c r="A454" s="8">
        <v>5</v>
      </c>
      <c r="B454" s="8">
        <v>80</v>
      </c>
      <c r="C454" s="8">
        <v>181.65576200000001</v>
      </c>
      <c r="D454" s="8">
        <v>162643.34375</v>
      </c>
      <c r="E454" s="8">
        <v>162657.96875</v>
      </c>
      <c r="F454" s="8">
        <f t="shared" si="12"/>
        <v>14.625</v>
      </c>
      <c r="G454" s="8">
        <f t="shared" si="13"/>
        <v>1.4625000000000001E-2</v>
      </c>
    </row>
    <row r="455" spans="1:7" x14ac:dyDescent="0.25">
      <c r="A455" s="8">
        <v>5</v>
      </c>
      <c r="B455" s="8">
        <v>81</v>
      </c>
      <c r="C455" s="8">
        <v>654.31756600000006</v>
      </c>
      <c r="D455" s="8">
        <v>162846.515625</v>
      </c>
      <c r="E455" s="8">
        <v>162853.78125</v>
      </c>
      <c r="F455" s="8">
        <f t="shared" si="12"/>
        <v>7.265625</v>
      </c>
      <c r="G455" s="8">
        <f t="shared" si="13"/>
        <v>7.2656250000000004E-3</v>
      </c>
    </row>
    <row r="456" spans="1:7" x14ac:dyDescent="0.25">
      <c r="A456" s="8">
        <v>5</v>
      </c>
      <c r="B456" s="8">
        <v>82</v>
      </c>
      <c r="C456" s="8">
        <v>1837.5927730000001</v>
      </c>
      <c r="D456" s="8">
        <v>163518.453125</v>
      </c>
      <c r="E456" s="8">
        <v>163531.515625</v>
      </c>
      <c r="F456" s="8">
        <f t="shared" si="12"/>
        <v>13.0625</v>
      </c>
      <c r="G456" s="8">
        <f t="shared" si="13"/>
        <v>1.3062499999999999E-2</v>
      </c>
    </row>
    <row r="457" spans="1:7" x14ac:dyDescent="0.25">
      <c r="A457" s="8">
        <v>5</v>
      </c>
      <c r="B457" s="8">
        <v>83</v>
      </c>
      <c r="C457" s="8">
        <v>1063.4061280000001</v>
      </c>
      <c r="D457" s="8">
        <v>165374.125</v>
      </c>
      <c r="E457" s="8">
        <v>165396.984375</v>
      </c>
      <c r="F457" s="8">
        <f t="shared" si="12"/>
        <v>22.859375</v>
      </c>
      <c r="G457" s="8">
        <f t="shared" si="13"/>
        <v>2.2859375000000001E-2</v>
      </c>
    </row>
    <row r="458" spans="1:7" x14ac:dyDescent="0.25">
      <c r="A458" s="8">
        <v>5</v>
      </c>
      <c r="B458" s="8">
        <v>84</v>
      </c>
      <c r="C458" s="8">
        <v>2595.76001</v>
      </c>
      <c r="D458" s="8">
        <v>166473.859375</v>
      </c>
      <c r="E458" s="8">
        <v>166481.078125</v>
      </c>
      <c r="F458" s="8">
        <f t="shared" si="12"/>
        <v>7.21875</v>
      </c>
      <c r="G458" s="8">
        <f t="shared" si="13"/>
        <v>7.2187500000000003E-3</v>
      </c>
    </row>
    <row r="459" spans="1:7" x14ac:dyDescent="0.25">
      <c r="A459" s="8">
        <v>5</v>
      </c>
      <c r="B459" s="8">
        <v>85</v>
      </c>
      <c r="C459" s="8">
        <v>3176.719482</v>
      </c>
      <c r="D459" s="8">
        <v>169079.765625</v>
      </c>
      <c r="E459" s="8">
        <v>169088.328125</v>
      </c>
      <c r="F459" s="8">
        <f t="shared" ref="F459:F522" si="14">E459-D459</f>
        <v>8.5625</v>
      </c>
      <c r="G459" s="8">
        <f t="shared" ref="G459:G522" si="15">F459/1000</f>
        <v>8.5625000000000007E-3</v>
      </c>
    </row>
    <row r="460" spans="1:7" x14ac:dyDescent="0.25">
      <c r="A460" s="8">
        <v>6</v>
      </c>
      <c r="B460" s="8">
        <v>0</v>
      </c>
      <c r="C460" s="8">
        <v>291.42474399999998</v>
      </c>
      <c r="D460" s="8">
        <v>25553.119140999999</v>
      </c>
      <c r="E460" s="8">
        <v>25564.220702999999</v>
      </c>
      <c r="F460" s="8">
        <f t="shared" si="14"/>
        <v>11.101561999999831</v>
      </c>
      <c r="G460" s="8">
        <f t="shared" si="15"/>
        <v>1.1101561999999831E-2</v>
      </c>
    </row>
    <row r="461" spans="1:7" x14ac:dyDescent="0.25">
      <c r="A461" s="8">
        <v>6</v>
      </c>
      <c r="B461" s="8">
        <v>1</v>
      </c>
      <c r="C461" s="8">
        <v>183.46134900000001</v>
      </c>
      <c r="D461" s="8">
        <v>25865.662109000001</v>
      </c>
      <c r="E461" s="8">
        <v>25887.896484000001</v>
      </c>
      <c r="F461" s="8">
        <f t="shared" si="14"/>
        <v>22.234375</v>
      </c>
      <c r="G461" s="8">
        <f t="shared" si="15"/>
        <v>2.2234375000000001E-2</v>
      </c>
    </row>
    <row r="462" spans="1:7" x14ac:dyDescent="0.25">
      <c r="A462" s="8">
        <v>6</v>
      </c>
      <c r="B462" s="8">
        <v>2</v>
      </c>
      <c r="C462" s="8">
        <v>130.38362100000001</v>
      </c>
      <c r="D462" s="8">
        <v>26084.435547000001</v>
      </c>
      <c r="E462" s="8">
        <v>26099.302734000001</v>
      </c>
      <c r="F462" s="8">
        <f t="shared" si="14"/>
        <v>14.867186999999831</v>
      </c>
      <c r="G462" s="8">
        <f t="shared" si="15"/>
        <v>1.486718699999983E-2</v>
      </c>
    </row>
    <row r="463" spans="1:7" x14ac:dyDescent="0.25">
      <c r="A463" s="8">
        <v>6</v>
      </c>
      <c r="B463" s="8">
        <v>3</v>
      </c>
      <c r="C463" s="8">
        <v>217.94322199999999</v>
      </c>
      <c r="D463" s="8">
        <v>26242.265625</v>
      </c>
      <c r="E463" s="8">
        <v>26267.910156000002</v>
      </c>
      <c r="F463" s="8">
        <f t="shared" si="14"/>
        <v>25.644531000001734</v>
      </c>
      <c r="G463" s="8">
        <f t="shared" si="15"/>
        <v>2.5644531000001733E-2</v>
      </c>
    </row>
    <row r="464" spans="1:7" x14ac:dyDescent="0.25">
      <c r="A464" s="8">
        <v>6</v>
      </c>
      <c r="B464" s="8">
        <v>4</v>
      </c>
      <c r="C464" s="8">
        <v>444.12148999999999</v>
      </c>
      <c r="D464" s="8">
        <v>26493.085938</v>
      </c>
      <c r="E464" s="8">
        <v>26637.595702999999</v>
      </c>
      <c r="F464" s="8">
        <f t="shared" si="14"/>
        <v>144.50976499999888</v>
      </c>
      <c r="G464" s="8">
        <f t="shared" si="15"/>
        <v>0.14450976499999887</v>
      </c>
    </row>
    <row r="465" spans="1:7" x14ac:dyDescent="0.25">
      <c r="A465" s="8">
        <v>6</v>
      </c>
      <c r="B465" s="8">
        <v>5</v>
      </c>
      <c r="C465" s="8">
        <v>1073.7163089999999</v>
      </c>
      <c r="D465" s="8">
        <v>27086.939452999999</v>
      </c>
      <c r="E465" s="8">
        <v>27104.242188</v>
      </c>
      <c r="F465" s="8">
        <f t="shared" si="14"/>
        <v>17.302735000001121</v>
      </c>
      <c r="G465" s="8">
        <f t="shared" si="15"/>
        <v>1.730273500000112E-2</v>
      </c>
    </row>
    <row r="466" spans="1:7" x14ac:dyDescent="0.25">
      <c r="A466" s="8">
        <v>6</v>
      </c>
      <c r="B466" s="8">
        <v>6</v>
      </c>
      <c r="C466" s="8">
        <v>702.64483600000005</v>
      </c>
      <c r="D466" s="8">
        <v>28181.412109000001</v>
      </c>
      <c r="E466" s="8">
        <v>28189.396484000001</v>
      </c>
      <c r="F466" s="8">
        <f t="shared" si="14"/>
        <v>7.984375</v>
      </c>
      <c r="G466" s="8">
        <f t="shared" si="15"/>
        <v>7.9843750000000002E-3</v>
      </c>
    </row>
    <row r="467" spans="1:7" x14ac:dyDescent="0.25">
      <c r="A467" s="8">
        <v>6</v>
      </c>
      <c r="B467" s="8">
        <v>7</v>
      </c>
      <c r="C467" s="8">
        <v>1160.4566649999999</v>
      </c>
      <c r="D467" s="8">
        <v>28902.679688</v>
      </c>
      <c r="E467" s="8">
        <v>28919.662109000001</v>
      </c>
      <c r="F467" s="8">
        <f t="shared" si="14"/>
        <v>16.982421000000613</v>
      </c>
      <c r="G467" s="8">
        <f t="shared" si="15"/>
        <v>1.6982421000000612E-2</v>
      </c>
    </row>
    <row r="468" spans="1:7" x14ac:dyDescent="0.25">
      <c r="A468" s="8">
        <v>6</v>
      </c>
      <c r="B468" s="8">
        <v>8</v>
      </c>
      <c r="C468" s="8">
        <v>45.560394000000002</v>
      </c>
      <c r="D468" s="8">
        <v>30090.320313</v>
      </c>
      <c r="E468" s="8">
        <v>30109.539063</v>
      </c>
      <c r="F468" s="8">
        <f t="shared" si="14"/>
        <v>19.21875</v>
      </c>
      <c r="G468" s="8">
        <f t="shared" si="15"/>
        <v>1.921875E-2</v>
      </c>
    </row>
    <row r="469" spans="1:7" x14ac:dyDescent="0.25">
      <c r="A469" s="8">
        <v>6</v>
      </c>
      <c r="B469" s="8">
        <v>9</v>
      </c>
      <c r="C469" s="8">
        <v>1894.8526609999999</v>
      </c>
      <c r="D469" s="8">
        <v>30156.03125</v>
      </c>
      <c r="E469" s="8">
        <v>30177.537109000001</v>
      </c>
      <c r="F469" s="8">
        <f t="shared" si="14"/>
        <v>21.505859000000783</v>
      </c>
      <c r="G469" s="8">
        <f t="shared" si="15"/>
        <v>2.1505859000000783E-2</v>
      </c>
    </row>
    <row r="470" spans="1:7" x14ac:dyDescent="0.25">
      <c r="A470" s="8">
        <v>6</v>
      </c>
      <c r="B470" s="8">
        <v>10</v>
      </c>
      <c r="C470" s="8">
        <v>433.70739700000001</v>
      </c>
      <c r="D470" s="8">
        <v>32082.548827999999</v>
      </c>
      <c r="E470" s="8">
        <v>32091.671875</v>
      </c>
      <c r="F470" s="8">
        <f t="shared" si="14"/>
        <v>9.1230470000009518</v>
      </c>
      <c r="G470" s="8">
        <f t="shared" si="15"/>
        <v>9.1230470000009511E-3</v>
      </c>
    </row>
    <row r="471" spans="1:7" x14ac:dyDescent="0.25">
      <c r="A471" s="8">
        <v>6</v>
      </c>
      <c r="B471" s="8">
        <v>11</v>
      </c>
      <c r="C471" s="8">
        <v>3277.8439939999998</v>
      </c>
      <c r="D471" s="8">
        <v>32535.724609000001</v>
      </c>
      <c r="E471" s="8">
        <v>32555.365234000001</v>
      </c>
      <c r="F471" s="8">
        <f t="shared" si="14"/>
        <v>19.640625</v>
      </c>
      <c r="G471" s="8">
        <f t="shared" si="15"/>
        <v>1.9640624999999998E-2</v>
      </c>
    </row>
    <row r="472" spans="1:7" x14ac:dyDescent="0.25">
      <c r="A472" s="8">
        <v>6</v>
      </c>
      <c r="B472" s="8">
        <v>12</v>
      </c>
      <c r="C472" s="8">
        <v>331.50744600000002</v>
      </c>
      <c r="D472" s="8">
        <v>35842.671875</v>
      </c>
      <c r="E472" s="8">
        <v>35859.476562999997</v>
      </c>
      <c r="F472" s="8">
        <f t="shared" si="14"/>
        <v>16.804687999996531</v>
      </c>
      <c r="G472" s="8">
        <f t="shared" si="15"/>
        <v>1.6804687999996532E-2</v>
      </c>
    </row>
    <row r="473" spans="1:7" x14ac:dyDescent="0.25">
      <c r="A473" s="8">
        <v>6</v>
      </c>
      <c r="B473" s="8">
        <v>13</v>
      </c>
      <c r="C473" s="8">
        <v>725.84912099999997</v>
      </c>
      <c r="D473" s="8">
        <v>36202.0625</v>
      </c>
      <c r="E473" s="8">
        <v>36216.261719000002</v>
      </c>
      <c r="F473" s="8">
        <f t="shared" si="14"/>
        <v>14.199219000001904</v>
      </c>
      <c r="G473" s="8">
        <f t="shared" si="15"/>
        <v>1.4199219000001904E-2</v>
      </c>
    </row>
    <row r="474" spans="1:7" x14ac:dyDescent="0.25">
      <c r="A474" s="8">
        <v>6</v>
      </c>
      <c r="B474" s="8">
        <v>14</v>
      </c>
      <c r="C474" s="8">
        <v>1731.971802</v>
      </c>
      <c r="D474" s="8">
        <v>36956.625</v>
      </c>
      <c r="E474" s="8">
        <v>36970.882812999997</v>
      </c>
      <c r="F474" s="8">
        <f t="shared" si="14"/>
        <v>14.257812999996531</v>
      </c>
      <c r="G474" s="8">
        <f t="shared" si="15"/>
        <v>1.4257812999996532E-2</v>
      </c>
    </row>
    <row r="475" spans="1:7" x14ac:dyDescent="0.25">
      <c r="A475" s="8">
        <v>6</v>
      </c>
      <c r="B475" s="8">
        <v>15</v>
      </c>
      <c r="C475" s="8">
        <v>309.79727200000002</v>
      </c>
      <c r="D475" s="8">
        <v>38714.746094000002</v>
      </c>
      <c r="E475" s="8">
        <v>38722.089844000002</v>
      </c>
      <c r="F475" s="8">
        <f t="shared" si="14"/>
        <v>7.34375</v>
      </c>
      <c r="G475" s="8">
        <f t="shared" si="15"/>
        <v>7.3437499999999996E-3</v>
      </c>
    </row>
    <row r="476" spans="1:7" x14ac:dyDescent="0.25">
      <c r="A476" s="8">
        <v>6</v>
      </c>
      <c r="B476" s="8">
        <v>16</v>
      </c>
      <c r="C476" s="8">
        <v>98.071799999999996</v>
      </c>
      <c r="D476" s="8">
        <v>39042.933594000002</v>
      </c>
      <c r="E476" s="8">
        <v>39050.746094000002</v>
      </c>
      <c r="F476" s="8">
        <f t="shared" si="14"/>
        <v>7.8125</v>
      </c>
      <c r="G476" s="8">
        <f t="shared" si="15"/>
        <v>7.8125E-3</v>
      </c>
    </row>
    <row r="477" spans="1:7" x14ac:dyDescent="0.25">
      <c r="A477" s="8">
        <v>6</v>
      </c>
      <c r="B477" s="8">
        <v>17</v>
      </c>
      <c r="C477" s="8">
        <v>2786.9841310000002</v>
      </c>
      <c r="D477" s="8">
        <v>39152.320312999997</v>
      </c>
      <c r="E477" s="8">
        <v>39172.382812999997</v>
      </c>
      <c r="F477" s="8">
        <f t="shared" si="14"/>
        <v>20.0625</v>
      </c>
      <c r="G477" s="8">
        <f t="shared" si="15"/>
        <v>2.00625E-2</v>
      </c>
    </row>
    <row r="478" spans="1:7" x14ac:dyDescent="0.25">
      <c r="A478" s="8">
        <v>6</v>
      </c>
      <c r="B478" s="8">
        <v>18</v>
      </c>
      <c r="C478" s="8">
        <v>619.90478499999995</v>
      </c>
      <c r="D478" s="8">
        <v>41965.867187999997</v>
      </c>
      <c r="E478" s="8">
        <v>41973.667969000002</v>
      </c>
      <c r="F478" s="8">
        <f t="shared" si="14"/>
        <v>7.8007810000053723</v>
      </c>
      <c r="G478" s="8">
        <f t="shared" si="15"/>
        <v>7.8007810000053721E-3</v>
      </c>
    </row>
    <row r="479" spans="1:7" x14ac:dyDescent="0.25">
      <c r="A479" s="8">
        <v>6</v>
      </c>
      <c r="B479" s="8">
        <v>19</v>
      </c>
      <c r="C479" s="8">
        <v>2479.209961</v>
      </c>
      <c r="D479" s="8">
        <v>42595.066405999998</v>
      </c>
      <c r="E479" s="8">
        <v>42607.382812999997</v>
      </c>
      <c r="F479" s="8">
        <f t="shared" si="14"/>
        <v>12.316406999998435</v>
      </c>
      <c r="G479" s="8">
        <f t="shared" si="15"/>
        <v>1.2316406999998435E-2</v>
      </c>
    </row>
    <row r="480" spans="1:7" x14ac:dyDescent="0.25">
      <c r="A480" s="8">
        <v>6</v>
      </c>
      <c r="B480" s="8">
        <v>20</v>
      </c>
      <c r="C480" s="8">
        <v>744.62609899999995</v>
      </c>
      <c r="D480" s="8">
        <v>45099.996094000002</v>
      </c>
      <c r="E480" s="8">
        <v>45117.347655999998</v>
      </c>
      <c r="F480" s="8">
        <f t="shared" si="14"/>
        <v>17.351561999996193</v>
      </c>
      <c r="G480" s="8">
        <f t="shared" si="15"/>
        <v>1.7351561999996191E-2</v>
      </c>
    </row>
    <row r="481" spans="1:7" x14ac:dyDescent="0.25">
      <c r="A481" s="8">
        <v>6</v>
      </c>
      <c r="B481" s="8">
        <v>21</v>
      </c>
      <c r="C481" s="8">
        <v>1476.3691409999999</v>
      </c>
      <c r="D481" s="8">
        <v>45866.386719000002</v>
      </c>
      <c r="E481" s="8">
        <v>45896.34375</v>
      </c>
      <c r="F481" s="8">
        <f t="shared" si="14"/>
        <v>29.957030999998096</v>
      </c>
      <c r="G481" s="8">
        <f t="shared" si="15"/>
        <v>2.9957030999998097E-2</v>
      </c>
    </row>
    <row r="482" spans="1:7" x14ac:dyDescent="0.25">
      <c r="A482" s="8">
        <v>6</v>
      </c>
      <c r="B482" s="8">
        <v>22</v>
      </c>
      <c r="C482" s="8">
        <v>5167.1713870000003</v>
      </c>
      <c r="D482" s="8">
        <v>47375.917969000002</v>
      </c>
      <c r="E482" s="8">
        <v>47387.472655999998</v>
      </c>
      <c r="F482" s="8">
        <f t="shared" si="14"/>
        <v>11.554686999996193</v>
      </c>
      <c r="G482" s="8">
        <f t="shared" si="15"/>
        <v>1.1554686999996193E-2</v>
      </c>
    </row>
    <row r="483" spans="1:7" x14ac:dyDescent="0.25">
      <c r="A483" s="8">
        <v>6</v>
      </c>
      <c r="B483" s="8">
        <v>23</v>
      </c>
      <c r="C483" s="8">
        <v>4433.1528319999998</v>
      </c>
      <c r="D483" s="8">
        <v>52560.945312999997</v>
      </c>
      <c r="E483" s="8">
        <v>52588.085937999997</v>
      </c>
      <c r="F483" s="8">
        <f t="shared" si="14"/>
        <v>27.140625</v>
      </c>
      <c r="G483" s="8">
        <f t="shared" si="15"/>
        <v>2.7140625000000002E-2</v>
      </c>
    </row>
    <row r="484" spans="1:7" x14ac:dyDescent="0.25">
      <c r="A484" s="8">
        <v>6</v>
      </c>
      <c r="B484" s="8">
        <v>24</v>
      </c>
      <c r="C484" s="8">
        <v>266.02545199999997</v>
      </c>
      <c r="D484" s="8">
        <v>57035.691405999998</v>
      </c>
      <c r="E484" s="8">
        <v>57052.128905999998</v>
      </c>
      <c r="F484" s="8">
        <f t="shared" si="14"/>
        <v>16.4375</v>
      </c>
      <c r="G484" s="8">
        <f t="shared" si="15"/>
        <v>1.6437500000000001E-2</v>
      </c>
    </row>
    <row r="485" spans="1:7" x14ac:dyDescent="0.25">
      <c r="A485" s="8">
        <v>6</v>
      </c>
      <c r="B485" s="8">
        <v>25</v>
      </c>
      <c r="C485" s="8">
        <v>1643.693115</v>
      </c>
      <c r="D485" s="8">
        <v>57332.605469000002</v>
      </c>
      <c r="E485" s="8">
        <v>57344.453125</v>
      </c>
      <c r="F485" s="8">
        <f t="shared" si="14"/>
        <v>11.847655999998096</v>
      </c>
      <c r="G485" s="8">
        <f t="shared" si="15"/>
        <v>1.1847655999998097E-2</v>
      </c>
    </row>
    <row r="486" spans="1:7" x14ac:dyDescent="0.25">
      <c r="A486" s="8">
        <v>6</v>
      </c>
      <c r="B486" s="8">
        <v>26</v>
      </c>
      <c r="C486" s="8">
        <v>2667.891357</v>
      </c>
      <c r="D486" s="8">
        <v>58997.34375</v>
      </c>
      <c r="E486" s="8">
        <v>59005.527344000002</v>
      </c>
      <c r="F486" s="8">
        <f t="shared" si="14"/>
        <v>8.1835940000019036</v>
      </c>
      <c r="G486" s="8">
        <f t="shared" si="15"/>
        <v>8.1835940000019036E-3</v>
      </c>
    </row>
    <row r="487" spans="1:7" x14ac:dyDescent="0.25">
      <c r="A487" s="8">
        <v>6</v>
      </c>
      <c r="B487" s="8">
        <v>27</v>
      </c>
      <c r="C487" s="8">
        <v>1725.3082280000001</v>
      </c>
      <c r="D487" s="8">
        <v>61685.136719000002</v>
      </c>
      <c r="E487" s="8">
        <v>61703.113280999998</v>
      </c>
      <c r="F487" s="8">
        <f t="shared" si="14"/>
        <v>17.976561999996193</v>
      </c>
      <c r="G487" s="8">
        <f t="shared" si="15"/>
        <v>1.7976561999996192E-2</v>
      </c>
    </row>
    <row r="488" spans="1:7" x14ac:dyDescent="0.25">
      <c r="A488" s="8">
        <v>6</v>
      </c>
      <c r="B488" s="8">
        <v>28</v>
      </c>
      <c r="C488" s="8">
        <v>7970.7177730000003</v>
      </c>
      <c r="D488" s="8">
        <v>63430.617187999997</v>
      </c>
      <c r="E488" s="8">
        <v>63447.335937999997</v>
      </c>
      <c r="F488" s="8">
        <f t="shared" si="14"/>
        <v>16.71875</v>
      </c>
      <c r="G488" s="8">
        <f t="shared" si="15"/>
        <v>1.6718750000000001E-2</v>
      </c>
    </row>
    <row r="489" spans="1:7" x14ac:dyDescent="0.25">
      <c r="A489" s="8">
        <v>6</v>
      </c>
      <c r="B489" s="8">
        <v>29</v>
      </c>
      <c r="C489" s="8">
        <v>940.53222700000003</v>
      </c>
      <c r="D489" s="8">
        <v>71431.34375</v>
      </c>
      <c r="E489" s="8">
        <v>71457.28125</v>
      </c>
      <c r="F489" s="8">
        <f t="shared" si="14"/>
        <v>25.9375</v>
      </c>
      <c r="G489" s="8">
        <f t="shared" si="15"/>
        <v>2.5937499999999999E-2</v>
      </c>
    </row>
    <row r="490" spans="1:7" x14ac:dyDescent="0.25">
      <c r="A490" s="8">
        <v>6</v>
      </c>
      <c r="B490" s="8">
        <v>30</v>
      </c>
      <c r="C490" s="8">
        <v>2546.0969239999999</v>
      </c>
      <c r="D490" s="8">
        <v>72404.125</v>
      </c>
      <c r="E490" s="8">
        <v>72418.4375</v>
      </c>
      <c r="F490" s="8">
        <f t="shared" si="14"/>
        <v>14.3125</v>
      </c>
      <c r="G490" s="8">
        <f t="shared" si="15"/>
        <v>1.4312500000000001E-2</v>
      </c>
    </row>
    <row r="491" spans="1:7" x14ac:dyDescent="0.25">
      <c r="A491" s="8">
        <v>6</v>
      </c>
      <c r="B491" s="8">
        <v>31</v>
      </c>
      <c r="C491" s="8">
        <v>1792.8170170000001</v>
      </c>
      <c r="D491" s="8">
        <v>74976.867188000004</v>
      </c>
      <c r="E491" s="8">
        <v>75006.945313000004</v>
      </c>
      <c r="F491" s="8">
        <f t="shared" si="14"/>
        <v>30.078125</v>
      </c>
      <c r="G491" s="8">
        <f t="shared" si="15"/>
        <v>3.0078125000000001E-2</v>
      </c>
    </row>
    <row r="492" spans="1:7" x14ac:dyDescent="0.25">
      <c r="A492" s="8">
        <v>6</v>
      </c>
      <c r="B492" s="8">
        <v>32</v>
      </c>
      <c r="C492" s="8">
        <v>719.45422399999995</v>
      </c>
      <c r="D492" s="8">
        <v>76803.976563000004</v>
      </c>
      <c r="E492" s="8">
        <v>76811.398438000004</v>
      </c>
      <c r="F492" s="8">
        <f t="shared" si="14"/>
        <v>7.421875</v>
      </c>
      <c r="G492" s="8">
        <f t="shared" si="15"/>
        <v>7.4218749999999997E-3</v>
      </c>
    </row>
    <row r="493" spans="1:7" x14ac:dyDescent="0.25">
      <c r="A493" s="8">
        <v>6</v>
      </c>
      <c r="B493" s="8">
        <v>33</v>
      </c>
      <c r="C493" s="8">
        <v>1629.9948730000001</v>
      </c>
      <c r="D493" s="8">
        <v>77538.945313000004</v>
      </c>
      <c r="E493" s="8">
        <v>77549.898438000004</v>
      </c>
      <c r="F493" s="8">
        <f t="shared" si="14"/>
        <v>10.953125</v>
      </c>
      <c r="G493" s="8">
        <f t="shared" si="15"/>
        <v>1.0953124999999999E-2</v>
      </c>
    </row>
    <row r="494" spans="1:7" x14ac:dyDescent="0.25">
      <c r="A494" s="8">
        <v>6</v>
      </c>
      <c r="B494" s="8">
        <v>34</v>
      </c>
      <c r="C494" s="8">
        <v>87.968765000000005</v>
      </c>
      <c r="D494" s="8">
        <v>79185.390625</v>
      </c>
      <c r="E494" s="8">
        <v>79202.617188000004</v>
      </c>
      <c r="F494" s="8">
        <f t="shared" si="14"/>
        <v>17.226563000003807</v>
      </c>
      <c r="G494" s="8">
        <f t="shared" si="15"/>
        <v>1.7226563000003806E-2</v>
      </c>
    </row>
    <row r="495" spans="1:7" x14ac:dyDescent="0.25">
      <c r="A495" s="8">
        <v>6</v>
      </c>
      <c r="B495" s="8">
        <v>35</v>
      </c>
      <c r="C495" s="8">
        <v>223.53225699999999</v>
      </c>
      <c r="D495" s="8">
        <v>79300.929688000004</v>
      </c>
      <c r="E495" s="8">
        <v>79316.585938000004</v>
      </c>
      <c r="F495" s="8">
        <f t="shared" si="14"/>
        <v>15.65625</v>
      </c>
      <c r="G495" s="8">
        <f t="shared" si="15"/>
        <v>1.565625E-2</v>
      </c>
    </row>
    <row r="496" spans="1:7" x14ac:dyDescent="0.25">
      <c r="A496" s="8">
        <v>6</v>
      </c>
      <c r="B496" s="8">
        <v>36</v>
      </c>
      <c r="C496" s="8">
        <v>74.555954</v>
      </c>
      <c r="D496" s="8">
        <v>79550.976563000004</v>
      </c>
      <c r="E496" s="8">
        <v>79562.304688000004</v>
      </c>
      <c r="F496" s="8">
        <f t="shared" si="14"/>
        <v>11.328125</v>
      </c>
      <c r="G496" s="8">
        <f t="shared" si="15"/>
        <v>1.1328125E-2</v>
      </c>
    </row>
    <row r="497" spans="1:7" x14ac:dyDescent="0.25">
      <c r="A497" s="8">
        <v>6</v>
      </c>
      <c r="B497" s="8">
        <v>37</v>
      </c>
      <c r="C497" s="8">
        <v>869.42694100000006</v>
      </c>
      <c r="D497" s="8">
        <v>79644.726563000004</v>
      </c>
      <c r="E497" s="8">
        <v>79657.960938000004</v>
      </c>
      <c r="F497" s="8">
        <f t="shared" si="14"/>
        <v>13.234375</v>
      </c>
      <c r="G497" s="8">
        <f t="shared" si="15"/>
        <v>1.3234375E-2</v>
      </c>
    </row>
    <row r="498" spans="1:7" x14ac:dyDescent="0.25">
      <c r="A498" s="8">
        <v>6</v>
      </c>
      <c r="B498" s="8">
        <v>38</v>
      </c>
      <c r="C498" s="8">
        <v>404.65371699999997</v>
      </c>
      <c r="D498" s="8">
        <v>80536.304688000004</v>
      </c>
      <c r="E498" s="8">
        <v>80548.273438000004</v>
      </c>
      <c r="F498" s="8">
        <f t="shared" si="14"/>
        <v>11.96875</v>
      </c>
      <c r="G498" s="8">
        <f t="shared" si="15"/>
        <v>1.196875E-2</v>
      </c>
    </row>
    <row r="499" spans="1:7" x14ac:dyDescent="0.25">
      <c r="A499" s="8">
        <v>6</v>
      </c>
      <c r="B499" s="8">
        <v>39</v>
      </c>
      <c r="C499" s="8">
        <v>1569.287476</v>
      </c>
      <c r="D499" s="8">
        <v>80958.039063000004</v>
      </c>
      <c r="E499" s="8">
        <v>80990.546875</v>
      </c>
      <c r="F499" s="8">
        <f t="shared" si="14"/>
        <v>32.507811999996193</v>
      </c>
      <c r="G499" s="8">
        <f t="shared" si="15"/>
        <v>3.2507811999996195E-2</v>
      </c>
    </row>
    <row r="500" spans="1:7" x14ac:dyDescent="0.25">
      <c r="A500" s="8">
        <v>6</v>
      </c>
      <c r="B500" s="8">
        <v>40</v>
      </c>
      <c r="C500" s="8">
        <v>3677.3002929999998</v>
      </c>
      <c r="D500" s="8">
        <v>82573.734375</v>
      </c>
      <c r="E500" s="8">
        <v>82597.835938000004</v>
      </c>
      <c r="F500" s="8">
        <f t="shared" si="14"/>
        <v>24.101563000003807</v>
      </c>
      <c r="G500" s="8">
        <f t="shared" si="15"/>
        <v>2.4101563000003809E-2</v>
      </c>
    </row>
    <row r="501" spans="1:7" x14ac:dyDescent="0.25">
      <c r="A501" s="8">
        <v>6</v>
      </c>
      <c r="B501" s="8">
        <v>41</v>
      </c>
      <c r="C501" s="8">
        <v>1405.1210940000001</v>
      </c>
      <c r="D501" s="8">
        <v>86283.984375</v>
      </c>
      <c r="E501" s="8">
        <v>86298.820313000004</v>
      </c>
      <c r="F501" s="8">
        <f t="shared" si="14"/>
        <v>14.835938000003807</v>
      </c>
      <c r="G501" s="8">
        <f t="shared" si="15"/>
        <v>1.4835938000003808E-2</v>
      </c>
    </row>
    <row r="502" spans="1:7" x14ac:dyDescent="0.25">
      <c r="A502" s="8">
        <v>6</v>
      </c>
      <c r="B502" s="8">
        <v>42</v>
      </c>
      <c r="C502" s="8">
        <v>633.43139599999995</v>
      </c>
      <c r="D502" s="8">
        <v>87709.148438000004</v>
      </c>
      <c r="E502" s="8">
        <v>87721.09375</v>
      </c>
      <c r="F502" s="8">
        <f t="shared" si="14"/>
        <v>11.945311999996193</v>
      </c>
      <c r="G502" s="8">
        <f t="shared" si="15"/>
        <v>1.1945311999996194E-2</v>
      </c>
    </row>
    <row r="503" spans="1:7" x14ac:dyDescent="0.25">
      <c r="A503" s="8">
        <v>6</v>
      </c>
      <c r="B503" s="8">
        <v>43</v>
      </c>
      <c r="C503" s="8">
        <v>5164.7470700000003</v>
      </c>
      <c r="D503" s="8">
        <v>88365.492188000004</v>
      </c>
      <c r="E503" s="8">
        <v>88390.4375</v>
      </c>
      <c r="F503" s="8">
        <f t="shared" si="14"/>
        <v>24.945311999996193</v>
      </c>
      <c r="G503" s="8">
        <f t="shared" si="15"/>
        <v>2.4945311999996191E-2</v>
      </c>
    </row>
    <row r="504" spans="1:7" x14ac:dyDescent="0.25">
      <c r="A504" s="8">
        <v>6</v>
      </c>
      <c r="B504" s="8">
        <v>44</v>
      </c>
      <c r="C504" s="8">
        <v>5173.6489259999998</v>
      </c>
      <c r="D504" s="8">
        <v>93560.640625</v>
      </c>
      <c r="E504" s="8">
        <v>93574.148438000004</v>
      </c>
      <c r="F504" s="8">
        <f t="shared" si="14"/>
        <v>13.507813000003807</v>
      </c>
      <c r="G504" s="8">
        <f t="shared" si="15"/>
        <v>1.3507813000003806E-2</v>
      </c>
    </row>
    <row r="505" spans="1:7" x14ac:dyDescent="0.25">
      <c r="A505" s="8">
        <v>6</v>
      </c>
      <c r="B505" s="8">
        <v>45</v>
      </c>
      <c r="C505" s="8">
        <v>188.216949</v>
      </c>
      <c r="D505" s="8">
        <v>98754.023438000004</v>
      </c>
      <c r="E505" s="8">
        <v>98769.328125</v>
      </c>
      <c r="F505" s="8">
        <f t="shared" si="14"/>
        <v>15.304686999996193</v>
      </c>
      <c r="G505" s="8">
        <f t="shared" si="15"/>
        <v>1.5304686999996193E-2</v>
      </c>
    </row>
    <row r="506" spans="1:7" x14ac:dyDescent="0.25">
      <c r="A506" s="8">
        <v>6</v>
      </c>
      <c r="B506" s="8">
        <v>46</v>
      </c>
      <c r="C506" s="8">
        <v>1253.8706050000001</v>
      </c>
      <c r="D506" s="8">
        <v>98972.773438000004</v>
      </c>
      <c r="E506" s="8">
        <v>98996.4375</v>
      </c>
      <c r="F506" s="8">
        <f t="shared" si="14"/>
        <v>23.664061999996193</v>
      </c>
      <c r="G506" s="8">
        <f t="shared" si="15"/>
        <v>2.3664061999996194E-2</v>
      </c>
    </row>
    <row r="507" spans="1:7" x14ac:dyDescent="0.25">
      <c r="A507" s="8">
        <v>6</v>
      </c>
      <c r="B507" s="8">
        <v>47</v>
      </c>
      <c r="C507" s="8">
        <v>244.87294</v>
      </c>
      <c r="D507" s="8">
        <v>100260.84375</v>
      </c>
      <c r="E507" s="8">
        <v>100282.890625</v>
      </c>
      <c r="F507" s="8">
        <f t="shared" si="14"/>
        <v>22.046875</v>
      </c>
      <c r="G507" s="8">
        <f t="shared" si="15"/>
        <v>2.2046875E-2</v>
      </c>
    </row>
    <row r="508" spans="1:7" x14ac:dyDescent="0.25">
      <c r="A508" s="8">
        <v>6</v>
      </c>
      <c r="B508" s="8">
        <v>48</v>
      </c>
      <c r="C508" s="8">
        <v>352.07251000000002</v>
      </c>
      <c r="D508" s="8">
        <v>100542.132813</v>
      </c>
      <c r="E508" s="8">
        <v>100559.453125</v>
      </c>
      <c r="F508" s="8">
        <f t="shared" si="14"/>
        <v>17.320311999996193</v>
      </c>
      <c r="G508" s="8">
        <f t="shared" si="15"/>
        <v>1.7320311999996191E-2</v>
      </c>
    </row>
    <row r="509" spans="1:7" x14ac:dyDescent="0.25">
      <c r="A509" s="8">
        <v>6</v>
      </c>
      <c r="B509" s="8">
        <v>49</v>
      </c>
      <c r="C509" s="8">
        <v>1637.870361</v>
      </c>
      <c r="D509" s="8">
        <v>100917.164063</v>
      </c>
      <c r="E509" s="8">
        <v>100937.664063</v>
      </c>
      <c r="F509" s="8">
        <f t="shared" si="14"/>
        <v>20.5</v>
      </c>
      <c r="G509" s="8">
        <f t="shared" si="15"/>
        <v>2.0500000000000001E-2</v>
      </c>
    </row>
    <row r="510" spans="1:7" x14ac:dyDescent="0.25">
      <c r="A510" s="8">
        <v>6</v>
      </c>
      <c r="B510" s="8">
        <v>50</v>
      </c>
      <c r="C510" s="8">
        <v>2391.1496579999998</v>
      </c>
      <c r="D510" s="8">
        <v>102578.382813</v>
      </c>
      <c r="E510" s="8">
        <v>102595.867188</v>
      </c>
      <c r="F510" s="8">
        <f t="shared" si="14"/>
        <v>17.484375</v>
      </c>
      <c r="G510" s="8">
        <f t="shared" si="15"/>
        <v>1.7484375E-2</v>
      </c>
    </row>
    <row r="511" spans="1:7" x14ac:dyDescent="0.25">
      <c r="A511" s="8">
        <v>6</v>
      </c>
      <c r="B511" s="8">
        <v>51</v>
      </c>
      <c r="C511" s="8">
        <v>6911.9741210000002</v>
      </c>
      <c r="D511" s="8">
        <v>104987.773438</v>
      </c>
      <c r="E511" s="8">
        <v>105001.460938</v>
      </c>
      <c r="F511" s="8">
        <f t="shared" si="14"/>
        <v>13.6875</v>
      </c>
      <c r="G511" s="8">
        <f t="shared" si="15"/>
        <v>1.36875E-2</v>
      </c>
    </row>
    <row r="512" spans="1:7" x14ac:dyDescent="0.25">
      <c r="A512" s="8">
        <v>6</v>
      </c>
      <c r="B512" s="8">
        <v>52</v>
      </c>
      <c r="C512" s="8">
        <v>1627.6521</v>
      </c>
      <c r="D512" s="8">
        <v>111926.75</v>
      </c>
      <c r="E512" s="8">
        <v>111937.40625</v>
      </c>
      <c r="F512" s="8">
        <f t="shared" si="14"/>
        <v>10.65625</v>
      </c>
      <c r="G512" s="8">
        <f t="shared" si="15"/>
        <v>1.0656250000000001E-2</v>
      </c>
    </row>
    <row r="513" spans="1:7" x14ac:dyDescent="0.25">
      <c r="A513" s="8">
        <v>6</v>
      </c>
      <c r="B513" s="8">
        <v>53</v>
      </c>
      <c r="C513" s="8">
        <v>2470.5839839999999</v>
      </c>
      <c r="D513" s="8">
        <v>113565.6875</v>
      </c>
      <c r="E513" s="8">
        <v>113579.21875</v>
      </c>
      <c r="F513" s="8">
        <f t="shared" si="14"/>
        <v>13.53125</v>
      </c>
      <c r="G513" s="8">
        <f t="shared" si="15"/>
        <v>1.353125E-2</v>
      </c>
    </row>
    <row r="514" spans="1:7" x14ac:dyDescent="0.25">
      <c r="A514" s="8">
        <v>6</v>
      </c>
      <c r="B514" s="8">
        <v>54</v>
      </c>
      <c r="C514" s="8">
        <v>2012.5336910000001</v>
      </c>
      <c r="D514" s="8">
        <v>116051.960938</v>
      </c>
      <c r="E514" s="8">
        <v>116068.273438</v>
      </c>
      <c r="F514" s="8">
        <f t="shared" si="14"/>
        <v>16.3125</v>
      </c>
      <c r="G514" s="8">
        <f t="shared" si="15"/>
        <v>1.6312500000000001E-2</v>
      </c>
    </row>
    <row r="515" spans="1:7" x14ac:dyDescent="0.25">
      <c r="A515" s="8">
        <v>6</v>
      </c>
      <c r="B515" s="8">
        <v>55</v>
      </c>
      <c r="C515" s="8">
        <v>3277.8439939999998</v>
      </c>
      <c r="D515" s="8">
        <v>118088.085938</v>
      </c>
      <c r="E515" s="8">
        <v>118100.117188</v>
      </c>
      <c r="F515" s="8">
        <f t="shared" si="14"/>
        <v>12.03125</v>
      </c>
      <c r="G515" s="8">
        <f t="shared" si="15"/>
        <v>1.203125E-2</v>
      </c>
    </row>
    <row r="516" spans="1:7" x14ac:dyDescent="0.25">
      <c r="A516" s="8">
        <v>6</v>
      </c>
      <c r="B516" s="8">
        <v>56</v>
      </c>
      <c r="C516" s="8">
        <v>2206.2785640000002</v>
      </c>
      <c r="D516" s="8">
        <v>121392.585938</v>
      </c>
      <c r="E516" s="8">
        <v>121410.554688</v>
      </c>
      <c r="F516" s="8">
        <f t="shared" si="14"/>
        <v>17.96875</v>
      </c>
      <c r="G516" s="8">
        <f t="shared" si="15"/>
        <v>1.7968749999999999E-2</v>
      </c>
    </row>
    <row r="517" spans="1:7" x14ac:dyDescent="0.25">
      <c r="A517" s="8">
        <v>6</v>
      </c>
      <c r="B517" s="8">
        <v>57</v>
      </c>
      <c r="C517" s="8">
        <v>3215.6433109999998</v>
      </c>
      <c r="D517" s="8">
        <v>123621.390625</v>
      </c>
      <c r="E517" s="8">
        <v>123639</v>
      </c>
      <c r="F517" s="8">
        <f t="shared" si="14"/>
        <v>17.609375</v>
      </c>
      <c r="G517" s="8">
        <f t="shared" si="15"/>
        <v>1.7609375E-2</v>
      </c>
    </row>
    <row r="518" spans="1:7" x14ac:dyDescent="0.25">
      <c r="A518" s="8">
        <v>6</v>
      </c>
      <c r="B518" s="8">
        <v>58</v>
      </c>
      <c r="C518" s="8">
        <v>458.88507099999998</v>
      </c>
      <c r="D518" s="8">
        <v>126862.359375</v>
      </c>
      <c r="E518" s="8">
        <v>126876.65625</v>
      </c>
      <c r="F518" s="8">
        <f t="shared" si="14"/>
        <v>14.296875</v>
      </c>
      <c r="G518" s="8">
        <f t="shared" si="15"/>
        <v>1.4296875000000001E-2</v>
      </c>
    </row>
    <row r="519" spans="1:7" x14ac:dyDescent="0.25">
      <c r="A519" s="8">
        <v>6</v>
      </c>
      <c r="B519" s="8">
        <v>59</v>
      </c>
      <c r="C519" s="8">
        <v>503.84121699999997</v>
      </c>
      <c r="D519" s="8">
        <v>127346.6875</v>
      </c>
      <c r="E519" s="8">
        <v>127361.9375</v>
      </c>
      <c r="F519" s="8">
        <f t="shared" si="14"/>
        <v>15.25</v>
      </c>
      <c r="G519" s="8">
        <f t="shared" si="15"/>
        <v>1.525E-2</v>
      </c>
    </row>
    <row r="520" spans="1:7" x14ac:dyDescent="0.25">
      <c r="A520" s="8">
        <v>6</v>
      </c>
      <c r="B520" s="8">
        <v>60</v>
      </c>
      <c r="C520" s="8">
        <v>141.817307</v>
      </c>
      <c r="D520" s="8">
        <v>127878.09375</v>
      </c>
      <c r="E520" s="8">
        <v>127905.125</v>
      </c>
      <c r="F520" s="8">
        <f t="shared" si="14"/>
        <v>27.03125</v>
      </c>
      <c r="G520" s="8">
        <f t="shared" si="15"/>
        <v>2.703125E-2</v>
      </c>
    </row>
    <row r="521" spans="1:7" x14ac:dyDescent="0.25">
      <c r="A521" s="8">
        <v>6</v>
      </c>
      <c r="B521" s="8">
        <v>61</v>
      </c>
      <c r="C521" s="8">
        <v>1530.209595</v>
      </c>
      <c r="D521" s="8">
        <v>128049.953125</v>
      </c>
      <c r="E521" s="8">
        <v>128065.609375</v>
      </c>
      <c r="F521" s="8">
        <f t="shared" si="14"/>
        <v>15.65625</v>
      </c>
      <c r="G521" s="8">
        <f t="shared" si="15"/>
        <v>1.565625E-2</v>
      </c>
    </row>
    <row r="522" spans="1:7" x14ac:dyDescent="0.25">
      <c r="A522" s="8">
        <v>6</v>
      </c>
      <c r="B522" s="8">
        <v>62</v>
      </c>
      <c r="C522" s="8">
        <v>1493.940552</v>
      </c>
      <c r="D522" s="8">
        <v>129598.304688</v>
      </c>
      <c r="E522" s="8">
        <v>129618.578125</v>
      </c>
      <c r="F522" s="8">
        <f t="shared" si="14"/>
        <v>20.273436999996193</v>
      </c>
      <c r="G522" s="8">
        <f t="shared" si="15"/>
        <v>2.0273436999996192E-2</v>
      </c>
    </row>
    <row r="523" spans="1:7" x14ac:dyDescent="0.25">
      <c r="A523" s="8">
        <v>6</v>
      </c>
      <c r="B523" s="8">
        <v>63</v>
      </c>
      <c r="C523" s="8">
        <v>2269.248047</v>
      </c>
      <c r="D523" s="8">
        <v>131113.921875</v>
      </c>
      <c r="E523" s="8">
        <v>131126.5</v>
      </c>
      <c r="F523" s="8">
        <f t="shared" ref="F523:F586" si="16">E523-D523</f>
        <v>12.578125</v>
      </c>
      <c r="G523" s="8">
        <f t="shared" ref="G523:G586" si="17">F523/1000</f>
        <v>1.2578125000000001E-2</v>
      </c>
    </row>
    <row r="524" spans="1:7" x14ac:dyDescent="0.25">
      <c r="A524" s="8">
        <v>6</v>
      </c>
      <c r="B524" s="8">
        <v>64</v>
      </c>
      <c r="C524" s="8">
        <v>1193.2174070000001</v>
      </c>
      <c r="D524" s="8">
        <v>133409.984375</v>
      </c>
      <c r="E524" s="8">
        <v>133427.21875</v>
      </c>
      <c r="F524" s="8">
        <f t="shared" si="16"/>
        <v>17.234375</v>
      </c>
      <c r="G524" s="8">
        <f t="shared" si="17"/>
        <v>1.7234375E-2</v>
      </c>
    </row>
    <row r="525" spans="1:7" x14ac:dyDescent="0.25">
      <c r="A525" s="8">
        <v>6</v>
      </c>
      <c r="B525" s="8">
        <v>65</v>
      </c>
      <c r="C525" s="8">
        <v>278.47439600000001</v>
      </c>
      <c r="D525" s="8">
        <v>134628.859375</v>
      </c>
      <c r="E525" s="8">
        <v>134645.71875</v>
      </c>
      <c r="F525" s="8">
        <f t="shared" si="16"/>
        <v>16.859375</v>
      </c>
      <c r="G525" s="8">
        <f t="shared" si="17"/>
        <v>1.6859374999999999E-2</v>
      </c>
    </row>
    <row r="526" spans="1:7" x14ac:dyDescent="0.25">
      <c r="A526" s="8">
        <v>6</v>
      </c>
      <c r="B526" s="8">
        <v>66</v>
      </c>
      <c r="C526" s="8">
        <v>1732.4072269999999</v>
      </c>
      <c r="D526" s="8">
        <v>134927.828125</v>
      </c>
      <c r="E526" s="8">
        <v>134936.15625</v>
      </c>
      <c r="F526" s="8">
        <f t="shared" si="16"/>
        <v>8.328125</v>
      </c>
      <c r="G526" s="8">
        <f t="shared" si="17"/>
        <v>8.3281250000000005E-3</v>
      </c>
    </row>
    <row r="527" spans="1:7" x14ac:dyDescent="0.25">
      <c r="A527" s="8">
        <v>6</v>
      </c>
      <c r="B527" s="8">
        <v>67</v>
      </c>
      <c r="C527" s="8">
        <v>3705.5161130000001</v>
      </c>
      <c r="D527" s="8">
        <v>136680.390625</v>
      </c>
      <c r="E527" s="8">
        <v>136697.640625</v>
      </c>
      <c r="F527" s="8">
        <f t="shared" si="16"/>
        <v>17.25</v>
      </c>
      <c r="G527" s="8">
        <f t="shared" si="17"/>
        <v>1.7250000000000001E-2</v>
      </c>
    </row>
    <row r="528" spans="1:7" x14ac:dyDescent="0.25">
      <c r="A528" s="8">
        <v>6</v>
      </c>
      <c r="B528" s="8">
        <v>68</v>
      </c>
      <c r="C528" s="8">
        <v>1218.9868160000001</v>
      </c>
      <c r="D528" s="8">
        <v>140404.703125</v>
      </c>
      <c r="E528" s="8">
        <v>140421.640625</v>
      </c>
      <c r="F528" s="8">
        <f t="shared" si="16"/>
        <v>16.9375</v>
      </c>
      <c r="G528" s="8">
        <f t="shared" si="17"/>
        <v>1.6937500000000001E-2</v>
      </c>
    </row>
    <row r="529" spans="1:7" x14ac:dyDescent="0.25">
      <c r="A529" s="8">
        <v>6</v>
      </c>
      <c r="B529" s="8">
        <v>69</v>
      </c>
      <c r="C529" s="8">
        <v>400.32437099999999</v>
      </c>
      <c r="D529" s="8">
        <v>141649.375</v>
      </c>
      <c r="E529" s="8">
        <v>141663.28125</v>
      </c>
      <c r="F529" s="8">
        <f t="shared" si="16"/>
        <v>13.90625</v>
      </c>
      <c r="G529" s="8">
        <f t="shared" si="17"/>
        <v>1.390625E-2</v>
      </c>
    </row>
    <row r="530" spans="1:7" x14ac:dyDescent="0.25">
      <c r="A530" s="8">
        <v>6</v>
      </c>
      <c r="B530" s="8">
        <v>70</v>
      </c>
      <c r="C530" s="8">
        <v>1303.9643550000001</v>
      </c>
      <c r="D530" s="8">
        <v>142077.671875</v>
      </c>
      <c r="E530" s="8">
        <v>142086.546875</v>
      </c>
      <c r="F530" s="8">
        <f t="shared" si="16"/>
        <v>8.875</v>
      </c>
      <c r="G530" s="8">
        <f t="shared" si="17"/>
        <v>8.8749999999999992E-3</v>
      </c>
    </row>
    <row r="531" spans="1:7" x14ac:dyDescent="0.25">
      <c r="A531" s="8">
        <v>6</v>
      </c>
      <c r="B531" s="8">
        <v>71</v>
      </c>
      <c r="C531" s="8">
        <v>369.54424999999998</v>
      </c>
      <c r="D531" s="8">
        <v>143390.3125</v>
      </c>
      <c r="E531" s="8">
        <v>143410.671875</v>
      </c>
      <c r="F531" s="8">
        <f t="shared" si="16"/>
        <v>20.359375</v>
      </c>
      <c r="G531" s="8">
        <f t="shared" si="17"/>
        <v>2.0359374999999999E-2</v>
      </c>
    </row>
    <row r="532" spans="1:7" x14ac:dyDescent="0.25">
      <c r="A532" s="8">
        <v>6</v>
      </c>
      <c r="B532" s="8">
        <v>72</v>
      </c>
      <c r="C532" s="8">
        <v>3803.641357</v>
      </c>
      <c r="D532" s="8">
        <v>143791.171875</v>
      </c>
      <c r="E532" s="8">
        <v>143803.84375</v>
      </c>
      <c r="F532" s="8">
        <f t="shared" si="16"/>
        <v>12.671875</v>
      </c>
      <c r="G532" s="8">
        <f t="shared" si="17"/>
        <v>1.2671875000000001E-2</v>
      </c>
    </row>
    <row r="533" spans="1:7" x14ac:dyDescent="0.25">
      <c r="A533" s="8">
        <v>6</v>
      </c>
      <c r="B533" s="8">
        <v>73</v>
      </c>
      <c r="C533" s="8">
        <v>1622.1503909999999</v>
      </c>
      <c r="D533" s="8">
        <v>147615.46875</v>
      </c>
      <c r="E533" s="8">
        <v>147631.109375</v>
      </c>
      <c r="F533" s="8">
        <f t="shared" si="16"/>
        <v>15.640625</v>
      </c>
      <c r="G533" s="8">
        <f t="shared" si="17"/>
        <v>1.5640624999999998E-2</v>
      </c>
    </row>
    <row r="534" spans="1:7" x14ac:dyDescent="0.25">
      <c r="A534" s="8">
        <v>6</v>
      </c>
      <c r="B534" s="8">
        <v>74</v>
      </c>
      <c r="C534" s="8">
        <v>2248.4753420000002</v>
      </c>
      <c r="D534" s="8">
        <v>149259.8125</v>
      </c>
      <c r="E534" s="8">
        <v>149274.671875</v>
      </c>
      <c r="F534" s="8">
        <f t="shared" si="16"/>
        <v>14.859375</v>
      </c>
      <c r="G534" s="8">
        <f t="shared" si="17"/>
        <v>1.4859374999999999E-2</v>
      </c>
    </row>
    <row r="535" spans="1:7" x14ac:dyDescent="0.25">
      <c r="A535" s="8">
        <v>6</v>
      </c>
      <c r="B535" s="8">
        <v>75</v>
      </c>
      <c r="C535" s="8">
        <v>2118.6472170000002</v>
      </c>
      <c r="D535" s="8">
        <v>151530.25</v>
      </c>
      <c r="E535" s="8">
        <v>151550.5</v>
      </c>
      <c r="F535" s="8">
        <f t="shared" si="16"/>
        <v>20.25</v>
      </c>
      <c r="G535" s="8">
        <f t="shared" si="17"/>
        <v>2.0250000000000001E-2</v>
      </c>
    </row>
    <row r="536" spans="1:7" x14ac:dyDescent="0.25">
      <c r="A536" s="8">
        <v>6</v>
      </c>
      <c r="B536" s="8">
        <v>76</v>
      </c>
      <c r="C536" s="8">
        <v>189.088898</v>
      </c>
      <c r="D536" s="8">
        <v>153672.109375</v>
      </c>
      <c r="E536" s="8">
        <v>153683.4375</v>
      </c>
      <c r="F536" s="8">
        <f t="shared" si="16"/>
        <v>11.328125</v>
      </c>
      <c r="G536" s="8">
        <f t="shared" si="17"/>
        <v>1.1328125E-2</v>
      </c>
    </row>
    <row r="537" spans="1:7" x14ac:dyDescent="0.25">
      <c r="A537" s="8">
        <v>6</v>
      </c>
      <c r="B537" s="8">
        <v>77</v>
      </c>
      <c r="C537" s="8">
        <v>42.066605000000003</v>
      </c>
      <c r="D537" s="8">
        <v>153875.046875</v>
      </c>
      <c r="E537" s="8">
        <v>153891.40625</v>
      </c>
      <c r="F537" s="8">
        <f t="shared" si="16"/>
        <v>16.359375</v>
      </c>
      <c r="G537" s="8">
        <f t="shared" si="17"/>
        <v>1.6359374999999999E-2</v>
      </c>
    </row>
    <row r="538" spans="1:7" x14ac:dyDescent="0.25">
      <c r="A538" s="8">
        <v>6</v>
      </c>
      <c r="B538" s="8">
        <v>78</v>
      </c>
      <c r="C538" s="8">
        <v>5529.5517579999996</v>
      </c>
      <c r="D538" s="8">
        <v>153937.75</v>
      </c>
      <c r="E538" s="8">
        <v>153947.34375</v>
      </c>
      <c r="F538" s="8">
        <f t="shared" si="16"/>
        <v>9.59375</v>
      </c>
      <c r="G538" s="8">
        <f t="shared" si="17"/>
        <v>9.5937499999999998E-3</v>
      </c>
    </row>
    <row r="539" spans="1:7" x14ac:dyDescent="0.25">
      <c r="A539" s="8">
        <v>6</v>
      </c>
      <c r="B539" s="8">
        <v>79</v>
      </c>
      <c r="C539" s="8">
        <v>624.32006799999999</v>
      </c>
      <c r="D539" s="8">
        <v>159486.25</v>
      </c>
      <c r="E539" s="8">
        <v>159507.15625</v>
      </c>
      <c r="F539" s="8">
        <f t="shared" si="16"/>
        <v>20.90625</v>
      </c>
      <c r="G539" s="8">
        <f t="shared" si="17"/>
        <v>2.0906250000000001E-2</v>
      </c>
    </row>
    <row r="540" spans="1:7" x14ac:dyDescent="0.25">
      <c r="A540" s="8">
        <v>6</v>
      </c>
      <c r="B540" s="8">
        <v>80</v>
      </c>
      <c r="C540" s="8">
        <v>5180.1474609999996</v>
      </c>
      <c r="D540" s="8">
        <v>160142.5625</v>
      </c>
      <c r="E540" s="8">
        <v>160162.984375</v>
      </c>
      <c r="F540" s="8">
        <f t="shared" si="16"/>
        <v>20.421875</v>
      </c>
      <c r="G540" s="8">
        <f t="shared" si="17"/>
        <v>2.0421874999999999E-2</v>
      </c>
    </row>
    <row r="541" spans="1:7" x14ac:dyDescent="0.25">
      <c r="A541" s="8">
        <v>6</v>
      </c>
      <c r="B541" s="8">
        <v>81</v>
      </c>
      <c r="C541" s="8">
        <v>3620.9157709999999</v>
      </c>
      <c r="D541" s="8">
        <v>165358.5</v>
      </c>
      <c r="E541" s="8">
        <v>165375.484375</v>
      </c>
      <c r="F541" s="8">
        <f t="shared" si="16"/>
        <v>16.984375</v>
      </c>
      <c r="G541" s="8">
        <f t="shared" si="17"/>
        <v>1.6984374999999999E-2</v>
      </c>
    </row>
    <row r="542" spans="1:7" x14ac:dyDescent="0.25">
      <c r="A542" s="8">
        <v>6</v>
      </c>
      <c r="B542" s="8">
        <v>82</v>
      </c>
      <c r="C542" s="8">
        <v>1227.3127440000001</v>
      </c>
      <c r="D542" s="8">
        <v>169001.375</v>
      </c>
      <c r="E542" s="8">
        <v>169015.96875</v>
      </c>
      <c r="F542" s="8">
        <f t="shared" si="16"/>
        <v>14.59375</v>
      </c>
      <c r="G542" s="8">
        <f t="shared" si="17"/>
        <v>1.4593750000000001E-2</v>
      </c>
    </row>
    <row r="543" spans="1:7" x14ac:dyDescent="0.25">
      <c r="A543" s="8">
        <v>7</v>
      </c>
      <c r="B543" s="8">
        <v>0</v>
      </c>
      <c r="C543" s="8">
        <v>1195.3244629999999</v>
      </c>
      <c r="D543" s="8">
        <v>23000.78125</v>
      </c>
      <c r="E543" s="8">
        <v>23015.828125</v>
      </c>
      <c r="F543" s="8">
        <f t="shared" si="16"/>
        <v>15.046875</v>
      </c>
      <c r="G543" s="8">
        <f t="shared" si="17"/>
        <v>1.5046874999999999E-2</v>
      </c>
    </row>
    <row r="544" spans="1:7" x14ac:dyDescent="0.25">
      <c r="A544" s="8">
        <v>7</v>
      </c>
      <c r="B544" s="8">
        <v>1</v>
      </c>
      <c r="C544" s="8">
        <v>93.397521999999995</v>
      </c>
      <c r="D544" s="8">
        <v>24224.855468999998</v>
      </c>
      <c r="E544" s="8">
        <v>24247.15625</v>
      </c>
      <c r="F544" s="8">
        <f t="shared" si="16"/>
        <v>22.300781000001734</v>
      </c>
      <c r="G544" s="8">
        <f t="shared" si="17"/>
        <v>2.2300781000001733E-2</v>
      </c>
    </row>
    <row r="545" spans="1:7" x14ac:dyDescent="0.25">
      <c r="A545" s="8">
        <v>7</v>
      </c>
      <c r="B545" s="8">
        <v>2</v>
      </c>
      <c r="C545" s="8">
        <v>939.06756600000006</v>
      </c>
      <c r="D545" s="8">
        <v>24349.892577999999</v>
      </c>
      <c r="E545" s="8">
        <v>24361.771484000001</v>
      </c>
      <c r="F545" s="8">
        <f t="shared" si="16"/>
        <v>11.878906000001734</v>
      </c>
      <c r="G545" s="8">
        <f t="shared" si="17"/>
        <v>1.1878906000001735E-2</v>
      </c>
    </row>
    <row r="546" spans="1:7" x14ac:dyDescent="0.25">
      <c r="A546" s="8">
        <v>7</v>
      </c>
      <c r="B546" s="8">
        <v>3</v>
      </c>
      <c r="C546" s="8">
        <v>1186.467529</v>
      </c>
      <c r="D546" s="8">
        <v>25303.15625</v>
      </c>
      <c r="E546" s="8">
        <v>25329.101563</v>
      </c>
      <c r="F546" s="8">
        <f t="shared" si="16"/>
        <v>25.945313000000169</v>
      </c>
      <c r="G546" s="8">
        <f t="shared" si="17"/>
        <v>2.5945313000000168E-2</v>
      </c>
    </row>
    <row r="547" spans="1:7" x14ac:dyDescent="0.25">
      <c r="A547" s="8">
        <v>7</v>
      </c>
      <c r="B547" s="8">
        <v>4</v>
      </c>
      <c r="C547" s="8">
        <v>780.82250999999997</v>
      </c>
      <c r="D547" s="8">
        <v>26524.310547000001</v>
      </c>
      <c r="E547" s="8">
        <v>26647.253906000002</v>
      </c>
      <c r="F547" s="8">
        <f t="shared" si="16"/>
        <v>122.94335900000078</v>
      </c>
      <c r="G547" s="8">
        <f t="shared" si="17"/>
        <v>0.12294335900000078</v>
      </c>
    </row>
    <row r="548" spans="1:7" x14ac:dyDescent="0.25">
      <c r="A548" s="8">
        <v>7</v>
      </c>
      <c r="B548" s="8">
        <v>5</v>
      </c>
      <c r="C548" s="8">
        <v>193.38722200000001</v>
      </c>
      <c r="D548" s="8">
        <v>27430.748047000001</v>
      </c>
      <c r="E548" s="8">
        <v>27451.337890999999</v>
      </c>
      <c r="F548" s="8">
        <f t="shared" si="16"/>
        <v>20.589843999998266</v>
      </c>
      <c r="G548" s="8">
        <f t="shared" si="17"/>
        <v>2.0589843999998265E-2</v>
      </c>
    </row>
    <row r="549" spans="1:7" x14ac:dyDescent="0.25">
      <c r="A549" s="8">
        <v>7</v>
      </c>
      <c r="B549" s="8">
        <v>6</v>
      </c>
      <c r="C549" s="8">
        <v>127.519218</v>
      </c>
      <c r="D549" s="8">
        <v>27650.3125</v>
      </c>
      <c r="E549" s="8">
        <v>27662.40625</v>
      </c>
      <c r="F549" s="8">
        <f t="shared" si="16"/>
        <v>12.09375</v>
      </c>
      <c r="G549" s="8">
        <f t="shared" si="17"/>
        <v>1.209375E-2</v>
      </c>
    </row>
    <row r="550" spans="1:7" x14ac:dyDescent="0.25">
      <c r="A550" s="8">
        <v>7</v>
      </c>
      <c r="B550" s="8">
        <v>7</v>
      </c>
      <c r="C550" s="8">
        <v>1115.923096</v>
      </c>
      <c r="D550" s="8">
        <v>27790.970702999999</v>
      </c>
      <c r="E550" s="8">
        <v>27814.910156000002</v>
      </c>
      <c r="F550" s="8">
        <f t="shared" si="16"/>
        <v>23.939453000002686</v>
      </c>
      <c r="G550" s="8">
        <f t="shared" si="17"/>
        <v>2.3939453000002685E-2</v>
      </c>
    </row>
    <row r="551" spans="1:7" x14ac:dyDescent="0.25">
      <c r="A551" s="8">
        <v>7</v>
      </c>
      <c r="B551" s="8">
        <v>8</v>
      </c>
      <c r="C551" s="8">
        <v>2369.67749</v>
      </c>
      <c r="D551" s="8">
        <v>28933.955077999999</v>
      </c>
      <c r="E551" s="8">
        <v>28948.228515999999</v>
      </c>
      <c r="F551" s="8">
        <f t="shared" si="16"/>
        <v>14.273438000000169</v>
      </c>
      <c r="G551" s="8">
        <f t="shared" si="17"/>
        <v>1.4273438000000169E-2</v>
      </c>
    </row>
    <row r="552" spans="1:7" x14ac:dyDescent="0.25">
      <c r="A552" s="8">
        <v>7</v>
      </c>
      <c r="B552" s="8">
        <v>9</v>
      </c>
      <c r="C552" s="8">
        <v>2680.2092290000001</v>
      </c>
      <c r="D552" s="8">
        <v>31331.648438</v>
      </c>
      <c r="E552" s="8">
        <v>31350.947265999999</v>
      </c>
      <c r="F552" s="8">
        <f t="shared" si="16"/>
        <v>19.298827999999048</v>
      </c>
      <c r="G552" s="8">
        <f t="shared" si="17"/>
        <v>1.929882799999905E-2</v>
      </c>
    </row>
    <row r="553" spans="1:7" x14ac:dyDescent="0.25">
      <c r="A553" s="8">
        <v>7</v>
      </c>
      <c r="B553" s="8">
        <v>10</v>
      </c>
      <c r="C553" s="8">
        <v>2914.6679690000001</v>
      </c>
      <c r="D553" s="8">
        <v>34040.523437999997</v>
      </c>
      <c r="E553" s="8">
        <v>34058.800780999998</v>
      </c>
      <c r="F553" s="8">
        <f t="shared" si="16"/>
        <v>18.277343000001565</v>
      </c>
      <c r="G553" s="8">
        <f t="shared" si="17"/>
        <v>1.8277343000001566E-2</v>
      </c>
    </row>
    <row r="554" spans="1:7" x14ac:dyDescent="0.25">
      <c r="A554" s="8">
        <v>7</v>
      </c>
      <c r="B554" s="8">
        <v>11</v>
      </c>
      <c r="C554" s="8">
        <v>1944.741577</v>
      </c>
      <c r="D554" s="8">
        <v>36987.839844000002</v>
      </c>
      <c r="E554" s="8">
        <v>37002.5625</v>
      </c>
      <c r="F554" s="8">
        <f t="shared" si="16"/>
        <v>14.722655999998096</v>
      </c>
      <c r="G554" s="8">
        <f t="shared" si="17"/>
        <v>1.4722655999998096E-2</v>
      </c>
    </row>
    <row r="555" spans="1:7" x14ac:dyDescent="0.25">
      <c r="A555" s="8">
        <v>7</v>
      </c>
      <c r="B555" s="8">
        <v>12</v>
      </c>
      <c r="C555" s="8">
        <v>1233.2971190000001</v>
      </c>
      <c r="D555" s="8">
        <v>38949.125</v>
      </c>
      <c r="E555" s="8">
        <v>38964.03125</v>
      </c>
      <c r="F555" s="8">
        <f t="shared" si="16"/>
        <v>14.90625</v>
      </c>
      <c r="G555" s="8">
        <f t="shared" si="17"/>
        <v>1.4906249999999999E-2</v>
      </c>
    </row>
    <row r="556" spans="1:7" x14ac:dyDescent="0.25">
      <c r="A556" s="8">
        <v>7</v>
      </c>
      <c r="B556" s="8">
        <v>13</v>
      </c>
      <c r="C556" s="8">
        <v>1625.58728</v>
      </c>
      <c r="D556" s="8">
        <v>40199.277344000002</v>
      </c>
      <c r="E556" s="8">
        <v>40212.449219000002</v>
      </c>
      <c r="F556" s="8">
        <f t="shared" si="16"/>
        <v>13.171875</v>
      </c>
      <c r="G556" s="8">
        <f t="shared" si="17"/>
        <v>1.3171875E-2</v>
      </c>
    </row>
    <row r="557" spans="1:7" x14ac:dyDescent="0.25">
      <c r="A557" s="8">
        <v>7</v>
      </c>
      <c r="B557" s="8">
        <v>14</v>
      </c>
      <c r="C557" s="8">
        <v>1296.4808350000001</v>
      </c>
      <c r="D557" s="8">
        <v>41840.695312999997</v>
      </c>
      <c r="E557" s="8">
        <v>41858.941405999998</v>
      </c>
      <c r="F557" s="8">
        <f t="shared" si="16"/>
        <v>18.246093000001565</v>
      </c>
      <c r="G557" s="8">
        <f t="shared" si="17"/>
        <v>1.8246093000001566E-2</v>
      </c>
    </row>
    <row r="558" spans="1:7" x14ac:dyDescent="0.25">
      <c r="A558" s="8">
        <v>7</v>
      </c>
      <c r="B558" s="8">
        <v>15</v>
      </c>
      <c r="C558" s="8">
        <v>1222.920288</v>
      </c>
      <c r="D558" s="8">
        <v>43162.355469000002</v>
      </c>
      <c r="E558" s="8">
        <v>43177.382812999997</v>
      </c>
      <c r="F558" s="8">
        <f t="shared" si="16"/>
        <v>15.027343999994628</v>
      </c>
      <c r="G558" s="8">
        <f t="shared" si="17"/>
        <v>1.5027343999994627E-2</v>
      </c>
    </row>
    <row r="559" spans="1:7" x14ac:dyDescent="0.25">
      <c r="A559" s="8">
        <v>7</v>
      </c>
      <c r="B559" s="8">
        <v>16</v>
      </c>
      <c r="C559" s="8">
        <v>2280.8608399999998</v>
      </c>
      <c r="D559" s="8">
        <v>44412.476562999997</v>
      </c>
      <c r="E559" s="8">
        <v>44426.554687999997</v>
      </c>
      <c r="F559" s="8">
        <f t="shared" si="16"/>
        <v>14.078125</v>
      </c>
      <c r="G559" s="8">
        <f t="shared" si="17"/>
        <v>1.4078125E-2</v>
      </c>
    </row>
    <row r="560" spans="1:7" x14ac:dyDescent="0.25">
      <c r="A560" s="8">
        <v>7</v>
      </c>
      <c r="B560" s="8">
        <v>17</v>
      </c>
      <c r="C560" s="8">
        <v>3743.63501</v>
      </c>
      <c r="D560" s="8">
        <v>46719.664062999997</v>
      </c>
      <c r="E560" s="8">
        <v>46730.757812999997</v>
      </c>
      <c r="F560" s="8">
        <f t="shared" si="16"/>
        <v>11.09375</v>
      </c>
      <c r="G560" s="8">
        <f t="shared" si="17"/>
        <v>1.1093749999999999E-2</v>
      </c>
    </row>
    <row r="561" spans="1:7" x14ac:dyDescent="0.25">
      <c r="A561" s="8">
        <v>7</v>
      </c>
      <c r="B561" s="8">
        <v>18</v>
      </c>
      <c r="C561" s="8">
        <v>909.13012700000002</v>
      </c>
      <c r="D561" s="8">
        <v>50487.023437999997</v>
      </c>
      <c r="E561" s="8">
        <v>50515.730469000002</v>
      </c>
      <c r="F561" s="8">
        <f t="shared" si="16"/>
        <v>28.707031000005372</v>
      </c>
      <c r="G561" s="8">
        <f t="shared" si="17"/>
        <v>2.8707031000005372E-2</v>
      </c>
    </row>
    <row r="562" spans="1:7" x14ac:dyDescent="0.25">
      <c r="A562" s="8">
        <v>7</v>
      </c>
      <c r="B562" s="8">
        <v>19</v>
      </c>
      <c r="C562" s="8">
        <v>2393.7741700000001</v>
      </c>
      <c r="D562" s="8">
        <v>51428.457030999998</v>
      </c>
      <c r="E562" s="8">
        <v>51451.449219000002</v>
      </c>
      <c r="F562" s="8">
        <f t="shared" si="16"/>
        <v>22.992188000003807</v>
      </c>
      <c r="G562" s="8">
        <f t="shared" si="17"/>
        <v>2.2992188000003806E-2</v>
      </c>
    </row>
    <row r="563" spans="1:7" x14ac:dyDescent="0.25">
      <c r="A563" s="8">
        <v>7</v>
      </c>
      <c r="B563" s="8">
        <v>20</v>
      </c>
      <c r="C563" s="8">
        <v>2478.3666990000002</v>
      </c>
      <c r="D563" s="8">
        <v>53858.714844000002</v>
      </c>
      <c r="E563" s="8">
        <v>53877.953125</v>
      </c>
      <c r="F563" s="8">
        <f t="shared" si="16"/>
        <v>19.238280999998096</v>
      </c>
      <c r="G563" s="8">
        <f t="shared" si="17"/>
        <v>1.9238280999998095E-2</v>
      </c>
    </row>
    <row r="564" spans="1:7" x14ac:dyDescent="0.25">
      <c r="A564" s="8">
        <v>7</v>
      </c>
      <c r="B564" s="8">
        <v>21</v>
      </c>
      <c r="C564" s="8">
        <v>213.99937399999999</v>
      </c>
      <c r="D564" s="8">
        <v>56363.15625</v>
      </c>
      <c r="E564" s="8">
        <v>56390.972655999998</v>
      </c>
      <c r="F564" s="8">
        <f t="shared" si="16"/>
        <v>27.816405999998096</v>
      </c>
      <c r="G564" s="8">
        <f t="shared" si="17"/>
        <v>2.7816405999998097E-2</v>
      </c>
    </row>
    <row r="565" spans="1:7" x14ac:dyDescent="0.25">
      <c r="A565" s="8">
        <v>7</v>
      </c>
      <c r="B565" s="8">
        <v>22</v>
      </c>
      <c r="C565" s="8">
        <v>2885.781982</v>
      </c>
      <c r="D565" s="8">
        <v>56613.15625</v>
      </c>
      <c r="E565" s="8">
        <v>56624.3125</v>
      </c>
      <c r="F565" s="8">
        <f t="shared" si="16"/>
        <v>11.15625</v>
      </c>
      <c r="G565" s="8">
        <f t="shared" si="17"/>
        <v>1.115625E-2</v>
      </c>
    </row>
    <row r="566" spans="1:7" x14ac:dyDescent="0.25">
      <c r="A566" s="8">
        <v>7</v>
      </c>
      <c r="B566" s="8">
        <v>23</v>
      </c>
      <c r="C566" s="8">
        <v>1040.169922</v>
      </c>
      <c r="D566" s="8">
        <v>59513.007812999997</v>
      </c>
      <c r="E566" s="8">
        <v>59534.828125</v>
      </c>
      <c r="F566" s="8">
        <f t="shared" si="16"/>
        <v>21.820312000003469</v>
      </c>
      <c r="G566" s="8">
        <f t="shared" si="17"/>
        <v>2.1820312000003467E-2</v>
      </c>
    </row>
    <row r="567" spans="1:7" x14ac:dyDescent="0.25">
      <c r="A567" s="8">
        <v>7</v>
      </c>
      <c r="B567" s="8">
        <v>24</v>
      </c>
      <c r="C567" s="8">
        <v>2334.4604490000002</v>
      </c>
      <c r="D567" s="8">
        <v>60575.640625</v>
      </c>
      <c r="E567" s="8">
        <v>60589.082030999998</v>
      </c>
      <c r="F567" s="8">
        <f t="shared" si="16"/>
        <v>13.441405999998096</v>
      </c>
      <c r="G567" s="8">
        <f t="shared" si="17"/>
        <v>1.3441405999998097E-2</v>
      </c>
    </row>
    <row r="568" spans="1:7" x14ac:dyDescent="0.25">
      <c r="A568" s="8">
        <v>7</v>
      </c>
      <c r="B568" s="8">
        <v>25</v>
      </c>
      <c r="C568" s="8">
        <v>1125.7578129999999</v>
      </c>
      <c r="D568" s="8">
        <v>62938.574219000002</v>
      </c>
      <c r="E568" s="8">
        <v>62953.34375</v>
      </c>
      <c r="F568" s="8">
        <f t="shared" si="16"/>
        <v>14.769530999998096</v>
      </c>
      <c r="G568" s="8">
        <f t="shared" si="17"/>
        <v>1.4769530999998096E-2</v>
      </c>
    </row>
    <row r="569" spans="1:7" x14ac:dyDescent="0.25">
      <c r="A569" s="8">
        <v>7</v>
      </c>
      <c r="B569" s="8">
        <v>26</v>
      </c>
      <c r="C569" s="8">
        <v>655.50311299999998</v>
      </c>
      <c r="D569" s="8">
        <v>64089.519530999998</v>
      </c>
      <c r="E569" s="8">
        <v>64193.164062999997</v>
      </c>
      <c r="F569" s="8">
        <f t="shared" si="16"/>
        <v>103.64453199999843</v>
      </c>
      <c r="G569" s="8">
        <f t="shared" si="17"/>
        <v>0.10364453199999843</v>
      </c>
    </row>
    <row r="570" spans="1:7" x14ac:dyDescent="0.25">
      <c r="A570" s="8">
        <v>7</v>
      </c>
      <c r="B570" s="8">
        <v>27</v>
      </c>
      <c r="C570" s="8">
        <v>1254.2136230000001</v>
      </c>
      <c r="D570" s="8">
        <v>64855.949219000002</v>
      </c>
      <c r="E570" s="8">
        <v>64877.597655999998</v>
      </c>
      <c r="F570" s="8">
        <f t="shared" si="16"/>
        <v>21.648436999996193</v>
      </c>
      <c r="G570" s="8">
        <f t="shared" si="17"/>
        <v>2.1648436999996194E-2</v>
      </c>
    </row>
    <row r="571" spans="1:7" x14ac:dyDescent="0.25">
      <c r="A571" s="8">
        <v>7</v>
      </c>
      <c r="B571" s="8">
        <v>28</v>
      </c>
      <c r="C571" s="8">
        <v>830.03417999999999</v>
      </c>
      <c r="D571" s="8">
        <v>66137.3125</v>
      </c>
      <c r="E571" s="8">
        <v>66152.429688000004</v>
      </c>
      <c r="F571" s="8">
        <f t="shared" si="16"/>
        <v>15.117188000003807</v>
      </c>
      <c r="G571" s="8">
        <f t="shared" si="17"/>
        <v>1.5117188000003808E-2</v>
      </c>
    </row>
    <row r="572" spans="1:7" x14ac:dyDescent="0.25">
      <c r="A572" s="8">
        <v>7</v>
      </c>
      <c r="B572" s="8">
        <v>29</v>
      </c>
      <c r="C572" s="8">
        <v>38.952278</v>
      </c>
      <c r="D572" s="8">
        <v>66997.5625</v>
      </c>
      <c r="E572" s="8">
        <v>67011.367188000004</v>
      </c>
      <c r="F572" s="8">
        <f t="shared" si="16"/>
        <v>13.804688000003807</v>
      </c>
      <c r="G572" s="8">
        <f t="shared" si="17"/>
        <v>1.3804688000003807E-2</v>
      </c>
    </row>
    <row r="573" spans="1:7" x14ac:dyDescent="0.25">
      <c r="A573" s="8">
        <v>7</v>
      </c>
      <c r="B573" s="8">
        <v>30</v>
      </c>
      <c r="C573" s="8">
        <v>3000.9045409999999</v>
      </c>
      <c r="D573" s="8">
        <v>67060.039063000004</v>
      </c>
      <c r="E573" s="8">
        <v>67071.109375</v>
      </c>
      <c r="F573" s="8">
        <f t="shared" si="16"/>
        <v>11.070311999996193</v>
      </c>
      <c r="G573" s="8">
        <f t="shared" si="17"/>
        <v>1.1070311999996193E-2</v>
      </c>
    </row>
    <row r="574" spans="1:7" x14ac:dyDescent="0.25">
      <c r="A574" s="8">
        <v>7</v>
      </c>
      <c r="B574" s="8">
        <v>31</v>
      </c>
      <c r="C574" s="8">
        <v>1448.2192379999999</v>
      </c>
      <c r="D574" s="8">
        <v>70077.15625</v>
      </c>
      <c r="E574" s="8">
        <v>70094.382813000004</v>
      </c>
      <c r="F574" s="8">
        <f t="shared" si="16"/>
        <v>17.226563000003807</v>
      </c>
      <c r="G574" s="8">
        <f t="shared" si="17"/>
        <v>1.7226563000003806E-2</v>
      </c>
    </row>
    <row r="575" spans="1:7" x14ac:dyDescent="0.25">
      <c r="A575" s="8">
        <v>7</v>
      </c>
      <c r="B575" s="8">
        <v>32</v>
      </c>
      <c r="C575" s="8">
        <v>1659.723755</v>
      </c>
      <c r="D575" s="8">
        <v>71556.664063000004</v>
      </c>
      <c r="E575" s="8">
        <v>71570.320313000004</v>
      </c>
      <c r="F575" s="8">
        <f t="shared" si="16"/>
        <v>13.65625</v>
      </c>
      <c r="G575" s="8">
        <f t="shared" si="17"/>
        <v>1.365625E-2</v>
      </c>
    </row>
    <row r="576" spans="1:7" x14ac:dyDescent="0.25">
      <c r="A576" s="8">
        <v>7</v>
      </c>
      <c r="B576" s="8">
        <v>33</v>
      </c>
      <c r="C576" s="8">
        <v>536.85668899999996</v>
      </c>
      <c r="D576" s="8">
        <v>73232.421875</v>
      </c>
      <c r="E576" s="8">
        <v>73240.085938000004</v>
      </c>
      <c r="F576" s="8">
        <f t="shared" si="16"/>
        <v>7.6640630000038072</v>
      </c>
      <c r="G576" s="8">
        <f t="shared" si="17"/>
        <v>7.6640630000038073E-3</v>
      </c>
    </row>
    <row r="577" spans="1:7" x14ac:dyDescent="0.25">
      <c r="A577" s="8">
        <v>7</v>
      </c>
      <c r="B577" s="8">
        <v>34</v>
      </c>
      <c r="C577" s="8">
        <v>1175.8907469999999</v>
      </c>
      <c r="D577" s="8">
        <v>73779.34375</v>
      </c>
      <c r="E577" s="8">
        <v>73795.226563000004</v>
      </c>
      <c r="F577" s="8">
        <f t="shared" si="16"/>
        <v>15.882813000003807</v>
      </c>
      <c r="G577" s="8">
        <f t="shared" si="17"/>
        <v>1.5882813000003809E-2</v>
      </c>
    </row>
    <row r="578" spans="1:7" x14ac:dyDescent="0.25">
      <c r="A578" s="8">
        <v>7</v>
      </c>
      <c r="B578" s="8">
        <v>35</v>
      </c>
      <c r="C578" s="8">
        <v>1920.83728</v>
      </c>
      <c r="D578" s="8">
        <v>74976.859375</v>
      </c>
      <c r="E578" s="8">
        <v>75000.882813000004</v>
      </c>
      <c r="F578" s="8">
        <f t="shared" si="16"/>
        <v>24.023438000003807</v>
      </c>
      <c r="G578" s="8">
        <f t="shared" si="17"/>
        <v>2.4023438000003807E-2</v>
      </c>
    </row>
    <row r="579" spans="1:7" x14ac:dyDescent="0.25">
      <c r="A579" s="8">
        <v>7</v>
      </c>
      <c r="B579" s="8">
        <v>36</v>
      </c>
      <c r="C579" s="8">
        <v>3077.9013669999999</v>
      </c>
      <c r="D579" s="8">
        <v>76928.984375</v>
      </c>
      <c r="E579" s="8">
        <v>76942.742188000004</v>
      </c>
      <c r="F579" s="8">
        <f t="shared" si="16"/>
        <v>13.757813000003807</v>
      </c>
      <c r="G579" s="8">
        <f t="shared" si="17"/>
        <v>1.3757813000003807E-2</v>
      </c>
    </row>
    <row r="580" spans="1:7" x14ac:dyDescent="0.25">
      <c r="A580" s="8">
        <v>7</v>
      </c>
      <c r="B580" s="8">
        <v>37</v>
      </c>
      <c r="C580" s="8">
        <v>1242.705078</v>
      </c>
      <c r="D580" s="8">
        <v>80035.335938000004</v>
      </c>
      <c r="E580" s="8">
        <v>80053.734375</v>
      </c>
      <c r="F580" s="8">
        <f t="shared" si="16"/>
        <v>18.398436999996193</v>
      </c>
      <c r="G580" s="8">
        <f t="shared" si="17"/>
        <v>1.8398436999996194E-2</v>
      </c>
    </row>
    <row r="581" spans="1:7" x14ac:dyDescent="0.25">
      <c r="A581" s="8">
        <v>7</v>
      </c>
      <c r="B581" s="8">
        <v>38</v>
      </c>
      <c r="C581" s="8">
        <v>2176.5185550000001</v>
      </c>
      <c r="D581" s="8">
        <v>81302.023438000004</v>
      </c>
      <c r="E581" s="8">
        <v>81313.351563000004</v>
      </c>
      <c r="F581" s="8">
        <f t="shared" si="16"/>
        <v>11.328125</v>
      </c>
      <c r="G581" s="8">
        <f t="shared" si="17"/>
        <v>1.1328125E-2</v>
      </c>
    </row>
    <row r="582" spans="1:7" x14ac:dyDescent="0.25">
      <c r="A582" s="8">
        <v>7</v>
      </c>
      <c r="B582" s="8">
        <v>39</v>
      </c>
      <c r="C582" s="8">
        <v>1512.9678960000001</v>
      </c>
      <c r="D582" s="8">
        <v>83499.789063000004</v>
      </c>
      <c r="E582" s="8">
        <v>83511.625</v>
      </c>
      <c r="F582" s="8">
        <f t="shared" si="16"/>
        <v>11.835936999996193</v>
      </c>
      <c r="G582" s="8">
        <f t="shared" si="17"/>
        <v>1.1835936999996194E-2</v>
      </c>
    </row>
    <row r="583" spans="1:7" x14ac:dyDescent="0.25">
      <c r="A583" s="8">
        <v>7</v>
      </c>
      <c r="B583" s="8">
        <v>40</v>
      </c>
      <c r="C583" s="8">
        <v>1478.1575929999999</v>
      </c>
      <c r="D583" s="8">
        <v>85032.289063000004</v>
      </c>
      <c r="E583" s="8">
        <v>85059.445313000004</v>
      </c>
      <c r="F583" s="8">
        <f t="shared" si="16"/>
        <v>27.15625</v>
      </c>
      <c r="G583" s="8">
        <f t="shared" si="17"/>
        <v>2.715625E-2</v>
      </c>
    </row>
    <row r="584" spans="1:7" x14ac:dyDescent="0.25">
      <c r="A584" s="8">
        <v>7</v>
      </c>
      <c r="B584" s="8">
        <v>41</v>
      </c>
      <c r="C584" s="8">
        <v>610.77209500000004</v>
      </c>
      <c r="D584" s="8">
        <v>86549.632813000004</v>
      </c>
      <c r="E584" s="8">
        <v>86569.3125</v>
      </c>
      <c r="F584" s="8">
        <f t="shared" si="16"/>
        <v>19.679686999996193</v>
      </c>
      <c r="G584" s="8">
        <f t="shared" si="17"/>
        <v>1.9679686999996192E-2</v>
      </c>
    </row>
    <row r="585" spans="1:7" x14ac:dyDescent="0.25">
      <c r="A585" s="8">
        <v>7</v>
      </c>
      <c r="B585" s="8">
        <v>42</v>
      </c>
      <c r="C585" s="8">
        <v>4551.9877930000002</v>
      </c>
      <c r="D585" s="8">
        <v>87190.34375</v>
      </c>
      <c r="E585" s="8">
        <v>87205.101563000004</v>
      </c>
      <c r="F585" s="8">
        <f t="shared" si="16"/>
        <v>14.757813000003807</v>
      </c>
      <c r="G585" s="8">
        <f t="shared" si="17"/>
        <v>1.4757813000003808E-2</v>
      </c>
    </row>
    <row r="586" spans="1:7" x14ac:dyDescent="0.25">
      <c r="A586" s="8">
        <v>7</v>
      </c>
      <c r="B586" s="8">
        <v>43</v>
      </c>
      <c r="C586" s="8">
        <v>4879.2998049999997</v>
      </c>
      <c r="D586" s="8">
        <v>91761.210938000004</v>
      </c>
      <c r="E586" s="8">
        <v>91792.921875</v>
      </c>
      <c r="F586" s="8">
        <f t="shared" si="16"/>
        <v>31.710936999996193</v>
      </c>
      <c r="G586" s="8">
        <f t="shared" si="17"/>
        <v>3.1710936999996192E-2</v>
      </c>
    </row>
    <row r="587" spans="1:7" x14ac:dyDescent="0.25">
      <c r="A587" s="8">
        <v>7</v>
      </c>
      <c r="B587" s="8">
        <v>44</v>
      </c>
      <c r="C587" s="8">
        <v>330.13916</v>
      </c>
      <c r="D587" s="8">
        <v>96681.09375</v>
      </c>
      <c r="E587" s="8">
        <v>96688.773438000004</v>
      </c>
      <c r="F587" s="8">
        <f t="shared" ref="F587:F650" si="18">E587-D587</f>
        <v>7.6796880000038072</v>
      </c>
      <c r="G587" s="8">
        <f t="shared" ref="G587:G650" si="19">F587/1000</f>
        <v>7.6796880000038073E-3</v>
      </c>
    </row>
    <row r="588" spans="1:7" x14ac:dyDescent="0.25">
      <c r="A588" s="8">
        <v>7</v>
      </c>
      <c r="B588" s="8">
        <v>45</v>
      </c>
      <c r="C588" s="8">
        <v>6334.6767579999996</v>
      </c>
      <c r="D588" s="8">
        <v>97024.882813000004</v>
      </c>
      <c r="E588" s="8">
        <v>97167.757813000004</v>
      </c>
      <c r="F588" s="8">
        <f t="shared" si="18"/>
        <v>142.875</v>
      </c>
      <c r="G588" s="8">
        <f t="shared" si="19"/>
        <v>0.142875</v>
      </c>
    </row>
    <row r="589" spans="1:7" x14ac:dyDescent="0.25">
      <c r="A589" s="8">
        <v>7</v>
      </c>
      <c r="B589" s="8">
        <v>46</v>
      </c>
      <c r="C589" s="8">
        <v>786.51238999999998</v>
      </c>
      <c r="D589" s="8">
        <v>103510.210938</v>
      </c>
      <c r="E589" s="8">
        <v>103522.1875</v>
      </c>
      <c r="F589" s="8">
        <f t="shared" si="18"/>
        <v>11.976561999996193</v>
      </c>
      <c r="G589" s="8">
        <f t="shared" si="19"/>
        <v>1.1976561999996192E-2</v>
      </c>
    </row>
    <row r="590" spans="1:7" x14ac:dyDescent="0.25">
      <c r="A590" s="8">
        <v>7</v>
      </c>
      <c r="B590" s="8">
        <v>47</v>
      </c>
      <c r="C590" s="8">
        <v>719.97906499999999</v>
      </c>
      <c r="D590" s="8">
        <v>104315.828125</v>
      </c>
      <c r="E590" s="8">
        <v>104328.320313</v>
      </c>
      <c r="F590" s="8">
        <f t="shared" si="18"/>
        <v>12.492188000003807</v>
      </c>
      <c r="G590" s="8">
        <f t="shared" si="19"/>
        <v>1.2492188000003807E-2</v>
      </c>
    </row>
    <row r="591" spans="1:7" x14ac:dyDescent="0.25">
      <c r="A591" s="8">
        <v>7</v>
      </c>
      <c r="B591" s="8">
        <v>48</v>
      </c>
      <c r="C591" s="8">
        <v>822.56109600000002</v>
      </c>
      <c r="D591" s="8">
        <v>105050.34375</v>
      </c>
      <c r="E591" s="8">
        <v>105079</v>
      </c>
      <c r="F591" s="8">
        <f t="shared" si="18"/>
        <v>28.65625</v>
      </c>
      <c r="G591" s="8">
        <f t="shared" si="19"/>
        <v>2.8656250000000001E-2</v>
      </c>
    </row>
    <row r="592" spans="1:7" x14ac:dyDescent="0.25">
      <c r="A592" s="8">
        <v>7</v>
      </c>
      <c r="B592" s="8">
        <v>49</v>
      </c>
      <c r="C592" s="8">
        <v>503.60565200000002</v>
      </c>
      <c r="D592" s="8">
        <v>105906.554688</v>
      </c>
      <c r="E592" s="8">
        <v>105929.179688</v>
      </c>
      <c r="F592" s="8">
        <f t="shared" si="18"/>
        <v>22.625</v>
      </c>
      <c r="G592" s="8">
        <f t="shared" si="19"/>
        <v>2.2624999999999999E-2</v>
      </c>
    </row>
    <row r="593" spans="1:7" x14ac:dyDescent="0.25">
      <c r="A593" s="8">
        <v>7</v>
      </c>
      <c r="B593" s="8">
        <v>50</v>
      </c>
      <c r="C593" s="8">
        <v>1120.193237</v>
      </c>
      <c r="D593" s="8">
        <v>106437.851563</v>
      </c>
      <c r="E593" s="8">
        <v>106460.789063</v>
      </c>
      <c r="F593" s="8">
        <f t="shared" si="18"/>
        <v>22.9375</v>
      </c>
      <c r="G593" s="8">
        <f t="shared" si="19"/>
        <v>2.29375E-2</v>
      </c>
    </row>
    <row r="594" spans="1:7" x14ac:dyDescent="0.25">
      <c r="A594" s="8">
        <v>7</v>
      </c>
      <c r="B594" s="8">
        <v>51</v>
      </c>
      <c r="C594" s="8">
        <v>510.52688599999999</v>
      </c>
      <c r="D594" s="8">
        <v>107594.773438</v>
      </c>
      <c r="E594" s="8">
        <v>107619.101563</v>
      </c>
      <c r="F594" s="8">
        <f t="shared" si="18"/>
        <v>24.328125</v>
      </c>
      <c r="G594" s="8">
        <f t="shared" si="19"/>
        <v>2.4328124999999999E-2</v>
      </c>
    </row>
    <row r="595" spans="1:7" x14ac:dyDescent="0.25">
      <c r="A595" s="8">
        <v>7</v>
      </c>
      <c r="B595" s="8">
        <v>52</v>
      </c>
      <c r="C595" s="8">
        <v>173.51792900000001</v>
      </c>
      <c r="D595" s="8">
        <v>108141.617188</v>
      </c>
      <c r="E595" s="8">
        <v>108161.398438</v>
      </c>
      <c r="F595" s="8">
        <f t="shared" si="18"/>
        <v>19.78125</v>
      </c>
      <c r="G595" s="8">
        <f t="shared" si="19"/>
        <v>1.978125E-2</v>
      </c>
    </row>
    <row r="596" spans="1:7" x14ac:dyDescent="0.25">
      <c r="A596" s="8">
        <v>7</v>
      </c>
      <c r="B596" s="8">
        <v>53</v>
      </c>
      <c r="C596" s="8">
        <v>3122.47876</v>
      </c>
      <c r="D596" s="8">
        <v>108344.890625</v>
      </c>
      <c r="E596" s="8">
        <v>108399.570313</v>
      </c>
      <c r="F596" s="8">
        <f t="shared" si="18"/>
        <v>54.679688000003807</v>
      </c>
      <c r="G596" s="8">
        <f t="shared" si="19"/>
        <v>5.4679688000003807E-2</v>
      </c>
    </row>
    <row r="597" spans="1:7" x14ac:dyDescent="0.25">
      <c r="A597" s="8">
        <v>7</v>
      </c>
      <c r="B597" s="8">
        <v>54</v>
      </c>
      <c r="C597" s="8">
        <v>606.55181900000002</v>
      </c>
      <c r="D597" s="8">
        <v>111533.507813</v>
      </c>
      <c r="E597" s="8">
        <v>111544.492188</v>
      </c>
      <c r="F597" s="8">
        <f t="shared" si="18"/>
        <v>10.984375</v>
      </c>
      <c r="G597" s="8">
        <f t="shared" si="19"/>
        <v>1.0984374999999999E-2</v>
      </c>
    </row>
    <row r="598" spans="1:7" x14ac:dyDescent="0.25">
      <c r="A598" s="8">
        <v>7</v>
      </c>
      <c r="B598" s="8">
        <v>55</v>
      </c>
      <c r="C598" s="8">
        <v>622.48614499999996</v>
      </c>
      <c r="D598" s="8">
        <v>112162.710938</v>
      </c>
      <c r="E598" s="8">
        <v>112174.867188</v>
      </c>
      <c r="F598" s="8">
        <f t="shared" si="18"/>
        <v>12.15625</v>
      </c>
      <c r="G598" s="8">
        <f t="shared" si="19"/>
        <v>1.215625E-2</v>
      </c>
    </row>
    <row r="599" spans="1:7" x14ac:dyDescent="0.25">
      <c r="A599" s="8">
        <v>7</v>
      </c>
      <c r="B599" s="8">
        <v>56</v>
      </c>
      <c r="C599" s="8">
        <v>4519.5625</v>
      </c>
      <c r="D599" s="8">
        <v>112806.757813</v>
      </c>
      <c r="E599" s="8">
        <v>112827.851563</v>
      </c>
      <c r="F599" s="8">
        <f t="shared" si="18"/>
        <v>21.09375</v>
      </c>
      <c r="G599" s="8">
        <f t="shared" si="19"/>
        <v>2.1093750000000001E-2</v>
      </c>
    </row>
    <row r="600" spans="1:7" x14ac:dyDescent="0.25">
      <c r="A600" s="8">
        <v>7</v>
      </c>
      <c r="B600" s="8">
        <v>57</v>
      </c>
      <c r="C600" s="8">
        <v>3846.2006839999999</v>
      </c>
      <c r="D600" s="8">
        <v>117348.132813</v>
      </c>
      <c r="E600" s="8">
        <v>117372.3125</v>
      </c>
      <c r="F600" s="8">
        <f t="shared" si="18"/>
        <v>24.179686999996193</v>
      </c>
      <c r="G600" s="8">
        <f t="shared" si="19"/>
        <v>2.4179686999996192E-2</v>
      </c>
    </row>
    <row r="601" spans="1:7" x14ac:dyDescent="0.25">
      <c r="A601" s="8">
        <v>7</v>
      </c>
      <c r="B601" s="8">
        <v>58</v>
      </c>
      <c r="C601" s="8">
        <v>1892.807251</v>
      </c>
      <c r="D601" s="8">
        <v>121220.632813</v>
      </c>
      <c r="E601" s="8">
        <v>121237.570313</v>
      </c>
      <c r="F601" s="8">
        <f t="shared" si="18"/>
        <v>16.9375</v>
      </c>
      <c r="G601" s="8">
        <f t="shared" si="19"/>
        <v>1.6937500000000001E-2</v>
      </c>
    </row>
    <row r="602" spans="1:7" x14ac:dyDescent="0.25">
      <c r="A602" s="8">
        <v>7</v>
      </c>
      <c r="B602" s="8">
        <v>59</v>
      </c>
      <c r="C602" s="8">
        <v>1224.158203</v>
      </c>
      <c r="D602" s="8">
        <v>123131.328125</v>
      </c>
      <c r="E602" s="8">
        <v>123142.5625</v>
      </c>
      <c r="F602" s="8">
        <f t="shared" si="18"/>
        <v>11.234375</v>
      </c>
      <c r="G602" s="8">
        <f t="shared" si="19"/>
        <v>1.1234375E-2</v>
      </c>
    </row>
    <row r="603" spans="1:7" x14ac:dyDescent="0.25">
      <c r="A603" s="8">
        <v>7</v>
      </c>
      <c r="B603" s="8">
        <v>60</v>
      </c>
      <c r="C603" s="8">
        <v>11.753577</v>
      </c>
      <c r="D603" s="8">
        <v>124377.070313</v>
      </c>
      <c r="E603" s="8">
        <v>124404.53125</v>
      </c>
      <c r="F603" s="8">
        <f t="shared" si="18"/>
        <v>27.460936999996193</v>
      </c>
      <c r="G603" s="8">
        <f t="shared" si="19"/>
        <v>2.7460936999996192E-2</v>
      </c>
    </row>
    <row r="604" spans="1:7" x14ac:dyDescent="0.25">
      <c r="A604" s="8">
        <v>7</v>
      </c>
      <c r="B604" s="8">
        <v>61</v>
      </c>
      <c r="C604" s="8">
        <v>619.82153300000004</v>
      </c>
      <c r="D604" s="8">
        <v>124423.960938</v>
      </c>
      <c r="E604" s="8">
        <v>124441.375</v>
      </c>
      <c r="F604" s="8">
        <f t="shared" si="18"/>
        <v>17.414061999996193</v>
      </c>
      <c r="G604" s="8">
        <f t="shared" si="19"/>
        <v>1.7414061999996192E-2</v>
      </c>
    </row>
    <row r="605" spans="1:7" x14ac:dyDescent="0.25">
      <c r="A605" s="8">
        <v>7</v>
      </c>
      <c r="B605" s="8">
        <v>62</v>
      </c>
      <c r="C605" s="8">
        <v>3048.819336</v>
      </c>
      <c r="D605" s="8">
        <v>125064.492188</v>
      </c>
      <c r="E605" s="8">
        <v>125085.515625</v>
      </c>
      <c r="F605" s="8">
        <f t="shared" si="18"/>
        <v>21.023436999996193</v>
      </c>
      <c r="G605" s="8">
        <f t="shared" si="19"/>
        <v>2.1023436999996193E-2</v>
      </c>
    </row>
    <row r="606" spans="1:7" x14ac:dyDescent="0.25">
      <c r="A606" s="8">
        <v>7</v>
      </c>
      <c r="B606" s="8">
        <v>63</v>
      </c>
      <c r="C606" s="8">
        <v>3276.2729490000002</v>
      </c>
      <c r="D606" s="8">
        <v>128143.84375</v>
      </c>
      <c r="E606" s="8">
        <v>128169.8125</v>
      </c>
      <c r="F606" s="8">
        <f t="shared" si="18"/>
        <v>25.96875</v>
      </c>
      <c r="G606" s="8">
        <f t="shared" si="19"/>
        <v>2.5968749999999999E-2</v>
      </c>
    </row>
    <row r="607" spans="1:7" x14ac:dyDescent="0.25">
      <c r="A607" s="8">
        <v>7</v>
      </c>
      <c r="B607" s="8">
        <v>64</v>
      </c>
      <c r="C607" s="8">
        <v>286.06549100000001</v>
      </c>
      <c r="D607" s="8">
        <v>131451.9375</v>
      </c>
      <c r="E607" s="8">
        <v>131472.921875</v>
      </c>
      <c r="F607" s="8">
        <f t="shared" si="18"/>
        <v>20.984375</v>
      </c>
      <c r="G607" s="8">
        <f t="shared" si="19"/>
        <v>2.0984375E-2</v>
      </c>
    </row>
    <row r="608" spans="1:7" x14ac:dyDescent="0.25">
      <c r="A608" s="8">
        <v>7</v>
      </c>
      <c r="B608" s="8">
        <v>65</v>
      </c>
      <c r="C608" s="8">
        <v>272.380066</v>
      </c>
      <c r="D608" s="8">
        <v>131764.484375</v>
      </c>
      <c r="E608" s="8">
        <v>131786.0625</v>
      </c>
      <c r="F608" s="8">
        <f t="shared" si="18"/>
        <v>21.578125</v>
      </c>
      <c r="G608" s="8">
        <f t="shared" si="19"/>
        <v>2.1578125E-2</v>
      </c>
    </row>
    <row r="609" spans="1:7" x14ac:dyDescent="0.25">
      <c r="A609" s="8">
        <v>7</v>
      </c>
      <c r="B609" s="8">
        <v>66</v>
      </c>
      <c r="C609" s="8">
        <v>453.67095899999998</v>
      </c>
      <c r="D609" s="8">
        <v>132061.390625</v>
      </c>
      <c r="E609" s="8">
        <v>132078.390625</v>
      </c>
      <c r="F609" s="8">
        <f t="shared" si="18"/>
        <v>17</v>
      </c>
      <c r="G609" s="8">
        <f t="shared" si="19"/>
        <v>1.7000000000000001E-2</v>
      </c>
    </row>
    <row r="610" spans="1:7" x14ac:dyDescent="0.25">
      <c r="A610" s="8">
        <v>7</v>
      </c>
      <c r="B610" s="8">
        <v>67</v>
      </c>
      <c r="C610" s="8">
        <v>820.26007100000004</v>
      </c>
      <c r="D610" s="8">
        <v>132545.796875</v>
      </c>
      <c r="E610" s="8">
        <v>132563.703125</v>
      </c>
      <c r="F610" s="8">
        <f t="shared" si="18"/>
        <v>17.90625</v>
      </c>
      <c r="G610" s="8">
        <f t="shared" si="19"/>
        <v>1.7906249999999999E-2</v>
      </c>
    </row>
    <row r="611" spans="1:7" x14ac:dyDescent="0.25">
      <c r="A611" s="8">
        <v>7</v>
      </c>
      <c r="B611" s="8">
        <v>68</v>
      </c>
      <c r="C611" s="8">
        <v>2802.536865</v>
      </c>
      <c r="D611" s="8">
        <v>133394.3125</v>
      </c>
      <c r="E611" s="8">
        <v>133411.65625</v>
      </c>
      <c r="F611" s="8">
        <f t="shared" si="18"/>
        <v>17.34375</v>
      </c>
      <c r="G611" s="8">
        <f t="shared" si="19"/>
        <v>1.7343750000000002E-2</v>
      </c>
    </row>
    <row r="612" spans="1:7" x14ac:dyDescent="0.25">
      <c r="A612" s="8">
        <v>7</v>
      </c>
      <c r="B612" s="8">
        <v>69</v>
      </c>
      <c r="C612" s="8">
        <v>3820.4741210000002</v>
      </c>
      <c r="D612" s="8">
        <v>136225.90625</v>
      </c>
      <c r="E612" s="8">
        <v>136243</v>
      </c>
      <c r="F612" s="8">
        <f t="shared" si="18"/>
        <v>17.09375</v>
      </c>
      <c r="G612" s="8">
        <f t="shared" si="19"/>
        <v>1.7093750000000001E-2</v>
      </c>
    </row>
    <row r="613" spans="1:7" x14ac:dyDescent="0.25">
      <c r="A613" s="8">
        <v>7</v>
      </c>
      <c r="B613" s="8">
        <v>70</v>
      </c>
      <c r="C613" s="8">
        <v>1820.229126</v>
      </c>
      <c r="D613" s="8">
        <v>140069.109375</v>
      </c>
      <c r="E613" s="8">
        <v>140083.90625</v>
      </c>
      <c r="F613" s="8">
        <f t="shared" si="18"/>
        <v>14.796875</v>
      </c>
      <c r="G613" s="8">
        <f t="shared" si="19"/>
        <v>1.4796874999999999E-2</v>
      </c>
    </row>
    <row r="614" spans="1:7" x14ac:dyDescent="0.25">
      <c r="A614" s="8">
        <v>7</v>
      </c>
      <c r="B614" s="8">
        <v>71</v>
      </c>
      <c r="C614" s="8">
        <v>1266.248169</v>
      </c>
      <c r="D614" s="8">
        <v>141905.765625</v>
      </c>
      <c r="E614" s="8">
        <v>141918.484375</v>
      </c>
      <c r="F614" s="8">
        <f t="shared" si="18"/>
        <v>12.71875</v>
      </c>
      <c r="G614" s="8">
        <f t="shared" si="19"/>
        <v>1.2718749999999999E-2</v>
      </c>
    </row>
    <row r="615" spans="1:7" x14ac:dyDescent="0.25">
      <c r="A615" s="8">
        <v>7</v>
      </c>
      <c r="B615" s="8">
        <v>72</v>
      </c>
      <c r="C615" s="8">
        <v>839.11321999999996</v>
      </c>
      <c r="D615" s="8">
        <v>143187.171875</v>
      </c>
      <c r="E615" s="8">
        <v>143194.78125</v>
      </c>
      <c r="F615" s="8">
        <f t="shared" si="18"/>
        <v>7.609375</v>
      </c>
      <c r="G615" s="8">
        <f t="shared" si="19"/>
        <v>7.6093749999999998E-3</v>
      </c>
    </row>
    <row r="616" spans="1:7" x14ac:dyDescent="0.25">
      <c r="A616" s="8">
        <v>7</v>
      </c>
      <c r="B616" s="8">
        <v>73</v>
      </c>
      <c r="C616" s="8">
        <v>765.638733</v>
      </c>
      <c r="D616" s="8">
        <v>144041.1875</v>
      </c>
      <c r="E616" s="8">
        <v>144049.984375</v>
      </c>
      <c r="F616" s="8">
        <f t="shared" si="18"/>
        <v>8.796875</v>
      </c>
      <c r="G616" s="8">
        <f t="shared" si="19"/>
        <v>8.7968749999999991E-3</v>
      </c>
    </row>
    <row r="617" spans="1:7" x14ac:dyDescent="0.25">
      <c r="A617" s="8">
        <v>7</v>
      </c>
      <c r="B617" s="8">
        <v>74</v>
      </c>
      <c r="C617" s="8">
        <v>5055.5512699999999</v>
      </c>
      <c r="D617" s="8">
        <v>144815.765625</v>
      </c>
      <c r="E617" s="8">
        <v>144829.3125</v>
      </c>
      <c r="F617" s="8">
        <f t="shared" si="18"/>
        <v>13.546875</v>
      </c>
      <c r="G617" s="8">
        <f t="shared" si="19"/>
        <v>1.3546875E-2</v>
      </c>
    </row>
    <row r="618" spans="1:7" x14ac:dyDescent="0.25">
      <c r="A618" s="8">
        <v>7</v>
      </c>
      <c r="B618" s="8">
        <v>75</v>
      </c>
      <c r="C618" s="8">
        <v>163.49110400000001</v>
      </c>
      <c r="D618" s="8">
        <v>149889.40625</v>
      </c>
      <c r="E618" s="8">
        <v>149911.171875</v>
      </c>
      <c r="F618" s="8">
        <f t="shared" si="18"/>
        <v>21.765625</v>
      </c>
      <c r="G618" s="8">
        <f t="shared" si="19"/>
        <v>2.1765625E-2</v>
      </c>
    </row>
    <row r="619" spans="1:7" x14ac:dyDescent="0.25">
      <c r="A619" s="8">
        <v>7</v>
      </c>
      <c r="B619" s="8">
        <v>76</v>
      </c>
      <c r="C619" s="8">
        <v>1649.5329589999999</v>
      </c>
      <c r="D619" s="8">
        <v>150076.984375</v>
      </c>
      <c r="E619" s="8">
        <v>150084.765625</v>
      </c>
      <c r="F619" s="8">
        <f t="shared" si="18"/>
        <v>7.78125</v>
      </c>
      <c r="G619" s="8">
        <f t="shared" si="19"/>
        <v>7.78125E-3</v>
      </c>
    </row>
    <row r="620" spans="1:7" x14ac:dyDescent="0.25">
      <c r="A620" s="8">
        <v>7</v>
      </c>
      <c r="B620" s="8">
        <v>77</v>
      </c>
      <c r="C620" s="8">
        <v>400.100708</v>
      </c>
      <c r="D620" s="8">
        <v>151749</v>
      </c>
      <c r="E620" s="8">
        <v>151778.3125</v>
      </c>
      <c r="F620" s="8">
        <f t="shared" si="18"/>
        <v>29.3125</v>
      </c>
      <c r="G620" s="8">
        <f t="shared" si="19"/>
        <v>2.9312499999999998E-2</v>
      </c>
    </row>
    <row r="621" spans="1:7" x14ac:dyDescent="0.25">
      <c r="A621" s="8">
        <v>7</v>
      </c>
      <c r="B621" s="8">
        <v>78</v>
      </c>
      <c r="C621" s="8">
        <v>3060.0634770000001</v>
      </c>
      <c r="D621" s="8">
        <v>152187.34375</v>
      </c>
      <c r="E621" s="8">
        <v>152195.875</v>
      </c>
      <c r="F621" s="8">
        <f t="shared" si="18"/>
        <v>8.53125</v>
      </c>
      <c r="G621" s="8">
        <f t="shared" si="19"/>
        <v>8.5312500000000006E-3</v>
      </c>
    </row>
    <row r="622" spans="1:7" x14ac:dyDescent="0.25">
      <c r="A622" s="8">
        <v>7</v>
      </c>
      <c r="B622" s="8">
        <v>79</v>
      </c>
      <c r="C622" s="8">
        <v>184.732834</v>
      </c>
      <c r="D622" s="8">
        <v>155265.984375</v>
      </c>
      <c r="E622" s="8">
        <v>155284.453125</v>
      </c>
      <c r="F622" s="8">
        <f t="shared" si="18"/>
        <v>18.46875</v>
      </c>
      <c r="G622" s="8">
        <f t="shared" si="19"/>
        <v>1.8468749999999999E-2</v>
      </c>
    </row>
    <row r="623" spans="1:7" x14ac:dyDescent="0.25">
      <c r="A623" s="8">
        <v>7</v>
      </c>
      <c r="B623" s="8">
        <v>80</v>
      </c>
      <c r="C623" s="8">
        <v>3884.9956050000001</v>
      </c>
      <c r="D623" s="8">
        <v>155469.1875</v>
      </c>
      <c r="E623" s="8">
        <v>155482.90625</v>
      </c>
      <c r="F623" s="8">
        <f t="shared" si="18"/>
        <v>13.71875</v>
      </c>
      <c r="G623" s="8">
        <f t="shared" si="19"/>
        <v>1.371875E-2</v>
      </c>
    </row>
    <row r="624" spans="1:7" x14ac:dyDescent="0.25">
      <c r="A624" s="8">
        <v>7</v>
      </c>
      <c r="B624" s="8">
        <v>81</v>
      </c>
      <c r="C624" s="8">
        <v>6196.111328</v>
      </c>
      <c r="D624" s="8">
        <v>159376.84375</v>
      </c>
      <c r="E624" s="8">
        <v>159388.1875</v>
      </c>
      <c r="F624" s="8">
        <f t="shared" si="18"/>
        <v>11.34375</v>
      </c>
      <c r="G624" s="8">
        <f t="shared" si="19"/>
        <v>1.134375E-2</v>
      </c>
    </row>
    <row r="625" spans="1:7" x14ac:dyDescent="0.25">
      <c r="A625" s="8">
        <v>7</v>
      </c>
      <c r="B625" s="8">
        <v>82</v>
      </c>
      <c r="C625" s="8">
        <v>1807.681274</v>
      </c>
      <c r="D625" s="8">
        <v>165592.828125</v>
      </c>
      <c r="E625" s="8">
        <v>165605.1875</v>
      </c>
      <c r="F625" s="8">
        <f t="shared" si="18"/>
        <v>12.359375</v>
      </c>
      <c r="G625" s="8">
        <f t="shared" si="19"/>
        <v>1.2359375000000001E-2</v>
      </c>
    </row>
    <row r="626" spans="1:7" x14ac:dyDescent="0.25">
      <c r="A626" s="8">
        <v>7</v>
      </c>
      <c r="B626" s="8">
        <v>83</v>
      </c>
      <c r="C626" s="8">
        <v>5475.0683589999999</v>
      </c>
      <c r="D626" s="8">
        <v>167416.109375</v>
      </c>
      <c r="E626" s="8">
        <v>167428.3125</v>
      </c>
      <c r="F626" s="8">
        <f t="shared" si="18"/>
        <v>12.203125</v>
      </c>
      <c r="G626" s="8">
        <f t="shared" si="19"/>
        <v>1.2203125E-2</v>
      </c>
    </row>
    <row r="627" spans="1:7" x14ac:dyDescent="0.25">
      <c r="A627" s="8">
        <v>8</v>
      </c>
      <c r="B627" s="8">
        <v>0</v>
      </c>
      <c r="C627" s="8">
        <v>1247.4829099999999</v>
      </c>
      <c r="D627" s="8">
        <v>21766.21875</v>
      </c>
      <c r="E627" s="8">
        <v>21778.539063</v>
      </c>
      <c r="F627" s="8">
        <f t="shared" si="18"/>
        <v>12.320313000000169</v>
      </c>
      <c r="G627" s="8">
        <f t="shared" si="19"/>
        <v>1.2320313000000169E-2</v>
      </c>
    </row>
    <row r="628" spans="1:7" x14ac:dyDescent="0.25">
      <c r="A628" s="8">
        <v>8</v>
      </c>
      <c r="B628" s="8">
        <v>1</v>
      </c>
      <c r="C628" s="8">
        <v>5749.5541990000002</v>
      </c>
      <c r="D628" s="8">
        <v>23031.794922000001</v>
      </c>
      <c r="E628" s="8">
        <v>23096.646484000001</v>
      </c>
      <c r="F628" s="8">
        <f t="shared" si="18"/>
        <v>64.851561999999831</v>
      </c>
      <c r="G628" s="8">
        <f t="shared" si="19"/>
        <v>6.4851561999999835E-2</v>
      </c>
    </row>
    <row r="629" spans="1:7" x14ac:dyDescent="0.25">
      <c r="A629" s="8">
        <v>8</v>
      </c>
      <c r="B629" s="8">
        <v>2</v>
      </c>
      <c r="C629" s="8">
        <v>1430.1694339999999</v>
      </c>
      <c r="D629" s="8">
        <v>28855.703125</v>
      </c>
      <c r="E629" s="8">
        <v>28872.005859000001</v>
      </c>
      <c r="F629" s="8">
        <f t="shared" si="18"/>
        <v>16.302734000000783</v>
      </c>
      <c r="G629" s="8">
        <f t="shared" si="19"/>
        <v>1.6302734000000783E-2</v>
      </c>
    </row>
    <row r="630" spans="1:7" x14ac:dyDescent="0.25">
      <c r="A630" s="8">
        <v>8</v>
      </c>
      <c r="B630" s="8">
        <v>3</v>
      </c>
      <c r="C630" s="8">
        <v>203.36273199999999</v>
      </c>
      <c r="D630" s="8">
        <v>30312.318359000001</v>
      </c>
      <c r="E630" s="8">
        <v>30327.927734000001</v>
      </c>
      <c r="F630" s="8">
        <f t="shared" si="18"/>
        <v>15.609375</v>
      </c>
      <c r="G630" s="8">
        <f t="shared" si="19"/>
        <v>1.5609375E-2</v>
      </c>
    </row>
    <row r="631" spans="1:7" x14ac:dyDescent="0.25">
      <c r="A631" s="8">
        <v>8</v>
      </c>
      <c r="B631" s="8">
        <v>4</v>
      </c>
      <c r="C631" s="8">
        <v>124.658783</v>
      </c>
      <c r="D631" s="8">
        <v>30546.734375</v>
      </c>
      <c r="E631" s="8">
        <v>30555.830077999999</v>
      </c>
      <c r="F631" s="8">
        <f t="shared" si="18"/>
        <v>9.0957029999990482</v>
      </c>
      <c r="G631" s="8">
        <f t="shared" si="19"/>
        <v>9.0957029999990478E-3</v>
      </c>
    </row>
    <row r="632" spans="1:7" x14ac:dyDescent="0.25">
      <c r="A632" s="8">
        <v>8</v>
      </c>
      <c r="B632" s="8">
        <v>5</v>
      </c>
      <c r="C632" s="8">
        <v>2788.7062989999999</v>
      </c>
      <c r="D632" s="8">
        <v>30688.921875</v>
      </c>
      <c r="E632" s="8">
        <v>30700.648438</v>
      </c>
      <c r="F632" s="8">
        <f t="shared" si="18"/>
        <v>11.726563000000169</v>
      </c>
      <c r="G632" s="8">
        <f t="shared" si="19"/>
        <v>1.1726563000000169E-2</v>
      </c>
    </row>
    <row r="633" spans="1:7" x14ac:dyDescent="0.25">
      <c r="A633" s="8">
        <v>8</v>
      </c>
      <c r="B633" s="8">
        <v>6</v>
      </c>
      <c r="C633" s="8">
        <v>419.50414999999998</v>
      </c>
      <c r="D633" s="8">
        <v>33493.792969000002</v>
      </c>
      <c r="E633" s="8">
        <v>33507.378905999998</v>
      </c>
      <c r="F633" s="8">
        <f t="shared" si="18"/>
        <v>13.585936999996193</v>
      </c>
      <c r="G633" s="8">
        <f t="shared" si="19"/>
        <v>1.3585936999996193E-2</v>
      </c>
    </row>
    <row r="634" spans="1:7" x14ac:dyDescent="0.25">
      <c r="A634" s="8">
        <v>8</v>
      </c>
      <c r="B634" s="8">
        <v>7</v>
      </c>
      <c r="C634" s="8">
        <v>125.698418</v>
      </c>
      <c r="D634" s="8">
        <v>33931.308594000002</v>
      </c>
      <c r="E634" s="8">
        <v>33957.882812999997</v>
      </c>
      <c r="F634" s="8">
        <f t="shared" si="18"/>
        <v>26.574218999994628</v>
      </c>
      <c r="G634" s="8">
        <f t="shared" si="19"/>
        <v>2.6574218999994629E-2</v>
      </c>
    </row>
    <row r="635" spans="1:7" x14ac:dyDescent="0.25">
      <c r="A635" s="8">
        <v>8</v>
      </c>
      <c r="B635" s="8">
        <v>8</v>
      </c>
      <c r="C635" s="8">
        <v>543.65386999999998</v>
      </c>
      <c r="D635" s="8">
        <v>34087.589844000002</v>
      </c>
      <c r="E635" s="8">
        <v>34099.355469000002</v>
      </c>
      <c r="F635" s="8">
        <f t="shared" si="18"/>
        <v>11.765625</v>
      </c>
      <c r="G635" s="8">
        <f t="shared" si="19"/>
        <v>1.1765625E-2</v>
      </c>
    </row>
    <row r="636" spans="1:7" x14ac:dyDescent="0.25">
      <c r="A636" s="8">
        <v>8</v>
      </c>
      <c r="B636" s="8">
        <v>9</v>
      </c>
      <c r="C636" s="8">
        <v>3253.1657709999999</v>
      </c>
      <c r="D636" s="8">
        <v>34654.953125</v>
      </c>
      <c r="E636" s="8">
        <v>34672.011719000002</v>
      </c>
      <c r="F636" s="8">
        <f t="shared" si="18"/>
        <v>17.058594000001904</v>
      </c>
      <c r="G636" s="8">
        <f t="shared" si="19"/>
        <v>1.7058594000001905E-2</v>
      </c>
    </row>
    <row r="637" spans="1:7" x14ac:dyDescent="0.25">
      <c r="A637" s="8">
        <v>8</v>
      </c>
      <c r="B637" s="8">
        <v>10</v>
      </c>
      <c r="C637" s="8">
        <v>4564.5083009999998</v>
      </c>
      <c r="D637" s="8">
        <v>37933.132812999997</v>
      </c>
      <c r="E637" s="8">
        <v>37944.484375</v>
      </c>
      <c r="F637" s="8">
        <f t="shared" si="18"/>
        <v>11.351562000003469</v>
      </c>
      <c r="G637" s="8">
        <f t="shared" si="19"/>
        <v>1.1351562000003469E-2</v>
      </c>
    </row>
    <row r="638" spans="1:7" x14ac:dyDescent="0.25">
      <c r="A638" s="8">
        <v>8</v>
      </c>
      <c r="B638" s="8">
        <v>11</v>
      </c>
      <c r="C638" s="8">
        <v>1388.431885</v>
      </c>
      <c r="D638" s="8">
        <v>42517.097655999998</v>
      </c>
      <c r="E638" s="8">
        <v>42538.082030999998</v>
      </c>
      <c r="F638" s="8">
        <f t="shared" si="18"/>
        <v>20.984375</v>
      </c>
      <c r="G638" s="8">
        <f t="shared" si="19"/>
        <v>2.0984375E-2</v>
      </c>
    </row>
    <row r="639" spans="1:7" x14ac:dyDescent="0.25">
      <c r="A639" s="8">
        <v>8</v>
      </c>
      <c r="B639" s="8">
        <v>12</v>
      </c>
      <c r="C639" s="8">
        <v>2846.8911130000001</v>
      </c>
      <c r="D639" s="8">
        <v>43928.054687999997</v>
      </c>
      <c r="E639" s="8">
        <v>43942.738280999998</v>
      </c>
      <c r="F639" s="8">
        <f t="shared" si="18"/>
        <v>14.683593000001565</v>
      </c>
      <c r="G639" s="8">
        <f t="shared" si="19"/>
        <v>1.4683593000001565E-2</v>
      </c>
    </row>
    <row r="640" spans="1:7" x14ac:dyDescent="0.25">
      <c r="A640" s="8">
        <v>8</v>
      </c>
      <c r="B640" s="8">
        <v>13</v>
      </c>
      <c r="C640" s="8">
        <v>230.917419</v>
      </c>
      <c r="D640" s="8">
        <v>46797.796875</v>
      </c>
      <c r="E640" s="8">
        <v>46809.171875</v>
      </c>
      <c r="F640" s="8">
        <f t="shared" si="18"/>
        <v>11.375</v>
      </c>
      <c r="G640" s="8">
        <f t="shared" si="19"/>
        <v>1.1375E-2</v>
      </c>
    </row>
    <row r="641" spans="1:7" x14ac:dyDescent="0.25">
      <c r="A641" s="8">
        <v>8</v>
      </c>
      <c r="B641" s="8">
        <v>14</v>
      </c>
      <c r="C641" s="8">
        <v>466.03817700000002</v>
      </c>
      <c r="D641" s="8">
        <v>47047.84375</v>
      </c>
      <c r="E641" s="8">
        <v>47065.09375</v>
      </c>
      <c r="F641" s="8">
        <f t="shared" si="18"/>
        <v>17.25</v>
      </c>
      <c r="G641" s="8">
        <f t="shared" si="19"/>
        <v>1.7250000000000001E-2</v>
      </c>
    </row>
    <row r="642" spans="1:7" x14ac:dyDescent="0.25">
      <c r="A642" s="8">
        <v>8</v>
      </c>
      <c r="B642" s="8">
        <v>15</v>
      </c>
      <c r="C642" s="8">
        <v>981.78723100000002</v>
      </c>
      <c r="D642" s="8">
        <v>47532.171875</v>
      </c>
      <c r="E642" s="8">
        <v>47554.335937999997</v>
      </c>
      <c r="F642" s="8">
        <f t="shared" si="18"/>
        <v>22.164062999996531</v>
      </c>
      <c r="G642" s="8">
        <f t="shared" si="19"/>
        <v>2.2164062999996532E-2</v>
      </c>
    </row>
    <row r="643" spans="1:7" x14ac:dyDescent="0.25">
      <c r="A643" s="8">
        <v>8</v>
      </c>
      <c r="B643" s="8">
        <v>16</v>
      </c>
      <c r="C643" s="8">
        <v>327.83670000000001</v>
      </c>
      <c r="D643" s="8">
        <v>48548.507812999997</v>
      </c>
      <c r="E643" s="8">
        <v>48559.617187999997</v>
      </c>
      <c r="F643" s="8">
        <f t="shared" si="18"/>
        <v>11.109375</v>
      </c>
      <c r="G643" s="8">
        <f t="shared" si="19"/>
        <v>1.1109374999999999E-2</v>
      </c>
    </row>
    <row r="644" spans="1:7" x14ac:dyDescent="0.25">
      <c r="A644" s="8">
        <v>8</v>
      </c>
      <c r="B644" s="8">
        <v>17</v>
      </c>
      <c r="C644" s="8">
        <v>581.25268600000004</v>
      </c>
      <c r="D644" s="8">
        <v>48886.964844000002</v>
      </c>
      <c r="E644" s="8">
        <v>48907.679687999997</v>
      </c>
      <c r="F644" s="8">
        <f t="shared" si="18"/>
        <v>20.714843999994628</v>
      </c>
      <c r="G644" s="8">
        <f t="shared" si="19"/>
        <v>2.0714843999994629E-2</v>
      </c>
    </row>
    <row r="645" spans="1:7" x14ac:dyDescent="0.25">
      <c r="A645" s="8">
        <v>8</v>
      </c>
      <c r="B645" s="8">
        <v>18</v>
      </c>
      <c r="C645" s="8">
        <v>933.31658900000002</v>
      </c>
      <c r="D645" s="8">
        <v>49498.652344000002</v>
      </c>
      <c r="E645" s="8">
        <v>49529.605469000002</v>
      </c>
      <c r="F645" s="8">
        <f t="shared" si="18"/>
        <v>30.953125</v>
      </c>
      <c r="G645" s="8">
        <f t="shared" si="19"/>
        <v>3.0953125000000001E-2</v>
      </c>
    </row>
    <row r="646" spans="1:7" x14ac:dyDescent="0.25">
      <c r="A646" s="8">
        <v>8</v>
      </c>
      <c r="B646" s="8">
        <v>19</v>
      </c>
      <c r="C646" s="8">
        <v>1200.1011960000001</v>
      </c>
      <c r="D646" s="8">
        <v>50471.597655999998</v>
      </c>
      <c r="E646" s="8">
        <v>50491.210937999997</v>
      </c>
      <c r="F646" s="8">
        <f t="shared" si="18"/>
        <v>19.613281999998435</v>
      </c>
      <c r="G646" s="8">
        <f t="shared" si="19"/>
        <v>1.9613281999998435E-2</v>
      </c>
    </row>
    <row r="647" spans="1:7" x14ac:dyDescent="0.25">
      <c r="A647" s="8">
        <v>8</v>
      </c>
      <c r="B647" s="8">
        <v>20</v>
      </c>
      <c r="C647" s="8">
        <v>604.73419200000001</v>
      </c>
      <c r="D647" s="8">
        <v>51701.167969000002</v>
      </c>
      <c r="E647" s="8">
        <v>51715.566405999998</v>
      </c>
      <c r="F647" s="8">
        <f t="shared" si="18"/>
        <v>14.398436999996193</v>
      </c>
      <c r="G647" s="8">
        <f t="shared" si="19"/>
        <v>1.4398436999996192E-2</v>
      </c>
    </row>
    <row r="648" spans="1:7" x14ac:dyDescent="0.25">
      <c r="A648" s="8">
        <v>8</v>
      </c>
      <c r="B648" s="8">
        <v>21</v>
      </c>
      <c r="C648" s="8">
        <v>211.962433</v>
      </c>
      <c r="D648" s="8">
        <v>52326.539062999997</v>
      </c>
      <c r="E648" s="8">
        <v>52343.816405999998</v>
      </c>
      <c r="F648" s="8">
        <f t="shared" si="18"/>
        <v>17.277343000001565</v>
      </c>
      <c r="G648" s="8">
        <f t="shared" si="19"/>
        <v>1.7277343000001565E-2</v>
      </c>
    </row>
    <row r="649" spans="1:7" x14ac:dyDescent="0.25">
      <c r="A649" s="8">
        <v>8</v>
      </c>
      <c r="B649" s="8">
        <v>22</v>
      </c>
      <c r="C649" s="8">
        <v>137.95519999999999</v>
      </c>
      <c r="D649" s="8">
        <v>52560.945312999997</v>
      </c>
      <c r="E649" s="8">
        <v>52575.695312999997</v>
      </c>
      <c r="F649" s="8">
        <f t="shared" si="18"/>
        <v>14.75</v>
      </c>
      <c r="G649" s="8">
        <f t="shared" si="19"/>
        <v>1.4749999999999999E-2</v>
      </c>
    </row>
    <row r="650" spans="1:7" x14ac:dyDescent="0.25">
      <c r="A650" s="8">
        <v>8</v>
      </c>
      <c r="B650" s="8">
        <v>23</v>
      </c>
      <c r="C650" s="8">
        <v>827.53991699999995</v>
      </c>
      <c r="D650" s="8">
        <v>52717.15625</v>
      </c>
      <c r="E650" s="8">
        <v>52728.582030999998</v>
      </c>
      <c r="F650" s="8">
        <f t="shared" si="18"/>
        <v>11.425780999998096</v>
      </c>
      <c r="G650" s="8">
        <f t="shared" si="19"/>
        <v>1.1425780999998096E-2</v>
      </c>
    </row>
    <row r="651" spans="1:7" x14ac:dyDescent="0.25">
      <c r="A651" s="8">
        <v>8</v>
      </c>
      <c r="B651" s="8">
        <v>24</v>
      </c>
      <c r="C651" s="8">
        <v>2012.5336910000001</v>
      </c>
      <c r="D651" s="8">
        <v>53561.863280999998</v>
      </c>
      <c r="E651" s="8">
        <v>53587.773437999997</v>
      </c>
      <c r="F651" s="8">
        <f t="shared" ref="F651:F714" si="20">E651-D651</f>
        <v>25.910156999998435</v>
      </c>
      <c r="G651" s="8">
        <f t="shared" ref="G651:G714" si="21">F651/1000</f>
        <v>2.5910156999998435E-2</v>
      </c>
    </row>
    <row r="652" spans="1:7" x14ac:dyDescent="0.25">
      <c r="A652" s="8">
        <v>8</v>
      </c>
      <c r="B652" s="8">
        <v>25</v>
      </c>
      <c r="C652" s="8">
        <v>83.127251000000001</v>
      </c>
      <c r="D652" s="8">
        <v>55613.007812999997</v>
      </c>
      <c r="E652" s="8">
        <v>55621.765625</v>
      </c>
      <c r="F652" s="8">
        <f t="shared" si="20"/>
        <v>8.7578120000034687</v>
      </c>
      <c r="G652" s="8">
        <f t="shared" si="21"/>
        <v>8.7578120000034679E-3</v>
      </c>
    </row>
    <row r="653" spans="1:7" x14ac:dyDescent="0.25">
      <c r="A653" s="8">
        <v>8</v>
      </c>
      <c r="B653" s="8">
        <v>26</v>
      </c>
      <c r="C653" s="8">
        <v>1618.4453129999999</v>
      </c>
      <c r="D653" s="8">
        <v>55706.796875</v>
      </c>
      <c r="E653" s="8">
        <v>55720.707030999998</v>
      </c>
      <c r="F653" s="8">
        <f t="shared" si="20"/>
        <v>13.910155999998096</v>
      </c>
      <c r="G653" s="8">
        <f t="shared" si="21"/>
        <v>1.3910155999998097E-2</v>
      </c>
    </row>
    <row r="654" spans="1:7" x14ac:dyDescent="0.25">
      <c r="A654" s="8">
        <v>8</v>
      </c>
      <c r="B654" s="8">
        <v>27</v>
      </c>
      <c r="C654" s="8">
        <v>1300.9208980000001</v>
      </c>
      <c r="D654" s="8">
        <v>57348.21875</v>
      </c>
      <c r="E654" s="8">
        <v>57374.851562999997</v>
      </c>
      <c r="F654" s="8">
        <f t="shared" si="20"/>
        <v>26.632812999996531</v>
      </c>
      <c r="G654" s="8">
        <f t="shared" si="21"/>
        <v>2.6632812999996532E-2</v>
      </c>
    </row>
    <row r="655" spans="1:7" x14ac:dyDescent="0.25">
      <c r="A655" s="8">
        <v>8</v>
      </c>
      <c r="B655" s="8">
        <v>28</v>
      </c>
      <c r="C655" s="8">
        <v>3400.6652829999998</v>
      </c>
      <c r="D655" s="8">
        <v>58684.769530999998</v>
      </c>
      <c r="E655" s="8">
        <v>58696.953125</v>
      </c>
      <c r="F655" s="8">
        <f t="shared" si="20"/>
        <v>12.183594000001904</v>
      </c>
      <c r="G655" s="8">
        <f t="shared" si="21"/>
        <v>1.2183594000001904E-2</v>
      </c>
    </row>
    <row r="656" spans="1:7" x14ac:dyDescent="0.25">
      <c r="A656" s="8">
        <v>8</v>
      </c>
      <c r="B656" s="8">
        <v>29</v>
      </c>
      <c r="C656" s="8">
        <v>1204.778198</v>
      </c>
      <c r="D656" s="8">
        <v>62107.019530999998</v>
      </c>
      <c r="E656" s="8">
        <v>62131.140625</v>
      </c>
      <c r="F656" s="8">
        <f t="shared" si="20"/>
        <v>24.121094000001904</v>
      </c>
      <c r="G656" s="8">
        <f t="shared" si="21"/>
        <v>2.4121094000001904E-2</v>
      </c>
    </row>
    <row r="657" spans="1:7" x14ac:dyDescent="0.25">
      <c r="A657" s="8">
        <v>8</v>
      </c>
      <c r="B657" s="8">
        <v>30</v>
      </c>
      <c r="C657" s="8">
        <v>316.50732399999998</v>
      </c>
      <c r="D657" s="8">
        <v>63344.609375</v>
      </c>
      <c r="E657" s="8">
        <v>63352.78125</v>
      </c>
      <c r="F657" s="8">
        <f t="shared" si="20"/>
        <v>8.171875</v>
      </c>
      <c r="G657" s="8">
        <f t="shared" si="21"/>
        <v>8.1718750000000003E-3</v>
      </c>
    </row>
    <row r="658" spans="1:7" x14ac:dyDescent="0.25">
      <c r="A658" s="8">
        <v>8</v>
      </c>
      <c r="B658" s="8">
        <v>31</v>
      </c>
      <c r="C658" s="8">
        <v>201.134094</v>
      </c>
      <c r="D658" s="8">
        <v>63680.53125</v>
      </c>
      <c r="E658" s="8">
        <v>63690.152344000002</v>
      </c>
      <c r="F658" s="8">
        <f t="shared" si="20"/>
        <v>9.6210940000019036</v>
      </c>
      <c r="G658" s="8">
        <f t="shared" si="21"/>
        <v>9.6210940000019032E-3</v>
      </c>
    </row>
    <row r="659" spans="1:7" x14ac:dyDescent="0.25">
      <c r="A659" s="8">
        <v>8</v>
      </c>
      <c r="B659" s="8">
        <v>32</v>
      </c>
      <c r="C659" s="8">
        <v>370.35217299999999</v>
      </c>
      <c r="D659" s="8">
        <v>63901.890625</v>
      </c>
      <c r="E659" s="8">
        <v>63919.222655999998</v>
      </c>
      <c r="F659" s="8">
        <f t="shared" si="20"/>
        <v>17.332030999998096</v>
      </c>
      <c r="G659" s="8">
        <f t="shared" si="21"/>
        <v>1.7332030999998096E-2</v>
      </c>
    </row>
    <row r="660" spans="1:7" x14ac:dyDescent="0.25">
      <c r="A660" s="8">
        <v>8</v>
      </c>
      <c r="B660" s="8">
        <v>33</v>
      </c>
      <c r="C660" s="8">
        <v>2057.6159670000002</v>
      </c>
      <c r="D660" s="8">
        <v>64293.40625</v>
      </c>
      <c r="E660" s="8">
        <v>64304.46875</v>
      </c>
      <c r="F660" s="8">
        <f t="shared" si="20"/>
        <v>11.0625</v>
      </c>
      <c r="G660" s="8">
        <f t="shared" si="21"/>
        <v>1.1062499999999999E-2</v>
      </c>
    </row>
    <row r="661" spans="1:7" x14ac:dyDescent="0.25">
      <c r="A661" s="8">
        <v>8</v>
      </c>
      <c r="B661" s="8">
        <v>34</v>
      </c>
      <c r="C661" s="8">
        <v>625.65502900000001</v>
      </c>
      <c r="D661" s="8">
        <v>66371.726563000004</v>
      </c>
      <c r="E661" s="8">
        <v>66392.34375</v>
      </c>
      <c r="F661" s="8">
        <f t="shared" si="20"/>
        <v>20.617186999996193</v>
      </c>
      <c r="G661" s="8">
        <f t="shared" si="21"/>
        <v>2.0617186999996193E-2</v>
      </c>
    </row>
    <row r="662" spans="1:7" x14ac:dyDescent="0.25">
      <c r="A662" s="8">
        <v>8</v>
      </c>
      <c r="B662" s="8">
        <v>35</v>
      </c>
      <c r="C662" s="8">
        <v>918.28668200000004</v>
      </c>
      <c r="D662" s="8">
        <v>67028.789063000004</v>
      </c>
      <c r="E662" s="8">
        <v>67049.859375</v>
      </c>
      <c r="F662" s="8">
        <f t="shared" si="20"/>
        <v>21.070311999996193</v>
      </c>
      <c r="G662" s="8">
        <f t="shared" si="21"/>
        <v>2.1070311999996191E-2</v>
      </c>
    </row>
    <row r="663" spans="1:7" x14ac:dyDescent="0.25">
      <c r="A663" s="8">
        <v>8</v>
      </c>
      <c r="B663" s="8">
        <v>36</v>
      </c>
      <c r="C663" s="8">
        <v>666.37548800000002</v>
      </c>
      <c r="D663" s="8">
        <v>67982.609375</v>
      </c>
      <c r="E663" s="8">
        <v>67993.835938000004</v>
      </c>
      <c r="F663" s="8">
        <f t="shared" si="20"/>
        <v>11.226563000003807</v>
      </c>
      <c r="G663" s="8">
        <f t="shared" si="21"/>
        <v>1.1226563000003808E-2</v>
      </c>
    </row>
    <row r="664" spans="1:7" x14ac:dyDescent="0.25">
      <c r="A664" s="8">
        <v>8</v>
      </c>
      <c r="B664" s="8">
        <v>37</v>
      </c>
      <c r="C664" s="8">
        <v>6228.8315430000002</v>
      </c>
      <c r="D664" s="8">
        <v>68670.351563000004</v>
      </c>
      <c r="E664" s="8">
        <v>68687.632813000004</v>
      </c>
      <c r="F664" s="8">
        <f t="shared" si="20"/>
        <v>17.28125</v>
      </c>
      <c r="G664" s="8">
        <f t="shared" si="21"/>
        <v>1.7281250000000001E-2</v>
      </c>
    </row>
    <row r="665" spans="1:7" x14ac:dyDescent="0.25">
      <c r="A665" s="8">
        <v>8</v>
      </c>
      <c r="B665" s="8">
        <v>38</v>
      </c>
      <c r="C665" s="8">
        <v>16.609784999999999</v>
      </c>
      <c r="D665" s="8">
        <v>74930.140625</v>
      </c>
      <c r="E665" s="8">
        <v>74954.679688000004</v>
      </c>
      <c r="F665" s="8">
        <f t="shared" si="20"/>
        <v>24.539063000003807</v>
      </c>
      <c r="G665" s="8">
        <f t="shared" si="21"/>
        <v>2.4539063000003806E-2</v>
      </c>
    </row>
    <row r="666" spans="1:7" x14ac:dyDescent="0.25">
      <c r="A666" s="8">
        <v>8</v>
      </c>
      <c r="B666" s="8">
        <v>39</v>
      </c>
      <c r="C666" s="8">
        <v>381.69610599999999</v>
      </c>
      <c r="D666" s="8">
        <v>74976.859375</v>
      </c>
      <c r="E666" s="8">
        <v>74991.234375</v>
      </c>
      <c r="F666" s="8">
        <f t="shared" si="20"/>
        <v>14.375</v>
      </c>
      <c r="G666" s="8">
        <f t="shared" si="21"/>
        <v>1.4375000000000001E-2</v>
      </c>
    </row>
    <row r="667" spans="1:7" x14ac:dyDescent="0.25">
      <c r="A667" s="8">
        <v>8</v>
      </c>
      <c r="B667" s="8">
        <v>40</v>
      </c>
      <c r="C667" s="8">
        <v>1890.449707</v>
      </c>
      <c r="D667" s="8">
        <v>75377.6875</v>
      </c>
      <c r="E667" s="8">
        <v>75481.195313000004</v>
      </c>
      <c r="F667" s="8">
        <f t="shared" si="20"/>
        <v>103.50781300000381</v>
      </c>
      <c r="G667" s="8">
        <f t="shared" si="21"/>
        <v>0.10350781300000381</v>
      </c>
    </row>
    <row r="668" spans="1:7" x14ac:dyDescent="0.25">
      <c r="A668" s="8">
        <v>8</v>
      </c>
      <c r="B668" s="8">
        <v>41</v>
      </c>
      <c r="C668" s="8">
        <v>662.12133800000004</v>
      </c>
      <c r="D668" s="8">
        <v>77382.101563000004</v>
      </c>
      <c r="E668" s="8">
        <v>77401.734375</v>
      </c>
      <c r="F668" s="8">
        <f t="shared" si="20"/>
        <v>19.632811999996193</v>
      </c>
      <c r="G668" s="8">
        <f t="shared" si="21"/>
        <v>1.9632811999996194E-2</v>
      </c>
    </row>
    <row r="669" spans="1:7" x14ac:dyDescent="0.25">
      <c r="A669" s="8">
        <v>8</v>
      </c>
      <c r="B669" s="8">
        <v>42</v>
      </c>
      <c r="C669" s="8">
        <v>1244.978638</v>
      </c>
      <c r="D669" s="8">
        <v>78072.679688000004</v>
      </c>
      <c r="E669" s="8">
        <v>78083.773438000004</v>
      </c>
      <c r="F669" s="8">
        <f t="shared" si="20"/>
        <v>11.09375</v>
      </c>
      <c r="G669" s="8">
        <f t="shared" si="21"/>
        <v>1.1093749999999999E-2</v>
      </c>
    </row>
    <row r="670" spans="1:7" x14ac:dyDescent="0.25">
      <c r="A670" s="8">
        <v>8</v>
      </c>
      <c r="B670" s="8">
        <v>43</v>
      </c>
      <c r="C670" s="8">
        <v>1058.737183</v>
      </c>
      <c r="D670" s="8">
        <v>79332.195313000004</v>
      </c>
      <c r="E670" s="8">
        <v>79354.859375</v>
      </c>
      <c r="F670" s="8">
        <f t="shared" si="20"/>
        <v>22.664061999996193</v>
      </c>
      <c r="G670" s="8">
        <f t="shared" si="21"/>
        <v>2.2664061999996193E-2</v>
      </c>
    </row>
    <row r="671" spans="1:7" x14ac:dyDescent="0.25">
      <c r="A671" s="8">
        <v>8</v>
      </c>
      <c r="B671" s="8">
        <v>44</v>
      </c>
      <c r="C671" s="8">
        <v>952.38720699999999</v>
      </c>
      <c r="D671" s="8">
        <v>80426.851563000004</v>
      </c>
      <c r="E671" s="8">
        <v>80441.210938000004</v>
      </c>
      <c r="F671" s="8">
        <f t="shared" si="20"/>
        <v>14.359375</v>
      </c>
      <c r="G671" s="8">
        <f t="shared" si="21"/>
        <v>1.4359375000000001E-2</v>
      </c>
    </row>
    <row r="672" spans="1:7" x14ac:dyDescent="0.25">
      <c r="A672" s="8">
        <v>8</v>
      </c>
      <c r="B672" s="8">
        <v>45</v>
      </c>
      <c r="C672" s="8">
        <v>2280.669922</v>
      </c>
      <c r="D672" s="8">
        <v>81395.726563000004</v>
      </c>
      <c r="E672" s="8">
        <v>81409.320313000004</v>
      </c>
      <c r="F672" s="8">
        <f t="shared" si="20"/>
        <v>13.59375</v>
      </c>
      <c r="G672" s="8">
        <f t="shared" si="21"/>
        <v>1.359375E-2</v>
      </c>
    </row>
    <row r="673" spans="1:7" x14ac:dyDescent="0.25">
      <c r="A673" s="8">
        <v>8</v>
      </c>
      <c r="B673" s="8">
        <v>46</v>
      </c>
      <c r="C673" s="8">
        <v>2770.3315429999998</v>
      </c>
      <c r="D673" s="8">
        <v>83702.9375</v>
      </c>
      <c r="E673" s="8">
        <v>83720.414063000004</v>
      </c>
      <c r="F673" s="8">
        <f t="shared" si="20"/>
        <v>17.476563000003807</v>
      </c>
      <c r="G673" s="8">
        <f t="shared" si="21"/>
        <v>1.7476563000003806E-2</v>
      </c>
    </row>
    <row r="674" spans="1:7" x14ac:dyDescent="0.25">
      <c r="A674" s="8">
        <v>8</v>
      </c>
      <c r="B674" s="8">
        <v>47</v>
      </c>
      <c r="C674" s="8">
        <v>878.21350099999995</v>
      </c>
      <c r="D674" s="8">
        <v>86502.726563000004</v>
      </c>
      <c r="E674" s="8">
        <v>86522.796875</v>
      </c>
      <c r="F674" s="8">
        <f t="shared" si="20"/>
        <v>20.070311999996193</v>
      </c>
      <c r="G674" s="8">
        <f t="shared" si="21"/>
        <v>2.0070311999996194E-2</v>
      </c>
    </row>
    <row r="675" spans="1:7" x14ac:dyDescent="0.25">
      <c r="A675" s="8">
        <v>8</v>
      </c>
      <c r="B675" s="8">
        <v>48</v>
      </c>
      <c r="C675" s="8">
        <v>994.89343299999996</v>
      </c>
      <c r="D675" s="8">
        <v>87411.476563000004</v>
      </c>
      <c r="E675" s="8">
        <v>87420.4375</v>
      </c>
      <c r="F675" s="8">
        <f t="shared" si="20"/>
        <v>8.9609369999961928</v>
      </c>
      <c r="G675" s="8">
        <f t="shared" si="21"/>
        <v>8.9609369999961927E-3</v>
      </c>
    </row>
    <row r="676" spans="1:7" x14ac:dyDescent="0.25">
      <c r="A676" s="8">
        <v>8</v>
      </c>
      <c r="B676" s="8">
        <v>49</v>
      </c>
      <c r="C676" s="8">
        <v>816.85968000000003</v>
      </c>
      <c r="D676" s="8">
        <v>88427.921875</v>
      </c>
      <c r="E676" s="8">
        <v>88446.828125</v>
      </c>
      <c r="F676" s="8">
        <f t="shared" si="20"/>
        <v>18.90625</v>
      </c>
      <c r="G676" s="8">
        <f t="shared" si="21"/>
        <v>1.8906249999999999E-2</v>
      </c>
    </row>
    <row r="677" spans="1:7" x14ac:dyDescent="0.25">
      <c r="A677" s="8">
        <v>8</v>
      </c>
      <c r="B677" s="8">
        <v>50</v>
      </c>
      <c r="C677" s="8">
        <v>9.6671189999999996</v>
      </c>
      <c r="D677" s="8">
        <v>89271.625</v>
      </c>
      <c r="E677" s="8">
        <v>89295.304688000004</v>
      </c>
      <c r="F677" s="8">
        <f t="shared" si="20"/>
        <v>23.679688000003807</v>
      </c>
      <c r="G677" s="8">
        <f t="shared" si="21"/>
        <v>2.3679688000003807E-2</v>
      </c>
    </row>
    <row r="678" spans="1:7" x14ac:dyDescent="0.25">
      <c r="A678" s="8">
        <v>8</v>
      </c>
      <c r="B678" s="8">
        <v>51</v>
      </c>
      <c r="C678" s="8">
        <v>42.690024999999999</v>
      </c>
      <c r="D678" s="8">
        <v>89318.671875</v>
      </c>
      <c r="E678" s="8">
        <v>89333.648438000004</v>
      </c>
      <c r="F678" s="8">
        <f t="shared" si="20"/>
        <v>14.976563000003807</v>
      </c>
      <c r="G678" s="8">
        <f t="shared" si="21"/>
        <v>1.4976563000003808E-2</v>
      </c>
    </row>
    <row r="679" spans="1:7" x14ac:dyDescent="0.25">
      <c r="A679" s="8">
        <v>8</v>
      </c>
      <c r="B679" s="8">
        <v>52</v>
      </c>
      <c r="C679" s="8">
        <v>3494.7561040000001</v>
      </c>
      <c r="D679" s="8">
        <v>89381.078125</v>
      </c>
      <c r="E679" s="8">
        <v>89404.078125</v>
      </c>
      <c r="F679" s="8">
        <f t="shared" si="20"/>
        <v>23</v>
      </c>
      <c r="G679" s="8">
        <f t="shared" si="21"/>
        <v>2.3E-2</v>
      </c>
    </row>
    <row r="680" spans="1:7" x14ac:dyDescent="0.25">
      <c r="A680" s="8">
        <v>8</v>
      </c>
      <c r="B680" s="8">
        <v>53</v>
      </c>
      <c r="C680" s="8">
        <v>1671.796509</v>
      </c>
      <c r="D680" s="8">
        <v>92904.046875</v>
      </c>
      <c r="E680" s="8">
        <v>92915.882813000004</v>
      </c>
      <c r="F680" s="8">
        <f t="shared" si="20"/>
        <v>11.835938000003807</v>
      </c>
      <c r="G680" s="8">
        <f t="shared" si="21"/>
        <v>1.1835938000003807E-2</v>
      </c>
    </row>
    <row r="681" spans="1:7" x14ac:dyDescent="0.25">
      <c r="A681" s="8">
        <v>8</v>
      </c>
      <c r="B681" s="8">
        <v>54</v>
      </c>
      <c r="C681" s="8">
        <v>534.14428699999996</v>
      </c>
      <c r="D681" s="8">
        <v>94592.679688000004</v>
      </c>
      <c r="E681" s="8">
        <v>94603.835938000004</v>
      </c>
      <c r="F681" s="8">
        <f t="shared" si="20"/>
        <v>11.15625</v>
      </c>
      <c r="G681" s="8">
        <f t="shared" si="21"/>
        <v>1.115625E-2</v>
      </c>
    </row>
    <row r="682" spans="1:7" x14ac:dyDescent="0.25">
      <c r="A682" s="8">
        <v>8</v>
      </c>
      <c r="B682" s="8">
        <v>55</v>
      </c>
      <c r="C682" s="8">
        <v>12930.703125</v>
      </c>
      <c r="D682" s="8">
        <v>95149.5625</v>
      </c>
      <c r="E682" s="8">
        <v>95163.835938000004</v>
      </c>
      <c r="F682" s="8">
        <f t="shared" si="20"/>
        <v>14.273438000003807</v>
      </c>
      <c r="G682" s="8">
        <f t="shared" si="21"/>
        <v>1.4273438000003807E-2</v>
      </c>
    </row>
    <row r="683" spans="1:7" x14ac:dyDescent="0.25">
      <c r="A683" s="8">
        <v>8</v>
      </c>
      <c r="B683" s="8">
        <v>56</v>
      </c>
      <c r="C683" s="8">
        <v>1779.696289</v>
      </c>
      <c r="D683" s="8">
        <v>108094.734375</v>
      </c>
      <c r="E683" s="8">
        <v>108108.007813</v>
      </c>
      <c r="F683" s="8">
        <f t="shared" si="20"/>
        <v>13.273438000003807</v>
      </c>
      <c r="G683" s="8">
        <f t="shared" si="21"/>
        <v>1.3273438000003808E-2</v>
      </c>
    </row>
    <row r="684" spans="1:7" x14ac:dyDescent="0.25">
      <c r="A684" s="8">
        <v>8</v>
      </c>
      <c r="B684" s="8">
        <v>57</v>
      </c>
      <c r="C684" s="8">
        <v>232.49366800000001</v>
      </c>
      <c r="D684" s="8">
        <v>109892.679688</v>
      </c>
      <c r="E684" s="8">
        <v>109946.492188</v>
      </c>
      <c r="F684" s="8">
        <f t="shared" si="20"/>
        <v>53.8125</v>
      </c>
      <c r="G684" s="8">
        <f t="shared" si="21"/>
        <v>5.3812499999999999E-2</v>
      </c>
    </row>
    <row r="685" spans="1:7" x14ac:dyDescent="0.25">
      <c r="A685" s="8">
        <v>8</v>
      </c>
      <c r="B685" s="8">
        <v>58</v>
      </c>
      <c r="C685" s="8">
        <v>841.90093999999999</v>
      </c>
      <c r="D685" s="8">
        <v>110189.585938</v>
      </c>
      <c r="E685" s="8">
        <v>110205.828125</v>
      </c>
      <c r="F685" s="8">
        <f t="shared" si="20"/>
        <v>16.242186999996193</v>
      </c>
      <c r="G685" s="8">
        <f t="shared" si="21"/>
        <v>1.6242186999996192E-2</v>
      </c>
    </row>
    <row r="686" spans="1:7" x14ac:dyDescent="0.25">
      <c r="A686" s="8">
        <v>8</v>
      </c>
      <c r="B686" s="8">
        <v>59</v>
      </c>
      <c r="C686" s="8">
        <v>2643.2524410000001</v>
      </c>
      <c r="D686" s="8">
        <v>111049.046875</v>
      </c>
      <c r="E686" s="8">
        <v>111066.28125</v>
      </c>
      <c r="F686" s="8">
        <f t="shared" si="20"/>
        <v>17.234375</v>
      </c>
      <c r="G686" s="8">
        <f t="shared" si="21"/>
        <v>1.7234375E-2</v>
      </c>
    </row>
    <row r="687" spans="1:7" x14ac:dyDescent="0.25">
      <c r="A687" s="8">
        <v>8</v>
      </c>
      <c r="B687" s="8">
        <v>60</v>
      </c>
      <c r="C687" s="8">
        <v>890.84686299999998</v>
      </c>
      <c r="D687" s="8">
        <v>113721.898438</v>
      </c>
      <c r="E687" s="8">
        <v>113739.648438</v>
      </c>
      <c r="F687" s="8">
        <f t="shared" si="20"/>
        <v>17.75</v>
      </c>
      <c r="G687" s="8">
        <f t="shared" si="21"/>
        <v>1.7749999999999998E-2</v>
      </c>
    </row>
    <row r="688" spans="1:7" x14ac:dyDescent="0.25">
      <c r="A688" s="8">
        <v>8</v>
      </c>
      <c r="B688" s="8">
        <v>61</v>
      </c>
      <c r="C688" s="8">
        <v>983.882385</v>
      </c>
      <c r="D688" s="8">
        <v>114643.882813</v>
      </c>
      <c r="E688" s="8">
        <v>114665.203125</v>
      </c>
      <c r="F688" s="8">
        <f t="shared" si="20"/>
        <v>21.320311999996193</v>
      </c>
      <c r="G688" s="8">
        <f t="shared" si="21"/>
        <v>2.1320311999996192E-2</v>
      </c>
    </row>
    <row r="689" spans="1:7" x14ac:dyDescent="0.25">
      <c r="A689" s="8">
        <v>8</v>
      </c>
      <c r="B689" s="8">
        <v>62</v>
      </c>
      <c r="C689" s="8">
        <v>441.53179899999998</v>
      </c>
      <c r="D689" s="8">
        <v>115661.195313</v>
      </c>
      <c r="E689" s="8">
        <v>115675.726563</v>
      </c>
      <c r="F689" s="8">
        <f t="shared" si="20"/>
        <v>14.53125</v>
      </c>
      <c r="G689" s="8">
        <f t="shared" si="21"/>
        <v>1.4531250000000001E-2</v>
      </c>
    </row>
    <row r="690" spans="1:7" x14ac:dyDescent="0.25">
      <c r="A690" s="8">
        <v>8</v>
      </c>
      <c r="B690" s="8">
        <v>63</v>
      </c>
      <c r="C690" s="8">
        <v>2545.6608890000002</v>
      </c>
      <c r="D690" s="8">
        <v>116130.039063</v>
      </c>
      <c r="E690" s="8">
        <v>116150.257813</v>
      </c>
      <c r="F690" s="8">
        <f t="shared" si="20"/>
        <v>20.21875</v>
      </c>
      <c r="G690" s="8">
        <f t="shared" si="21"/>
        <v>2.0218750000000001E-2</v>
      </c>
    </row>
    <row r="691" spans="1:7" x14ac:dyDescent="0.25">
      <c r="A691" s="8">
        <v>8</v>
      </c>
      <c r="B691" s="8">
        <v>64</v>
      </c>
      <c r="C691" s="8">
        <v>4236.4819340000004</v>
      </c>
      <c r="D691" s="8">
        <v>118697.523438</v>
      </c>
      <c r="E691" s="8">
        <v>118711.546875</v>
      </c>
      <c r="F691" s="8">
        <f t="shared" si="20"/>
        <v>14.023436999996193</v>
      </c>
      <c r="G691" s="8">
        <f t="shared" si="21"/>
        <v>1.4023436999996192E-2</v>
      </c>
    </row>
    <row r="692" spans="1:7" x14ac:dyDescent="0.25">
      <c r="A692" s="8">
        <v>8</v>
      </c>
      <c r="B692" s="8">
        <v>65</v>
      </c>
      <c r="C692" s="8">
        <v>10386.340819999999</v>
      </c>
      <c r="D692" s="8">
        <v>122956.898438</v>
      </c>
      <c r="E692" s="8">
        <v>122977.3125</v>
      </c>
      <c r="F692" s="8">
        <f t="shared" si="20"/>
        <v>20.414061999996193</v>
      </c>
      <c r="G692" s="8">
        <f t="shared" si="21"/>
        <v>2.0414061999996194E-2</v>
      </c>
    </row>
    <row r="693" spans="1:7" x14ac:dyDescent="0.25">
      <c r="A693" s="8">
        <v>8</v>
      </c>
      <c r="B693" s="8">
        <v>66</v>
      </c>
      <c r="C693" s="8">
        <v>119.727745</v>
      </c>
      <c r="D693" s="8">
        <v>133378.703125</v>
      </c>
      <c r="E693" s="8">
        <v>133389.640625</v>
      </c>
      <c r="F693" s="8">
        <f t="shared" si="20"/>
        <v>10.9375</v>
      </c>
      <c r="G693" s="8">
        <f t="shared" si="21"/>
        <v>1.0937499999999999E-2</v>
      </c>
    </row>
    <row r="694" spans="1:7" x14ac:dyDescent="0.25">
      <c r="A694" s="8">
        <v>8</v>
      </c>
      <c r="B694" s="8">
        <v>67</v>
      </c>
      <c r="C694" s="8">
        <v>1706.1651609999999</v>
      </c>
      <c r="D694" s="8">
        <v>133519.34375</v>
      </c>
      <c r="E694" s="8">
        <v>133528.609375</v>
      </c>
      <c r="F694" s="8">
        <f t="shared" si="20"/>
        <v>9.265625</v>
      </c>
      <c r="G694" s="8">
        <f t="shared" si="21"/>
        <v>9.2656249999999996E-3</v>
      </c>
    </row>
    <row r="695" spans="1:7" x14ac:dyDescent="0.25">
      <c r="A695" s="8">
        <v>8</v>
      </c>
      <c r="B695" s="8">
        <v>68</v>
      </c>
      <c r="C695" s="8">
        <v>1912.0852050000001</v>
      </c>
      <c r="D695" s="8">
        <v>135241.34375</v>
      </c>
      <c r="E695" s="8">
        <v>135254.609375</v>
      </c>
      <c r="F695" s="8">
        <f t="shared" si="20"/>
        <v>13.265625</v>
      </c>
      <c r="G695" s="8">
        <f t="shared" si="21"/>
        <v>1.3265625E-2</v>
      </c>
    </row>
    <row r="696" spans="1:7" x14ac:dyDescent="0.25">
      <c r="A696" s="8">
        <v>8</v>
      </c>
      <c r="B696" s="8">
        <v>69</v>
      </c>
      <c r="C696" s="8">
        <v>199.514938</v>
      </c>
      <c r="D696" s="8">
        <v>137171.765625</v>
      </c>
      <c r="E696" s="8">
        <v>137184.4375</v>
      </c>
      <c r="F696" s="8">
        <f t="shared" si="20"/>
        <v>12.671875</v>
      </c>
      <c r="G696" s="8">
        <f t="shared" si="21"/>
        <v>1.2671875000000001E-2</v>
      </c>
    </row>
    <row r="697" spans="1:7" x14ac:dyDescent="0.25">
      <c r="A697" s="8">
        <v>8</v>
      </c>
      <c r="B697" s="8">
        <v>70</v>
      </c>
      <c r="C697" s="8">
        <v>520.08288600000003</v>
      </c>
      <c r="D697" s="8">
        <v>137390.53125</v>
      </c>
      <c r="E697" s="8">
        <v>137402.125</v>
      </c>
      <c r="F697" s="8">
        <f t="shared" si="20"/>
        <v>11.59375</v>
      </c>
      <c r="G697" s="8">
        <f t="shared" si="21"/>
        <v>1.159375E-2</v>
      </c>
    </row>
    <row r="698" spans="1:7" x14ac:dyDescent="0.25">
      <c r="A698" s="8">
        <v>8</v>
      </c>
      <c r="B698" s="8">
        <v>71</v>
      </c>
      <c r="C698" s="8">
        <v>1212.9329829999999</v>
      </c>
      <c r="D698" s="8">
        <v>137937.46875</v>
      </c>
      <c r="E698" s="8">
        <v>137962.0625</v>
      </c>
      <c r="F698" s="8">
        <f t="shared" si="20"/>
        <v>24.59375</v>
      </c>
      <c r="G698" s="8">
        <f t="shared" si="21"/>
        <v>2.4593750000000001E-2</v>
      </c>
    </row>
    <row r="699" spans="1:7" x14ac:dyDescent="0.25">
      <c r="A699" s="8">
        <v>8</v>
      </c>
      <c r="B699" s="8">
        <v>72</v>
      </c>
      <c r="C699" s="8">
        <v>896.66790800000001</v>
      </c>
      <c r="D699" s="8">
        <v>139178.21875</v>
      </c>
      <c r="E699" s="8">
        <v>139196.296875</v>
      </c>
      <c r="F699" s="8">
        <f t="shared" si="20"/>
        <v>18.078125</v>
      </c>
      <c r="G699" s="8">
        <f t="shared" si="21"/>
        <v>1.8078125E-2</v>
      </c>
    </row>
    <row r="700" spans="1:7" x14ac:dyDescent="0.25">
      <c r="A700" s="8">
        <v>8</v>
      </c>
      <c r="B700" s="8">
        <v>73</v>
      </c>
      <c r="C700" s="8">
        <v>8898.2841800000006</v>
      </c>
      <c r="D700" s="8">
        <v>140100.328125</v>
      </c>
      <c r="E700" s="8">
        <v>140119.09375</v>
      </c>
      <c r="F700" s="8">
        <f t="shared" si="20"/>
        <v>18.765625</v>
      </c>
      <c r="G700" s="8">
        <f t="shared" si="21"/>
        <v>1.8765625000000001E-2</v>
      </c>
    </row>
    <row r="701" spans="1:7" x14ac:dyDescent="0.25">
      <c r="A701" s="8">
        <v>8</v>
      </c>
      <c r="B701" s="8">
        <v>74</v>
      </c>
      <c r="C701" s="8">
        <v>636.53375200000005</v>
      </c>
      <c r="D701" s="8">
        <v>149025.359375</v>
      </c>
      <c r="E701" s="8">
        <v>149032.171875</v>
      </c>
      <c r="F701" s="8">
        <f t="shared" si="20"/>
        <v>6.8125</v>
      </c>
      <c r="G701" s="8">
        <f t="shared" si="21"/>
        <v>6.8125E-3</v>
      </c>
    </row>
    <row r="702" spans="1:7" x14ac:dyDescent="0.25">
      <c r="A702" s="8">
        <v>8</v>
      </c>
      <c r="B702" s="8">
        <v>75</v>
      </c>
      <c r="C702" s="8">
        <v>3290.4562989999999</v>
      </c>
      <c r="D702" s="8">
        <v>149670.453125</v>
      </c>
      <c r="E702" s="8">
        <v>149691.34375</v>
      </c>
      <c r="F702" s="8">
        <f t="shared" si="20"/>
        <v>20.890625</v>
      </c>
      <c r="G702" s="8">
        <f t="shared" si="21"/>
        <v>2.0890624999999999E-2</v>
      </c>
    </row>
    <row r="703" spans="1:7" x14ac:dyDescent="0.25">
      <c r="A703" s="8">
        <v>8</v>
      </c>
      <c r="B703" s="8">
        <v>76</v>
      </c>
      <c r="C703" s="8">
        <v>4447.767578</v>
      </c>
      <c r="D703" s="8">
        <v>152984.515625</v>
      </c>
      <c r="E703" s="8">
        <v>153000.140625</v>
      </c>
      <c r="F703" s="8">
        <f t="shared" si="20"/>
        <v>15.625</v>
      </c>
      <c r="G703" s="8">
        <f t="shared" si="21"/>
        <v>1.5625E-2</v>
      </c>
    </row>
    <row r="704" spans="1:7" x14ac:dyDescent="0.25">
      <c r="A704" s="8">
        <v>8</v>
      </c>
      <c r="B704" s="8">
        <v>77</v>
      </c>
      <c r="C704" s="8">
        <v>1481.099487</v>
      </c>
      <c r="D704" s="8">
        <v>157453.78125</v>
      </c>
      <c r="E704" s="8">
        <v>157544.359375</v>
      </c>
      <c r="F704" s="8">
        <f t="shared" si="20"/>
        <v>90.578125</v>
      </c>
      <c r="G704" s="8">
        <f t="shared" si="21"/>
        <v>9.0578124999999995E-2</v>
      </c>
    </row>
    <row r="705" spans="1:7" x14ac:dyDescent="0.25">
      <c r="A705" s="8">
        <v>8</v>
      </c>
      <c r="B705" s="8">
        <v>78</v>
      </c>
      <c r="C705" s="8">
        <v>1951.2078859999999</v>
      </c>
      <c r="D705" s="8">
        <v>159033.046875</v>
      </c>
      <c r="E705" s="8">
        <v>159055.828125</v>
      </c>
      <c r="F705" s="8">
        <f t="shared" si="20"/>
        <v>22.78125</v>
      </c>
      <c r="G705" s="8">
        <f t="shared" si="21"/>
        <v>2.2781249999999999E-2</v>
      </c>
    </row>
    <row r="706" spans="1:7" x14ac:dyDescent="0.25">
      <c r="A706" s="8">
        <v>8</v>
      </c>
      <c r="B706" s="8">
        <v>79</v>
      </c>
      <c r="C706" s="8">
        <v>4393.7778319999998</v>
      </c>
      <c r="D706" s="8">
        <v>161017.65625</v>
      </c>
      <c r="E706" s="8">
        <v>161031.90625</v>
      </c>
      <c r="F706" s="8">
        <f t="shared" si="20"/>
        <v>14.25</v>
      </c>
      <c r="G706" s="8">
        <f t="shared" si="21"/>
        <v>1.4250000000000001E-2</v>
      </c>
    </row>
    <row r="707" spans="1:7" x14ac:dyDescent="0.25">
      <c r="A707" s="8">
        <v>8</v>
      </c>
      <c r="B707" s="8">
        <v>80</v>
      </c>
      <c r="C707" s="8">
        <v>583.21264599999995</v>
      </c>
      <c r="D707" s="8">
        <v>165436.59375</v>
      </c>
      <c r="E707" s="8">
        <v>165450.9375</v>
      </c>
      <c r="F707" s="8">
        <f t="shared" si="20"/>
        <v>14.34375</v>
      </c>
      <c r="G707" s="8">
        <f t="shared" si="21"/>
        <v>1.4343750000000001E-2</v>
      </c>
    </row>
    <row r="708" spans="1:7" x14ac:dyDescent="0.25">
      <c r="A708" s="8">
        <v>8</v>
      </c>
      <c r="B708" s="8">
        <v>81</v>
      </c>
      <c r="C708" s="8">
        <v>1844.4886469999999</v>
      </c>
      <c r="D708" s="8">
        <v>166046</v>
      </c>
      <c r="E708" s="8">
        <v>166068.203125</v>
      </c>
      <c r="F708" s="8">
        <f t="shared" si="20"/>
        <v>22.203125</v>
      </c>
      <c r="G708" s="8">
        <f t="shared" si="21"/>
        <v>2.2203125000000001E-2</v>
      </c>
    </row>
    <row r="709" spans="1:7" x14ac:dyDescent="0.25">
      <c r="A709" s="8">
        <v>8</v>
      </c>
      <c r="B709" s="8">
        <v>82</v>
      </c>
      <c r="C709" s="8">
        <v>5994.3349609999996</v>
      </c>
      <c r="D709" s="8">
        <v>167916.109375</v>
      </c>
      <c r="E709" s="8">
        <v>167931.34375</v>
      </c>
      <c r="F709" s="8">
        <f t="shared" si="20"/>
        <v>15.234375</v>
      </c>
      <c r="G709" s="8">
        <f t="shared" si="21"/>
        <v>1.5234375E-2</v>
      </c>
    </row>
    <row r="710" spans="1:7" x14ac:dyDescent="0.25">
      <c r="A710" s="8">
        <v>9</v>
      </c>
      <c r="B710" s="8">
        <v>0</v>
      </c>
      <c r="C710" s="8">
        <v>1158.3861079999999</v>
      </c>
      <c r="D710" s="8">
        <v>20422.365234000001</v>
      </c>
      <c r="E710" s="8">
        <v>20429.839843999998</v>
      </c>
      <c r="F710" s="8">
        <f t="shared" si="20"/>
        <v>7.4746099999974831</v>
      </c>
      <c r="G710" s="8">
        <f t="shared" si="21"/>
        <v>7.4746099999974834E-3</v>
      </c>
    </row>
    <row r="711" spans="1:7" x14ac:dyDescent="0.25">
      <c r="A711" s="8">
        <v>9</v>
      </c>
      <c r="B711" s="8">
        <v>1</v>
      </c>
      <c r="C711" s="8">
        <v>2397.8188479999999</v>
      </c>
      <c r="D711" s="8">
        <v>21594.376952999999</v>
      </c>
      <c r="E711" s="8">
        <v>21618.263672000001</v>
      </c>
      <c r="F711" s="8">
        <f t="shared" si="20"/>
        <v>23.886719000001904</v>
      </c>
      <c r="G711" s="8">
        <f t="shared" si="21"/>
        <v>2.3886719000001902E-2</v>
      </c>
    </row>
    <row r="712" spans="1:7" x14ac:dyDescent="0.25">
      <c r="A712" s="8">
        <v>9</v>
      </c>
      <c r="B712" s="8">
        <v>2</v>
      </c>
      <c r="C712" s="8">
        <v>213.38812300000001</v>
      </c>
      <c r="D712" s="8">
        <v>24021.5625</v>
      </c>
      <c r="E712" s="8">
        <v>24040.851563</v>
      </c>
      <c r="F712" s="8">
        <f t="shared" si="20"/>
        <v>19.289063000000169</v>
      </c>
      <c r="G712" s="8">
        <f t="shared" si="21"/>
        <v>1.9289063000000169E-2</v>
      </c>
    </row>
    <row r="713" spans="1:7" x14ac:dyDescent="0.25">
      <c r="A713" s="8">
        <v>9</v>
      </c>
      <c r="B713" s="8">
        <v>3</v>
      </c>
      <c r="C713" s="8">
        <v>121.802437</v>
      </c>
      <c r="D713" s="8">
        <v>24256.125</v>
      </c>
      <c r="E713" s="8">
        <v>24272.322265999999</v>
      </c>
      <c r="F713" s="8">
        <f t="shared" si="20"/>
        <v>16.197265999999217</v>
      </c>
      <c r="G713" s="8">
        <f t="shared" si="21"/>
        <v>1.6197265999999218E-2</v>
      </c>
    </row>
    <row r="714" spans="1:7" x14ac:dyDescent="0.25">
      <c r="A714" s="8">
        <v>9</v>
      </c>
      <c r="B714" s="8">
        <v>4</v>
      </c>
      <c r="C714" s="8">
        <v>158.85995500000001</v>
      </c>
      <c r="D714" s="8">
        <v>24396.773438</v>
      </c>
      <c r="E714" s="8">
        <v>24424.9375</v>
      </c>
      <c r="F714" s="8">
        <f t="shared" si="20"/>
        <v>28.164061999999831</v>
      </c>
      <c r="G714" s="8">
        <f t="shared" si="21"/>
        <v>2.816406199999983E-2</v>
      </c>
    </row>
    <row r="715" spans="1:7" x14ac:dyDescent="0.25">
      <c r="A715" s="8">
        <v>9</v>
      </c>
      <c r="B715" s="8">
        <v>5</v>
      </c>
      <c r="C715" s="8">
        <v>2305.8371579999998</v>
      </c>
      <c r="D715" s="8">
        <v>24584.162109000001</v>
      </c>
      <c r="E715" s="8">
        <v>24598.978515999999</v>
      </c>
      <c r="F715" s="8">
        <f t="shared" ref="F715:F778" si="22">E715-D715</f>
        <v>14.816406999998435</v>
      </c>
      <c r="G715" s="8">
        <f t="shared" ref="G715:G778" si="23">F715/1000</f>
        <v>1.4816406999998435E-2</v>
      </c>
    </row>
    <row r="716" spans="1:7" x14ac:dyDescent="0.25">
      <c r="A716" s="8">
        <v>9</v>
      </c>
      <c r="B716" s="8">
        <v>6</v>
      </c>
      <c r="C716" s="8">
        <v>967.97363299999995</v>
      </c>
      <c r="D716" s="8">
        <v>26915.033202999999</v>
      </c>
      <c r="E716" s="8">
        <v>26930.609375</v>
      </c>
      <c r="F716" s="8">
        <f t="shared" si="22"/>
        <v>15.576172000000952</v>
      </c>
      <c r="G716" s="8">
        <f t="shared" si="23"/>
        <v>1.5576172000000952E-2</v>
      </c>
    </row>
    <row r="717" spans="1:7" x14ac:dyDescent="0.25">
      <c r="A717" s="8">
        <v>9</v>
      </c>
      <c r="B717" s="8">
        <v>7</v>
      </c>
      <c r="C717" s="8">
        <v>2468.2763669999999</v>
      </c>
      <c r="D717" s="8">
        <v>27900.324218999998</v>
      </c>
      <c r="E717" s="8">
        <v>27919.314452999999</v>
      </c>
      <c r="F717" s="8">
        <f t="shared" si="22"/>
        <v>18.990234000000783</v>
      </c>
      <c r="G717" s="8">
        <f t="shared" si="23"/>
        <v>1.8990234000000782E-2</v>
      </c>
    </row>
    <row r="718" spans="1:7" x14ac:dyDescent="0.25">
      <c r="A718" s="8">
        <v>9</v>
      </c>
      <c r="B718" s="8">
        <v>8</v>
      </c>
      <c r="C718" s="8">
        <v>8397.3974610000005</v>
      </c>
      <c r="D718" s="8">
        <v>30390.404297000001</v>
      </c>
      <c r="E718" s="8">
        <v>30399.769531000002</v>
      </c>
      <c r="F718" s="8">
        <f t="shared" si="22"/>
        <v>9.3652340000007825</v>
      </c>
      <c r="G718" s="8">
        <f t="shared" si="23"/>
        <v>9.3652340000007824E-3</v>
      </c>
    </row>
    <row r="719" spans="1:7" x14ac:dyDescent="0.25">
      <c r="A719" s="8">
        <v>9</v>
      </c>
      <c r="B719" s="8">
        <v>9</v>
      </c>
      <c r="C719" s="8">
        <v>817.86993399999994</v>
      </c>
      <c r="D719" s="8">
        <v>38808.386719000002</v>
      </c>
      <c r="E719" s="8">
        <v>38821.285155999998</v>
      </c>
      <c r="F719" s="8">
        <f t="shared" si="22"/>
        <v>12.898436999996193</v>
      </c>
      <c r="G719" s="8">
        <f t="shared" si="23"/>
        <v>1.2898436999996193E-2</v>
      </c>
    </row>
    <row r="720" spans="1:7" x14ac:dyDescent="0.25">
      <c r="A720" s="8">
        <v>9</v>
      </c>
      <c r="B720" s="8">
        <v>10</v>
      </c>
      <c r="C720" s="8">
        <v>1176.3304439999999</v>
      </c>
      <c r="D720" s="8">
        <v>39652.320312999997</v>
      </c>
      <c r="E720" s="8">
        <v>39662.960937999997</v>
      </c>
      <c r="F720" s="8">
        <f t="shared" si="22"/>
        <v>10.640625</v>
      </c>
      <c r="G720" s="8">
        <f t="shared" si="23"/>
        <v>1.0640625000000001E-2</v>
      </c>
    </row>
    <row r="721" spans="1:7" x14ac:dyDescent="0.25">
      <c r="A721" s="8">
        <v>9</v>
      </c>
      <c r="B721" s="8">
        <v>11</v>
      </c>
      <c r="C721" s="8">
        <v>84.145515000000003</v>
      </c>
      <c r="D721" s="8">
        <v>40840.757812999997</v>
      </c>
      <c r="E721" s="8">
        <v>40856.554687999997</v>
      </c>
      <c r="F721" s="8">
        <f t="shared" si="22"/>
        <v>15.796875</v>
      </c>
      <c r="G721" s="8">
        <f t="shared" si="23"/>
        <v>1.5796874999999998E-2</v>
      </c>
    </row>
    <row r="722" spans="1:7" x14ac:dyDescent="0.25">
      <c r="A722" s="8">
        <v>9</v>
      </c>
      <c r="B722" s="8">
        <v>12</v>
      </c>
      <c r="C722" s="8">
        <v>2860.1110840000001</v>
      </c>
      <c r="D722" s="8">
        <v>40950.121094000002</v>
      </c>
      <c r="E722" s="8">
        <v>41007.984375</v>
      </c>
      <c r="F722" s="8">
        <f t="shared" si="22"/>
        <v>57.863280999998096</v>
      </c>
      <c r="G722" s="8">
        <f t="shared" si="23"/>
        <v>5.7863280999998094E-2</v>
      </c>
    </row>
    <row r="723" spans="1:7" x14ac:dyDescent="0.25">
      <c r="A723" s="8">
        <v>9</v>
      </c>
      <c r="B723" s="8">
        <v>13</v>
      </c>
      <c r="C723" s="8">
        <v>2659.336914</v>
      </c>
      <c r="D723" s="8">
        <v>43881.167969000002</v>
      </c>
      <c r="E723" s="8">
        <v>43894.445312999997</v>
      </c>
      <c r="F723" s="8">
        <f t="shared" si="22"/>
        <v>13.277343999994628</v>
      </c>
      <c r="G723" s="8">
        <f t="shared" si="23"/>
        <v>1.3277343999994628E-2</v>
      </c>
    </row>
    <row r="724" spans="1:7" x14ac:dyDescent="0.25">
      <c r="A724" s="8">
        <v>9</v>
      </c>
      <c r="B724" s="8">
        <v>14</v>
      </c>
      <c r="C724" s="8">
        <v>5311.2871089999999</v>
      </c>
      <c r="D724" s="8">
        <v>46563.175780999998</v>
      </c>
      <c r="E724" s="8">
        <v>46589.023437999997</v>
      </c>
      <c r="F724" s="8">
        <f t="shared" si="22"/>
        <v>25.847656999998435</v>
      </c>
      <c r="G724" s="8">
        <f t="shared" si="23"/>
        <v>2.5847656999998435E-2</v>
      </c>
    </row>
    <row r="725" spans="1:7" x14ac:dyDescent="0.25">
      <c r="A725" s="8">
        <v>9</v>
      </c>
      <c r="B725" s="8">
        <v>15</v>
      </c>
      <c r="C725" s="8">
        <v>5534.4028319999998</v>
      </c>
      <c r="D725" s="8">
        <v>51904.613280999998</v>
      </c>
      <c r="E725" s="8">
        <v>51917.902344000002</v>
      </c>
      <c r="F725" s="8">
        <f t="shared" si="22"/>
        <v>13.289063000003807</v>
      </c>
      <c r="G725" s="8">
        <f t="shared" si="23"/>
        <v>1.3289063000003808E-2</v>
      </c>
    </row>
    <row r="726" spans="1:7" x14ac:dyDescent="0.25">
      <c r="A726" s="8">
        <v>9</v>
      </c>
      <c r="B726" s="8">
        <v>16</v>
      </c>
      <c r="C726" s="8">
        <v>3285.7172850000002</v>
      </c>
      <c r="D726" s="8">
        <v>57457.648437999997</v>
      </c>
      <c r="E726" s="8">
        <v>57477.171875</v>
      </c>
      <c r="F726" s="8">
        <f t="shared" si="22"/>
        <v>19.523437000003469</v>
      </c>
      <c r="G726" s="8">
        <f t="shared" si="23"/>
        <v>1.9523437000003467E-2</v>
      </c>
    </row>
    <row r="727" spans="1:7" x14ac:dyDescent="0.25">
      <c r="A727" s="8">
        <v>9</v>
      </c>
      <c r="B727" s="8">
        <v>17</v>
      </c>
      <c r="C727" s="8">
        <v>72.086578000000003</v>
      </c>
      <c r="D727" s="8">
        <v>60763.078125</v>
      </c>
      <c r="E727" s="8">
        <v>60777.265625</v>
      </c>
      <c r="F727" s="8">
        <f t="shared" si="22"/>
        <v>14.1875</v>
      </c>
      <c r="G727" s="8">
        <f t="shared" si="23"/>
        <v>1.41875E-2</v>
      </c>
    </row>
    <row r="728" spans="1:7" x14ac:dyDescent="0.25">
      <c r="A728" s="8">
        <v>9</v>
      </c>
      <c r="B728" s="8">
        <v>18</v>
      </c>
      <c r="C728" s="8">
        <v>3228.1748050000001</v>
      </c>
      <c r="D728" s="8">
        <v>60856.953125</v>
      </c>
      <c r="E728" s="8">
        <v>60877.296875</v>
      </c>
      <c r="F728" s="8">
        <f t="shared" si="22"/>
        <v>20.34375</v>
      </c>
      <c r="G728" s="8">
        <f t="shared" si="23"/>
        <v>2.0343750000000001E-2</v>
      </c>
    </row>
    <row r="729" spans="1:7" x14ac:dyDescent="0.25">
      <c r="A729" s="8">
        <v>9</v>
      </c>
      <c r="B729" s="8">
        <v>19</v>
      </c>
      <c r="C729" s="8">
        <v>2838.7993160000001</v>
      </c>
      <c r="D729" s="8">
        <v>64120.78125</v>
      </c>
      <c r="E729" s="8">
        <v>64211.28125</v>
      </c>
      <c r="F729" s="8">
        <f t="shared" si="22"/>
        <v>90.5</v>
      </c>
      <c r="G729" s="8">
        <f t="shared" si="23"/>
        <v>9.0499999999999997E-2</v>
      </c>
    </row>
    <row r="730" spans="1:7" x14ac:dyDescent="0.25">
      <c r="A730" s="8">
        <v>9</v>
      </c>
      <c r="B730" s="8">
        <v>20</v>
      </c>
      <c r="C730" s="8">
        <v>3175.524414</v>
      </c>
      <c r="D730" s="8">
        <v>67060.039063000004</v>
      </c>
      <c r="E730" s="8">
        <v>67074.429688000004</v>
      </c>
      <c r="F730" s="8">
        <f t="shared" si="22"/>
        <v>14.390625</v>
      </c>
      <c r="G730" s="8">
        <f t="shared" si="23"/>
        <v>1.4390625000000001E-2</v>
      </c>
    </row>
    <row r="731" spans="1:7" x14ac:dyDescent="0.25">
      <c r="A731" s="8">
        <v>9</v>
      </c>
      <c r="B731" s="8">
        <v>21</v>
      </c>
      <c r="C731" s="8">
        <v>1176.000732</v>
      </c>
      <c r="D731" s="8">
        <v>70264.640625</v>
      </c>
      <c r="E731" s="8">
        <v>70278.03125</v>
      </c>
      <c r="F731" s="8">
        <f t="shared" si="22"/>
        <v>13.390625</v>
      </c>
      <c r="G731" s="8">
        <f t="shared" si="23"/>
        <v>1.3390625E-2</v>
      </c>
    </row>
    <row r="732" spans="1:7" x14ac:dyDescent="0.25">
      <c r="A732" s="8">
        <v>9</v>
      </c>
      <c r="B732" s="8">
        <v>22</v>
      </c>
      <c r="C732" s="8">
        <v>568.15454099999999</v>
      </c>
      <c r="D732" s="8">
        <v>71462.546875</v>
      </c>
      <c r="E732" s="8">
        <v>71477.960938000004</v>
      </c>
      <c r="F732" s="8">
        <f t="shared" si="22"/>
        <v>15.414063000003807</v>
      </c>
      <c r="G732" s="8">
        <f t="shared" si="23"/>
        <v>1.5414063000003806E-2</v>
      </c>
    </row>
    <row r="733" spans="1:7" x14ac:dyDescent="0.25">
      <c r="A733" s="8">
        <v>9</v>
      </c>
      <c r="B733" s="8">
        <v>23</v>
      </c>
      <c r="C733" s="8">
        <v>9089.9492190000001</v>
      </c>
      <c r="D733" s="8">
        <v>72060.492188000004</v>
      </c>
      <c r="E733" s="8">
        <v>72071.296875</v>
      </c>
      <c r="F733" s="8">
        <f t="shared" si="22"/>
        <v>10.804686999996193</v>
      </c>
      <c r="G733" s="8">
        <f t="shared" si="23"/>
        <v>1.0804686999996193E-2</v>
      </c>
    </row>
    <row r="734" spans="1:7" x14ac:dyDescent="0.25">
      <c r="A734" s="8">
        <v>9</v>
      </c>
      <c r="B734" s="8">
        <v>24</v>
      </c>
      <c r="C734" s="8">
        <v>1912.0852050000001</v>
      </c>
      <c r="D734" s="8">
        <v>81161.34375</v>
      </c>
      <c r="E734" s="8">
        <v>81172.203125</v>
      </c>
      <c r="F734" s="8">
        <f t="shared" si="22"/>
        <v>10.859375</v>
      </c>
      <c r="G734" s="8">
        <f t="shared" si="23"/>
        <v>1.0859374999999999E-2</v>
      </c>
    </row>
    <row r="735" spans="1:7" x14ac:dyDescent="0.25">
      <c r="A735" s="8">
        <v>9</v>
      </c>
      <c r="B735" s="8">
        <v>25</v>
      </c>
      <c r="C735" s="8">
        <v>2938.6647950000001</v>
      </c>
      <c r="D735" s="8">
        <v>83089.414063000004</v>
      </c>
      <c r="E735" s="8">
        <v>83103.75</v>
      </c>
      <c r="F735" s="8">
        <f t="shared" si="22"/>
        <v>14.335936999996193</v>
      </c>
      <c r="G735" s="8">
        <f t="shared" si="23"/>
        <v>1.4335936999996192E-2</v>
      </c>
    </row>
    <row r="736" spans="1:7" x14ac:dyDescent="0.25">
      <c r="A736" s="8">
        <v>9</v>
      </c>
      <c r="B736" s="8">
        <v>26</v>
      </c>
      <c r="C736" s="8">
        <v>5533.4316410000001</v>
      </c>
      <c r="D736" s="8">
        <v>86049.585938000004</v>
      </c>
      <c r="E736" s="8">
        <v>86073.53125</v>
      </c>
      <c r="F736" s="8">
        <f t="shared" si="22"/>
        <v>23.945311999996193</v>
      </c>
      <c r="G736" s="8">
        <f t="shared" si="23"/>
        <v>2.3945311999996194E-2</v>
      </c>
    </row>
    <row r="737" spans="1:7" x14ac:dyDescent="0.25">
      <c r="A737" s="8">
        <v>9</v>
      </c>
      <c r="B737" s="8">
        <v>27</v>
      </c>
      <c r="C737" s="8">
        <v>3901.2421880000002</v>
      </c>
      <c r="D737" s="8">
        <v>91620.601563000004</v>
      </c>
      <c r="E737" s="8">
        <v>91645.632813000004</v>
      </c>
      <c r="F737" s="8">
        <f t="shared" si="22"/>
        <v>25.03125</v>
      </c>
      <c r="G737" s="8">
        <f t="shared" si="23"/>
        <v>2.5031250000000001E-2</v>
      </c>
    </row>
    <row r="738" spans="1:7" x14ac:dyDescent="0.25">
      <c r="A738" s="8">
        <v>9</v>
      </c>
      <c r="B738" s="8">
        <v>28</v>
      </c>
      <c r="C738" s="8">
        <v>987.779358</v>
      </c>
      <c r="D738" s="8">
        <v>95553.351563000004</v>
      </c>
      <c r="E738" s="8">
        <v>95560.84375</v>
      </c>
      <c r="F738" s="8">
        <f t="shared" si="22"/>
        <v>7.4921869999961928</v>
      </c>
      <c r="G738" s="8">
        <f t="shared" si="23"/>
        <v>7.4921869999961931E-3</v>
      </c>
    </row>
    <row r="739" spans="1:7" x14ac:dyDescent="0.25">
      <c r="A739" s="8">
        <v>9</v>
      </c>
      <c r="B739" s="8">
        <v>29</v>
      </c>
      <c r="C739" s="8">
        <v>2610.3398440000001</v>
      </c>
      <c r="D739" s="8">
        <v>96554.070313000004</v>
      </c>
      <c r="E739" s="8">
        <v>96566.828125</v>
      </c>
      <c r="F739" s="8">
        <f t="shared" si="22"/>
        <v>12.757811999996193</v>
      </c>
      <c r="G739" s="8">
        <f t="shared" si="23"/>
        <v>1.2757811999996193E-2</v>
      </c>
    </row>
    <row r="740" spans="1:7" x14ac:dyDescent="0.25">
      <c r="A740" s="8">
        <v>9</v>
      </c>
      <c r="B740" s="8">
        <v>30</v>
      </c>
      <c r="C740" s="8">
        <v>6245.3950199999999</v>
      </c>
      <c r="D740" s="8">
        <v>99191.53125</v>
      </c>
      <c r="E740" s="8">
        <v>99215.15625</v>
      </c>
      <c r="F740" s="8">
        <f t="shared" si="22"/>
        <v>23.625</v>
      </c>
      <c r="G740" s="8">
        <f t="shared" si="23"/>
        <v>2.3625E-2</v>
      </c>
    </row>
    <row r="741" spans="1:7" x14ac:dyDescent="0.25">
      <c r="A741" s="8">
        <v>9</v>
      </c>
      <c r="B741" s="8">
        <v>31</v>
      </c>
      <c r="C741" s="8">
        <v>4480.7602539999998</v>
      </c>
      <c r="D741" s="8">
        <v>105462.523438</v>
      </c>
      <c r="E741" s="8">
        <v>105475.664063</v>
      </c>
      <c r="F741" s="8">
        <f t="shared" si="22"/>
        <v>13.140625</v>
      </c>
      <c r="G741" s="8">
        <f t="shared" si="23"/>
        <v>1.3140625E-2</v>
      </c>
    </row>
    <row r="742" spans="1:7" x14ac:dyDescent="0.25">
      <c r="A742" s="8">
        <v>9</v>
      </c>
      <c r="B742" s="8">
        <v>32</v>
      </c>
      <c r="C742" s="8">
        <v>2204.623779</v>
      </c>
      <c r="D742" s="8">
        <v>109970.835938</v>
      </c>
      <c r="E742" s="8">
        <v>109978.039063</v>
      </c>
      <c r="F742" s="8">
        <f t="shared" si="22"/>
        <v>7.203125</v>
      </c>
      <c r="G742" s="8">
        <f t="shared" si="23"/>
        <v>7.2031250000000003E-3</v>
      </c>
    </row>
    <row r="743" spans="1:7" x14ac:dyDescent="0.25">
      <c r="A743" s="8">
        <v>9</v>
      </c>
      <c r="B743" s="8">
        <v>33</v>
      </c>
      <c r="C743" s="8">
        <v>2787.968018</v>
      </c>
      <c r="D743" s="8">
        <v>112193.96875</v>
      </c>
      <c r="E743" s="8">
        <v>112201.578125</v>
      </c>
      <c r="F743" s="8">
        <f t="shared" si="22"/>
        <v>7.609375</v>
      </c>
      <c r="G743" s="8">
        <f t="shared" si="23"/>
        <v>7.6093749999999998E-3</v>
      </c>
    </row>
    <row r="744" spans="1:7" x14ac:dyDescent="0.25">
      <c r="A744" s="8">
        <v>9</v>
      </c>
      <c r="B744" s="8">
        <v>34</v>
      </c>
      <c r="C744" s="8">
        <v>639.22051999999996</v>
      </c>
      <c r="D744" s="8">
        <v>114989.320313</v>
      </c>
      <c r="E744" s="8">
        <v>114996.546875</v>
      </c>
      <c r="F744" s="8">
        <f t="shared" si="22"/>
        <v>7.2265619999961928</v>
      </c>
      <c r="G744" s="8">
        <f t="shared" si="23"/>
        <v>7.2265619999961929E-3</v>
      </c>
    </row>
    <row r="745" spans="1:7" x14ac:dyDescent="0.25">
      <c r="A745" s="8">
        <v>9</v>
      </c>
      <c r="B745" s="8">
        <v>35</v>
      </c>
      <c r="C745" s="8">
        <v>4677.0668949999999</v>
      </c>
      <c r="D745" s="8">
        <v>115645.570313</v>
      </c>
      <c r="E745" s="8">
        <v>115670.054688</v>
      </c>
      <c r="F745" s="8">
        <f t="shared" si="22"/>
        <v>24.484375</v>
      </c>
      <c r="G745" s="8">
        <f t="shared" si="23"/>
        <v>2.4484374999999999E-2</v>
      </c>
    </row>
    <row r="746" spans="1:7" x14ac:dyDescent="0.25">
      <c r="A746" s="8">
        <v>9</v>
      </c>
      <c r="B746" s="8">
        <v>36</v>
      </c>
      <c r="C746" s="8">
        <v>957.70062299999995</v>
      </c>
      <c r="D746" s="8">
        <v>120359.09375</v>
      </c>
      <c r="E746" s="8">
        <v>120376.75</v>
      </c>
      <c r="F746" s="8">
        <f t="shared" si="22"/>
        <v>17.65625</v>
      </c>
      <c r="G746" s="8">
        <f t="shared" si="23"/>
        <v>1.7656249999999998E-2</v>
      </c>
    </row>
    <row r="747" spans="1:7" x14ac:dyDescent="0.25">
      <c r="A747" s="8">
        <v>9</v>
      </c>
      <c r="B747" s="8">
        <v>37</v>
      </c>
      <c r="C747" s="8">
        <v>1362.932129</v>
      </c>
      <c r="D747" s="8">
        <v>121345.617188</v>
      </c>
      <c r="E747" s="8">
        <v>121364.90625</v>
      </c>
      <c r="F747" s="8">
        <f t="shared" si="22"/>
        <v>19.289061999996193</v>
      </c>
      <c r="G747" s="8">
        <f t="shared" si="23"/>
        <v>1.9289061999996193E-2</v>
      </c>
    </row>
    <row r="748" spans="1:7" x14ac:dyDescent="0.25">
      <c r="A748" s="8">
        <v>9</v>
      </c>
      <c r="B748" s="8">
        <v>38</v>
      </c>
      <c r="C748" s="8">
        <v>176.24903900000001</v>
      </c>
      <c r="D748" s="8">
        <v>122738.1875</v>
      </c>
      <c r="E748" s="8">
        <v>122750.390625</v>
      </c>
      <c r="F748" s="8">
        <f t="shared" si="22"/>
        <v>12.203125</v>
      </c>
      <c r="G748" s="8">
        <f t="shared" si="23"/>
        <v>1.2203125E-2</v>
      </c>
    </row>
    <row r="749" spans="1:7" x14ac:dyDescent="0.25">
      <c r="A749" s="8">
        <v>9</v>
      </c>
      <c r="B749" s="8">
        <v>39</v>
      </c>
      <c r="C749" s="8">
        <v>787.598206</v>
      </c>
      <c r="D749" s="8">
        <v>122941.382813</v>
      </c>
      <c r="E749" s="8">
        <v>122954.585938</v>
      </c>
      <c r="F749" s="8">
        <f t="shared" si="22"/>
        <v>13.203125</v>
      </c>
      <c r="G749" s="8">
        <f t="shared" si="23"/>
        <v>1.3203125E-2</v>
      </c>
    </row>
    <row r="750" spans="1:7" x14ac:dyDescent="0.25">
      <c r="A750" s="8">
        <v>9</v>
      </c>
      <c r="B750" s="8">
        <v>40</v>
      </c>
      <c r="C750" s="8">
        <v>2104.9616700000001</v>
      </c>
      <c r="D750" s="8">
        <v>123746.40625</v>
      </c>
      <c r="E750" s="8">
        <v>123773.90625</v>
      </c>
      <c r="F750" s="8">
        <f t="shared" si="22"/>
        <v>27.5</v>
      </c>
      <c r="G750" s="8">
        <f t="shared" si="23"/>
        <v>2.75E-2</v>
      </c>
    </row>
    <row r="751" spans="1:7" x14ac:dyDescent="0.25">
      <c r="A751" s="8">
        <v>9</v>
      </c>
      <c r="B751" s="8">
        <v>41</v>
      </c>
      <c r="C751" s="8">
        <v>2979.9418949999999</v>
      </c>
      <c r="D751" s="8">
        <v>125893.492188</v>
      </c>
      <c r="E751" s="8">
        <v>125910.023438</v>
      </c>
      <c r="F751" s="8">
        <f t="shared" si="22"/>
        <v>16.53125</v>
      </c>
      <c r="G751" s="8">
        <f t="shared" si="23"/>
        <v>1.6531250000000001E-2</v>
      </c>
    </row>
    <row r="752" spans="1:7" x14ac:dyDescent="0.25">
      <c r="A752" s="8">
        <v>9</v>
      </c>
      <c r="B752" s="8">
        <v>42</v>
      </c>
      <c r="C752" s="8">
        <v>3993.485107</v>
      </c>
      <c r="D752" s="8">
        <v>128895.117188</v>
      </c>
      <c r="E752" s="8">
        <v>128906.835938</v>
      </c>
      <c r="F752" s="8">
        <f t="shared" si="22"/>
        <v>11.71875</v>
      </c>
      <c r="G752" s="8">
        <f t="shared" si="23"/>
        <v>1.171875E-2</v>
      </c>
    </row>
    <row r="753" spans="1:7" x14ac:dyDescent="0.25">
      <c r="A753" s="8">
        <v>9</v>
      </c>
      <c r="B753" s="8">
        <v>43</v>
      </c>
      <c r="C753" s="8">
        <v>1133.2733149999999</v>
      </c>
      <c r="D753" s="8">
        <v>132905.21875</v>
      </c>
      <c r="E753" s="8">
        <v>132924.8125</v>
      </c>
      <c r="F753" s="8">
        <f t="shared" si="22"/>
        <v>19.59375</v>
      </c>
      <c r="G753" s="8">
        <f t="shared" si="23"/>
        <v>1.959375E-2</v>
      </c>
    </row>
    <row r="754" spans="1:7" x14ac:dyDescent="0.25">
      <c r="A754" s="8">
        <v>9</v>
      </c>
      <c r="B754" s="8">
        <v>44</v>
      </c>
      <c r="C754" s="8">
        <v>119.98696099999999</v>
      </c>
      <c r="D754" s="8">
        <v>134066.078125</v>
      </c>
      <c r="E754" s="8">
        <v>134078.109375</v>
      </c>
      <c r="F754" s="8">
        <f t="shared" si="22"/>
        <v>12.03125</v>
      </c>
      <c r="G754" s="8">
        <f t="shared" si="23"/>
        <v>1.203125E-2</v>
      </c>
    </row>
    <row r="755" spans="1:7" x14ac:dyDescent="0.25">
      <c r="A755" s="8">
        <v>9</v>
      </c>
      <c r="B755" s="8">
        <v>45</v>
      </c>
      <c r="C755" s="8">
        <v>353.89291400000002</v>
      </c>
      <c r="D755" s="8">
        <v>134206.90625</v>
      </c>
      <c r="E755" s="8">
        <v>134214.328125</v>
      </c>
      <c r="F755" s="8">
        <f t="shared" si="22"/>
        <v>7.421875</v>
      </c>
      <c r="G755" s="8">
        <f t="shared" si="23"/>
        <v>7.4218749999999997E-3</v>
      </c>
    </row>
    <row r="756" spans="1:7" x14ac:dyDescent="0.25">
      <c r="A756" s="8">
        <v>9</v>
      </c>
      <c r="B756" s="8">
        <v>46</v>
      </c>
      <c r="C756" s="8">
        <v>1339.5413820000001</v>
      </c>
      <c r="D756" s="8">
        <v>134581.90625</v>
      </c>
      <c r="E756" s="8">
        <v>134595.71875</v>
      </c>
      <c r="F756" s="8">
        <f t="shared" si="22"/>
        <v>13.8125</v>
      </c>
      <c r="G756" s="8">
        <f t="shared" si="23"/>
        <v>1.38125E-2</v>
      </c>
    </row>
    <row r="757" spans="1:7" x14ac:dyDescent="0.25">
      <c r="A757" s="8">
        <v>9</v>
      </c>
      <c r="B757" s="8">
        <v>47</v>
      </c>
      <c r="C757" s="8">
        <v>876.98297100000002</v>
      </c>
      <c r="D757" s="8">
        <v>135944.625</v>
      </c>
      <c r="E757" s="8">
        <v>135952.015625</v>
      </c>
      <c r="F757" s="8">
        <f t="shared" si="22"/>
        <v>7.390625</v>
      </c>
      <c r="G757" s="8">
        <f t="shared" si="23"/>
        <v>7.3906249999999996E-3</v>
      </c>
    </row>
    <row r="758" spans="1:7" x14ac:dyDescent="0.25">
      <c r="A758" s="8">
        <v>9</v>
      </c>
      <c r="B758" s="8">
        <v>48</v>
      </c>
      <c r="C758" s="8">
        <v>1178.7497559999999</v>
      </c>
      <c r="D758" s="8">
        <v>136841.09375</v>
      </c>
      <c r="E758" s="8">
        <v>136856.9375</v>
      </c>
      <c r="F758" s="8">
        <f t="shared" si="22"/>
        <v>15.84375</v>
      </c>
      <c r="G758" s="8">
        <f t="shared" si="23"/>
        <v>1.584375E-2</v>
      </c>
    </row>
    <row r="759" spans="1:7" x14ac:dyDescent="0.25">
      <c r="A759" s="8">
        <v>9</v>
      </c>
      <c r="B759" s="8">
        <v>49</v>
      </c>
      <c r="C759" s="8">
        <v>5222.0815430000002</v>
      </c>
      <c r="D759" s="8">
        <v>138046.828125</v>
      </c>
      <c r="E759" s="8">
        <v>138053.625</v>
      </c>
      <c r="F759" s="8">
        <f t="shared" si="22"/>
        <v>6.796875</v>
      </c>
      <c r="G759" s="8">
        <f t="shared" si="23"/>
        <v>6.796875E-3</v>
      </c>
    </row>
    <row r="760" spans="1:7" x14ac:dyDescent="0.25">
      <c r="A760" s="8">
        <v>9</v>
      </c>
      <c r="B760" s="8">
        <v>50</v>
      </c>
      <c r="C760" s="8">
        <v>581.08941700000003</v>
      </c>
      <c r="D760" s="8">
        <v>143280.921875</v>
      </c>
      <c r="E760" s="8">
        <v>143289.640625</v>
      </c>
      <c r="F760" s="8">
        <f t="shared" si="22"/>
        <v>8.71875</v>
      </c>
      <c r="G760" s="8">
        <f t="shared" si="23"/>
        <v>8.7187500000000008E-3</v>
      </c>
    </row>
    <row r="761" spans="1:7" x14ac:dyDescent="0.25">
      <c r="A761" s="8">
        <v>9</v>
      </c>
      <c r="B761" s="8">
        <v>51</v>
      </c>
      <c r="C761" s="8">
        <v>988.37957800000004</v>
      </c>
      <c r="D761" s="8">
        <v>143884.9375</v>
      </c>
      <c r="E761" s="8">
        <v>143892.140625</v>
      </c>
      <c r="F761" s="8">
        <f t="shared" si="22"/>
        <v>7.203125</v>
      </c>
      <c r="G761" s="8">
        <f t="shared" si="23"/>
        <v>7.2031250000000003E-3</v>
      </c>
    </row>
    <row r="762" spans="1:7" x14ac:dyDescent="0.25">
      <c r="A762" s="8">
        <v>9</v>
      </c>
      <c r="B762" s="8">
        <v>52</v>
      </c>
      <c r="C762" s="8">
        <v>4013.3632809999999</v>
      </c>
      <c r="D762" s="8">
        <v>144893.890625</v>
      </c>
      <c r="E762" s="8">
        <v>144906.90625</v>
      </c>
      <c r="F762" s="8">
        <f t="shared" si="22"/>
        <v>13.015625</v>
      </c>
      <c r="G762" s="8">
        <f t="shared" si="23"/>
        <v>1.3015624999999999E-2</v>
      </c>
    </row>
    <row r="763" spans="1:7" x14ac:dyDescent="0.25">
      <c r="A763" s="8">
        <v>9</v>
      </c>
      <c r="B763" s="8">
        <v>53</v>
      </c>
      <c r="C763" s="8">
        <v>1702.730225</v>
      </c>
      <c r="D763" s="8">
        <v>148931.578125</v>
      </c>
      <c r="E763" s="8">
        <v>148941.609375</v>
      </c>
      <c r="F763" s="8">
        <f t="shared" si="22"/>
        <v>10.03125</v>
      </c>
      <c r="G763" s="8">
        <f t="shared" si="23"/>
        <v>1.003125E-2</v>
      </c>
    </row>
    <row r="764" spans="1:7" x14ac:dyDescent="0.25">
      <c r="A764" s="8">
        <v>9</v>
      </c>
      <c r="B764" s="8">
        <v>54</v>
      </c>
      <c r="C764" s="8">
        <v>308.65741000000003</v>
      </c>
      <c r="D764" s="8">
        <v>150655.03125</v>
      </c>
      <c r="E764" s="8">
        <v>150667.9375</v>
      </c>
      <c r="F764" s="8">
        <f t="shared" si="22"/>
        <v>12.90625</v>
      </c>
      <c r="G764" s="8">
        <f t="shared" si="23"/>
        <v>1.2906249999999999E-2</v>
      </c>
    </row>
    <row r="765" spans="1:7" x14ac:dyDescent="0.25">
      <c r="A765" s="8">
        <v>9</v>
      </c>
      <c r="B765" s="8">
        <v>55</v>
      </c>
      <c r="C765" s="8">
        <v>1672.6414789999999</v>
      </c>
      <c r="D765" s="8">
        <v>150983.28125</v>
      </c>
      <c r="E765" s="8">
        <v>150999.53125</v>
      </c>
      <c r="F765" s="8">
        <f t="shared" si="22"/>
        <v>16.25</v>
      </c>
      <c r="G765" s="8">
        <f t="shared" si="23"/>
        <v>1.6250000000000001E-2</v>
      </c>
    </row>
    <row r="766" spans="1:7" x14ac:dyDescent="0.25">
      <c r="A766" s="8">
        <v>9</v>
      </c>
      <c r="B766" s="8">
        <v>56</v>
      </c>
      <c r="C766" s="8">
        <v>2868.8022460000002</v>
      </c>
      <c r="D766" s="8">
        <v>152671.96875</v>
      </c>
      <c r="E766" s="8">
        <v>152703.453125</v>
      </c>
      <c r="F766" s="8">
        <f t="shared" si="22"/>
        <v>31.484375</v>
      </c>
      <c r="G766" s="8">
        <f t="shared" si="23"/>
        <v>3.1484375000000002E-2</v>
      </c>
    </row>
    <row r="767" spans="1:7" x14ac:dyDescent="0.25">
      <c r="A767" s="8">
        <v>9</v>
      </c>
      <c r="B767" s="8">
        <v>57</v>
      </c>
      <c r="C767" s="8">
        <v>2286.9802249999998</v>
      </c>
      <c r="D767" s="8">
        <v>155578.578125</v>
      </c>
      <c r="E767" s="8">
        <v>155594.796875</v>
      </c>
      <c r="F767" s="8">
        <f t="shared" si="22"/>
        <v>16.21875</v>
      </c>
      <c r="G767" s="8">
        <f t="shared" si="23"/>
        <v>1.6218750000000001E-2</v>
      </c>
    </row>
    <row r="768" spans="1:7" x14ac:dyDescent="0.25">
      <c r="A768" s="8">
        <v>9</v>
      </c>
      <c r="B768" s="8">
        <v>58</v>
      </c>
      <c r="C768" s="8">
        <v>446.56173699999999</v>
      </c>
      <c r="D768" s="8">
        <v>157891.25</v>
      </c>
      <c r="E768" s="8">
        <v>157905.140625</v>
      </c>
      <c r="F768" s="8">
        <f t="shared" si="22"/>
        <v>13.890625</v>
      </c>
      <c r="G768" s="8">
        <f t="shared" si="23"/>
        <v>1.3890625E-2</v>
      </c>
    </row>
    <row r="769" spans="1:7" x14ac:dyDescent="0.25">
      <c r="A769" s="8">
        <v>9</v>
      </c>
      <c r="B769" s="8">
        <v>59</v>
      </c>
      <c r="C769" s="8">
        <v>5518.9213870000003</v>
      </c>
      <c r="D769" s="8">
        <v>158360.015625</v>
      </c>
      <c r="E769" s="8">
        <v>158367.328125</v>
      </c>
      <c r="F769" s="8">
        <f t="shared" si="22"/>
        <v>7.3125</v>
      </c>
      <c r="G769" s="8">
        <f t="shared" si="23"/>
        <v>7.3125000000000004E-3</v>
      </c>
    </row>
    <row r="770" spans="1:7" x14ac:dyDescent="0.25">
      <c r="A770" s="8">
        <v>9</v>
      </c>
      <c r="B770" s="8">
        <v>60</v>
      </c>
      <c r="C770" s="8">
        <v>7117.5434569999998</v>
      </c>
      <c r="D770" s="8">
        <v>163893.515625</v>
      </c>
      <c r="E770" s="8">
        <v>163909.078125</v>
      </c>
      <c r="F770" s="8">
        <f t="shared" si="22"/>
        <v>15.5625</v>
      </c>
      <c r="G770" s="8">
        <f t="shared" si="23"/>
        <v>1.55625E-2</v>
      </c>
    </row>
    <row r="771" spans="1:7" x14ac:dyDescent="0.25">
      <c r="A771" s="8">
        <v>10</v>
      </c>
      <c r="B771" s="8">
        <v>0</v>
      </c>
      <c r="C771" s="8">
        <v>2859.8562010000001</v>
      </c>
      <c r="D771" s="8">
        <v>20166.412109000001</v>
      </c>
      <c r="E771" s="8">
        <v>20196.130859000001</v>
      </c>
      <c r="F771" s="8">
        <f t="shared" si="22"/>
        <v>29.71875</v>
      </c>
      <c r="G771" s="8">
        <f t="shared" si="23"/>
        <v>2.9718749999999999E-2</v>
      </c>
    </row>
    <row r="772" spans="1:7" x14ac:dyDescent="0.25">
      <c r="A772" s="8">
        <v>10</v>
      </c>
      <c r="B772" s="8">
        <v>1</v>
      </c>
      <c r="C772" s="8">
        <v>2058.4697270000001</v>
      </c>
      <c r="D772" s="8">
        <v>23065.792968999998</v>
      </c>
      <c r="E772" s="8">
        <v>23096.638672000001</v>
      </c>
      <c r="F772" s="8">
        <f t="shared" si="22"/>
        <v>30.845703000002686</v>
      </c>
      <c r="G772" s="8">
        <f t="shared" si="23"/>
        <v>3.0845703000002687E-2</v>
      </c>
    </row>
    <row r="773" spans="1:7" x14ac:dyDescent="0.25">
      <c r="A773" s="8">
        <v>10</v>
      </c>
      <c r="B773" s="8">
        <v>2</v>
      </c>
      <c r="C773" s="8">
        <v>5491.1630859999996</v>
      </c>
      <c r="D773" s="8">
        <v>25162.478515999999</v>
      </c>
      <c r="E773" s="8">
        <v>25183.726563</v>
      </c>
      <c r="F773" s="8">
        <f t="shared" si="22"/>
        <v>21.248047000000952</v>
      </c>
      <c r="G773" s="8">
        <f t="shared" si="23"/>
        <v>2.1248047000000953E-2</v>
      </c>
    </row>
    <row r="774" spans="1:7" x14ac:dyDescent="0.25">
      <c r="A774" s="8">
        <v>10</v>
      </c>
      <c r="B774" s="8">
        <v>3</v>
      </c>
      <c r="C774" s="8">
        <v>4344.955078</v>
      </c>
      <c r="D774" s="8">
        <v>30688.914063</v>
      </c>
      <c r="E774" s="8">
        <v>30704.103515999999</v>
      </c>
      <c r="F774" s="8">
        <f t="shared" si="22"/>
        <v>15.189452999999048</v>
      </c>
      <c r="G774" s="8">
        <f t="shared" si="23"/>
        <v>1.5189452999999048E-2</v>
      </c>
    </row>
    <row r="775" spans="1:7" x14ac:dyDescent="0.25">
      <c r="A775" s="8">
        <v>10</v>
      </c>
      <c r="B775" s="8">
        <v>4</v>
      </c>
      <c r="C775" s="8">
        <v>223.46402</v>
      </c>
      <c r="D775" s="8">
        <v>35061.359375</v>
      </c>
      <c r="E775" s="8">
        <v>35073.054687999997</v>
      </c>
      <c r="F775" s="8">
        <f t="shared" si="22"/>
        <v>11.695312999996531</v>
      </c>
      <c r="G775" s="8">
        <f t="shared" si="23"/>
        <v>1.1695312999996531E-2</v>
      </c>
    </row>
    <row r="776" spans="1:7" x14ac:dyDescent="0.25">
      <c r="A776" s="8">
        <v>10</v>
      </c>
      <c r="B776" s="8">
        <v>5</v>
      </c>
      <c r="C776" s="8">
        <v>118.950287</v>
      </c>
      <c r="D776" s="8">
        <v>35311.351562999997</v>
      </c>
      <c r="E776" s="8">
        <v>35322.253905999998</v>
      </c>
      <c r="F776" s="8">
        <f t="shared" si="22"/>
        <v>10.902343000001565</v>
      </c>
      <c r="G776" s="8">
        <f t="shared" si="23"/>
        <v>1.0902343000001565E-2</v>
      </c>
    </row>
    <row r="777" spans="1:7" x14ac:dyDescent="0.25">
      <c r="A777" s="8">
        <v>10</v>
      </c>
      <c r="B777" s="8">
        <v>6</v>
      </c>
      <c r="C777" s="8">
        <v>1024.2164310000001</v>
      </c>
      <c r="D777" s="8">
        <v>35451.996094000002</v>
      </c>
      <c r="E777" s="8">
        <v>35467.769530999998</v>
      </c>
      <c r="F777" s="8">
        <f t="shared" si="22"/>
        <v>15.773436999996193</v>
      </c>
      <c r="G777" s="8">
        <f t="shared" si="23"/>
        <v>1.5773436999996192E-2</v>
      </c>
    </row>
    <row r="778" spans="1:7" x14ac:dyDescent="0.25">
      <c r="A778" s="8">
        <v>10</v>
      </c>
      <c r="B778" s="8">
        <v>7</v>
      </c>
      <c r="C778" s="8">
        <v>395.26052900000002</v>
      </c>
      <c r="D778" s="8">
        <v>36503.40625</v>
      </c>
      <c r="E778" s="8">
        <v>36511.554687999997</v>
      </c>
      <c r="F778" s="8">
        <f t="shared" si="22"/>
        <v>8.1484379999965313</v>
      </c>
      <c r="G778" s="8">
        <f t="shared" si="23"/>
        <v>8.1484379999965315E-3</v>
      </c>
    </row>
    <row r="779" spans="1:7" x14ac:dyDescent="0.25">
      <c r="A779" s="8">
        <v>10</v>
      </c>
      <c r="B779" s="8">
        <v>8</v>
      </c>
      <c r="C779" s="8">
        <v>2451.3630370000001</v>
      </c>
      <c r="D779" s="8">
        <v>36909.71875</v>
      </c>
      <c r="E779" s="8">
        <v>36929.488280999998</v>
      </c>
      <c r="F779" s="8">
        <f t="shared" ref="F779:F842" si="24">E779-D779</f>
        <v>19.769530999998096</v>
      </c>
      <c r="G779" s="8">
        <f t="shared" ref="G779:G842" si="25">F779/1000</f>
        <v>1.9769530999998095E-2</v>
      </c>
    </row>
    <row r="780" spans="1:7" x14ac:dyDescent="0.25">
      <c r="A780" s="8">
        <v>10</v>
      </c>
      <c r="B780" s="8">
        <v>9</v>
      </c>
      <c r="C780" s="8">
        <v>396.37643400000002</v>
      </c>
      <c r="D780" s="8">
        <v>39386.6875</v>
      </c>
      <c r="E780" s="8">
        <v>39402.277344000002</v>
      </c>
      <c r="F780" s="8">
        <f t="shared" si="24"/>
        <v>15.589844000001904</v>
      </c>
      <c r="G780" s="8">
        <f t="shared" si="25"/>
        <v>1.5589844000001903E-2</v>
      </c>
    </row>
    <row r="781" spans="1:7" x14ac:dyDescent="0.25">
      <c r="A781" s="8">
        <v>10</v>
      </c>
      <c r="B781" s="8">
        <v>10</v>
      </c>
      <c r="C781" s="8">
        <v>364.33792099999999</v>
      </c>
      <c r="D781" s="8">
        <v>39808.425780999998</v>
      </c>
      <c r="E781" s="8">
        <v>39819.289062999997</v>
      </c>
      <c r="F781" s="8">
        <f t="shared" si="24"/>
        <v>10.863281999998435</v>
      </c>
      <c r="G781" s="8">
        <f t="shared" si="25"/>
        <v>1.0863281999998435E-2</v>
      </c>
    </row>
    <row r="782" spans="1:7" x14ac:dyDescent="0.25">
      <c r="A782" s="8">
        <v>10</v>
      </c>
      <c r="B782" s="8">
        <v>11</v>
      </c>
      <c r="C782" s="8">
        <v>2968.8691410000001</v>
      </c>
      <c r="D782" s="8">
        <v>40183.664062999997</v>
      </c>
      <c r="E782" s="8">
        <v>40206.867187999997</v>
      </c>
      <c r="F782" s="8">
        <f t="shared" si="24"/>
        <v>23.203125</v>
      </c>
      <c r="G782" s="8">
        <f t="shared" si="25"/>
        <v>2.3203125000000002E-2</v>
      </c>
    </row>
    <row r="783" spans="1:7" x14ac:dyDescent="0.25">
      <c r="A783" s="8">
        <v>10</v>
      </c>
      <c r="B783" s="8">
        <v>12</v>
      </c>
      <c r="C783" s="8">
        <v>984.58123799999998</v>
      </c>
      <c r="D783" s="8">
        <v>43177.679687999997</v>
      </c>
      <c r="E783" s="8">
        <v>43224.921875</v>
      </c>
      <c r="F783" s="8">
        <f t="shared" si="24"/>
        <v>47.242187000003469</v>
      </c>
      <c r="G783" s="8">
        <f t="shared" si="25"/>
        <v>4.7242187000003467E-2</v>
      </c>
    </row>
    <row r="784" spans="1:7" x14ac:dyDescent="0.25">
      <c r="A784" s="8">
        <v>10</v>
      </c>
      <c r="B784" s="8">
        <v>13</v>
      </c>
      <c r="C784" s="8">
        <v>781.00305200000003</v>
      </c>
      <c r="D784" s="8">
        <v>44209.289062999997</v>
      </c>
      <c r="E784" s="8">
        <v>44216.996094000002</v>
      </c>
      <c r="F784" s="8">
        <f t="shared" si="24"/>
        <v>7.7070310000053723</v>
      </c>
      <c r="G784" s="8">
        <f t="shared" si="25"/>
        <v>7.707031000005372E-3</v>
      </c>
    </row>
    <row r="785" spans="1:7" x14ac:dyDescent="0.25">
      <c r="A785" s="8">
        <v>10</v>
      </c>
      <c r="B785" s="8">
        <v>14</v>
      </c>
      <c r="C785" s="8">
        <v>1063.094482</v>
      </c>
      <c r="D785" s="8">
        <v>45006.207030999998</v>
      </c>
      <c r="E785" s="8">
        <v>45027.027344000002</v>
      </c>
      <c r="F785" s="8">
        <f t="shared" si="24"/>
        <v>20.820313000003807</v>
      </c>
      <c r="G785" s="8">
        <f t="shared" si="25"/>
        <v>2.0820313000003806E-2</v>
      </c>
    </row>
    <row r="786" spans="1:7" x14ac:dyDescent="0.25">
      <c r="A786" s="8">
        <v>10</v>
      </c>
      <c r="B786" s="8">
        <v>15</v>
      </c>
      <c r="C786" s="8">
        <v>610.27514599999995</v>
      </c>
      <c r="D786" s="8">
        <v>46101.339844000002</v>
      </c>
      <c r="E786" s="8">
        <v>46121.085937999997</v>
      </c>
      <c r="F786" s="8">
        <f t="shared" si="24"/>
        <v>19.746093999994628</v>
      </c>
      <c r="G786" s="8">
        <f t="shared" si="25"/>
        <v>1.9746093999994628E-2</v>
      </c>
    </row>
    <row r="787" spans="1:7" x14ac:dyDescent="0.25">
      <c r="A787" s="8">
        <v>10</v>
      </c>
      <c r="B787" s="8">
        <v>16</v>
      </c>
      <c r="C787" s="8">
        <v>1275.4663089999999</v>
      </c>
      <c r="D787" s="8">
        <v>46735.363280999998</v>
      </c>
      <c r="E787" s="8">
        <v>46764.023437999997</v>
      </c>
      <c r="F787" s="8">
        <f t="shared" si="24"/>
        <v>28.660156999998435</v>
      </c>
      <c r="G787" s="8">
        <f t="shared" si="25"/>
        <v>2.8660156999998434E-2</v>
      </c>
    </row>
    <row r="788" spans="1:7" x14ac:dyDescent="0.25">
      <c r="A788" s="8">
        <v>10</v>
      </c>
      <c r="B788" s="8">
        <v>17</v>
      </c>
      <c r="C788" s="8">
        <v>2568.017578</v>
      </c>
      <c r="D788" s="8">
        <v>48048.667969000002</v>
      </c>
      <c r="E788" s="8">
        <v>48077.976562999997</v>
      </c>
      <c r="F788" s="8">
        <f t="shared" si="24"/>
        <v>29.308593999994628</v>
      </c>
      <c r="G788" s="8">
        <f t="shared" si="25"/>
        <v>2.9308593999994626E-2</v>
      </c>
    </row>
    <row r="789" spans="1:7" x14ac:dyDescent="0.25">
      <c r="A789" s="8">
        <v>10</v>
      </c>
      <c r="B789" s="8">
        <v>18</v>
      </c>
      <c r="C789" s="8">
        <v>895.42590299999995</v>
      </c>
      <c r="D789" s="8">
        <v>50659.222655999998</v>
      </c>
      <c r="E789" s="8">
        <v>50674.144530999998</v>
      </c>
      <c r="F789" s="8">
        <f t="shared" si="24"/>
        <v>14.921875</v>
      </c>
      <c r="G789" s="8">
        <f t="shared" si="25"/>
        <v>1.4921874999999999E-2</v>
      </c>
    </row>
    <row r="790" spans="1:7" x14ac:dyDescent="0.25">
      <c r="A790" s="8">
        <v>10</v>
      </c>
      <c r="B790" s="8">
        <v>19</v>
      </c>
      <c r="C790" s="8">
        <v>2394.1784670000002</v>
      </c>
      <c r="D790" s="8">
        <v>51575.984375</v>
      </c>
      <c r="E790" s="8">
        <v>51590.382812999997</v>
      </c>
      <c r="F790" s="8">
        <f t="shared" si="24"/>
        <v>14.398437999996531</v>
      </c>
      <c r="G790" s="8">
        <f t="shared" si="25"/>
        <v>1.4398437999996532E-2</v>
      </c>
    </row>
    <row r="791" spans="1:7" x14ac:dyDescent="0.25">
      <c r="A791" s="8">
        <v>10</v>
      </c>
      <c r="B791" s="8">
        <v>20</v>
      </c>
      <c r="C791" s="8">
        <v>326.54278599999998</v>
      </c>
      <c r="D791" s="8">
        <v>53987.351562999997</v>
      </c>
      <c r="E791" s="8">
        <v>54006.292969000002</v>
      </c>
      <c r="F791" s="8">
        <f t="shared" si="24"/>
        <v>18.941406000005372</v>
      </c>
      <c r="G791" s="8">
        <f t="shared" si="25"/>
        <v>1.8941406000005372E-2</v>
      </c>
    </row>
    <row r="792" spans="1:7" x14ac:dyDescent="0.25">
      <c r="A792" s="8">
        <v>10</v>
      </c>
      <c r="B792" s="8">
        <v>21</v>
      </c>
      <c r="C792" s="8">
        <v>589.67755099999999</v>
      </c>
      <c r="D792" s="8">
        <v>54347.257812999997</v>
      </c>
      <c r="E792" s="8">
        <v>54361.152344000002</v>
      </c>
      <c r="F792" s="8">
        <f t="shared" si="24"/>
        <v>13.894531000005372</v>
      </c>
      <c r="G792" s="8">
        <f t="shared" si="25"/>
        <v>1.3894531000005372E-2</v>
      </c>
    </row>
    <row r="793" spans="1:7" x14ac:dyDescent="0.25">
      <c r="A793" s="8">
        <v>10</v>
      </c>
      <c r="B793" s="8">
        <v>22</v>
      </c>
      <c r="C793" s="8">
        <v>1349.224365</v>
      </c>
      <c r="D793" s="8">
        <v>54956.714844000002</v>
      </c>
      <c r="E793" s="8">
        <v>54964.402344000002</v>
      </c>
      <c r="F793" s="8">
        <f t="shared" si="24"/>
        <v>7.6875</v>
      </c>
      <c r="G793" s="8">
        <f t="shared" si="25"/>
        <v>7.6874999999999999E-3</v>
      </c>
    </row>
    <row r="794" spans="1:7" x14ac:dyDescent="0.25">
      <c r="A794" s="8">
        <v>10</v>
      </c>
      <c r="B794" s="8">
        <v>23</v>
      </c>
      <c r="C794" s="8">
        <v>3457.274414</v>
      </c>
      <c r="D794" s="8">
        <v>56316.234375</v>
      </c>
      <c r="E794" s="8">
        <v>56330.113280999998</v>
      </c>
      <c r="F794" s="8">
        <f t="shared" si="24"/>
        <v>13.878905999998096</v>
      </c>
      <c r="G794" s="8">
        <f t="shared" si="25"/>
        <v>1.3878905999998097E-2</v>
      </c>
    </row>
    <row r="795" spans="1:7" x14ac:dyDescent="0.25">
      <c r="A795" s="8">
        <v>10</v>
      </c>
      <c r="B795" s="8">
        <v>24</v>
      </c>
      <c r="C795" s="8">
        <v>338.507721</v>
      </c>
      <c r="D795" s="8">
        <v>59794.3125</v>
      </c>
      <c r="E795" s="8">
        <v>59807.105469000002</v>
      </c>
      <c r="F795" s="8">
        <f t="shared" si="24"/>
        <v>12.792969000001904</v>
      </c>
      <c r="G795" s="8">
        <f t="shared" si="25"/>
        <v>1.2792969000001904E-2</v>
      </c>
    </row>
    <row r="796" spans="1:7" x14ac:dyDescent="0.25">
      <c r="A796" s="8">
        <v>10</v>
      </c>
      <c r="B796" s="8">
        <v>25</v>
      </c>
      <c r="C796" s="8">
        <v>844.22680700000001</v>
      </c>
      <c r="D796" s="8">
        <v>60153.648437999997</v>
      </c>
      <c r="E796" s="8">
        <v>60171.046875</v>
      </c>
      <c r="F796" s="8">
        <f t="shared" si="24"/>
        <v>17.398437000003469</v>
      </c>
      <c r="G796" s="8">
        <f t="shared" si="25"/>
        <v>1.7398437000003469E-2</v>
      </c>
    </row>
    <row r="797" spans="1:7" x14ac:dyDescent="0.25">
      <c r="A797" s="8">
        <v>10</v>
      </c>
      <c r="B797" s="8">
        <v>26</v>
      </c>
      <c r="C797" s="8">
        <v>422.51773100000003</v>
      </c>
      <c r="D797" s="8">
        <v>61028.847655999998</v>
      </c>
      <c r="E797" s="8">
        <v>61049.089844000002</v>
      </c>
      <c r="F797" s="8">
        <f t="shared" si="24"/>
        <v>20.242188000003807</v>
      </c>
      <c r="G797" s="8">
        <f t="shared" si="25"/>
        <v>2.0242188000003807E-2</v>
      </c>
    </row>
    <row r="798" spans="1:7" x14ac:dyDescent="0.25">
      <c r="A798" s="8">
        <v>10</v>
      </c>
      <c r="B798" s="8">
        <v>27</v>
      </c>
      <c r="C798" s="8">
        <v>8405.5429690000001</v>
      </c>
      <c r="D798" s="8">
        <v>61481.972655999998</v>
      </c>
      <c r="E798" s="8">
        <v>61499.3125</v>
      </c>
      <c r="F798" s="8">
        <f t="shared" si="24"/>
        <v>17.339844000001904</v>
      </c>
      <c r="G798" s="8">
        <f t="shared" si="25"/>
        <v>1.7339844000001905E-2</v>
      </c>
    </row>
    <row r="799" spans="1:7" x14ac:dyDescent="0.25">
      <c r="A799" s="8">
        <v>10</v>
      </c>
      <c r="B799" s="8">
        <v>28</v>
      </c>
      <c r="C799" s="8">
        <v>1008.4902949999999</v>
      </c>
      <c r="D799" s="8">
        <v>69905.265625</v>
      </c>
      <c r="E799" s="8">
        <v>69925.953125</v>
      </c>
      <c r="F799" s="8">
        <f t="shared" si="24"/>
        <v>20.6875</v>
      </c>
      <c r="G799" s="8">
        <f t="shared" si="25"/>
        <v>2.0687500000000001E-2</v>
      </c>
    </row>
    <row r="800" spans="1:7" x14ac:dyDescent="0.25">
      <c r="A800" s="8">
        <v>10</v>
      </c>
      <c r="B800" s="8">
        <v>29</v>
      </c>
      <c r="C800" s="8">
        <v>4569.8984380000002</v>
      </c>
      <c r="D800" s="8">
        <v>70945.054688000004</v>
      </c>
      <c r="E800" s="8">
        <v>70956.59375</v>
      </c>
      <c r="F800" s="8">
        <f t="shared" si="24"/>
        <v>11.539061999996193</v>
      </c>
      <c r="G800" s="8">
        <f t="shared" si="25"/>
        <v>1.1539061999996193E-2</v>
      </c>
    </row>
    <row r="801" spans="1:7" x14ac:dyDescent="0.25">
      <c r="A801" s="8">
        <v>10</v>
      </c>
      <c r="B801" s="8">
        <v>30</v>
      </c>
      <c r="C801" s="8">
        <v>792.03710899999999</v>
      </c>
      <c r="D801" s="8">
        <v>75533.953125</v>
      </c>
      <c r="E801" s="8">
        <v>75556.695313000004</v>
      </c>
      <c r="F801" s="8">
        <f t="shared" si="24"/>
        <v>22.742188000003807</v>
      </c>
      <c r="G801" s="8">
        <f t="shared" si="25"/>
        <v>2.2742188000003806E-2</v>
      </c>
    </row>
    <row r="802" spans="1:7" x14ac:dyDescent="0.25">
      <c r="A802" s="8">
        <v>10</v>
      </c>
      <c r="B802" s="8">
        <v>31</v>
      </c>
      <c r="C802" s="8">
        <v>745.95507799999996</v>
      </c>
      <c r="D802" s="8">
        <v>76350.757813000004</v>
      </c>
      <c r="E802" s="8">
        <v>76371.195313000004</v>
      </c>
      <c r="F802" s="8">
        <f t="shared" si="24"/>
        <v>20.4375</v>
      </c>
      <c r="G802" s="8">
        <f t="shared" si="25"/>
        <v>2.0437500000000001E-2</v>
      </c>
    </row>
    <row r="803" spans="1:7" x14ac:dyDescent="0.25">
      <c r="A803" s="8">
        <v>10</v>
      </c>
      <c r="B803" s="8">
        <v>32</v>
      </c>
      <c r="C803" s="8">
        <v>3388.0051269999999</v>
      </c>
      <c r="D803" s="8">
        <v>77116.46875</v>
      </c>
      <c r="E803" s="8">
        <v>77134.148438000004</v>
      </c>
      <c r="F803" s="8">
        <f t="shared" si="24"/>
        <v>17.679688000003807</v>
      </c>
      <c r="G803" s="8">
        <f t="shared" si="25"/>
        <v>1.7679688000003808E-2</v>
      </c>
    </row>
    <row r="804" spans="1:7" x14ac:dyDescent="0.25">
      <c r="A804" s="8">
        <v>10</v>
      </c>
      <c r="B804" s="8">
        <v>33</v>
      </c>
      <c r="C804" s="8">
        <v>1925.147827</v>
      </c>
      <c r="D804" s="8">
        <v>80536.3125</v>
      </c>
      <c r="E804" s="8">
        <v>80553.59375</v>
      </c>
      <c r="F804" s="8">
        <f t="shared" si="24"/>
        <v>17.28125</v>
      </c>
      <c r="G804" s="8">
        <f t="shared" si="25"/>
        <v>1.7281250000000001E-2</v>
      </c>
    </row>
    <row r="805" spans="1:7" x14ac:dyDescent="0.25">
      <c r="A805" s="8">
        <v>10</v>
      </c>
      <c r="B805" s="8">
        <v>34</v>
      </c>
      <c r="C805" s="8">
        <v>2363.101807</v>
      </c>
      <c r="D805" s="8">
        <v>82479.914063000004</v>
      </c>
      <c r="E805" s="8">
        <v>82495.523438000004</v>
      </c>
      <c r="F805" s="8">
        <f t="shared" si="24"/>
        <v>15.609375</v>
      </c>
      <c r="G805" s="8">
        <f t="shared" si="25"/>
        <v>1.5609375E-2</v>
      </c>
    </row>
    <row r="806" spans="1:7" x14ac:dyDescent="0.25">
      <c r="A806" s="8">
        <v>10</v>
      </c>
      <c r="B806" s="8">
        <v>35</v>
      </c>
      <c r="C806" s="8">
        <v>536.13824499999998</v>
      </c>
      <c r="D806" s="8">
        <v>84860.210938000004</v>
      </c>
      <c r="E806" s="8">
        <v>84877.632813000004</v>
      </c>
      <c r="F806" s="8">
        <f t="shared" si="24"/>
        <v>17.421875</v>
      </c>
      <c r="G806" s="8">
        <f t="shared" si="25"/>
        <v>1.7421875E-2</v>
      </c>
    </row>
    <row r="807" spans="1:7" x14ac:dyDescent="0.25">
      <c r="A807" s="8">
        <v>10</v>
      </c>
      <c r="B807" s="8">
        <v>36</v>
      </c>
      <c r="C807" s="8">
        <v>394.36825599999997</v>
      </c>
      <c r="D807" s="8">
        <v>85424.5</v>
      </c>
      <c r="E807" s="8">
        <v>85435.90625</v>
      </c>
      <c r="F807" s="8">
        <f t="shared" si="24"/>
        <v>11.40625</v>
      </c>
      <c r="G807" s="8">
        <f t="shared" si="25"/>
        <v>1.140625E-2</v>
      </c>
    </row>
    <row r="808" spans="1:7" x14ac:dyDescent="0.25">
      <c r="A808" s="8">
        <v>10</v>
      </c>
      <c r="B808" s="8">
        <v>37</v>
      </c>
      <c r="C808" s="8">
        <v>1483.276611</v>
      </c>
      <c r="D808" s="8">
        <v>85830.75</v>
      </c>
      <c r="E808" s="8">
        <v>85847.632813000004</v>
      </c>
      <c r="F808" s="8">
        <f t="shared" si="24"/>
        <v>16.882813000003807</v>
      </c>
      <c r="G808" s="8">
        <f t="shared" si="25"/>
        <v>1.6882813000003806E-2</v>
      </c>
    </row>
    <row r="809" spans="1:7" x14ac:dyDescent="0.25">
      <c r="A809" s="8">
        <v>10</v>
      </c>
      <c r="B809" s="8">
        <v>38</v>
      </c>
      <c r="C809" s="8">
        <v>3273.7617190000001</v>
      </c>
      <c r="D809" s="8">
        <v>87332.632813000004</v>
      </c>
      <c r="E809" s="8">
        <v>87359.84375</v>
      </c>
      <c r="F809" s="8">
        <f t="shared" si="24"/>
        <v>27.210936999996193</v>
      </c>
      <c r="G809" s="8">
        <f t="shared" si="25"/>
        <v>2.7210936999996192E-2</v>
      </c>
    </row>
    <row r="810" spans="1:7" x14ac:dyDescent="0.25">
      <c r="A810" s="8">
        <v>10</v>
      </c>
      <c r="B810" s="8">
        <v>39</v>
      </c>
      <c r="C810" s="8">
        <v>7822.0327150000003</v>
      </c>
      <c r="D810" s="8">
        <v>90636.101563000004</v>
      </c>
      <c r="E810" s="8">
        <v>90657.054688000004</v>
      </c>
      <c r="F810" s="8">
        <f t="shared" si="24"/>
        <v>20.953125</v>
      </c>
      <c r="G810" s="8">
        <f t="shared" si="25"/>
        <v>2.0953125E-2</v>
      </c>
    </row>
    <row r="811" spans="1:7" x14ac:dyDescent="0.25">
      <c r="A811" s="8">
        <v>10</v>
      </c>
      <c r="B811" s="8">
        <v>40</v>
      </c>
      <c r="C811" s="8">
        <v>10582.462890999999</v>
      </c>
      <c r="D811" s="8">
        <v>98488.398438000004</v>
      </c>
      <c r="E811" s="8">
        <v>98499.65625</v>
      </c>
      <c r="F811" s="8">
        <f t="shared" si="24"/>
        <v>11.257811999996193</v>
      </c>
      <c r="G811" s="8">
        <f t="shared" si="25"/>
        <v>1.1257811999996193E-2</v>
      </c>
    </row>
    <row r="812" spans="1:7" x14ac:dyDescent="0.25">
      <c r="A812" s="8">
        <v>10</v>
      </c>
      <c r="B812" s="8">
        <v>41</v>
      </c>
      <c r="C812" s="8">
        <v>80.901473999999993</v>
      </c>
      <c r="D812" s="8">
        <v>109094.945313</v>
      </c>
      <c r="E812" s="8">
        <v>109112.367188</v>
      </c>
      <c r="F812" s="8">
        <f t="shared" si="24"/>
        <v>17.421875</v>
      </c>
      <c r="G812" s="8">
        <f t="shared" si="25"/>
        <v>1.7421875E-2</v>
      </c>
    </row>
    <row r="813" spans="1:7" x14ac:dyDescent="0.25">
      <c r="A813" s="8">
        <v>10</v>
      </c>
      <c r="B813" s="8">
        <v>42</v>
      </c>
      <c r="C813" s="8">
        <v>40.321930000000002</v>
      </c>
      <c r="D813" s="8">
        <v>109204.359375</v>
      </c>
      <c r="E813" s="8">
        <v>109219.257813</v>
      </c>
      <c r="F813" s="8">
        <f t="shared" si="24"/>
        <v>14.898438000003807</v>
      </c>
      <c r="G813" s="8">
        <f t="shared" si="25"/>
        <v>1.4898438000003808E-2</v>
      </c>
    </row>
    <row r="814" spans="1:7" x14ac:dyDescent="0.25">
      <c r="A814" s="8">
        <v>10</v>
      </c>
      <c r="B814" s="8">
        <v>43</v>
      </c>
      <c r="C814" s="8">
        <v>179.45130900000001</v>
      </c>
      <c r="D814" s="8">
        <v>109266.84375</v>
      </c>
      <c r="E814" s="8">
        <v>109286.875</v>
      </c>
      <c r="F814" s="8">
        <f t="shared" si="24"/>
        <v>20.03125</v>
      </c>
      <c r="G814" s="8">
        <f t="shared" si="25"/>
        <v>2.003125E-2</v>
      </c>
    </row>
    <row r="815" spans="1:7" x14ac:dyDescent="0.25">
      <c r="A815" s="8">
        <v>10</v>
      </c>
      <c r="B815" s="8">
        <v>44</v>
      </c>
      <c r="C815" s="8">
        <v>763.67059300000005</v>
      </c>
      <c r="D815" s="8">
        <v>109470.03125</v>
      </c>
      <c r="E815" s="8">
        <v>109485.390625</v>
      </c>
      <c r="F815" s="8">
        <f t="shared" si="24"/>
        <v>15.359375</v>
      </c>
      <c r="G815" s="8">
        <f t="shared" si="25"/>
        <v>1.5359375E-2</v>
      </c>
    </row>
    <row r="816" spans="1:7" x14ac:dyDescent="0.25">
      <c r="A816" s="8">
        <v>10</v>
      </c>
      <c r="B816" s="8">
        <v>45</v>
      </c>
      <c r="C816" s="8">
        <v>1332.161255</v>
      </c>
      <c r="D816" s="8">
        <v>110252.101563</v>
      </c>
      <c r="E816" s="8">
        <v>110273.273438</v>
      </c>
      <c r="F816" s="8">
        <f t="shared" si="24"/>
        <v>21.171875</v>
      </c>
      <c r="G816" s="8">
        <f t="shared" si="25"/>
        <v>2.1171875E-2</v>
      </c>
    </row>
    <row r="817" spans="1:7" x14ac:dyDescent="0.25">
      <c r="A817" s="8">
        <v>10</v>
      </c>
      <c r="B817" s="8">
        <v>46</v>
      </c>
      <c r="C817" s="8">
        <v>1146.006836</v>
      </c>
      <c r="D817" s="8">
        <v>111611.671875</v>
      </c>
      <c r="E817" s="8">
        <v>111628.515625</v>
      </c>
      <c r="F817" s="8">
        <f t="shared" si="24"/>
        <v>16.84375</v>
      </c>
      <c r="G817" s="8">
        <f t="shared" si="25"/>
        <v>1.6843750000000001E-2</v>
      </c>
    </row>
    <row r="818" spans="1:7" x14ac:dyDescent="0.25">
      <c r="A818" s="8">
        <v>10</v>
      </c>
      <c r="B818" s="8">
        <v>47</v>
      </c>
      <c r="C818" s="8">
        <v>1709.892822</v>
      </c>
      <c r="D818" s="8">
        <v>112775.5</v>
      </c>
      <c r="E818" s="8">
        <v>112793.804688</v>
      </c>
      <c r="F818" s="8">
        <f t="shared" si="24"/>
        <v>18.304688000003807</v>
      </c>
      <c r="G818" s="8">
        <f t="shared" si="25"/>
        <v>1.8304688000003809E-2</v>
      </c>
    </row>
    <row r="819" spans="1:7" x14ac:dyDescent="0.25">
      <c r="A819" s="8">
        <v>10</v>
      </c>
      <c r="B819" s="8">
        <v>48</v>
      </c>
      <c r="C819" s="8">
        <v>1940.227783</v>
      </c>
      <c r="D819" s="8">
        <v>114503.257813</v>
      </c>
      <c r="E819" s="8">
        <v>114521.859375</v>
      </c>
      <c r="F819" s="8">
        <f t="shared" si="24"/>
        <v>18.601561999996193</v>
      </c>
      <c r="G819" s="8">
        <f t="shared" si="25"/>
        <v>1.8601561999996193E-2</v>
      </c>
    </row>
    <row r="820" spans="1:7" x14ac:dyDescent="0.25">
      <c r="A820" s="8">
        <v>10</v>
      </c>
      <c r="B820" s="8">
        <v>49</v>
      </c>
      <c r="C820" s="8">
        <v>765.638733</v>
      </c>
      <c r="D820" s="8">
        <v>116473.882813</v>
      </c>
      <c r="E820" s="8">
        <v>116485.726563</v>
      </c>
      <c r="F820" s="8">
        <f t="shared" si="24"/>
        <v>11.84375</v>
      </c>
      <c r="G820" s="8">
        <f t="shared" si="25"/>
        <v>1.184375E-2</v>
      </c>
    </row>
    <row r="821" spans="1:7" x14ac:dyDescent="0.25">
      <c r="A821" s="8">
        <v>10</v>
      </c>
      <c r="B821" s="8">
        <v>50</v>
      </c>
      <c r="C821" s="8">
        <v>1620.9145510000001</v>
      </c>
      <c r="D821" s="8">
        <v>117254.15625</v>
      </c>
      <c r="E821" s="8">
        <v>117276.195313</v>
      </c>
      <c r="F821" s="8">
        <f t="shared" si="24"/>
        <v>22.039063000003807</v>
      </c>
      <c r="G821" s="8">
        <f t="shared" si="25"/>
        <v>2.2039063000003807E-2</v>
      </c>
    </row>
    <row r="822" spans="1:7" x14ac:dyDescent="0.25">
      <c r="A822" s="8">
        <v>10</v>
      </c>
      <c r="B822" s="8">
        <v>51</v>
      </c>
      <c r="C822" s="8">
        <v>3770.7973630000001</v>
      </c>
      <c r="D822" s="8">
        <v>118900.726563</v>
      </c>
      <c r="E822" s="8">
        <v>118994.945313</v>
      </c>
      <c r="F822" s="8">
        <f t="shared" si="24"/>
        <v>94.21875</v>
      </c>
      <c r="G822" s="8">
        <f t="shared" si="25"/>
        <v>9.4218750000000004E-2</v>
      </c>
    </row>
    <row r="823" spans="1:7" x14ac:dyDescent="0.25">
      <c r="A823" s="8">
        <v>10</v>
      </c>
      <c r="B823" s="8">
        <v>52</v>
      </c>
      <c r="C823" s="8">
        <v>1320.196899</v>
      </c>
      <c r="D823" s="8">
        <v>122769.414063</v>
      </c>
      <c r="E823" s="8">
        <v>122825.390625</v>
      </c>
      <c r="F823" s="8">
        <f t="shared" si="24"/>
        <v>55.976561999996193</v>
      </c>
      <c r="G823" s="8">
        <f t="shared" si="25"/>
        <v>5.5976561999996191E-2</v>
      </c>
    </row>
    <row r="824" spans="1:7" x14ac:dyDescent="0.25">
      <c r="A824" s="8">
        <v>10</v>
      </c>
      <c r="B824" s="8">
        <v>53</v>
      </c>
      <c r="C824" s="8">
        <v>6162.5874020000001</v>
      </c>
      <c r="D824" s="8">
        <v>124158.15625</v>
      </c>
      <c r="E824" s="8">
        <v>124176.9375</v>
      </c>
      <c r="F824" s="8">
        <f t="shared" si="24"/>
        <v>18.78125</v>
      </c>
      <c r="G824" s="8">
        <f t="shared" si="25"/>
        <v>1.8781249999999999E-2</v>
      </c>
    </row>
    <row r="825" spans="1:7" x14ac:dyDescent="0.25">
      <c r="A825" s="8">
        <v>10</v>
      </c>
      <c r="B825" s="8">
        <v>54</v>
      </c>
      <c r="C825" s="8">
        <v>359.65649400000001</v>
      </c>
      <c r="D825" s="8">
        <v>130348.382813</v>
      </c>
      <c r="E825" s="8">
        <v>130357.148438</v>
      </c>
      <c r="F825" s="8">
        <f t="shared" si="24"/>
        <v>8.765625</v>
      </c>
      <c r="G825" s="8">
        <f t="shared" si="25"/>
        <v>8.7656250000000008E-3</v>
      </c>
    </row>
    <row r="826" spans="1:7" x14ac:dyDescent="0.25">
      <c r="A826" s="8">
        <v>10</v>
      </c>
      <c r="B826" s="8">
        <v>55</v>
      </c>
      <c r="C826" s="8">
        <v>4860.4873049999997</v>
      </c>
      <c r="D826" s="8">
        <v>130723.429688</v>
      </c>
      <c r="E826" s="8">
        <v>130740.09375</v>
      </c>
      <c r="F826" s="8">
        <f t="shared" si="24"/>
        <v>16.664061999996193</v>
      </c>
      <c r="G826" s="8">
        <f t="shared" si="25"/>
        <v>1.6664061999996194E-2</v>
      </c>
    </row>
    <row r="827" spans="1:7" x14ac:dyDescent="0.25">
      <c r="A827" s="8">
        <v>10</v>
      </c>
      <c r="B827" s="8">
        <v>56</v>
      </c>
      <c r="C827" s="8">
        <v>678.24945100000002</v>
      </c>
      <c r="D827" s="8">
        <v>135600.8125</v>
      </c>
      <c r="E827" s="8">
        <v>135623.75</v>
      </c>
      <c r="F827" s="8">
        <f t="shared" si="24"/>
        <v>22.9375</v>
      </c>
      <c r="G827" s="8">
        <f t="shared" si="25"/>
        <v>2.29375E-2</v>
      </c>
    </row>
    <row r="828" spans="1:7" x14ac:dyDescent="0.25">
      <c r="A828" s="8">
        <v>10</v>
      </c>
      <c r="B828" s="8">
        <v>57</v>
      </c>
      <c r="C828" s="8">
        <v>1571.0271</v>
      </c>
      <c r="D828" s="8">
        <v>136303.8125</v>
      </c>
      <c r="E828" s="8">
        <v>136326.890625</v>
      </c>
      <c r="F828" s="8">
        <f t="shared" si="24"/>
        <v>23.078125</v>
      </c>
      <c r="G828" s="8">
        <f t="shared" si="25"/>
        <v>2.3078125000000001E-2</v>
      </c>
    </row>
    <row r="829" spans="1:7" x14ac:dyDescent="0.25">
      <c r="A829" s="8">
        <v>10</v>
      </c>
      <c r="B829" s="8">
        <v>58</v>
      </c>
      <c r="C829" s="8">
        <v>1067.877808</v>
      </c>
      <c r="D829" s="8">
        <v>137906.21875</v>
      </c>
      <c r="E829" s="8">
        <v>137915.75</v>
      </c>
      <c r="F829" s="8">
        <f t="shared" si="24"/>
        <v>9.53125</v>
      </c>
      <c r="G829" s="8">
        <f t="shared" si="25"/>
        <v>9.5312499999999998E-3</v>
      </c>
    </row>
    <row r="830" spans="1:7" x14ac:dyDescent="0.25">
      <c r="A830" s="8">
        <v>10</v>
      </c>
      <c r="B830" s="8">
        <v>59</v>
      </c>
      <c r="C830" s="8">
        <v>38.330021000000002</v>
      </c>
      <c r="D830" s="8">
        <v>138990.640625</v>
      </c>
      <c r="E830" s="8">
        <v>139010.46875</v>
      </c>
      <c r="F830" s="8">
        <f t="shared" si="24"/>
        <v>19.828125</v>
      </c>
      <c r="G830" s="8">
        <f t="shared" si="25"/>
        <v>1.9828124999999999E-2</v>
      </c>
    </row>
    <row r="831" spans="1:7" x14ac:dyDescent="0.25">
      <c r="A831" s="8">
        <v>10</v>
      </c>
      <c r="B831" s="8">
        <v>60</v>
      </c>
      <c r="C831" s="8">
        <v>2198.9343260000001</v>
      </c>
      <c r="D831" s="8">
        <v>139053.15625</v>
      </c>
      <c r="E831" s="8">
        <v>139070.375</v>
      </c>
      <c r="F831" s="8">
        <f t="shared" si="24"/>
        <v>17.21875</v>
      </c>
      <c r="G831" s="8">
        <f t="shared" si="25"/>
        <v>1.7218750000000001E-2</v>
      </c>
    </row>
    <row r="832" spans="1:7" x14ac:dyDescent="0.25">
      <c r="A832" s="8">
        <v>10</v>
      </c>
      <c r="B832" s="8">
        <v>61</v>
      </c>
      <c r="C832" s="8">
        <v>1442.5611570000001</v>
      </c>
      <c r="D832" s="8">
        <v>141282.28125</v>
      </c>
      <c r="E832" s="8">
        <v>141293.515625</v>
      </c>
      <c r="F832" s="8">
        <f t="shared" si="24"/>
        <v>11.234375</v>
      </c>
      <c r="G832" s="8">
        <f t="shared" si="25"/>
        <v>1.1234375E-2</v>
      </c>
    </row>
    <row r="833" spans="1:7" x14ac:dyDescent="0.25">
      <c r="A833" s="8">
        <v>10</v>
      </c>
      <c r="B833" s="8">
        <v>62</v>
      </c>
      <c r="C833" s="8">
        <v>1616.9377440000001</v>
      </c>
      <c r="D833" s="8">
        <v>142749.609375</v>
      </c>
      <c r="E833" s="8">
        <v>142763.609375</v>
      </c>
      <c r="F833" s="8">
        <f t="shared" si="24"/>
        <v>14</v>
      </c>
      <c r="G833" s="8">
        <f t="shared" si="25"/>
        <v>1.4E-2</v>
      </c>
    </row>
    <row r="834" spans="1:7" x14ac:dyDescent="0.25">
      <c r="A834" s="8">
        <v>10</v>
      </c>
      <c r="B834" s="8">
        <v>63</v>
      </c>
      <c r="C834" s="8">
        <v>794.215149</v>
      </c>
      <c r="D834" s="8">
        <v>144384.9375</v>
      </c>
      <c r="E834" s="8">
        <v>144393.703125</v>
      </c>
      <c r="F834" s="8">
        <f t="shared" si="24"/>
        <v>8.765625</v>
      </c>
      <c r="G834" s="8">
        <f t="shared" si="25"/>
        <v>8.7656250000000008E-3</v>
      </c>
    </row>
    <row r="835" spans="1:7" x14ac:dyDescent="0.25">
      <c r="A835" s="8">
        <v>10</v>
      </c>
      <c r="B835" s="8">
        <v>64</v>
      </c>
      <c r="C835" s="8">
        <v>4712.1723629999997</v>
      </c>
      <c r="D835" s="8">
        <v>145193.328125</v>
      </c>
      <c r="E835" s="8">
        <v>145203.828125</v>
      </c>
      <c r="F835" s="8">
        <f t="shared" si="24"/>
        <v>10.5</v>
      </c>
      <c r="G835" s="8">
        <f t="shared" si="25"/>
        <v>1.0500000000000001E-2</v>
      </c>
    </row>
    <row r="836" spans="1:7" x14ac:dyDescent="0.25">
      <c r="A836" s="8">
        <v>10</v>
      </c>
      <c r="B836" s="8">
        <v>65</v>
      </c>
      <c r="C836" s="8">
        <v>531.27624500000002</v>
      </c>
      <c r="D836" s="8">
        <v>149920.703125</v>
      </c>
      <c r="E836" s="8">
        <v>149943.9375</v>
      </c>
      <c r="F836" s="8">
        <f t="shared" si="24"/>
        <v>23.234375</v>
      </c>
      <c r="G836" s="8">
        <f t="shared" si="25"/>
        <v>2.3234375000000002E-2</v>
      </c>
    </row>
    <row r="837" spans="1:7" x14ac:dyDescent="0.25">
      <c r="A837" s="8">
        <v>10</v>
      </c>
      <c r="B837" s="8">
        <v>66</v>
      </c>
      <c r="C837" s="8">
        <v>743.29803500000003</v>
      </c>
      <c r="D837" s="8">
        <v>150483.25</v>
      </c>
      <c r="E837" s="8">
        <v>150506.28125</v>
      </c>
      <c r="F837" s="8">
        <f t="shared" si="24"/>
        <v>23.03125</v>
      </c>
      <c r="G837" s="8">
        <f t="shared" si="25"/>
        <v>2.303125E-2</v>
      </c>
    </row>
    <row r="838" spans="1:7" x14ac:dyDescent="0.25">
      <c r="A838" s="8">
        <v>10</v>
      </c>
      <c r="B838" s="8">
        <v>67</v>
      </c>
      <c r="C838" s="8">
        <v>2198.5678710000002</v>
      </c>
      <c r="D838" s="8">
        <v>151264.515625</v>
      </c>
      <c r="E838" s="8">
        <v>151285.625</v>
      </c>
      <c r="F838" s="8">
        <f t="shared" si="24"/>
        <v>21.109375</v>
      </c>
      <c r="G838" s="8">
        <f t="shared" si="25"/>
        <v>2.1109375E-2</v>
      </c>
    </row>
    <row r="839" spans="1:7" x14ac:dyDescent="0.25">
      <c r="A839" s="8">
        <v>10</v>
      </c>
      <c r="B839" s="8">
        <v>68</v>
      </c>
      <c r="C839" s="8">
        <v>35.967083000000002</v>
      </c>
      <c r="D839" s="8">
        <v>153484.5625</v>
      </c>
      <c r="E839" s="8">
        <v>153492.375</v>
      </c>
      <c r="F839" s="8">
        <f t="shared" si="24"/>
        <v>7.8125</v>
      </c>
      <c r="G839" s="8">
        <f t="shared" si="25"/>
        <v>7.8125E-3</v>
      </c>
    </row>
    <row r="840" spans="1:7" x14ac:dyDescent="0.25">
      <c r="A840" s="8">
        <v>10</v>
      </c>
      <c r="B840" s="8">
        <v>69</v>
      </c>
      <c r="C840" s="8">
        <v>2109.5126949999999</v>
      </c>
      <c r="D840" s="8">
        <v>153531.453125</v>
      </c>
      <c r="E840" s="8">
        <v>153543.734375</v>
      </c>
      <c r="F840" s="8">
        <f t="shared" si="24"/>
        <v>12.28125</v>
      </c>
      <c r="G840" s="8">
        <f t="shared" si="25"/>
        <v>1.228125E-2</v>
      </c>
    </row>
    <row r="841" spans="1:7" x14ac:dyDescent="0.25">
      <c r="A841" s="8">
        <v>10</v>
      </c>
      <c r="B841" s="8">
        <v>70</v>
      </c>
      <c r="C841" s="8">
        <v>851.50140399999998</v>
      </c>
      <c r="D841" s="8">
        <v>155656.734375</v>
      </c>
      <c r="E841" s="8">
        <v>155671.390625</v>
      </c>
      <c r="F841" s="8">
        <f t="shared" si="24"/>
        <v>14.65625</v>
      </c>
      <c r="G841" s="8">
        <f t="shared" si="25"/>
        <v>1.4656249999999999E-2</v>
      </c>
    </row>
    <row r="842" spans="1:7" x14ac:dyDescent="0.25">
      <c r="A842" s="8">
        <v>10</v>
      </c>
      <c r="B842" s="8">
        <v>71</v>
      </c>
      <c r="C842" s="8">
        <v>3.1153369999999998</v>
      </c>
      <c r="D842" s="8">
        <v>156531.78125</v>
      </c>
      <c r="E842" s="8">
        <v>156555.265625</v>
      </c>
      <c r="F842" s="8">
        <f t="shared" si="24"/>
        <v>23.484375</v>
      </c>
      <c r="G842" s="8">
        <f t="shared" si="25"/>
        <v>2.3484374999999998E-2</v>
      </c>
    </row>
    <row r="843" spans="1:7" x14ac:dyDescent="0.25">
      <c r="A843" s="8">
        <v>10</v>
      </c>
      <c r="B843" s="8">
        <v>72</v>
      </c>
      <c r="C843" s="8">
        <v>2604.0463869999999</v>
      </c>
      <c r="D843" s="8">
        <v>156563.046875</v>
      </c>
      <c r="E843" s="8">
        <v>156574.359375</v>
      </c>
      <c r="F843" s="8">
        <f t="shared" ref="F843:F906" si="26">E843-D843</f>
        <v>11.3125</v>
      </c>
      <c r="G843" s="8">
        <f t="shared" ref="G843:G906" si="27">F843/1000</f>
        <v>1.13125E-2</v>
      </c>
    </row>
    <row r="844" spans="1:7" x14ac:dyDescent="0.25">
      <c r="A844" s="8">
        <v>10</v>
      </c>
      <c r="B844" s="8">
        <v>73</v>
      </c>
      <c r="C844" s="8">
        <v>558.36657700000001</v>
      </c>
      <c r="D844" s="8">
        <v>159189.359375</v>
      </c>
      <c r="E844" s="8">
        <v>159216.421875</v>
      </c>
      <c r="F844" s="8">
        <f t="shared" si="26"/>
        <v>27.0625</v>
      </c>
      <c r="G844" s="8">
        <f t="shared" si="27"/>
        <v>2.70625E-2</v>
      </c>
    </row>
    <row r="845" spans="1:7" x14ac:dyDescent="0.25">
      <c r="A845" s="8">
        <v>10</v>
      </c>
      <c r="B845" s="8">
        <v>74</v>
      </c>
      <c r="C845" s="8">
        <v>3299.3325199999999</v>
      </c>
      <c r="D845" s="8">
        <v>159783.125</v>
      </c>
      <c r="E845" s="8">
        <v>159807.796875</v>
      </c>
      <c r="F845" s="8">
        <f t="shared" si="26"/>
        <v>24.671875</v>
      </c>
      <c r="G845" s="8">
        <f t="shared" si="27"/>
        <v>2.4671874999999999E-2</v>
      </c>
    </row>
    <row r="846" spans="1:7" x14ac:dyDescent="0.25">
      <c r="A846" s="8">
        <v>10</v>
      </c>
      <c r="B846" s="8">
        <v>75</v>
      </c>
      <c r="C846" s="8">
        <v>2371.874268</v>
      </c>
      <c r="D846" s="8">
        <v>163112.109375</v>
      </c>
      <c r="E846" s="8">
        <v>163233.71875</v>
      </c>
      <c r="F846" s="8">
        <f t="shared" si="26"/>
        <v>121.609375</v>
      </c>
      <c r="G846" s="8">
        <f t="shared" si="27"/>
        <v>0.12160937500000001</v>
      </c>
    </row>
    <row r="847" spans="1:7" x14ac:dyDescent="0.25">
      <c r="A847" s="8">
        <v>10</v>
      </c>
      <c r="B847" s="8">
        <v>76</v>
      </c>
      <c r="C847" s="8">
        <v>120.375854</v>
      </c>
      <c r="D847" s="8">
        <v>165608.4375</v>
      </c>
      <c r="E847" s="8">
        <v>165631.0625</v>
      </c>
      <c r="F847" s="8">
        <f t="shared" si="26"/>
        <v>22.625</v>
      </c>
      <c r="G847" s="8">
        <f t="shared" si="27"/>
        <v>2.2624999999999999E-2</v>
      </c>
    </row>
    <row r="848" spans="1:7" x14ac:dyDescent="0.25">
      <c r="A848" s="8">
        <v>10</v>
      </c>
      <c r="B848" s="8">
        <v>77</v>
      </c>
      <c r="C848" s="8">
        <v>229.61625699999999</v>
      </c>
      <c r="D848" s="8">
        <v>165764.8125</v>
      </c>
      <c r="E848" s="8">
        <v>165779.296875</v>
      </c>
      <c r="F848" s="8">
        <f t="shared" si="26"/>
        <v>14.484375</v>
      </c>
      <c r="G848" s="8">
        <f t="shared" si="27"/>
        <v>1.4484375000000001E-2</v>
      </c>
    </row>
    <row r="849" spans="1:7" x14ac:dyDescent="0.25">
      <c r="A849" s="8">
        <v>10</v>
      </c>
      <c r="B849" s="8">
        <v>78</v>
      </c>
      <c r="C849" s="8">
        <v>998.40954599999998</v>
      </c>
      <c r="D849" s="8">
        <v>166014.875</v>
      </c>
      <c r="E849" s="8">
        <v>166025.515625</v>
      </c>
      <c r="F849" s="8">
        <f t="shared" si="26"/>
        <v>10.640625</v>
      </c>
      <c r="G849" s="8">
        <f t="shared" si="27"/>
        <v>1.0640625000000001E-2</v>
      </c>
    </row>
    <row r="850" spans="1:7" x14ac:dyDescent="0.25">
      <c r="A850" s="8">
        <v>10</v>
      </c>
      <c r="B850" s="8">
        <v>79</v>
      </c>
      <c r="C850" s="8">
        <v>338.86917099999999</v>
      </c>
      <c r="D850" s="8">
        <v>167036.34375</v>
      </c>
      <c r="E850" s="8">
        <v>167054.203125</v>
      </c>
      <c r="F850" s="8">
        <f t="shared" si="26"/>
        <v>17.859375</v>
      </c>
      <c r="G850" s="8">
        <f t="shared" si="27"/>
        <v>1.7859375E-2</v>
      </c>
    </row>
    <row r="851" spans="1:7" x14ac:dyDescent="0.25">
      <c r="A851" s="8">
        <v>10</v>
      </c>
      <c r="B851" s="8">
        <v>80</v>
      </c>
      <c r="C851" s="8">
        <v>2828.2277829999998</v>
      </c>
      <c r="D851" s="8">
        <v>167400.46875</v>
      </c>
      <c r="E851" s="8">
        <v>167428.3125</v>
      </c>
      <c r="F851" s="8">
        <f t="shared" si="26"/>
        <v>27.84375</v>
      </c>
      <c r="G851" s="8">
        <f t="shared" si="27"/>
        <v>2.784375E-2</v>
      </c>
    </row>
    <row r="852" spans="1:7" x14ac:dyDescent="0.25">
      <c r="A852" s="8">
        <v>11</v>
      </c>
      <c r="B852" s="8">
        <v>0</v>
      </c>
      <c r="C852" s="8">
        <v>7052.171875</v>
      </c>
      <c r="D852" s="8">
        <v>21313.027343999998</v>
      </c>
      <c r="E852" s="8">
        <v>21324.458984000001</v>
      </c>
      <c r="F852" s="8">
        <f t="shared" si="26"/>
        <v>11.431640000002517</v>
      </c>
      <c r="G852" s="8">
        <f t="shared" si="27"/>
        <v>1.1431640000002517E-2</v>
      </c>
    </row>
    <row r="853" spans="1:7" x14ac:dyDescent="0.25">
      <c r="A853" s="8">
        <v>11</v>
      </c>
      <c r="B853" s="8">
        <v>1</v>
      </c>
      <c r="C853" s="8">
        <v>2191.4345699999999</v>
      </c>
      <c r="D853" s="8">
        <v>28387.023438</v>
      </c>
      <c r="E853" s="8">
        <v>28404.125</v>
      </c>
      <c r="F853" s="8">
        <f t="shared" si="26"/>
        <v>17.101561999999831</v>
      </c>
      <c r="G853" s="8">
        <f t="shared" si="27"/>
        <v>1.7101561999999831E-2</v>
      </c>
    </row>
    <row r="854" spans="1:7" x14ac:dyDescent="0.25">
      <c r="A854" s="8">
        <v>11</v>
      </c>
      <c r="B854" s="8">
        <v>2</v>
      </c>
      <c r="C854" s="8">
        <v>2633.8911130000001</v>
      </c>
      <c r="D854" s="8">
        <v>30608.960938</v>
      </c>
      <c r="E854" s="8">
        <v>30621.429688</v>
      </c>
      <c r="F854" s="8">
        <f t="shared" si="26"/>
        <v>12.46875</v>
      </c>
      <c r="G854" s="8">
        <f t="shared" si="27"/>
        <v>1.2468750000000001E-2</v>
      </c>
    </row>
    <row r="855" spans="1:7" x14ac:dyDescent="0.25">
      <c r="A855" s="8">
        <v>11</v>
      </c>
      <c r="B855" s="8">
        <v>3</v>
      </c>
      <c r="C855" s="8">
        <v>1130.8009030000001</v>
      </c>
      <c r="D855" s="8">
        <v>33270.179687999997</v>
      </c>
      <c r="E855" s="8">
        <v>33281.382812999997</v>
      </c>
      <c r="F855" s="8">
        <f t="shared" si="26"/>
        <v>11.203125</v>
      </c>
      <c r="G855" s="8">
        <f t="shared" si="27"/>
        <v>1.1203125E-2</v>
      </c>
    </row>
    <row r="856" spans="1:7" x14ac:dyDescent="0.25">
      <c r="A856" s="8">
        <v>11</v>
      </c>
      <c r="B856" s="8">
        <v>4</v>
      </c>
      <c r="C856" s="8">
        <v>153.119034</v>
      </c>
      <c r="D856" s="8">
        <v>34420.59375</v>
      </c>
      <c r="E856" s="8">
        <v>34434.859375</v>
      </c>
      <c r="F856" s="8">
        <f t="shared" si="26"/>
        <v>14.265625</v>
      </c>
      <c r="G856" s="8">
        <f t="shared" si="27"/>
        <v>1.4265625000000001E-2</v>
      </c>
    </row>
    <row r="857" spans="1:7" x14ac:dyDescent="0.25">
      <c r="A857" s="8">
        <v>11</v>
      </c>
      <c r="B857" s="8">
        <v>5</v>
      </c>
      <c r="C857" s="8">
        <v>233.590912</v>
      </c>
      <c r="D857" s="8">
        <v>34592.433594000002</v>
      </c>
      <c r="E857" s="8">
        <v>34601.5</v>
      </c>
      <c r="F857" s="8">
        <f t="shared" si="26"/>
        <v>9.0664059999980964</v>
      </c>
      <c r="G857" s="8">
        <f t="shared" si="27"/>
        <v>9.0664059999980961E-3</v>
      </c>
    </row>
    <row r="858" spans="1:7" x14ac:dyDescent="0.25">
      <c r="A858" s="8">
        <v>11</v>
      </c>
      <c r="B858" s="8">
        <v>6</v>
      </c>
      <c r="C858" s="8">
        <v>116.102074</v>
      </c>
      <c r="D858" s="8">
        <v>34842.53125</v>
      </c>
      <c r="E858" s="8">
        <v>34854.441405999998</v>
      </c>
      <c r="F858" s="8">
        <f t="shared" si="26"/>
        <v>11.910155999998096</v>
      </c>
      <c r="G858" s="8">
        <f t="shared" si="27"/>
        <v>1.1910155999998097E-2</v>
      </c>
    </row>
    <row r="859" spans="1:7" x14ac:dyDescent="0.25">
      <c r="A859" s="8">
        <v>11</v>
      </c>
      <c r="B859" s="8">
        <v>7</v>
      </c>
      <c r="C859" s="8">
        <v>2583.0620119999999</v>
      </c>
      <c r="D859" s="8">
        <v>34983.152344000002</v>
      </c>
      <c r="E859" s="8">
        <v>34995.214844000002</v>
      </c>
      <c r="F859" s="8">
        <f t="shared" si="26"/>
        <v>12.0625</v>
      </c>
      <c r="G859" s="8">
        <f t="shared" si="27"/>
        <v>1.20625E-2</v>
      </c>
    </row>
    <row r="860" spans="1:7" x14ac:dyDescent="0.25">
      <c r="A860" s="8">
        <v>11</v>
      </c>
      <c r="B860" s="8">
        <v>8</v>
      </c>
      <c r="C860" s="8">
        <v>2243.9719239999999</v>
      </c>
      <c r="D860" s="8">
        <v>37581.636719000002</v>
      </c>
      <c r="E860" s="8">
        <v>37592.316405999998</v>
      </c>
      <c r="F860" s="8">
        <f t="shared" si="26"/>
        <v>10.679686999996193</v>
      </c>
      <c r="G860" s="8">
        <f t="shared" si="27"/>
        <v>1.0679686999996192E-2</v>
      </c>
    </row>
    <row r="861" spans="1:7" x14ac:dyDescent="0.25">
      <c r="A861" s="8">
        <v>11</v>
      </c>
      <c r="B861" s="8">
        <v>9</v>
      </c>
      <c r="C861" s="8">
        <v>59.156677000000002</v>
      </c>
      <c r="D861" s="8">
        <v>39839.90625</v>
      </c>
      <c r="E861" s="8">
        <v>39853.753905999998</v>
      </c>
      <c r="F861" s="8">
        <f t="shared" si="26"/>
        <v>13.847655999998096</v>
      </c>
      <c r="G861" s="8">
        <f t="shared" si="27"/>
        <v>1.3847655999998097E-2</v>
      </c>
    </row>
    <row r="862" spans="1:7" x14ac:dyDescent="0.25">
      <c r="A862" s="8">
        <v>11</v>
      </c>
      <c r="B862" s="8">
        <v>10</v>
      </c>
      <c r="C862" s="8">
        <v>2103.3884280000002</v>
      </c>
      <c r="D862" s="8">
        <v>39917.984375</v>
      </c>
      <c r="E862" s="8">
        <v>39938.320312999997</v>
      </c>
      <c r="F862" s="8">
        <f t="shared" si="26"/>
        <v>20.335937999996531</v>
      </c>
      <c r="G862" s="8">
        <f t="shared" si="27"/>
        <v>2.0335937999996532E-2</v>
      </c>
    </row>
    <row r="863" spans="1:7" x14ac:dyDescent="0.25">
      <c r="A863" s="8">
        <v>11</v>
      </c>
      <c r="B863" s="8">
        <v>11</v>
      </c>
      <c r="C863" s="8">
        <v>855.80371100000002</v>
      </c>
      <c r="D863" s="8">
        <v>42044.015625</v>
      </c>
      <c r="E863" s="8">
        <v>42055.367187999997</v>
      </c>
      <c r="F863" s="8">
        <f t="shared" si="26"/>
        <v>11.351562999996531</v>
      </c>
      <c r="G863" s="8">
        <f t="shared" si="27"/>
        <v>1.1351562999996531E-2</v>
      </c>
    </row>
    <row r="864" spans="1:7" x14ac:dyDescent="0.25">
      <c r="A864" s="8">
        <v>11</v>
      </c>
      <c r="B864" s="8">
        <v>12</v>
      </c>
      <c r="C864" s="8">
        <v>474.14523300000002</v>
      </c>
      <c r="D864" s="8">
        <v>42923.984375</v>
      </c>
      <c r="E864" s="8">
        <v>42944.234375</v>
      </c>
      <c r="F864" s="8">
        <f t="shared" si="26"/>
        <v>20.25</v>
      </c>
      <c r="G864" s="8">
        <f t="shared" si="27"/>
        <v>2.0250000000000001E-2</v>
      </c>
    </row>
    <row r="865" spans="1:7" x14ac:dyDescent="0.25">
      <c r="A865" s="8">
        <v>11</v>
      </c>
      <c r="B865" s="8">
        <v>13</v>
      </c>
      <c r="C865" s="8">
        <v>809.61828600000001</v>
      </c>
      <c r="D865" s="8">
        <v>43428</v>
      </c>
      <c r="E865" s="8">
        <v>43441.800780999998</v>
      </c>
      <c r="F865" s="8">
        <f t="shared" si="26"/>
        <v>13.800780999998096</v>
      </c>
      <c r="G865" s="8">
        <f t="shared" si="27"/>
        <v>1.3800780999998097E-2</v>
      </c>
    </row>
    <row r="866" spans="1:7" x14ac:dyDescent="0.25">
      <c r="A866" s="8">
        <v>11</v>
      </c>
      <c r="B866" s="8">
        <v>14</v>
      </c>
      <c r="C866" s="8">
        <v>1859.588745</v>
      </c>
      <c r="D866" s="8">
        <v>44256.167969000002</v>
      </c>
      <c r="E866" s="8">
        <v>44287.363280999998</v>
      </c>
      <c r="F866" s="8">
        <f t="shared" si="26"/>
        <v>31.195311999996193</v>
      </c>
      <c r="G866" s="8">
        <f t="shared" si="27"/>
        <v>3.1195311999996193E-2</v>
      </c>
    </row>
    <row r="867" spans="1:7" x14ac:dyDescent="0.25">
      <c r="A867" s="8">
        <v>11</v>
      </c>
      <c r="B867" s="8">
        <v>15</v>
      </c>
      <c r="C867" s="8">
        <v>132.14347799999999</v>
      </c>
      <c r="D867" s="8">
        <v>46148.210937999997</v>
      </c>
      <c r="E867" s="8">
        <v>46159.074219000002</v>
      </c>
      <c r="F867" s="8">
        <f t="shared" si="26"/>
        <v>10.863281000005372</v>
      </c>
      <c r="G867" s="8">
        <f t="shared" si="27"/>
        <v>1.0863281000005373E-2</v>
      </c>
    </row>
    <row r="868" spans="1:7" x14ac:dyDescent="0.25">
      <c r="A868" s="8">
        <v>11</v>
      </c>
      <c r="B868" s="8">
        <v>16</v>
      </c>
      <c r="C868" s="8">
        <v>3126.554443</v>
      </c>
      <c r="D868" s="8">
        <v>46295.84375</v>
      </c>
      <c r="E868" s="8">
        <v>46310.410155999998</v>
      </c>
      <c r="F868" s="8">
        <f t="shared" si="26"/>
        <v>14.566405999998096</v>
      </c>
      <c r="G868" s="8">
        <f t="shared" si="27"/>
        <v>1.4566405999998096E-2</v>
      </c>
    </row>
    <row r="869" spans="1:7" x14ac:dyDescent="0.25">
      <c r="A869" s="8">
        <v>11</v>
      </c>
      <c r="B869" s="8">
        <v>17</v>
      </c>
      <c r="C869" s="8">
        <v>26.728943000000001</v>
      </c>
      <c r="D869" s="8">
        <v>49451.847655999998</v>
      </c>
      <c r="E869" s="8">
        <v>49465.742187999997</v>
      </c>
      <c r="F869" s="8">
        <f t="shared" si="26"/>
        <v>13.894531999998435</v>
      </c>
      <c r="G869" s="8">
        <f t="shared" si="27"/>
        <v>1.3894531999998435E-2</v>
      </c>
    </row>
    <row r="870" spans="1:7" x14ac:dyDescent="0.25">
      <c r="A870" s="8">
        <v>11</v>
      </c>
      <c r="B870" s="8">
        <v>18</v>
      </c>
      <c r="C870" s="8">
        <v>1422.6964109999999</v>
      </c>
      <c r="D870" s="8">
        <v>49498.675780999998</v>
      </c>
      <c r="E870" s="8">
        <v>49529.605469000002</v>
      </c>
      <c r="F870" s="8">
        <f t="shared" si="26"/>
        <v>30.929688000003807</v>
      </c>
      <c r="G870" s="8">
        <f t="shared" si="27"/>
        <v>3.0929688000003806E-2</v>
      </c>
    </row>
    <row r="871" spans="1:7" x14ac:dyDescent="0.25">
      <c r="A871" s="8">
        <v>11</v>
      </c>
      <c r="B871" s="8">
        <v>19</v>
      </c>
      <c r="C871" s="8">
        <v>4936.8217770000001</v>
      </c>
      <c r="D871" s="8">
        <v>50956.039062999997</v>
      </c>
      <c r="E871" s="8">
        <v>50973.203125</v>
      </c>
      <c r="F871" s="8">
        <f t="shared" si="26"/>
        <v>17.164062000003469</v>
      </c>
      <c r="G871" s="8">
        <f t="shared" si="27"/>
        <v>1.716406200000347E-2</v>
      </c>
    </row>
    <row r="872" spans="1:7" x14ac:dyDescent="0.25">
      <c r="A872" s="8">
        <v>11</v>
      </c>
      <c r="B872" s="8">
        <v>20</v>
      </c>
      <c r="C872" s="8">
        <v>893.89849900000002</v>
      </c>
      <c r="D872" s="8">
        <v>55909.871094000002</v>
      </c>
      <c r="E872" s="8">
        <v>55923.761719000002</v>
      </c>
      <c r="F872" s="8">
        <f t="shared" si="26"/>
        <v>13.890625</v>
      </c>
      <c r="G872" s="8">
        <f t="shared" si="27"/>
        <v>1.3890625E-2</v>
      </c>
    </row>
    <row r="873" spans="1:7" x14ac:dyDescent="0.25">
      <c r="A873" s="8">
        <v>11</v>
      </c>
      <c r="B873" s="8">
        <v>21</v>
      </c>
      <c r="C873" s="8">
        <v>1387.6986079999999</v>
      </c>
      <c r="D873" s="8">
        <v>56831.886719000002</v>
      </c>
      <c r="E873" s="8">
        <v>56849.550780999998</v>
      </c>
      <c r="F873" s="8">
        <f t="shared" si="26"/>
        <v>17.664061999996193</v>
      </c>
      <c r="G873" s="8">
        <f t="shared" si="27"/>
        <v>1.7664061999996192E-2</v>
      </c>
    </row>
    <row r="874" spans="1:7" x14ac:dyDescent="0.25">
      <c r="A874" s="8">
        <v>11</v>
      </c>
      <c r="B874" s="8">
        <v>22</v>
      </c>
      <c r="C874" s="8">
        <v>2793.141357</v>
      </c>
      <c r="D874" s="8">
        <v>58242.191405999998</v>
      </c>
      <c r="E874" s="8">
        <v>58254.582030999998</v>
      </c>
      <c r="F874" s="8">
        <f t="shared" si="26"/>
        <v>12.390625</v>
      </c>
      <c r="G874" s="8">
        <f t="shared" si="27"/>
        <v>1.2390625000000001E-2</v>
      </c>
    </row>
    <row r="875" spans="1:7" x14ac:dyDescent="0.25">
      <c r="A875" s="8">
        <v>11</v>
      </c>
      <c r="B875" s="8">
        <v>23</v>
      </c>
      <c r="C875" s="8">
        <v>410.79049700000002</v>
      </c>
      <c r="D875" s="8">
        <v>61060.121094000002</v>
      </c>
      <c r="E875" s="8">
        <v>61068.753905999998</v>
      </c>
      <c r="F875" s="8">
        <f t="shared" si="26"/>
        <v>8.6328119999961928</v>
      </c>
      <c r="G875" s="8">
        <f t="shared" si="27"/>
        <v>8.6328119999961924E-3</v>
      </c>
    </row>
    <row r="876" spans="1:7" x14ac:dyDescent="0.25">
      <c r="A876" s="8">
        <v>11</v>
      </c>
      <c r="B876" s="8">
        <v>24</v>
      </c>
      <c r="C876" s="8">
        <v>447.172394</v>
      </c>
      <c r="D876" s="8">
        <v>61481.972655999998</v>
      </c>
      <c r="E876" s="8">
        <v>61493.480469000002</v>
      </c>
      <c r="F876" s="8">
        <f t="shared" si="26"/>
        <v>11.507813000003807</v>
      </c>
      <c r="G876" s="8">
        <f t="shared" si="27"/>
        <v>1.1507813000003806E-2</v>
      </c>
    </row>
    <row r="877" spans="1:7" x14ac:dyDescent="0.25">
      <c r="A877" s="8">
        <v>11</v>
      </c>
      <c r="B877" s="8">
        <v>25</v>
      </c>
      <c r="C877" s="8">
        <v>132.53474399999999</v>
      </c>
      <c r="D877" s="8">
        <v>61950.832030999998</v>
      </c>
      <c r="E877" s="8">
        <v>61961.648437999997</v>
      </c>
      <c r="F877" s="8">
        <f t="shared" si="26"/>
        <v>10.816406999998435</v>
      </c>
      <c r="G877" s="8">
        <f t="shared" si="27"/>
        <v>1.0816406999998435E-2</v>
      </c>
    </row>
    <row r="878" spans="1:7" x14ac:dyDescent="0.25">
      <c r="A878" s="8">
        <v>11</v>
      </c>
      <c r="B878" s="8">
        <v>26</v>
      </c>
      <c r="C878" s="8">
        <v>2403.2919919999999</v>
      </c>
      <c r="D878" s="8">
        <v>62107.03125</v>
      </c>
      <c r="E878" s="8">
        <v>62128.28125</v>
      </c>
      <c r="F878" s="8">
        <f t="shared" si="26"/>
        <v>21.25</v>
      </c>
      <c r="G878" s="8">
        <f t="shared" si="27"/>
        <v>2.1250000000000002E-2</v>
      </c>
    </row>
    <row r="879" spans="1:7" x14ac:dyDescent="0.25">
      <c r="A879" s="8">
        <v>11</v>
      </c>
      <c r="B879" s="8">
        <v>27</v>
      </c>
      <c r="C879" s="8">
        <v>2899.0021969999998</v>
      </c>
      <c r="D879" s="8">
        <v>64543.304687999997</v>
      </c>
      <c r="E879" s="8">
        <v>64560.597655999998</v>
      </c>
      <c r="F879" s="8">
        <f t="shared" si="26"/>
        <v>17.292968000001565</v>
      </c>
      <c r="G879" s="8">
        <f t="shared" si="27"/>
        <v>1.7292968000001564E-2</v>
      </c>
    </row>
    <row r="880" spans="1:7" x14ac:dyDescent="0.25">
      <c r="A880" s="8">
        <v>11</v>
      </c>
      <c r="B880" s="8">
        <v>28</v>
      </c>
      <c r="C880" s="8">
        <v>446.56173699999999</v>
      </c>
      <c r="D880" s="8">
        <v>67467.109375</v>
      </c>
      <c r="E880" s="8">
        <v>67488.695313000004</v>
      </c>
      <c r="F880" s="8">
        <f t="shared" si="26"/>
        <v>21.585938000003807</v>
      </c>
      <c r="G880" s="8">
        <f t="shared" si="27"/>
        <v>2.1585938000003808E-2</v>
      </c>
    </row>
    <row r="881" spans="1:7" x14ac:dyDescent="0.25">
      <c r="A881" s="8">
        <v>11</v>
      </c>
      <c r="B881" s="8">
        <v>29</v>
      </c>
      <c r="C881" s="8">
        <v>3861.7126459999999</v>
      </c>
      <c r="D881" s="8">
        <v>67935.976563000004</v>
      </c>
      <c r="E881" s="8">
        <v>67953.117188000004</v>
      </c>
      <c r="F881" s="8">
        <f t="shared" si="26"/>
        <v>17.140625</v>
      </c>
      <c r="G881" s="8">
        <f t="shared" si="27"/>
        <v>1.7140625E-2</v>
      </c>
    </row>
    <row r="882" spans="1:7" x14ac:dyDescent="0.25">
      <c r="A882" s="8">
        <v>11</v>
      </c>
      <c r="B882" s="8">
        <v>30</v>
      </c>
      <c r="C882" s="8">
        <v>5582.5742190000001</v>
      </c>
      <c r="D882" s="8">
        <v>71823.273438000004</v>
      </c>
      <c r="E882" s="8">
        <v>71841.65625</v>
      </c>
      <c r="F882" s="8">
        <f t="shared" si="26"/>
        <v>18.382811999996193</v>
      </c>
      <c r="G882" s="8">
        <f t="shared" si="27"/>
        <v>1.8382811999996192E-2</v>
      </c>
    </row>
    <row r="883" spans="1:7" x14ac:dyDescent="0.25">
      <c r="A883" s="8">
        <v>11</v>
      </c>
      <c r="B883" s="8">
        <v>31</v>
      </c>
      <c r="C883" s="8">
        <v>613.839294</v>
      </c>
      <c r="D883" s="8">
        <v>77428.96875</v>
      </c>
      <c r="E883" s="8">
        <v>77440.390625</v>
      </c>
      <c r="F883" s="8">
        <f t="shared" si="26"/>
        <v>11.421875</v>
      </c>
      <c r="G883" s="8">
        <f t="shared" si="27"/>
        <v>1.1421875E-2</v>
      </c>
    </row>
    <row r="884" spans="1:7" x14ac:dyDescent="0.25">
      <c r="A884" s="8">
        <v>11</v>
      </c>
      <c r="B884" s="8">
        <v>32</v>
      </c>
      <c r="C884" s="8">
        <v>4485.3540039999998</v>
      </c>
      <c r="D884" s="8">
        <v>78057.257813000004</v>
      </c>
      <c r="E884" s="8">
        <v>78074.4375</v>
      </c>
      <c r="F884" s="8">
        <f t="shared" si="26"/>
        <v>17.179686999996193</v>
      </c>
      <c r="G884" s="8">
        <f t="shared" si="27"/>
        <v>1.7179686999996193E-2</v>
      </c>
    </row>
    <row r="885" spans="1:7" x14ac:dyDescent="0.25">
      <c r="A885" s="8">
        <v>11</v>
      </c>
      <c r="B885" s="8">
        <v>33</v>
      </c>
      <c r="C885" s="8">
        <v>2256.9472660000001</v>
      </c>
      <c r="D885" s="8">
        <v>82573.734375</v>
      </c>
      <c r="E885" s="8">
        <v>82584.78125</v>
      </c>
      <c r="F885" s="8">
        <f t="shared" si="26"/>
        <v>11.046875</v>
      </c>
      <c r="G885" s="8">
        <f t="shared" si="27"/>
        <v>1.1046874999999999E-2</v>
      </c>
    </row>
    <row r="886" spans="1:7" x14ac:dyDescent="0.25">
      <c r="A886" s="8">
        <v>11</v>
      </c>
      <c r="B886" s="8">
        <v>34</v>
      </c>
      <c r="C886" s="8">
        <v>838.92755099999999</v>
      </c>
      <c r="D886" s="8">
        <v>84844.78125</v>
      </c>
      <c r="E886" s="8">
        <v>84860.179688000004</v>
      </c>
      <c r="F886" s="8">
        <f t="shared" si="26"/>
        <v>15.398438000003807</v>
      </c>
      <c r="G886" s="8">
        <f t="shared" si="27"/>
        <v>1.5398438000003806E-2</v>
      </c>
    </row>
    <row r="887" spans="1:7" x14ac:dyDescent="0.25">
      <c r="A887" s="8">
        <v>11</v>
      </c>
      <c r="B887" s="8">
        <v>35</v>
      </c>
      <c r="C887" s="8">
        <v>2535.226318</v>
      </c>
      <c r="D887" s="8">
        <v>85705.804688000004</v>
      </c>
      <c r="E887" s="8">
        <v>85717.039063000004</v>
      </c>
      <c r="F887" s="8">
        <f t="shared" si="26"/>
        <v>11.234375</v>
      </c>
      <c r="G887" s="8">
        <f t="shared" si="27"/>
        <v>1.1234375E-2</v>
      </c>
    </row>
    <row r="888" spans="1:7" x14ac:dyDescent="0.25">
      <c r="A888" s="8">
        <v>11</v>
      </c>
      <c r="B888" s="8">
        <v>36</v>
      </c>
      <c r="C888" s="8">
        <v>2534.5759280000002</v>
      </c>
      <c r="D888" s="8">
        <v>88256.070313000004</v>
      </c>
      <c r="E888" s="8">
        <v>88296.382813000004</v>
      </c>
      <c r="F888" s="8">
        <f t="shared" si="26"/>
        <v>40.3125</v>
      </c>
      <c r="G888" s="8">
        <f t="shared" si="27"/>
        <v>4.0312500000000001E-2</v>
      </c>
    </row>
    <row r="889" spans="1:7" x14ac:dyDescent="0.25">
      <c r="A889" s="8">
        <v>11</v>
      </c>
      <c r="B889" s="8">
        <v>37</v>
      </c>
      <c r="C889" s="8">
        <v>176.24903900000001</v>
      </c>
      <c r="D889" s="8">
        <v>90839.25</v>
      </c>
      <c r="E889" s="8">
        <v>90858.835938000004</v>
      </c>
      <c r="F889" s="8">
        <f t="shared" si="26"/>
        <v>19.585938000003807</v>
      </c>
      <c r="G889" s="8">
        <f t="shared" si="27"/>
        <v>1.9585938000003807E-2</v>
      </c>
    </row>
    <row r="890" spans="1:7" x14ac:dyDescent="0.25">
      <c r="A890" s="8">
        <v>11</v>
      </c>
      <c r="B890" s="8">
        <v>38</v>
      </c>
      <c r="C890" s="8">
        <v>310.510132</v>
      </c>
      <c r="D890" s="8">
        <v>91042.351563000004</v>
      </c>
      <c r="E890" s="8">
        <v>91065.835938000004</v>
      </c>
      <c r="F890" s="8">
        <f t="shared" si="26"/>
        <v>23.484375</v>
      </c>
      <c r="G890" s="8">
        <f t="shared" si="27"/>
        <v>2.3484374999999998E-2</v>
      </c>
    </row>
    <row r="891" spans="1:7" x14ac:dyDescent="0.25">
      <c r="A891" s="8">
        <v>11</v>
      </c>
      <c r="B891" s="8">
        <v>39</v>
      </c>
      <c r="C891" s="8">
        <v>523.56915300000003</v>
      </c>
      <c r="D891" s="8">
        <v>91386.195313000004</v>
      </c>
      <c r="E891" s="8">
        <v>91411.960938000004</v>
      </c>
      <c r="F891" s="8">
        <f t="shared" si="26"/>
        <v>25.765625</v>
      </c>
      <c r="G891" s="8">
        <f t="shared" si="27"/>
        <v>2.5765625E-2</v>
      </c>
    </row>
    <row r="892" spans="1:7" x14ac:dyDescent="0.25">
      <c r="A892" s="8">
        <v>11</v>
      </c>
      <c r="B892" s="8">
        <v>40</v>
      </c>
      <c r="C892" s="8">
        <v>1253.9848629999999</v>
      </c>
      <c r="D892" s="8">
        <v>91948.789063000004</v>
      </c>
      <c r="E892" s="8">
        <v>91972.101563000004</v>
      </c>
      <c r="F892" s="8">
        <f t="shared" si="26"/>
        <v>23.3125</v>
      </c>
      <c r="G892" s="8">
        <f t="shared" si="27"/>
        <v>2.33125E-2</v>
      </c>
    </row>
    <row r="893" spans="1:7" x14ac:dyDescent="0.25">
      <c r="A893" s="8">
        <v>11</v>
      </c>
      <c r="B893" s="8">
        <v>41</v>
      </c>
      <c r="C893" s="8">
        <v>4719.9145509999998</v>
      </c>
      <c r="D893" s="8">
        <v>93232.242188000004</v>
      </c>
      <c r="E893" s="8">
        <v>93255.757813000004</v>
      </c>
      <c r="F893" s="8">
        <f t="shared" si="26"/>
        <v>23.515625</v>
      </c>
      <c r="G893" s="8">
        <f t="shared" si="27"/>
        <v>2.3515624999999998E-2</v>
      </c>
    </row>
    <row r="894" spans="1:7" x14ac:dyDescent="0.25">
      <c r="A894" s="8">
        <v>11</v>
      </c>
      <c r="B894" s="8">
        <v>42</v>
      </c>
      <c r="C894" s="8">
        <v>2803.0327149999998</v>
      </c>
      <c r="D894" s="8">
        <v>97988.078125</v>
      </c>
      <c r="E894" s="8">
        <v>97996.796875</v>
      </c>
      <c r="F894" s="8">
        <f t="shared" si="26"/>
        <v>8.71875</v>
      </c>
      <c r="G894" s="8">
        <f t="shared" si="27"/>
        <v>8.7187500000000008E-3</v>
      </c>
    </row>
    <row r="895" spans="1:7" x14ac:dyDescent="0.25">
      <c r="A895" s="8">
        <v>11</v>
      </c>
      <c r="B895" s="8">
        <v>43</v>
      </c>
      <c r="C895" s="8">
        <v>985.48010299999999</v>
      </c>
      <c r="D895" s="8">
        <v>100807.71875</v>
      </c>
      <c r="E895" s="8">
        <v>100820.929688</v>
      </c>
      <c r="F895" s="8">
        <f t="shared" si="26"/>
        <v>13.210938000003807</v>
      </c>
      <c r="G895" s="8">
        <f t="shared" si="27"/>
        <v>1.3210938000003808E-2</v>
      </c>
    </row>
    <row r="896" spans="1:7" x14ac:dyDescent="0.25">
      <c r="A896" s="8">
        <v>11</v>
      </c>
      <c r="B896" s="8">
        <v>44</v>
      </c>
      <c r="C896" s="8">
        <v>1011.828064</v>
      </c>
      <c r="D896" s="8">
        <v>101807.429688</v>
      </c>
      <c r="E896" s="8">
        <v>101815.085938</v>
      </c>
      <c r="F896" s="8">
        <f t="shared" si="26"/>
        <v>7.65625</v>
      </c>
      <c r="G896" s="8">
        <f t="shared" si="27"/>
        <v>7.6562499999999999E-3</v>
      </c>
    </row>
    <row r="897" spans="1:7" x14ac:dyDescent="0.25">
      <c r="A897" s="8">
        <v>11</v>
      </c>
      <c r="B897" s="8">
        <v>45</v>
      </c>
      <c r="C897" s="8">
        <v>2944.5095209999999</v>
      </c>
      <c r="D897" s="8">
        <v>102836.1875</v>
      </c>
      <c r="E897" s="8">
        <v>102858.125</v>
      </c>
      <c r="F897" s="8">
        <f t="shared" si="26"/>
        <v>21.9375</v>
      </c>
      <c r="G897" s="8">
        <f t="shared" si="27"/>
        <v>2.1937499999999999E-2</v>
      </c>
    </row>
    <row r="898" spans="1:7" x14ac:dyDescent="0.25">
      <c r="A898" s="8">
        <v>11</v>
      </c>
      <c r="B898" s="8">
        <v>46</v>
      </c>
      <c r="C898" s="8">
        <v>1553.0336910000001</v>
      </c>
      <c r="D898" s="8">
        <v>105812.71875</v>
      </c>
      <c r="E898" s="8">
        <v>105828.59375</v>
      </c>
      <c r="F898" s="8">
        <f t="shared" si="26"/>
        <v>15.875</v>
      </c>
      <c r="G898" s="8">
        <f t="shared" si="27"/>
        <v>1.5875E-2</v>
      </c>
    </row>
    <row r="899" spans="1:7" x14ac:dyDescent="0.25">
      <c r="A899" s="8">
        <v>11</v>
      </c>
      <c r="B899" s="8">
        <v>47</v>
      </c>
      <c r="C899" s="8">
        <v>3365.547607</v>
      </c>
      <c r="D899" s="8">
        <v>107391.6875</v>
      </c>
      <c r="E899" s="8">
        <v>107408.921875</v>
      </c>
      <c r="F899" s="8">
        <f t="shared" si="26"/>
        <v>17.234375</v>
      </c>
      <c r="G899" s="8">
        <f t="shared" si="27"/>
        <v>1.7234375E-2</v>
      </c>
    </row>
    <row r="900" spans="1:7" x14ac:dyDescent="0.25">
      <c r="A900" s="8">
        <v>11</v>
      </c>
      <c r="B900" s="8">
        <v>48</v>
      </c>
      <c r="C900" s="8">
        <v>8713.8457030000009</v>
      </c>
      <c r="D900" s="8">
        <v>110783.4375</v>
      </c>
      <c r="E900" s="8">
        <v>110806.4375</v>
      </c>
      <c r="F900" s="8">
        <f t="shared" si="26"/>
        <v>23</v>
      </c>
      <c r="G900" s="8">
        <f t="shared" si="27"/>
        <v>2.3E-2</v>
      </c>
    </row>
    <row r="901" spans="1:7" x14ac:dyDescent="0.25">
      <c r="A901" s="8">
        <v>11</v>
      </c>
      <c r="B901" s="8">
        <v>49</v>
      </c>
      <c r="C901" s="8">
        <v>2802.7846679999998</v>
      </c>
      <c r="D901" s="8">
        <v>119533.210938</v>
      </c>
      <c r="E901" s="8">
        <v>119544.390625</v>
      </c>
      <c r="F901" s="8">
        <f t="shared" si="26"/>
        <v>11.179686999996193</v>
      </c>
      <c r="G901" s="8">
        <f t="shared" si="27"/>
        <v>1.1179686999996193E-2</v>
      </c>
    </row>
    <row r="902" spans="1:7" x14ac:dyDescent="0.25">
      <c r="A902" s="8">
        <v>11</v>
      </c>
      <c r="B902" s="8">
        <v>50</v>
      </c>
      <c r="C902" s="8">
        <v>660.16766399999995</v>
      </c>
      <c r="D902" s="8">
        <v>122361.578125</v>
      </c>
      <c r="E902" s="8">
        <v>122378.507813</v>
      </c>
      <c r="F902" s="8">
        <f t="shared" si="26"/>
        <v>16.929688000003807</v>
      </c>
      <c r="G902" s="8">
        <f t="shared" si="27"/>
        <v>1.6929688000003808E-2</v>
      </c>
    </row>
    <row r="903" spans="1:7" x14ac:dyDescent="0.25">
      <c r="A903" s="8">
        <v>11</v>
      </c>
      <c r="B903" s="8">
        <v>51</v>
      </c>
      <c r="C903" s="8">
        <v>2189.609375</v>
      </c>
      <c r="D903" s="8">
        <v>123050.734375</v>
      </c>
      <c r="E903" s="8">
        <v>123076.539063</v>
      </c>
      <c r="F903" s="8">
        <f t="shared" si="26"/>
        <v>25.804688000003807</v>
      </c>
      <c r="G903" s="8">
        <f t="shared" si="27"/>
        <v>2.5804688000003809E-2</v>
      </c>
    </row>
    <row r="904" spans="1:7" x14ac:dyDescent="0.25">
      <c r="A904" s="8">
        <v>11</v>
      </c>
      <c r="B904" s="8">
        <v>52</v>
      </c>
      <c r="C904" s="8">
        <v>2938.929932</v>
      </c>
      <c r="D904" s="8">
        <v>125267.8125</v>
      </c>
      <c r="E904" s="8">
        <v>125284.945313</v>
      </c>
      <c r="F904" s="8">
        <f t="shared" si="26"/>
        <v>17.132813000003807</v>
      </c>
      <c r="G904" s="8">
        <f t="shared" si="27"/>
        <v>1.7132813000003806E-2</v>
      </c>
    </row>
    <row r="905" spans="1:7" x14ac:dyDescent="0.25">
      <c r="A905" s="8">
        <v>11</v>
      </c>
      <c r="B905" s="8">
        <v>53</v>
      </c>
      <c r="C905" s="8">
        <v>2505.0986330000001</v>
      </c>
      <c r="D905" s="8">
        <v>128223.140625</v>
      </c>
      <c r="E905" s="8">
        <v>128248.992188</v>
      </c>
      <c r="F905" s="8">
        <f t="shared" si="26"/>
        <v>25.851563000003807</v>
      </c>
      <c r="G905" s="8">
        <f t="shared" si="27"/>
        <v>2.5851563000003807E-2</v>
      </c>
    </row>
    <row r="906" spans="1:7" x14ac:dyDescent="0.25">
      <c r="A906" s="8">
        <v>11</v>
      </c>
      <c r="B906" s="8">
        <v>54</v>
      </c>
      <c r="C906" s="8">
        <v>1460.7236330000001</v>
      </c>
      <c r="D906" s="8">
        <v>130754.429688</v>
      </c>
      <c r="E906" s="8">
        <v>130774.703125</v>
      </c>
      <c r="F906" s="8">
        <f t="shared" si="26"/>
        <v>20.273436999996193</v>
      </c>
      <c r="G906" s="8">
        <f t="shared" si="27"/>
        <v>2.0273436999996192E-2</v>
      </c>
    </row>
    <row r="907" spans="1:7" x14ac:dyDescent="0.25">
      <c r="A907" s="8">
        <v>11</v>
      </c>
      <c r="B907" s="8">
        <v>55</v>
      </c>
      <c r="C907" s="8">
        <v>1245.888794</v>
      </c>
      <c r="D907" s="8">
        <v>132248.921875</v>
      </c>
      <c r="E907" s="8">
        <v>132257.75</v>
      </c>
      <c r="F907" s="8">
        <f t="shared" ref="F907:F970" si="28">E907-D907</f>
        <v>8.828125</v>
      </c>
      <c r="G907" s="8">
        <f t="shared" ref="G907:G970" si="29">F907/1000</f>
        <v>8.8281249999999992E-3</v>
      </c>
    </row>
    <row r="908" spans="1:7" x14ac:dyDescent="0.25">
      <c r="A908" s="8">
        <v>11</v>
      </c>
      <c r="B908" s="8">
        <v>56</v>
      </c>
      <c r="C908" s="8">
        <v>577.33856200000002</v>
      </c>
      <c r="D908" s="8">
        <v>133503.59375</v>
      </c>
      <c r="E908" s="8">
        <v>133511.453125</v>
      </c>
      <c r="F908" s="8">
        <f t="shared" si="28"/>
        <v>7.859375</v>
      </c>
      <c r="G908" s="8">
        <f t="shared" si="29"/>
        <v>7.859375E-3</v>
      </c>
    </row>
    <row r="909" spans="1:7" x14ac:dyDescent="0.25">
      <c r="A909" s="8">
        <v>11</v>
      </c>
      <c r="B909" s="8">
        <v>57</v>
      </c>
      <c r="C909" s="8">
        <v>1131.9830320000001</v>
      </c>
      <c r="D909" s="8">
        <v>134097.5</v>
      </c>
      <c r="E909" s="8">
        <v>134115.8125</v>
      </c>
      <c r="F909" s="8">
        <f t="shared" si="28"/>
        <v>18.3125</v>
      </c>
      <c r="G909" s="8">
        <f t="shared" si="29"/>
        <v>1.8312499999999999E-2</v>
      </c>
    </row>
    <row r="910" spans="1:7" x14ac:dyDescent="0.25">
      <c r="A910" s="8">
        <v>11</v>
      </c>
      <c r="B910" s="8">
        <v>58</v>
      </c>
      <c r="C910" s="8">
        <v>1474.4544679999999</v>
      </c>
      <c r="D910" s="8">
        <v>135257</v>
      </c>
      <c r="E910" s="8">
        <v>135270.453125</v>
      </c>
      <c r="F910" s="8">
        <f t="shared" si="28"/>
        <v>13.453125</v>
      </c>
      <c r="G910" s="8">
        <f t="shared" si="29"/>
        <v>1.3453125E-2</v>
      </c>
    </row>
    <row r="911" spans="1:7" x14ac:dyDescent="0.25">
      <c r="A911" s="8">
        <v>11</v>
      </c>
      <c r="B911" s="8">
        <v>59</v>
      </c>
      <c r="C911" s="8">
        <v>135.863708</v>
      </c>
      <c r="D911" s="8">
        <v>136747.28125</v>
      </c>
      <c r="E911" s="8">
        <v>136768.65625</v>
      </c>
      <c r="F911" s="8">
        <f t="shared" si="28"/>
        <v>21.375</v>
      </c>
      <c r="G911" s="8">
        <f t="shared" si="29"/>
        <v>2.1375000000000002E-2</v>
      </c>
    </row>
    <row r="912" spans="1:7" x14ac:dyDescent="0.25">
      <c r="A912" s="8">
        <v>11</v>
      </c>
      <c r="B912" s="8">
        <v>60</v>
      </c>
      <c r="C912" s="8">
        <v>882.28936799999997</v>
      </c>
      <c r="D912" s="8">
        <v>136919.1875</v>
      </c>
      <c r="E912" s="8">
        <v>136943.390625</v>
      </c>
      <c r="F912" s="8">
        <f t="shared" si="28"/>
        <v>24.203125</v>
      </c>
      <c r="G912" s="8">
        <f t="shared" si="29"/>
        <v>2.4203124999999999E-2</v>
      </c>
    </row>
    <row r="913" spans="1:7" x14ac:dyDescent="0.25">
      <c r="A913" s="8">
        <v>11</v>
      </c>
      <c r="B913" s="8">
        <v>61</v>
      </c>
      <c r="C913" s="8">
        <v>287.192566</v>
      </c>
      <c r="D913" s="8">
        <v>137828.09375</v>
      </c>
      <c r="E913" s="8">
        <v>137840.703125</v>
      </c>
      <c r="F913" s="8">
        <f t="shared" si="28"/>
        <v>12.609375</v>
      </c>
      <c r="G913" s="8">
        <f t="shared" si="29"/>
        <v>1.2609375000000001E-2</v>
      </c>
    </row>
    <row r="914" spans="1:7" x14ac:dyDescent="0.25">
      <c r="A914" s="8">
        <v>11</v>
      </c>
      <c r="B914" s="8">
        <v>62</v>
      </c>
      <c r="C914" s="8">
        <v>190.96835300000001</v>
      </c>
      <c r="D914" s="8">
        <v>138140.609375</v>
      </c>
      <c r="E914" s="8">
        <v>138158.125</v>
      </c>
      <c r="F914" s="8">
        <f t="shared" si="28"/>
        <v>17.515625</v>
      </c>
      <c r="G914" s="8">
        <f t="shared" si="29"/>
        <v>1.7515625E-2</v>
      </c>
    </row>
    <row r="915" spans="1:7" x14ac:dyDescent="0.25">
      <c r="A915" s="8">
        <v>11</v>
      </c>
      <c r="B915" s="8">
        <v>63</v>
      </c>
      <c r="C915" s="8">
        <v>295.59518400000002</v>
      </c>
      <c r="D915" s="8">
        <v>138359.421875</v>
      </c>
      <c r="E915" s="8">
        <v>138370.96875</v>
      </c>
      <c r="F915" s="8">
        <f t="shared" si="28"/>
        <v>11.546875</v>
      </c>
      <c r="G915" s="8">
        <f t="shared" si="29"/>
        <v>1.1546875E-2</v>
      </c>
    </row>
    <row r="916" spans="1:7" x14ac:dyDescent="0.25">
      <c r="A916" s="8">
        <v>11</v>
      </c>
      <c r="B916" s="8">
        <v>64</v>
      </c>
      <c r="C916" s="8">
        <v>997.00238000000002</v>
      </c>
      <c r="D916" s="8">
        <v>138671.953125</v>
      </c>
      <c r="E916" s="8">
        <v>138682.921875</v>
      </c>
      <c r="F916" s="8">
        <f t="shared" si="28"/>
        <v>10.96875</v>
      </c>
      <c r="G916" s="8">
        <f t="shared" si="29"/>
        <v>1.0968749999999999E-2</v>
      </c>
    </row>
    <row r="917" spans="1:7" x14ac:dyDescent="0.25">
      <c r="A917" s="8">
        <v>11</v>
      </c>
      <c r="B917" s="8">
        <v>65</v>
      </c>
      <c r="C917" s="8">
        <v>1377.7066649999999</v>
      </c>
      <c r="D917" s="8">
        <v>139694.0625</v>
      </c>
      <c r="E917" s="8">
        <v>139701.734375</v>
      </c>
      <c r="F917" s="8">
        <f t="shared" si="28"/>
        <v>7.671875</v>
      </c>
      <c r="G917" s="8">
        <f t="shared" si="29"/>
        <v>7.6718749999999999E-3</v>
      </c>
    </row>
    <row r="918" spans="1:7" x14ac:dyDescent="0.25">
      <c r="A918" s="8">
        <v>11</v>
      </c>
      <c r="B918" s="8">
        <v>66</v>
      </c>
      <c r="C918" s="8">
        <v>4817.2685549999997</v>
      </c>
      <c r="D918" s="8">
        <v>141092.109375</v>
      </c>
      <c r="E918" s="8">
        <v>141105.1875</v>
      </c>
      <c r="F918" s="8">
        <f t="shared" si="28"/>
        <v>13.078125</v>
      </c>
      <c r="G918" s="8">
        <f t="shared" si="29"/>
        <v>1.3078124999999999E-2</v>
      </c>
    </row>
    <row r="919" spans="1:7" x14ac:dyDescent="0.25">
      <c r="A919" s="8">
        <v>11</v>
      </c>
      <c r="B919" s="8">
        <v>67</v>
      </c>
      <c r="C919" s="8">
        <v>6910.0410160000001</v>
      </c>
      <c r="D919" s="8">
        <v>145927.8125</v>
      </c>
      <c r="E919" s="8">
        <v>145952.78125</v>
      </c>
      <c r="F919" s="8">
        <f t="shared" si="28"/>
        <v>24.96875</v>
      </c>
      <c r="G919" s="8">
        <f t="shared" si="29"/>
        <v>2.4968750000000001E-2</v>
      </c>
    </row>
    <row r="920" spans="1:7" x14ac:dyDescent="0.25">
      <c r="A920" s="8">
        <v>11</v>
      </c>
      <c r="B920" s="8">
        <v>68</v>
      </c>
      <c r="C920" s="8">
        <v>7102.5947269999997</v>
      </c>
      <c r="D920" s="8">
        <v>152874.96875</v>
      </c>
      <c r="E920" s="8">
        <v>152898.03125</v>
      </c>
      <c r="F920" s="8">
        <f t="shared" si="28"/>
        <v>23.0625</v>
      </c>
      <c r="G920" s="8">
        <f t="shared" si="29"/>
        <v>2.30625E-2</v>
      </c>
    </row>
    <row r="921" spans="1:7" x14ac:dyDescent="0.25">
      <c r="A921" s="8">
        <v>11</v>
      </c>
      <c r="B921" s="8">
        <v>69</v>
      </c>
      <c r="C921" s="8">
        <v>2692.6032709999999</v>
      </c>
      <c r="D921" s="8">
        <v>160001.8125</v>
      </c>
      <c r="E921" s="8">
        <v>160012.34375</v>
      </c>
      <c r="F921" s="8">
        <f t="shared" si="28"/>
        <v>10.53125</v>
      </c>
      <c r="G921" s="8">
        <f t="shared" si="29"/>
        <v>1.0531250000000001E-2</v>
      </c>
    </row>
    <row r="922" spans="1:7" x14ac:dyDescent="0.25">
      <c r="A922" s="8">
        <v>11</v>
      </c>
      <c r="B922" s="8">
        <v>70</v>
      </c>
      <c r="C922" s="8">
        <v>2216.0512699999999</v>
      </c>
      <c r="D922" s="8">
        <v>162705.828125</v>
      </c>
      <c r="E922" s="8">
        <v>162728.875</v>
      </c>
      <c r="F922" s="8">
        <f t="shared" si="28"/>
        <v>23.046875</v>
      </c>
      <c r="G922" s="8">
        <f t="shared" si="29"/>
        <v>2.3046875000000001E-2</v>
      </c>
    </row>
    <row r="923" spans="1:7" x14ac:dyDescent="0.25">
      <c r="A923" s="8">
        <v>11</v>
      </c>
      <c r="B923" s="8">
        <v>71</v>
      </c>
      <c r="C923" s="8">
        <v>7194.0141599999997</v>
      </c>
      <c r="D923" s="8">
        <v>164952.234375</v>
      </c>
      <c r="E923" s="8">
        <v>164966.953125</v>
      </c>
      <c r="F923" s="8">
        <f t="shared" si="28"/>
        <v>14.71875</v>
      </c>
      <c r="G923" s="8">
        <f t="shared" si="29"/>
        <v>1.4718749999999999E-2</v>
      </c>
    </row>
    <row r="924" spans="1:7" x14ac:dyDescent="0.25">
      <c r="A924" s="8">
        <v>12</v>
      </c>
      <c r="B924" s="8">
        <v>0</v>
      </c>
      <c r="C924" s="8">
        <v>3804.4589839999999</v>
      </c>
      <c r="D924" s="8">
        <v>20103.867188</v>
      </c>
      <c r="E924" s="8">
        <v>20120.744140999999</v>
      </c>
      <c r="F924" s="8">
        <f t="shared" si="28"/>
        <v>16.876952999999048</v>
      </c>
      <c r="G924" s="8">
        <f t="shared" si="29"/>
        <v>1.6876952999999049E-2</v>
      </c>
    </row>
    <row r="925" spans="1:7" x14ac:dyDescent="0.25">
      <c r="A925" s="8">
        <v>12</v>
      </c>
      <c r="B925" s="8">
        <v>1</v>
      </c>
      <c r="C925" s="8">
        <v>1691.3226320000001</v>
      </c>
      <c r="D925" s="8">
        <v>23927.921875</v>
      </c>
      <c r="E925" s="8">
        <v>23948.779297000001</v>
      </c>
      <c r="F925" s="8">
        <f t="shared" si="28"/>
        <v>20.857422000000952</v>
      </c>
      <c r="G925" s="8">
        <f t="shared" si="29"/>
        <v>2.0857422000000951E-2</v>
      </c>
    </row>
    <row r="926" spans="1:7" x14ac:dyDescent="0.25">
      <c r="A926" s="8">
        <v>12</v>
      </c>
      <c r="B926" s="8">
        <v>2</v>
      </c>
      <c r="C926" s="8">
        <v>3445.2768550000001</v>
      </c>
      <c r="D926" s="8">
        <v>25646.8125</v>
      </c>
      <c r="E926" s="8">
        <v>25658.417968999998</v>
      </c>
      <c r="F926" s="8">
        <f t="shared" si="28"/>
        <v>11.605468999998266</v>
      </c>
      <c r="G926" s="8">
        <f t="shared" si="29"/>
        <v>1.1605468999998265E-2</v>
      </c>
    </row>
    <row r="927" spans="1:7" x14ac:dyDescent="0.25">
      <c r="A927" s="8">
        <v>12</v>
      </c>
      <c r="B927" s="8">
        <v>3</v>
      </c>
      <c r="C927" s="8">
        <v>5262.3681640000004</v>
      </c>
      <c r="D927" s="8">
        <v>29105.681640999999</v>
      </c>
      <c r="E927" s="8">
        <v>29147.003906000002</v>
      </c>
      <c r="F927" s="8">
        <f t="shared" si="28"/>
        <v>41.322265000002517</v>
      </c>
      <c r="G927" s="8">
        <f t="shared" si="29"/>
        <v>4.1322265000002516E-2</v>
      </c>
    </row>
    <row r="928" spans="1:7" x14ac:dyDescent="0.25">
      <c r="A928" s="8">
        <v>12</v>
      </c>
      <c r="B928" s="8">
        <v>4</v>
      </c>
      <c r="C928" s="8">
        <v>605.808044</v>
      </c>
      <c r="D928" s="8">
        <v>34420.617187999997</v>
      </c>
      <c r="E928" s="8">
        <v>34441.519530999998</v>
      </c>
      <c r="F928" s="8">
        <f t="shared" si="28"/>
        <v>20.902343000001565</v>
      </c>
      <c r="G928" s="8">
        <f t="shared" si="29"/>
        <v>2.0902343000001565E-2</v>
      </c>
    </row>
    <row r="929" spans="1:7" x14ac:dyDescent="0.25">
      <c r="A929" s="8">
        <v>12</v>
      </c>
      <c r="B929" s="8">
        <v>5</v>
      </c>
      <c r="C929" s="8">
        <v>243.76950099999999</v>
      </c>
      <c r="D929" s="8">
        <v>35061.359375</v>
      </c>
      <c r="E929" s="8">
        <v>35073.054687999997</v>
      </c>
      <c r="F929" s="8">
        <f t="shared" si="28"/>
        <v>11.695312999996531</v>
      </c>
      <c r="G929" s="8">
        <f t="shared" si="29"/>
        <v>1.1695312999996531E-2</v>
      </c>
    </row>
    <row r="930" spans="1:7" x14ac:dyDescent="0.25">
      <c r="A930" s="8">
        <v>12</v>
      </c>
      <c r="B930" s="8">
        <v>6</v>
      </c>
      <c r="C930" s="8">
        <v>113.19332900000001</v>
      </c>
      <c r="D930" s="8">
        <v>35326.964844000002</v>
      </c>
      <c r="E930" s="8">
        <v>35344.035155999998</v>
      </c>
      <c r="F930" s="8">
        <f t="shared" si="28"/>
        <v>17.070311999996193</v>
      </c>
      <c r="G930" s="8">
        <f t="shared" si="29"/>
        <v>1.7070311999996191E-2</v>
      </c>
    </row>
    <row r="931" spans="1:7" x14ac:dyDescent="0.25">
      <c r="A931" s="8">
        <v>12</v>
      </c>
      <c r="B931" s="8">
        <v>7</v>
      </c>
      <c r="C931" s="8">
        <v>101.536339</v>
      </c>
      <c r="D931" s="8">
        <v>35467.589844000002</v>
      </c>
      <c r="E931" s="8">
        <v>35474.667969000002</v>
      </c>
      <c r="F931" s="8">
        <f t="shared" si="28"/>
        <v>7.078125</v>
      </c>
      <c r="G931" s="8">
        <f t="shared" si="29"/>
        <v>7.0781250000000002E-3</v>
      </c>
    </row>
    <row r="932" spans="1:7" x14ac:dyDescent="0.25">
      <c r="A932" s="8">
        <v>12</v>
      </c>
      <c r="B932" s="8">
        <v>8</v>
      </c>
      <c r="C932" s="8">
        <v>371.23379499999999</v>
      </c>
      <c r="D932" s="8">
        <v>35576.988280999998</v>
      </c>
      <c r="E932" s="8">
        <v>35599.277344000002</v>
      </c>
      <c r="F932" s="8">
        <f t="shared" si="28"/>
        <v>22.289063000003807</v>
      </c>
      <c r="G932" s="8">
        <f t="shared" si="29"/>
        <v>2.2289063000003807E-2</v>
      </c>
    </row>
    <row r="933" spans="1:7" x14ac:dyDescent="0.25">
      <c r="A933" s="8">
        <v>12</v>
      </c>
      <c r="B933" s="8">
        <v>9</v>
      </c>
      <c r="C933" s="8">
        <v>867.44812000000002</v>
      </c>
      <c r="D933" s="8">
        <v>35983.292969000002</v>
      </c>
      <c r="E933" s="8">
        <v>35991.160155999998</v>
      </c>
      <c r="F933" s="8">
        <f t="shared" si="28"/>
        <v>7.8671869999961928</v>
      </c>
      <c r="G933" s="8">
        <f t="shared" si="29"/>
        <v>7.8671869999961935E-3</v>
      </c>
    </row>
    <row r="934" spans="1:7" x14ac:dyDescent="0.25">
      <c r="A934" s="8">
        <v>12</v>
      </c>
      <c r="B934" s="8">
        <v>10</v>
      </c>
      <c r="C934" s="8">
        <v>259.13494900000001</v>
      </c>
      <c r="D934" s="8">
        <v>36862.8125</v>
      </c>
      <c r="E934" s="8">
        <v>36889.785155999998</v>
      </c>
      <c r="F934" s="8">
        <f t="shared" si="28"/>
        <v>26.972655999998096</v>
      </c>
      <c r="G934" s="8">
        <f t="shared" si="29"/>
        <v>2.6972655999998096E-2</v>
      </c>
    </row>
    <row r="935" spans="1:7" x14ac:dyDescent="0.25">
      <c r="A935" s="8">
        <v>12</v>
      </c>
      <c r="B935" s="8">
        <v>11</v>
      </c>
      <c r="C935" s="8">
        <v>1508.810547</v>
      </c>
      <c r="D935" s="8">
        <v>37159.632812999997</v>
      </c>
      <c r="E935" s="8">
        <v>37167.398437999997</v>
      </c>
      <c r="F935" s="8">
        <f t="shared" si="28"/>
        <v>7.765625</v>
      </c>
      <c r="G935" s="8">
        <f t="shared" si="29"/>
        <v>7.765625E-3</v>
      </c>
    </row>
    <row r="936" spans="1:7" x14ac:dyDescent="0.25">
      <c r="A936" s="8">
        <v>12</v>
      </c>
      <c r="B936" s="8">
        <v>12</v>
      </c>
      <c r="C936" s="8">
        <v>2092.758789</v>
      </c>
      <c r="D936" s="8">
        <v>38683.457030999998</v>
      </c>
      <c r="E936" s="8">
        <v>38698.101562999997</v>
      </c>
      <c r="F936" s="8">
        <f t="shared" si="28"/>
        <v>14.644531999998435</v>
      </c>
      <c r="G936" s="8">
        <f t="shared" si="29"/>
        <v>1.4644531999998435E-2</v>
      </c>
    </row>
    <row r="937" spans="1:7" x14ac:dyDescent="0.25">
      <c r="A937" s="8">
        <v>12</v>
      </c>
      <c r="B937" s="8">
        <v>13</v>
      </c>
      <c r="C937" s="8">
        <v>648.82226600000001</v>
      </c>
      <c r="D937" s="8">
        <v>40793.773437999997</v>
      </c>
      <c r="E937" s="8">
        <v>40811.003905999998</v>
      </c>
      <c r="F937" s="8">
        <f t="shared" si="28"/>
        <v>17.230468000001565</v>
      </c>
      <c r="G937" s="8">
        <f t="shared" si="29"/>
        <v>1.7230468000001564E-2</v>
      </c>
    </row>
    <row r="938" spans="1:7" x14ac:dyDescent="0.25">
      <c r="A938" s="8">
        <v>12</v>
      </c>
      <c r="B938" s="8">
        <v>14</v>
      </c>
      <c r="C938" s="8">
        <v>4369.2172849999997</v>
      </c>
      <c r="D938" s="8">
        <v>41465.777344000002</v>
      </c>
      <c r="E938" s="8">
        <v>41476.96875</v>
      </c>
      <c r="F938" s="8">
        <f t="shared" si="28"/>
        <v>11.191405999998096</v>
      </c>
      <c r="G938" s="8">
        <f t="shared" si="29"/>
        <v>1.1191405999998096E-2</v>
      </c>
    </row>
    <row r="939" spans="1:7" x14ac:dyDescent="0.25">
      <c r="A939" s="8">
        <v>12</v>
      </c>
      <c r="B939" s="8">
        <v>15</v>
      </c>
      <c r="C939" s="8">
        <v>2514.5187989999999</v>
      </c>
      <c r="D939" s="8">
        <v>45850.839844000002</v>
      </c>
      <c r="E939" s="8">
        <v>45862.414062999997</v>
      </c>
      <c r="F939" s="8">
        <f t="shared" si="28"/>
        <v>11.574218999994628</v>
      </c>
      <c r="G939" s="8">
        <f t="shared" si="29"/>
        <v>1.1574218999994628E-2</v>
      </c>
    </row>
    <row r="940" spans="1:7" x14ac:dyDescent="0.25">
      <c r="A940" s="8">
        <v>12</v>
      </c>
      <c r="B940" s="8">
        <v>16</v>
      </c>
      <c r="C940" s="8">
        <v>765.72814900000003</v>
      </c>
      <c r="D940" s="8">
        <v>48376.804687999997</v>
      </c>
      <c r="E940" s="8">
        <v>48399.40625</v>
      </c>
      <c r="F940" s="8">
        <f t="shared" si="28"/>
        <v>22.601562000003469</v>
      </c>
      <c r="G940" s="8">
        <f t="shared" si="29"/>
        <v>2.2601562000003468E-2</v>
      </c>
    </row>
    <row r="941" spans="1:7" x14ac:dyDescent="0.25">
      <c r="A941" s="8">
        <v>12</v>
      </c>
      <c r="B941" s="8">
        <v>17</v>
      </c>
      <c r="C941" s="8">
        <v>1619.679443</v>
      </c>
      <c r="D941" s="8">
        <v>49168.421875</v>
      </c>
      <c r="E941" s="8">
        <v>49187.511719000002</v>
      </c>
      <c r="F941" s="8">
        <f t="shared" si="28"/>
        <v>19.089844000001904</v>
      </c>
      <c r="G941" s="8">
        <f t="shared" si="29"/>
        <v>1.9089844000001903E-2</v>
      </c>
    </row>
    <row r="942" spans="1:7" x14ac:dyDescent="0.25">
      <c r="A942" s="8">
        <v>12</v>
      </c>
      <c r="B942" s="8">
        <v>18</v>
      </c>
      <c r="C942" s="8">
        <v>698.91888400000005</v>
      </c>
      <c r="D942" s="8">
        <v>50815.375</v>
      </c>
      <c r="E942" s="8">
        <v>50830.214844000002</v>
      </c>
      <c r="F942" s="8">
        <f t="shared" si="28"/>
        <v>14.839844000001904</v>
      </c>
      <c r="G942" s="8">
        <f t="shared" si="29"/>
        <v>1.4839844000001904E-2</v>
      </c>
    </row>
    <row r="943" spans="1:7" x14ac:dyDescent="0.25">
      <c r="A943" s="8">
        <v>12</v>
      </c>
      <c r="B943" s="8">
        <v>19</v>
      </c>
      <c r="C943" s="8">
        <v>1268.318481</v>
      </c>
      <c r="D943" s="8">
        <v>51529.265625</v>
      </c>
      <c r="E943" s="8">
        <v>51550.023437999997</v>
      </c>
      <c r="F943" s="8">
        <f t="shared" si="28"/>
        <v>20.757812999996531</v>
      </c>
      <c r="G943" s="8">
        <f t="shared" si="29"/>
        <v>2.0757812999996531E-2</v>
      </c>
    </row>
    <row r="944" spans="1:7" x14ac:dyDescent="0.25">
      <c r="A944" s="8">
        <v>12</v>
      </c>
      <c r="B944" s="8">
        <v>20</v>
      </c>
      <c r="C944" s="8">
        <v>46.372298999999998</v>
      </c>
      <c r="D944" s="8">
        <v>52826.605469000002</v>
      </c>
      <c r="E944" s="8">
        <v>52874.671875</v>
      </c>
      <c r="F944" s="8">
        <f t="shared" si="28"/>
        <v>48.066405999998096</v>
      </c>
      <c r="G944" s="8">
        <f t="shared" si="29"/>
        <v>4.8066405999998098E-2</v>
      </c>
    </row>
    <row r="945" spans="1:7" x14ac:dyDescent="0.25">
      <c r="A945" s="8">
        <v>12</v>
      </c>
      <c r="B945" s="8">
        <v>21</v>
      </c>
      <c r="C945" s="8">
        <v>3795.0742190000001</v>
      </c>
      <c r="D945" s="8">
        <v>52935.984375</v>
      </c>
      <c r="E945" s="8">
        <v>52949.726562999997</v>
      </c>
      <c r="F945" s="8">
        <f t="shared" si="28"/>
        <v>13.742187999996531</v>
      </c>
      <c r="G945" s="8">
        <f t="shared" si="29"/>
        <v>1.3742187999996531E-2</v>
      </c>
    </row>
    <row r="946" spans="1:7" x14ac:dyDescent="0.25">
      <c r="A946" s="8">
        <v>12</v>
      </c>
      <c r="B946" s="8">
        <v>22</v>
      </c>
      <c r="C946" s="8">
        <v>574.65222200000005</v>
      </c>
      <c r="D946" s="8">
        <v>56753.734375</v>
      </c>
      <c r="E946" s="8">
        <v>56765.90625</v>
      </c>
      <c r="F946" s="8">
        <f t="shared" si="28"/>
        <v>12.171875</v>
      </c>
      <c r="G946" s="8">
        <f t="shared" si="29"/>
        <v>1.2171875E-2</v>
      </c>
    </row>
    <row r="947" spans="1:7" x14ac:dyDescent="0.25">
      <c r="A947" s="8">
        <v>12</v>
      </c>
      <c r="B947" s="8">
        <v>23</v>
      </c>
      <c r="C947" s="8">
        <v>4252.7924800000001</v>
      </c>
      <c r="D947" s="8">
        <v>57348.21875</v>
      </c>
      <c r="E947" s="8">
        <v>57370.777344000002</v>
      </c>
      <c r="F947" s="8">
        <f t="shared" si="28"/>
        <v>22.558594000001904</v>
      </c>
      <c r="G947" s="8">
        <f t="shared" si="29"/>
        <v>2.2558594000001903E-2</v>
      </c>
    </row>
    <row r="948" spans="1:7" x14ac:dyDescent="0.25">
      <c r="A948" s="8">
        <v>12</v>
      </c>
      <c r="B948" s="8">
        <v>24</v>
      </c>
      <c r="C948" s="8">
        <v>1726.7548830000001</v>
      </c>
      <c r="D948" s="8">
        <v>61638.226562999997</v>
      </c>
      <c r="E948" s="8">
        <v>61651.988280999998</v>
      </c>
      <c r="F948" s="8">
        <f t="shared" si="28"/>
        <v>13.761718000001565</v>
      </c>
      <c r="G948" s="8">
        <f t="shared" si="29"/>
        <v>1.3761718000001566E-2</v>
      </c>
    </row>
    <row r="949" spans="1:7" x14ac:dyDescent="0.25">
      <c r="A949" s="8">
        <v>12</v>
      </c>
      <c r="B949" s="8">
        <v>25</v>
      </c>
      <c r="C949" s="8">
        <v>7191.7880859999996</v>
      </c>
      <c r="D949" s="8">
        <v>63383.503905999998</v>
      </c>
      <c r="E949" s="8">
        <v>63401.078125</v>
      </c>
      <c r="F949" s="8">
        <f t="shared" si="28"/>
        <v>17.574219000001904</v>
      </c>
      <c r="G949" s="8">
        <f t="shared" si="29"/>
        <v>1.7574219000001903E-2</v>
      </c>
    </row>
    <row r="950" spans="1:7" x14ac:dyDescent="0.25">
      <c r="A950" s="8">
        <v>12</v>
      </c>
      <c r="B950" s="8">
        <v>26</v>
      </c>
      <c r="C950" s="8">
        <v>111.514709</v>
      </c>
      <c r="D950" s="8">
        <v>70601.234375</v>
      </c>
      <c r="E950" s="8">
        <v>70625.289063000004</v>
      </c>
      <c r="F950" s="8">
        <f t="shared" si="28"/>
        <v>24.054688000003807</v>
      </c>
      <c r="G950" s="8">
        <f t="shared" si="29"/>
        <v>2.4054688000003807E-2</v>
      </c>
    </row>
    <row r="951" spans="1:7" x14ac:dyDescent="0.25">
      <c r="A951" s="8">
        <v>12</v>
      </c>
      <c r="B951" s="8">
        <v>27</v>
      </c>
      <c r="C951" s="8">
        <v>831.51367200000004</v>
      </c>
      <c r="D951" s="8">
        <v>70741.78125</v>
      </c>
      <c r="E951" s="8">
        <v>70749.421875</v>
      </c>
      <c r="F951" s="8">
        <f t="shared" si="28"/>
        <v>7.640625</v>
      </c>
      <c r="G951" s="8">
        <f t="shared" si="29"/>
        <v>7.6406249999999998E-3</v>
      </c>
    </row>
    <row r="952" spans="1:7" x14ac:dyDescent="0.25">
      <c r="A952" s="8">
        <v>12</v>
      </c>
      <c r="B952" s="8">
        <v>28</v>
      </c>
      <c r="C952" s="8">
        <v>1073.089966</v>
      </c>
      <c r="D952" s="8">
        <v>71588.625</v>
      </c>
      <c r="E952" s="8">
        <v>71603.1875</v>
      </c>
      <c r="F952" s="8">
        <f t="shared" si="28"/>
        <v>14.5625</v>
      </c>
      <c r="G952" s="8">
        <f t="shared" si="29"/>
        <v>1.4562500000000001E-2</v>
      </c>
    </row>
    <row r="953" spans="1:7" x14ac:dyDescent="0.25">
      <c r="A953" s="8">
        <v>12</v>
      </c>
      <c r="B953" s="8">
        <v>29</v>
      </c>
      <c r="C953" s="8">
        <v>753.41394000000003</v>
      </c>
      <c r="D953" s="8">
        <v>72685.296875</v>
      </c>
      <c r="E953" s="8">
        <v>72696.34375</v>
      </c>
      <c r="F953" s="8">
        <f t="shared" si="28"/>
        <v>11.046875</v>
      </c>
      <c r="G953" s="8">
        <f t="shared" si="29"/>
        <v>1.1046874999999999E-2</v>
      </c>
    </row>
    <row r="954" spans="1:7" x14ac:dyDescent="0.25">
      <c r="A954" s="8">
        <v>12</v>
      </c>
      <c r="B954" s="8">
        <v>30</v>
      </c>
      <c r="C954" s="8">
        <v>7732.5991210000002</v>
      </c>
      <c r="D954" s="8">
        <v>73451.203125</v>
      </c>
      <c r="E954" s="8">
        <v>73468.109375</v>
      </c>
      <c r="F954" s="8">
        <f t="shared" si="28"/>
        <v>16.90625</v>
      </c>
      <c r="G954" s="8">
        <f t="shared" si="29"/>
        <v>1.6906250000000001E-2</v>
      </c>
    </row>
    <row r="955" spans="1:7" x14ac:dyDescent="0.25">
      <c r="A955" s="8">
        <v>12</v>
      </c>
      <c r="B955" s="8">
        <v>31</v>
      </c>
      <c r="C955" s="8">
        <v>450.15139799999997</v>
      </c>
      <c r="D955" s="8">
        <v>81208.148438000004</v>
      </c>
      <c r="E955" s="8">
        <v>81219.132813000004</v>
      </c>
      <c r="F955" s="8">
        <f t="shared" si="28"/>
        <v>10.984375</v>
      </c>
      <c r="G955" s="8">
        <f t="shared" si="29"/>
        <v>1.0984374999999999E-2</v>
      </c>
    </row>
    <row r="956" spans="1:7" x14ac:dyDescent="0.25">
      <c r="A956" s="8">
        <v>12</v>
      </c>
      <c r="B956" s="8">
        <v>32</v>
      </c>
      <c r="C956" s="8">
        <v>1293.6816409999999</v>
      </c>
      <c r="D956" s="8">
        <v>81677.03125</v>
      </c>
      <c r="E956" s="8">
        <v>81728.398438000004</v>
      </c>
      <c r="F956" s="8">
        <f t="shared" si="28"/>
        <v>51.367188000003807</v>
      </c>
      <c r="G956" s="8">
        <f t="shared" si="29"/>
        <v>5.1367188000003811E-2</v>
      </c>
    </row>
    <row r="957" spans="1:7" x14ac:dyDescent="0.25">
      <c r="A957" s="8">
        <v>12</v>
      </c>
      <c r="B957" s="8">
        <v>33</v>
      </c>
      <c r="C957" s="8">
        <v>1538.8863530000001</v>
      </c>
      <c r="D957" s="8">
        <v>83026.84375</v>
      </c>
      <c r="E957" s="8">
        <v>83038.203125</v>
      </c>
      <c r="F957" s="8">
        <f t="shared" si="28"/>
        <v>11.359375</v>
      </c>
      <c r="G957" s="8">
        <f t="shared" si="29"/>
        <v>1.1359375E-2</v>
      </c>
    </row>
    <row r="958" spans="1:7" x14ac:dyDescent="0.25">
      <c r="A958" s="8">
        <v>12</v>
      </c>
      <c r="B958" s="8">
        <v>34</v>
      </c>
      <c r="C958" s="8">
        <v>138.93635599999999</v>
      </c>
      <c r="D958" s="8">
        <v>84579.109375</v>
      </c>
      <c r="E958" s="8">
        <v>84586.992188000004</v>
      </c>
      <c r="F958" s="8">
        <f t="shared" si="28"/>
        <v>7.8828130000038072</v>
      </c>
      <c r="G958" s="8">
        <f t="shared" si="29"/>
        <v>7.8828130000038066E-3</v>
      </c>
    </row>
    <row r="959" spans="1:7" x14ac:dyDescent="0.25">
      <c r="A959" s="8">
        <v>12</v>
      </c>
      <c r="B959" s="8">
        <v>35</v>
      </c>
      <c r="C959" s="8">
        <v>2723.8095699999999</v>
      </c>
      <c r="D959" s="8">
        <v>84735.367188000004</v>
      </c>
      <c r="E959" s="8">
        <v>84754.835938000004</v>
      </c>
      <c r="F959" s="8">
        <f t="shared" si="28"/>
        <v>19.46875</v>
      </c>
      <c r="G959" s="8">
        <f t="shared" si="29"/>
        <v>1.946875E-2</v>
      </c>
    </row>
    <row r="960" spans="1:7" x14ac:dyDescent="0.25">
      <c r="A960" s="8">
        <v>12</v>
      </c>
      <c r="B960" s="8">
        <v>36</v>
      </c>
      <c r="C960" s="8">
        <v>450.45718399999998</v>
      </c>
      <c r="D960" s="8">
        <v>87489.632813000004</v>
      </c>
      <c r="E960" s="8">
        <v>87509.929688000004</v>
      </c>
      <c r="F960" s="8">
        <f t="shared" si="28"/>
        <v>20.296875</v>
      </c>
      <c r="G960" s="8">
        <f t="shared" si="29"/>
        <v>2.0296874999999999E-2</v>
      </c>
    </row>
    <row r="961" spans="1:7" x14ac:dyDescent="0.25">
      <c r="A961" s="8">
        <v>12</v>
      </c>
      <c r="B961" s="8">
        <v>37</v>
      </c>
      <c r="C961" s="8">
        <v>9166.0927730000003</v>
      </c>
      <c r="D961" s="8">
        <v>87974.75</v>
      </c>
      <c r="E961" s="8">
        <v>87992.40625</v>
      </c>
      <c r="F961" s="8">
        <f t="shared" si="28"/>
        <v>17.65625</v>
      </c>
      <c r="G961" s="8">
        <f t="shared" si="29"/>
        <v>1.7656249999999998E-2</v>
      </c>
    </row>
    <row r="962" spans="1:7" x14ac:dyDescent="0.25">
      <c r="A962" s="8">
        <v>12</v>
      </c>
      <c r="B962" s="8">
        <v>38</v>
      </c>
      <c r="C962" s="8">
        <v>2887.5915530000002</v>
      </c>
      <c r="D962" s="8">
        <v>97165.46875</v>
      </c>
      <c r="E962" s="8">
        <v>97192.117188000004</v>
      </c>
      <c r="F962" s="8">
        <f t="shared" si="28"/>
        <v>26.648438000003807</v>
      </c>
      <c r="G962" s="8">
        <f t="shared" si="29"/>
        <v>2.6648438000003806E-2</v>
      </c>
    </row>
    <row r="963" spans="1:7" x14ac:dyDescent="0.25">
      <c r="A963" s="8">
        <v>12</v>
      </c>
      <c r="B963" s="8">
        <v>39</v>
      </c>
      <c r="C963" s="8">
        <v>2129.9465329999998</v>
      </c>
      <c r="D963" s="8">
        <v>100088.90625</v>
      </c>
      <c r="E963" s="8">
        <v>100103.492188</v>
      </c>
      <c r="F963" s="8">
        <f t="shared" si="28"/>
        <v>14.585938000003807</v>
      </c>
      <c r="G963" s="8">
        <f t="shared" si="29"/>
        <v>1.4585938000003807E-2</v>
      </c>
    </row>
    <row r="964" spans="1:7" x14ac:dyDescent="0.25">
      <c r="A964" s="8">
        <v>12</v>
      </c>
      <c r="B964" s="8">
        <v>40</v>
      </c>
      <c r="C964" s="8">
        <v>6060.2001950000003</v>
      </c>
      <c r="D964" s="8">
        <v>102245.023438</v>
      </c>
      <c r="E964" s="8">
        <v>102268.515625</v>
      </c>
      <c r="F964" s="8">
        <f t="shared" si="28"/>
        <v>23.492186999996193</v>
      </c>
      <c r="G964" s="8">
        <f t="shared" si="29"/>
        <v>2.3492186999996192E-2</v>
      </c>
    </row>
    <row r="965" spans="1:7" x14ac:dyDescent="0.25">
      <c r="A965" s="8">
        <v>12</v>
      </c>
      <c r="B965" s="8">
        <v>41</v>
      </c>
      <c r="C965" s="8">
        <v>3387.3408199999999</v>
      </c>
      <c r="D965" s="8">
        <v>108329.25</v>
      </c>
      <c r="E965" s="8">
        <v>108381.640625</v>
      </c>
      <c r="F965" s="8">
        <f t="shared" si="28"/>
        <v>52.390625</v>
      </c>
      <c r="G965" s="8">
        <f t="shared" si="29"/>
        <v>5.2390625000000003E-2</v>
      </c>
    </row>
    <row r="966" spans="1:7" x14ac:dyDescent="0.25">
      <c r="A966" s="8">
        <v>12</v>
      </c>
      <c r="B966" s="8">
        <v>42</v>
      </c>
      <c r="C966" s="8">
        <v>1261.7698969999999</v>
      </c>
      <c r="D966" s="8">
        <v>111783.554688</v>
      </c>
      <c r="E966" s="8">
        <v>111802.109375</v>
      </c>
      <c r="F966" s="8">
        <f t="shared" si="28"/>
        <v>18.554686999996193</v>
      </c>
      <c r="G966" s="8">
        <f t="shared" si="29"/>
        <v>1.8554686999996194E-2</v>
      </c>
    </row>
    <row r="967" spans="1:7" x14ac:dyDescent="0.25">
      <c r="A967" s="8">
        <v>12</v>
      </c>
      <c r="B967" s="8">
        <v>43</v>
      </c>
      <c r="C967" s="8">
        <v>2838.7993160000001</v>
      </c>
      <c r="D967" s="8">
        <v>113075.6875</v>
      </c>
      <c r="E967" s="8">
        <v>113086.75</v>
      </c>
      <c r="F967" s="8">
        <f t="shared" si="28"/>
        <v>11.0625</v>
      </c>
      <c r="G967" s="8">
        <f t="shared" si="29"/>
        <v>1.1062499999999999E-2</v>
      </c>
    </row>
    <row r="968" spans="1:7" x14ac:dyDescent="0.25">
      <c r="A968" s="8">
        <v>12</v>
      </c>
      <c r="B968" s="8">
        <v>44</v>
      </c>
      <c r="C968" s="8">
        <v>2463.8774410000001</v>
      </c>
      <c r="D968" s="8">
        <v>115926.875</v>
      </c>
      <c r="E968" s="8">
        <v>115946.6875</v>
      </c>
      <c r="F968" s="8">
        <f t="shared" si="28"/>
        <v>19.8125</v>
      </c>
      <c r="G968" s="8">
        <f t="shared" si="29"/>
        <v>1.98125E-2</v>
      </c>
    </row>
    <row r="969" spans="1:7" x14ac:dyDescent="0.25">
      <c r="A969" s="8">
        <v>12</v>
      </c>
      <c r="B969" s="8">
        <v>45</v>
      </c>
      <c r="C969" s="8">
        <v>506.512878</v>
      </c>
      <c r="D969" s="8">
        <v>118416.234375</v>
      </c>
      <c r="E969" s="8">
        <v>118428.414063</v>
      </c>
      <c r="F969" s="8">
        <f t="shared" si="28"/>
        <v>12.179688000003807</v>
      </c>
      <c r="G969" s="8">
        <f t="shared" si="29"/>
        <v>1.2179688000003807E-2</v>
      </c>
    </row>
    <row r="970" spans="1:7" x14ac:dyDescent="0.25">
      <c r="A970" s="8">
        <v>12</v>
      </c>
      <c r="B970" s="8">
        <v>46</v>
      </c>
      <c r="C970" s="8">
        <v>1801.3618160000001</v>
      </c>
      <c r="D970" s="8">
        <v>118947.570313</v>
      </c>
      <c r="E970" s="8">
        <v>119022.335938</v>
      </c>
      <c r="F970" s="8">
        <f t="shared" si="28"/>
        <v>74.765625</v>
      </c>
      <c r="G970" s="8">
        <f t="shared" si="29"/>
        <v>7.4765625000000002E-2</v>
      </c>
    </row>
    <row r="971" spans="1:7" x14ac:dyDescent="0.25">
      <c r="A971" s="8">
        <v>12</v>
      </c>
      <c r="B971" s="8">
        <v>47</v>
      </c>
      <c r="C971" s="8">
        <v>426.59310900000003</v>
      </c>
      <c r="D971" s="8">
        <v>120828.71875</v>
      </c>
      <c r="E971" s="8">
        <v>120850.445313</v>
      </c>
      <c r="F971" s="8">
        <f t="shared" ref="F971:F1034" si="30">E971-D971</f>
        <v>21.726563000003807</v>
      </c>
      <c r="G971" s="8">
        <f t="shared" ref="G971:G1034" si="31">F971/1000</f>
        <v>2.1726563000003807E-2</v>
      </c>
    </row>
    <row r="972" spans="1:7" x14ac:dyDescent="0.25">
      <c r="A972" s="8">
        <v>12</v>
      </c>
      <c r="B972" s="8">
        <v>48</v>
      </c>
      <c r="C972" s="8">
        <v>1020.451294</v>
      </c>
      <c r="D972" s="8">
        <v>121283.242188</v>
      </c>
      <c r="E972" s="8">
        <v>121306.625</v>
      </c>
      <c r="F972" s="8">
        <f t="shared" si="30"/>
        <v>23.382811999996193</v>
      </c>
      <c r="G972" s="8">
        <f t="shared" si="31"/>
        <v>2.3382811999996193E-2</v>
      </c>
    </row>
    <row r="973" spans="1:7" x14ac:dyDescent="0.25">
      <c r="A973" s="8">
        <v>12</v>
      </c>
      <c r="B973" s="8">
        <v>49</v>
      </c>
      <c r="C973" s="8">
        <v>4352.4716799999997</v>
      </c>
      <c r="D973" s="8">
        <v>122330.21875</v>
      </c>
      <c r="E973" s="8">
        <v>122356.625</v>
      </c>
      <c r="F973" s="8">
        <f t="shared" si="30"/>
        <v>26.40625</v>
      </c>
      <c r="G973" s="8">
        <f t="shared" si="31"/>
        <v>2.6406249999999999E-2</v>
      </c>
    </row>
    <row r="974" spans="1:7" x14ac:dyDescent="0.25">
      <c r="A974" s="8">
        <v>12</v>
      </c>
      <c r="B974" s="8">
        <v>50</v>
      </c>
      <c r="C974" s="8">
        <v>559.98107900000002</v>
      </c>
      <c r="D974" s="8">
        <v>126721.695313</v>
      </c>
      <c r="E974" s="8">
        <v>126733.1875</v>
      </c>
      <c r="F974" s="8">
        <f t="shared" si="30"/>
        <v>11.492186999996193</v>
      </c>
      <c r="G974" s="8">
        <f t="shared" si="31"/>
        <v>1.1492186999996193E-2</v>
      </c>
    </row>
    <row r="975" spans="1:7" x14ac:dyDescent="0.25">
      <c r="A975" s="8">
        <v>12</v>
      </c>
      <c r="B975" s="8">
        <v>51</v>
      </c>
      <c r="C975" s="8">
        <v>2986.9956050000001</v>
      </c>
      <c r="D975" s="8">
        <v>127299.859375</v>
      </c>
      <c r="E975" s="8">
        <v>127315.289063</v>
      </c>
      <c r="F975" s="8">
        <f t="shared" si="30"/>
        <v>15.429688000003807</v>
      </c>
      <c r="G975" s="8">
        <f t="shared" si="31"/>
        <v>1.5429688000003806E-2</v>
      </c>
    </row>
    <row r="976" spans="1:7" x14ac:dyDescent="0.25">
      <c r="A976" s="8">
        <v>12</v>
      </c>
      <c r="B976" s="8">
        <v>52</v>
      </c>
      <c r="C976" s="8">
        <v>2352.9812010000001</v>
      </c>
      <c r="D976" s="8">
        <v>130301.507813</v>
      </c>
      <c r="E976" s="8">
        <v>130308.796875</v>
      </c>
      <c r="F976" s="8">
        <f t="shared" si="30"/>
        <v>7.2890619999961928</v>
      </c>
      <c r="G976" s="8">
        <f t="shared" si="31"/>
        <v>7.2890619999961929E-3</v>
      </c>
    </row>
    <row r="977" spans="1:7" x14ac:dyDescent="0.25">
      <c r="A977" s="8">
        <v>12</v>
      </c>
      <c r="B977" s="8">
        <v>53</v>
      </c>
      <c r="C977" s="8">
        <v>5809.9482420000004</v>
      </c>
      <c r="D977" s="8">
        <v>132670.859375</v>
      </c>
      <c r="E977" s="8">
        <v>132699.265625</v>
      </c>
      <c r="F977" s="8">
        <f t="shared" si="30"/>
        <v>28.40625</v>
      </c>
      <c r="G977" s="8">
        <f t="shared" si="31"/>
        <v>2.8406250000000001E-2</v>
      </c>
    </row>
    <row r="978" spans="1:7" x14ac:dyDescent="0.25">
      <c r="A978" s="8">
        <v>12</v>
      </c>
      <c r="B978" s="8">
        <v>54</v>
      </c>
      <c r="C978" s="8">
        <v>171.98734999999999</v>
      </c>
      <c r="D978" s="8">
        <v>138515.6875</v>
      </c>
      <c r="E978" s="8">
        <v>138531.890625</v>
      </c>
      <c r="F978" s="8">
        <f t="shared" si="30"/>
        <v>16.203125</v>
      </c>
      <c r="G978" s="8">
        <f t="shared" si="31"/>
        <v>1.6203124999999999E-2</v>
      </c>
    </row>
    <row r="979" spans="1:7" x14ac:dyDescent="0.25">
      <c r="A979" s="8">
        <v>12</v>
      </c>
      <c r="B979" s="8">
        <v>55</v>
      </c>
      <c r="C979" s="8">
        <v>2876.7597660000001</v>
      </c>
      <c r="D979" s="8">
        <v>138703.234375</v>
      </c>
      <c r="E979" s="8">
        <v>138722.03125</v>
      </c>
      <c r="F979" s="8">
        <f t="shared" si="30"/>
        <v>18.796875</v>
      </c>
      <c r="G979" s="8">
        <f t="shared" si="31"/>
        <v>1.8796875000000001E-2</v>
      </c>
    </row>
    <row r="980" spans="1:7" x14ac:dyDescent="0.25">
      <c r="A980" s="8">
        <v>12</v>
      </c>
      <c r="B980" s="8">
        <v>56</v>
      </c>
      <c r="C980" s="8">
        <v>1780.8857419999999</v>
      </c>
      <c r="D980" s="8">
        <v>141610.46875</v>
      </c>
      <c r="E980" s="8">
        <v>141626.8125</v>
      </c>
      <c r="F980" s="8">
        <f t="shared" si="30"/>
        <v>16.34375</v>
      </c>
      <c r="G980" s="8">
        <f t="shared" si="31"/>
        <v>1.6343750000000001E-2</v>
      </c>
    </row>
    <row r="981" spans="1:7" x14ac:dyDescent="0.25">
      <c r="A981" s="8">
        <v>12</v>
      </c>
      <c r="B981" s="8">
        <v>57</v>
      </c>
      <c r="C981" s="8">
        <v>1719.9642329999999</v>
      </c>
      <c r="D981" s="8">
        <v>143407.109375</v>
      </c>
      <c r="E981" s="8">
        <v>143414.6875</v>
      </c>
      <c r="F981" s="8">
        <f t="shared" si="30"/>
        <v>7.578125</v>
      </c>
      <c r="G981" s="8">
        <f t="shared" si="31"/>
        <v>7.5781249999999998E-3</v>
      </c>
    </row>
    <row r="982" spans="1:7" x14ac:dyDescent="0.25">
      <c r="A982" s="8">
        <v>12</v>
      </c>
      <c r="B982" s="8">
        <v>58</v>
      </c>
      <c r="C982" s="8">
        <v>1382.2089840000001</v>
      </c>
      <c r="D982" s="8">
        <v>145146.25</v>
      </c>
      <c r="E982" s="8">
        <v>145169.734375</v>
      </c>
      <c r="F982" s="8">
        <f t="shared" si="30"/>
        <v>23.484375</v>
      </c>
      <c r="G982" s="8">
        <f t="shared" si="31"/>
        <v>2.3484374999999998E-2</v>
      </c>
    </row>
    <row r="983" spans="1:7" x14ac:dyDescent="0.25">
      <c r="A983" s="8">
        <v>12</v>
      </c>
      <c r="B983" s="8">
        <v>59</v>
      </c>
      <c r="C983" s="8">
        <v>2529.380615</v>
      </c>
      <c r="D983" s="8">
        <v>146552.84375</v>
      </c>
      <c r="E983" s="8">
        <v>146570.484375</v>
      </c>
      <c r="F983" s="8">
        <f t="shared" si="30"/>
        <v>17.640625</v>
      </c>
      <c r="G983" s="8">
        <f t="shared" si="31"/>
        <v>1.7640625E-2</v>
      </c>
    </row>
    <row r="984" spans="1:7" x14ac:dyDescent="0.25">
      <c r="A984" s="8">
        <v>12</v>
      </c>
      <c r="B984" s="8">
        <v>60</v>
      </c>
      <c r="C984" s="8">
        <v>2371.0754390000002</v>
      </c>
      <c r="D984" s="8">
        <v>149103.515625</v>
      </c>
      <c r="E984" s="8">
        <v>149111.09375</v>
      </c>
      <c r="F984" s="8">
        <f t="shared" si="30"/>
        <v>7.578125</v>
      </c>
      <c r="G984" s="8">
        <f t="shared" si="31"/>
        <v>7.5781249999999998E-3</v>
      </c>
    </row>
    <row r="985" spans="1:7" x14ac:dyDescent="0.25">
      <c r="A985" s="8">
        <v>12</v>
      </c>
      <c r="B985" s="8">
        <v>61</v>
      </c>
      <c r="C985" s="8">
        <v>1835.4522710000001</v>
      </c>
      <c r="D985" s="8">
        <v>151483.359375</v>
      </c>
      <c r="E985" s="8">
        <v>151494.609375</v>
      </c>
      <c r="F985" s="8">
        <f t="shared" si="30"/>
        <v>11.25</v>
      </c>
      <c r="G985" s="8">
        <f t="shared" si="31"/>
        <v>1.125E-2</v>
      </c>
    </row>
    <row r="986" spans="1:7" x14ac:dyDescent="0.25">
      <c r="A986" s="8">
        <v>12</v>
      </c>
      <c r="B986" s="8">
        <v>62</v>
      </c>
      <c r="C986" s="8">
        <v>2207.014404</v>
      </c>
      <c r="D986" s="8">
        <v>153343.875</v>
      </c>
      <c r="E986" s="8">
        <v>153363.125</v>
      </c>
      <c r="F986" s="8">
        <f t="shared" si="30"/>
        <v>19.25</v>
      </c>
      <c r="G986" s="8">
        <f t="shared" si="31"/>
        <v>1.925E-2</v>
      </c>
    </row>
    <row r="987" spans="1:7" x14ac:dyDescent="0.25">
      <c r="A987" s="8">
        <v>12</v>
      </c>
      <c r="B987" s="8">
        <v>63</v>
      </c>
      <c r="C987" s="8">
        <v>2548.4968260000001</v>
      </c>
      <c r="D987" s="8">
        <v>155578.578125</v>
      </c>
      <c r="E987" s="8">
        <v>155595.21875</v>
      </c>
      <c r="F987" s="8">
        <f t="shared" si="30"/>
        <v>16.640625</v>
      </c>
      <c r="G987" s="8">
        <f t="shared" si="31"/>
        <v>1.6640624999999999E-2</v>
      </c>
    </row>
    <row r="988" spans="1:7" x14ac:dyDescent="0.25">
      <c r="A988" s="8">
        <v>12</v>
      </c>
      <c r="B988" s="8">
        <v>64</v>
      </c>
      <c r="C988" s="8">
        <v>1222.6953129999999</v>
      </c>
      <c r="D988" s="8">
        <v>158156.96875</v>
      </c>
      <c r="E988" s="8">
        <v>158178.546875</v>
      </c>
      <c r="F988" s="8">
        <f t="shared" si="30"/>
        <v>21.578125</v>
      </c>
      <c r="G988" s="8">
        <f t="shared" si="31"/>
        <v>2.1578125E-2</v>
      </c>
    </row>
    <row r="989" spans="1:7" x14ac:dyDescent="0.25">
      <c r="A989" s="8">
        <v>12</v>
      </c>
      <c r="B989" s="8">
        <v>65</v>
      </c>
      <c r="C989" s="8">
        <v>189.62567100000001</v>
      </c>
      <c r="D989" s="8">
        <v>159408.09375</v>
      </c>
      <c r="E989" s="8">
        <v>159423.4375</v>
      </c>
      <c r="F989" s="8">
        <f t="shared" si="30"/>
        <v>15.34375</v>
      </c>
      <c r="G989" s="8">
        <f t="shared" si="31"/>
        <v>1.534375E-2</v>
      </c>
    </row>
    <row r="990" spans="1:7" x14ac:dyDescent="0.25">
      <c r="A990" s="8">
        <v>12</v>
      </c>
      <c r="B990" s="8">
        <v>66</v>
      </c>
      <c r="C990" s="8">
        <v>1767.695068</v>
      </c>
      <c r="D990" s="8">
        <v>159626.875</v>
      </c>
      <c r="E990" s="8">
        <v>159640.53125</v>
      </c>
      <c r="F990" s="8">
        <f t="shared" si="30"/>
        <v>13.65625</v>
      </c>
      <c r="G990" s="8">
        <f t="shared" si="31"/>
        <v>1.365625E-2</v>
      </c>
    </row>
    <row r="991" spans="1:7" x14ac:dyDescent="0.25">
      <c r="A991" s="8">
        <v>12</v>
      </c>
      <c r="B991" s="8">
        <v>67</v>
      </c>
      <c r="C991" s="8">
        <v>1969.098389</v>
      </c>
      <c r="D991" s="8">
        <v>161408.171875</v>
      </c>
      <c r="E991" s="8">
        <v>161422.34375</v>
      </c>
      <c r="F991" s="8">
        <f t="shared" si="30"/>
        <v>14.171875</v>
      </c>
      <c r="G991" s="8">
        <f t="shared" si="31"/>
        <v>1.4171875E-2</v>
      </c>
    </row>
    <row r="992" spans="1:7" x14ac:dyDescent="0.25">
      <c r="A992" s="8">
        <v>12</v>
      </c>
      <c r="B992" s="8">
        <v>68</v>
      </c>
      <c r="C992" s="8">
        <v>645.02655000000004</v>
      </c>
      <c r="D992" s="8">
        <v>163393.375</v>
      </c>
      <c r="E992" s="8">
        <v>163415.671875</v>
      </c>
      <c r="F992" s="8">
        <f t="shared" si="30"/>
        <v>22.296875</v>
      </c>
      <c r="G992" s="8">
        <f t="shared" si="31"/>
        <v>2.2296875000000001E-2</v>
      </c>
    </row>
    <row r="993" spans="1:7" x14ac:dyDescent="0.25">
      <c r="A993" s="8">
        <v>12</v>
      </c>
      <c r="B993" s="8">
        <v>69</v>
      </c>
      <c r="C993" s="8">
        <v>1238.8458250000001</v>
      </c>
      <c r="D993" s="8">
        <v>164065.34375</v>
      </c>
      <c r="E993" s="8">
        <v>164089</v>
      </c>
      <c r="F993" s="8">
        <f t="shared" si="30"/>
        <v>23.65625</v>
      </c>
      <c r="G993" s="8">
        <f t="shared" si="31"/>
        <v>2.365625E-2</v>
      </c>
    </row>
    <row r="994" spans="1:7" x14ac:dyDescent="0.25">
      <c r="A994" s="8">
        <v>12</v>
      </c>
      <c r="B994" s="8">
        <v>70</v>
      </c>
      <c r="C994" s="8">
        <v>2328.585693</v>
      </c>
      <c r="D994" s="8">
        <v>165327.203125</v>
      </c>
      <c r="E994" s="8">
        <v>165339.09375</v>
      </c>
      <c r="F994" s="8">
        <f t="shared" si="30"/>
        <v>11.890625</v>
      </c>
      <c r="G994" s="8">
        <f t="shared" si="31"/>
        <v>1.1890625E-2</v>
      </c>
    </row>
    <row r="995" spans="1:7" x14ac:dyDescent="0.25">
      <c r="A995" s="8">
        <v>12</v>
      </c>
      <c r="B995" s="8">
        <v>71</v>
      </c>
      <c r="C995" s="8">
        <v>1824.9360349999999</v>
      </c>
      <c r="D995" s="8">
        <v>167681.78125</v>
      </c>
      <c r="E995" s="8">
        <v>167706.28125</v>
      </c>
      <c r="F995" s="8">
        <f t="shared" si="30"/>
        <v>24.5</v>
      </c>
      <c r="G995" s="8">
        <f t="shared" si="31"/>
        <v>2.4500000000000001E-2</v>
      </c>
    </row>
    <row r="996" spans="1:7" x14ac:dyDescent="0.25">
      <c r="A996" s="8">
        <v>12</v>
      </c>
      <c r="B996" s="8">
        <v>72</v>
      </c>
      <c r="C996" s="8">
        <v>2976.1540530000002</v>
      </c>
      <c r="D996" s="8">
        <v>169532.859375</v>
      </c>
      <c r="E996" s="8">
        <v>169557.09375</v>
      </c>
      <c r="F996" s="8">
        <f t="shared" si="30"/>
        <v>24.234375</v>
      </c>
      <c r="G996" s="8">
        <f t="shared" si="31"/>
        <v>2.4234374999999999E-2</v>
      </c>
    </row>
    <row r="997" spans="1:7" x14ac:dyDescent="0.25">
      <c r="A997" s="8">
        <v>13</v>
      </c>
      <c r="B997" s="8">
        <v>0</v>
      </c>
      <c r="C997" s="8">
        <v>1291.4685059999999</v>
      </c>
      <c r="D997" s="8">
        <v>21516.179688</v>
      </c>
      <c r="E997" s="8">
        <v>21540.986327999999</v>
      </c>
      <c r="F997" s="8">
        <f t="shared" si="30"/>
        <v>24.806639999998879</v>
      </c>
      <c r="G997" s="8">
        <f t="shared" si="31"/>
        <v>2.4806639999998877E-2</v>
      </c>
    </row>
    <row r="998" spans="1:7" x14ac:dyDescent="0.25">
      <c r="A998" s="8">
        <v>13</v>
      </c>
      <c r="B998" s="8">
        <v>1</v>
      </c>
      <c r="C998" s="8">
        <v>4832.2548829999996</v>
      </c>
      <c r="D998" s="8">
        <v>22844.519531000002</v>
      </c>
      <c r="E998" s="8">
        <v>22859.09375</v>
      </c>
      <c r="F998" s="8">
        <f t="shared" si="30"/>
        <v>14.574218999998266</v>
      </c>
      <c r="G998" s="8">
        <f t="shared" si="31"/>
        <v>1.4574218999998266E-2</v>
      </c>
    </row>
    <row r="999" spans="1:7" x14ac:dyDescent="0.25">
      <c r="A999" s="8">
        <v>13</v>
      </c>
      <c r="B999" s="8">
        <v>2</v>
      </c>
      <c r="C999" s="8">
        <v>1103.591064</v>
      </c>
      <c r="D999" s="8">
        <v>27697.179688</v>
      </c>
      <c r="E999" s="8">
        <v>27710.472656000002</v>
      </c>
      <c r="F999" s="8">
        <f t="shared" si="30"/>
        <v>13.292968000001565</v>
      </c>
      <c r="G999" s="8">
        <f t="shared" si="31"/>
        <v>1.3292968000001565E-2</v>
      </c>
    </row>
    <row r="1000" spans="1:7" x14ac:dyDescent="0.25">
      <c r="A1000" s="8">
        <v>13</v>
      </c>
      <c r="B1000" s="8">
        <v>3</v>
      </c>
      <c r="C1000" s="8">
        <v>1191.8876949999999</v>
      </c>
      <c r="D1000" s="8">
        <v>28824.564452999999</v>
      </c>
      <c r="E1000" s="8">
        <v>28838.240234000001</v>
      </c>
      <c r="F1000" s="8">
        <f t="shared" si="30"/>
        <v>13.675781000001734</v>
      </c>
      <c r="G1000" s="8">
        <f t="shared" si="31"/>
        <v>1.3675781000001734E-2</v>
      </c>
    </row>
    <row r="1001" spans="1:7" x14ac:dyDescent="0.25">
      <c r="A1001" s="8">
        <v>13</v>
      </c>
      <c r="B1001" s="8">
        <v>4</v>
      </c>
      <c r="C1001" s="8">
        <v>254.00001499999999</v>
      </c>
      <c r="D1001" s="8">
        <v>30043.464843999998</v>
      </c>
      <c r="E1001" s="8">
        <v>30063.679688</v>
      </c>
      <c r="F1001" s="8">
        <f t="shared" si="30"/>
        <v>20.214844000001904</v>
      </c>
      <c r="G1001" s="8">
        <f t="shared" si="31"/>
        <v>2.0214844000001904E-2</v>
      </c>
    </row>
    <row r="1002" spans="1:7" x14ac:dyDescent="0.25">
      <c r="A1002" s="8">
        <v>13</v>
      </c>
      <c r="B1002" s="8">
        <v>5</v>
      </c>
      <c r="C1002" s="8">
        <v>110.35329400000001</v>
      </c>
      <c r="D1002" s="8">
        <v>30327.878906000002</v>
      </c>
      <c r="E1002" s="8">
        <v>30345.216797000001</v>
      </c>
      <c r="F1002" s="8">
        <f t="shared" si="30"/>
        <v>17.337890999999217</v>
      </c>
      <c r="G1002" s="8">
        <f t="shared" si="31"/>
        <v>1.7337890999999217E-2</v>
      </c>
    </row>
    <row r="1003" spans="1:7" x14ac:dyDescent="0.25">
      <c r="A1003" s="8">
        <v>13</v>
      </c>
      <c r="B1003" s="8">
        <v>6</v>
      </c>
      <c r="C1003" s="8">
        <v>936.43359399999997</v>
      </c>
      <c r="D1003" s="8">
        <v>30468.570313</v>
      </c>
      <c r="E1003" s="8">
        <v>30476.443359000001</v>
      </c>
      <c r="F1003" s="8">
        <f t="shared" si="30"/>
        <v>7.8730460000006133</v>
      </c>
      <c r="G1003" s="8">
        <f t="shared" si="31"/>
        <v>7.873046000000614E-3</v>
      </c>
    </row>
    <row r="1004" spans="1:7" x14ac:dyDescent="0.25">
      <c r="A1004" s="8">
        <v>13</v>
      </c>
      <c r="B1004" s="8">
        <v>7</v>
      </c>
      <c r="C1004" s="8">
        <v>2184.1445309999999</v>
      </c>
      <c r="D1004" s="8">
        <v>31425.257813</v>
      </c>
      <c r="E1004" s="8">
        <v>31435.701172000001</v>
      </c>
      <c r="F1004" s="8">
        <f t="shared" si="30"/>
        <v>10.443359000000783</v>
      </c>
      <c r="G1004" s="8">
        <f t="shared" si="31"/>
        <v>1.0443359000000783E-2</v>
      </c>
    </row>
    <row r="1005" spans="1:7" x14ac:dyDescent="0.25">
      <c r="A1005" s="8">
        <v>13</v>
      </c>
      <c r="B1005" s="8">
        <v>8</v>
      </c>
      <c r="C1005" s="8">
        <v>2245.8469239999999</v>
      </c>
      <c r="D1005" s="8">
        <v>33634.441405999998</v>
      </c>
      <c r="E1005" s="8">
        <v>33641.824219000002</v>
      </c>
      <c r="F1005" s="8">
        <f t="shared" si="30"/>
        <v>7.3828130000038072</v>
      </c>
      <c r="G1005" s="8">
        <f t="shared" si="31"/>
        <v>7.3828130000038071E-3</v>
      </c>
    </row>
    <row r="1006" spans="1:7" x14ac:dyDescent="0.25">
      <c r="A1006" s="8">
        <v>13</v>
      </c>
      <c r="B1006" s="8">
        <v>9</v>
      </c>
      <c r="C1006" s="8">
        <v>1795.062134</v>
      </c>
      <c r="D1006" s="8">
        <v>35889.523437999997</v>
      </c>
      <c r="E1006" s="8">
        <v>35896.714844000002</v>
      </c>
      <c r="F1006" s="8">
        <f t="shared" si="30"/>
        <v>7.1914060000053723</v>
      </c>
      <c r="G1006" s="8">
        <f t="shared" si="31"/>
        <v>7.1914060000053725E-3</v>
      </c>
    </row>
    <row r="1007" spans="1:7" x14ac:dyDescent="0.25">
      <c r="A1007" s="8">
        <v>13</v>
      </c>
      <c r="B1007" s="8">
        <v>10</v>
      </c>
      <c r="C1007" s="8">
        <v>2484.6989749999998</v>
      </c>
      <c r="D1007" s="8">
        <v>37698.730469000002</v>
      </c>
      <c r="E1007" s="8">
        <v>37717.953125</v>
      </c>
      <c r="F1007" s="8">
        <f t="shared" si="30"/>
        <v>19.222655999998096</v>
      </c>
      <c r="G1007" s="8">
        <f t="shared" si="31"/>
        <v>1.9222655999998096E-2</v>
      </c>
    </row>
    <row r="1008" spans="1:7" x14ac:dyDescent="0.25">
      <c r="A1008" s="8">
        <v>13</v>
      </c>
      <c r="B1008" s="8">
        <v>11</v>
      </c>
      <c r="C1008" s="8">
        <v>180.85386700000001</v>
      </c>
      <c r="D1008" s="8">
        <v>40214.820312999997</v>
      </c>
      <c r="E1008" s="8">
        <v>40230.269530999998</v>
      </c>
      <c r="F1008" s="8">
        <f t="shared" si="30"/>
        <v>15.449218000001565</v>
      </c>
      <c r="G1008" s="8">
        <f t="shared" si="31"/>
        <v>1.5449218000001565E-2</v>
      </c>
    </row>
    <row r="1009" spans="1:7" x14ac:dyDescent="0.25">
      <c r="A1009" s="8">
        <v>13</v>
      </c>
      <c r="B1009" s="8">
        <v>12</v>
      </c>
      <c r="C1009" s="8">
        <v>499.91888399999999</v>
      </c>
      <c r="D1009" s="8">
        <v>40417.921875</v>
      </c>
      <c r="E1009" s="8">
        <v>40440.375</v>
      </c>
      <c r="F1009" s="8">
        <f t="shared" si="30"/>
        <v>22.453125</v>
      </c>
      <c r="G1009" s="8">
        <f t="shared" si="31"/>
        <v>2.2453125000000001E-2</v>
      </c>
    </row>
    <row r="1010" spans="1:7" x14ac:dyDescent="0.25">
      <c r="A1010" s="8">
        <v>13</v>
      </c>
      <c r="B1010" s="8">
        <v>13</v>
      </c>
      <c r="C1010" s="8">
        <v>371.52777099999997</v>
      </c>
      <c r="D1010" s="8">
        <v>40950.117187999997</v>
      </c>
      <c r="E1010" s="8">
        <v>40964.40625</v>
      </c>
      <c r="F1010" s="8">
        <f t="shared" si="30"/>
        <v>14.289062000003469</v>
      </c>
      <c r="G1010" s="8">
        <f t="shared" si="31"/>
        <v>1.4289062000003469E-2</v>
      </c>
    </row>
    <row r="1011" spans="1:7" x14ac:dyDescent="0.25">
      <c r="A1011" s="8">
        <v>13</v>
      </c>
      <c r="B1011" s="8">
        <v>14</v>
      </c>
      <c r="C1011" s="8">
        <v>915.197632</v>
      </c>
      <c r="D1011" s="8">
        <v>41340.84375</v>
      </c>
      <c r="E1011" s="8">
        <v>41353.898437999997</v>
      </c>
      <c r="F1011" s="8">
        <f t="shared" si="30"/>
        <v>13.054687999996531</v>
      </c>
      <c r="G1011" s="8">
        <f t="shared" si="31"/>
        <v>1.3054687999996531E-2</v>
      </c>
    </row>
    <row r="1012" spans="1:7" x14ac:dyDescent="0.25">
      <c r="A1012" s="8">
        <v>13</v>
      </c>
      <c r="B1012" s="8">
        <v>15</v>
      </c>
      <c r="C1012" s="8">
        <v>3737.2971189999998</v>
      </c>
      <c r="D1012" s="8">
        <v>42278.386719000002</v>
      </c>
      <c r="E1012" s="8">
        <v>42303.167969000002</v>
      </c>
      <c r="F1012" s="8">
        <f t="shared" si="30"/>
        <v>24.78125</v>
      </c>
      <c r="G1012" s="8">
        <f t="shared" si="31"/>
        <v>2.4781250000000001E-2</v>
      </c>
    </row>
    <row r="1013" spans="1:7" x14ac:dyDescent="0.25">
      <c r="A1013" s="8">
        <v>13</v>
      </c>
      <c r="B1013" s="8">
        <v>16</v>
      </c>
      <c r="C1013" s="8">
        <v>203.70060699999999</v>
      </c>
      <c r="D1013" s="8">
        <v>46054.464844000002</v>
      </c>
      <c r="E1013" s="8">
        <v>46069.617187999997</v>
      </c>
      <c r="F1013" s="8">
        <f t="shared" si="30"/>
        <v>15.152343999994628</v>
      </c>
      <c r="G1013" s="8">
        <f t="shared" si="31"/>
        <v>1.5152343999994627E-2</v>
      </c>
    </row>
    <row r="1014" spans="1:7" x14ac:dyDescent="0.25">
      <c r="A1014" s="8">
        <v>13</v>
      </c>
      <c r="B1014" s="8">
        <v>17</v>
      </c>
      <c r="C1014" s="8">
        <v>168.59777800000001</v>
      </c>
      <c r="D1014" s="8">
        <v>46280.074219000002</v>
      </c>
      <c r="E1014" s="8">
        <v>46294.300780999998</v>
      </c>
      <c r="F1014" s="8">
        <f t="shared" si="30"/>
        <v>14.226561999996193</v>
      </c>
      <c r="G1014" s="8">
        <f t="shared" si="31"/>
        <v>1.4226561999996192E-2</v>
      </c>
    </row>
    <row r="1015" spans="1:7" x14ac:dyDescent="0.25">
      <c r="A1015" s="8">
        <v>13</v>
      </c>
      <c r="B1015" s="8">
        <v>18</v>
      </c>
      <c r="C1015" s="8">
        <v>48.497298999999998</v>
      </c>
      <c r="D1015" s="8">
        <v>46469.441405999998</v>
      </c>
      <c r="E1015" s="8">
        <v>46476.804687999997</v>
      </c>
      <c r="F1015" s="8">
        <f t="shared" si="30"/>
        <v>7.3632819999984349</v>
      </c>
      <c r="G1015" s="8">
        <f t="shared" si="31"/>
        <v>7.3632819999984349E-3</v>
      </c>
    </row>
    <row r="1016" spans="1:7" x14ac:dyDescent="0.25">
      <c r="A1016" s="8">
        <v>13</v>
      </c>
      <c r="B1016" s="8">
        <v>19</v>
      </c>
      <c r="C1016" s="8">
        <v>2313.391357</v>
      </c>
      <c r="D1016" s="8">
        <v>46531.972655999998</v>
      </c>
      <c r="E1016" s="8">
        <v>46545.488280999998</v>
      </c>
      <c r="F1016" s="8">
        <f t="shared" si="30"/>
        <v>13.515625</v>
      </c>
      <c r="G1016" s="8">
        <f t="shared" si="31"/>
        <v>1.3515625E-2</v>
      </c>
    </row>
    <row r="1017" spans="1:7" x14ac:dyDescent="0.25">
      <c r="A1017" s="8">
        <v>13</v>
      </c>
      <c r="B1017" s="8">
        <v>20</v>
      </c>
      <c r="C1017" s="8">
        <v>445.72256499999997</v>
      </c>
      <c r="D1017" s="8">
        <v>48861.269530999998</v>
      </c>
      <c r="E1017" s="8">
        <v>48880.558594000002</v>
      </c>
      <c r="F1017" s="8">
        <f t="shared" si="30"/>
        <v>19.289063000003807</v>
      </c>
      <c r="G1017" s="8">
        <f t="shared" si="31"/>
        <v>1.9289063000003808E-2</v>
      </c>
    </row>
    <row r="1018" spans="1:7" x14ac:dyDescent="0.25">
      <c r="A1018" s="8">
        <v>13</v>
      </c>
      <c r="B1018" s="8">
        <v>21</v>
      </c>
      <c r="C1018" s="8">
        <v>2748.2614749999998</v>
      </c>
      <c r="D1018" s="8">
        <v>49326.804687999997</v>
      </c>
      <c r="E1018" s="8">
        <v>49346.433594000002</v>
      </c>
      <c r="F1018" s="8">
        <f t="shared" si="30"/>
        <v>19.628906000005372</v>
      </c>
      <c r="G1018" s="8">
        <f t="shared" si="31"/>
        <v>1.9628906000005372E-2</v>
      </c>
    </row>
    <row r="1019" spans="1:7" x14ac:dyDescent="0.25">
      <c r="A1019" s="8">
        <v>13</v>
      </c>
      <c r="B1019" s="8">
        <v>22</v>
      </c>
      <c r="C1019" s="8">
        <v>1714.9223629999999</v>
      </c>
      <c r="D1019" s="8">
        <v>52107.714844000002</v>
      </c>
      <c r="E1019" s="8">
        <v>52125.800780999998</v>
      </c>
      <c r="F1019" s="8">
        <f t="shared" si="30"/>
        <v>18.085936999996193</v>
      </c>
      <c r="G1019" s="8">
        <f t="shared" si="31"/>
        <v>1.8085936999996194E-2</v>
      </c>
    </row>
    <row r="1020" spans="1:7" x14ac:dyDescent="0.25">
      <c r="A1020" s="8">
        <v>13</v>
      </c>
      <c r="B1020" s="8">
        <v>23</v>
      </c>
      <c r="C1020" s="8">
        <v>6255.1206050000001</v>
      </c>
      <c r="D1020" s="8">
        <v>53843.121094000002</v>
      </c>
      <c r="E1020" s="8">
        <v>53854.542969000002</v>
      </c>
      <c r="F1020" s="8">
        <f t="shared" si="30"/>
        <v>11.421875</v>
      </c>
      <c r="G1020" s="8">
        <f t="shared" si="31"/>
        <v>1.1421875E-2</v>
      </c>
    </row>
    <row r="1021" spans="1:7" x14ac:dyDescent="0.25">
      <c r="A1021" s="8">
        <v>13</v>
      </c>
      <c r="B1021" s="8">
        <v>24</v>
      </c>
      <c r="C1021" s="8">
        <v>4256.890625</v>
      </c>
      <c r="D1021" s="8">
        <v>60122.449219000002</v>
      </c>
      <c r="E1021" s="8">
        <v>60135.597655999998</v>
      </c>
      <c r="F1021" s="8">
        <f t="shared" si="30"/>
        <v>13.148436999996193</v>
      </c>
      <c r="G1021" s="8">
        <f t="shared" si="31"/>
        <v>1.3148436999996193E-2</v>
      </c>
    </row>
    <row r="1022" spans="1:7" x14ac:dyDescent="0.25">
      <c r="A1022" s="8">
        <v>13</v>
      </c>
      <c r="B1022" s="8">
        <v>25</v>
      </c>
      <c r="C1022" s="8">
        <v>1052.529053</v>
      </c>
      <c r="D1022" s="8">
        <v>64402.835937999997</v>
      </c>
      <c r="E1022" s="8">
        <v>64413.804687999997</v>
      </c>
      <c r="F1022" s="8">
        <f t="shared" si="30"/>
        <v>10.96875</v>
      </c>
      <c r="G1022" s="8">
        <f t="shared" si="31"/>
        <v>1.0968749999999999E-2</v>
      </c>
    </row>
    <row r="1023" spans="1:7" x14ac:dyDescent="0.25">
      <c r="A1023" s="8">
        <v>13</v>
      </c>
      <c r="B1023" s="8">
        <v>26</v>
      </c>
      <c r="C1023" s="8">
        <v>4930.3481449999999</v>
      </c>
      <c r="D1023" s="8">
        <v>65481.070312999997</v>
      </c>
      <c r="E1023" s="8">
        <v>65499.683594000002</v>
      </c>
      <c r="F1023" s="8">
        <f t="shared" si="30"/>
        <v>18.613281000005372</v>
      </c>
      <c r="G1023" s="8">
        <f t="shared" si="31"/>
        <v>1.8613281000005373E-2</v>
      </c>
    </row>
    <row r="1024" spans="1:7" x14ac:dyDescent="0.25">
      <c r="A1024" s="8">
        <v>13</v>
      </c>
      <c r="B1024" s="8">
        <v>27</v>
      </c>
      <c r="C1024" s="8">
        <v>1990.450439</v>
      </c>
      <c r="D1024" s="8">
        <v>70444.929688000004</v>
      </c>
      <c r="E1024" s="8">
        <v>70456.429688000004</v>
      </c>
      <c r="F1024" s="8">
        <f t="shared" si="30"/>
        <v>11.5</v>
      </c>
      <c r="G1024" s="8">
        <f t="shared" si="31"/>
        <v>1.15E-2</v>
      </c>
    </row>
    <row r="1025" spans="1:7" x14ac:dyDescent="0.25">
      <c r="A1025" s="8">
        <v>13</v>
      </c>
      <c r="B1025" s="8">
        <v>28</v>
      </c>
      <c r="C1025" s="8">
        <v>2964.0270999999998</v>
      </c>
      <c r="D1025" s="8">
        <v>72451.117188000004</v>
      </c>
      <c r="E1025" s="8">
        <v>72466.398438000004</v>
      </c>
      <c r="F1025" s="8">
        <f t="shared" si="30"/>
        <v>15.28125</v>
      </c>
      <c r="G1025" s="8">
        <f t="shared" si="31"/>
        <v>1.528125E-2</v>
      </c>
    </row>
    <row r="1026" spans="1:7" x14ac:dyDescent="0.25">
      <c r="A1026" s="8">
        <v>13</v>
      </c>
      <c r="B1026" s="8">
        <v>29</v>
      </c>
      <c r="C1026" s="8">
        <v>39.325729000000003</v>
      </c>
      <c r="D1026" s="8">
        <v>75440.171875</v>
      </c>
      <c r="E1026" s="8">
        <v>75482.671875</v>
      </c>
      <c r="F1026" s="8">
        <f t="shared" si="30"/>
        <v>42.5</v>
      </c>
      <c r="G1026" s="8">
        <f t="shared" si="31"/>
        <v>4.2500000000000003E-2</v>
      </c>
    </row>
    <row r="1027" spans="1:7" x14ac:dyDescent="0.25">
      <c r="A1027" s="8">
        <v>13</v>
      </c>
      <c r="B1027" s="8">
        <v>30</v>
      </c>
      <c r="C1027" s="8">
        <v>298.85281400000002</v>
      </c>
      <c r="D1027" s="8">
        <v>75533.953125</v>
      </c>
      <c r="E1027" s="8">
        <v>75551.273438000004</v>
      </c>
      <c r="F1027" s="8">
        <f t="shared" si="30"/>
        <v>17.320313000003807</v>
      </c>
      <c r="G1027" s="8">
        <f t="shared" si="31"/>
        <v>1.7320313000003806E-2</v>
      </c>
    </row>
    <row r="1028" spans="1:7" x14ac:dyDescent="0.25">
      <c r="A1028" s="8">
        <v>13</v>
      </c>
      <c r="B1028" s="8">
        <v>31</v>
      </c>
      <c r="C1028" s="8">
        <v>121.153862</v>
      </c>
      <c r="D1028" s="8">
        <v>75850.65625</v>
      </c>
      <c r="E1028" s="8">
        <v>75877.75</v>
      </c>
      <c r="F1028" s="8">
        <f t="shared" si="30"/>
        <v>27.09375</v>
      </c>
      <c r="G1028" s="8">
        <f t="shared" si="31"/>
        <v>2.709375E-2</v>
      </c>
    </row>
    <row r="1029" spans="1:7" x14ac:dyDescent="0.25">
      <c r="A1029" s="8">
        <v>13</v>
      </c>
      <c r="B1029" s="8">
        <v>32</v>
      </c>
      <c r="C1029" s="8">
        <v>1011.625671</v>
      </c>
      <c r="D1029" s="8">
        <v>76007.070313000004</v>
      </c>
      <c r="E1029" s="8">
        <v>76031.5</v>
      </c>
      <c r="F1029" s="8">
        <f t="shared" si="30"/>
        <v>24.429686999996193</v>
      </c>
      <c r="G1029" s="8">
        <f t="shared" si="31"/>
        <v>2.4429686999996193E-2</v>
      </c>
    </row>
    <row r="1030" spans="1:7" x14ac:dyDescent="0.25">
      <c r="A1030" s="8">
        <v>13</v>
      </c>
      <c r="B1030" s="8">
        <v>33</v>
      </c>
      <c r="C1030" s="8">
        <v>3137.0729980000001</v>
      </c>
      <c r="D1030" s="8">
        <v>77053.953125</v>
      </c>
      <c r="E1030" s="8">
        <v>77063.898438000004</v>
      </c>
      <c r="F1030" s="8">
        <f t="shared" si="30"/>
        <v>9.9453130000038072</v>
      </c>
      <c r="G1030" s="8">
        <f t="shared" si="31"/>
        <v>9.9453130000038067E-3</v>
      </c>
    </row>
    <row r="1031" spans="1:7" x14ac:dyDescent="0.25">
      <c r="A1031" s="8">
        <v>13</v>
      </c>
      <c r="B1031" s="8">
        <v>34</v>
      </c>
      <c r="C1031" s="8">
        <v>2931.7790530000002</v>
      </c>
      <c r="D1031" s="8">
        <v>80207.296875</v>
      </c>
      <c r="E1031" s="8">
        <v>80214.71875</v>
      </c>
      <c r="F1031" s="8">
        <f t="shared" si="30"/>
        <v>7.421875</v>
      </c>
      <c r="G1031" s="8">
        <f t="shared" si="31"/>
        <v>7.4218749999999997E-3</v>
      </c>
    </row>
    <row r="1032" spans="1:7" x14ac:dyDescent="0.25">
      <c r="A1032" s="8">
        <v>13</v>
      </c>
      <c r="B1032" s="8">
        <v>35</v>
      </c>
      <c r="C1032" s="8">
        <v>2309.9011230000001</v>
      </c>
      <c r="D1032" s="8">
        <v>83151.84375</v>
      </c>
      <c r="E1032" s="8">
        <v>83175.195313000004</v>
      </c>
      <c r="F1032" s="8">
        <f t="shared" si="30"/>
        <v>23.351563000003807</v>
      </c>
      <c r="G1032" s="8">
        <f t="shared" si="31"/>
        <v>2.3351563000003808E-2</v>
      </c>
    </row>
    <row r="1033" spans="1:7" x14ac:dyDescent="0.25">
      <c r="A1033" s="8">
        <v>13</v>
      </c>
      <c r="B1033" s="8">
        <v>36</v>
      </c>
      <c r="C1033" s="8">
        <v>4511.3920900000003</v>
      </c>
      <c r="D1033" s="8">
        <v>85486.960938000004</v>
      </c>
      <c r="E1033" s="8">
        <v>85495.59375</v>
      </c>
      <c r="F1033" s="8">
        <f t="shared" si="30"/>
        <v>8.6328119999961928</v>
      </c>
      <c r="G1033" s="8">
        <f t="shared" si="31"/>
        <v>8.6328119999961924E-3</v>
      </c>
    </row>
    <row r="1034" spans="1:7" x14ac:dyDescent="0.25">
      <c r="A1034" s="8">
        <v>13</v>
      </c>
      <c r="B1034" s="8">
        <v>37</v>
      </c>
      <c r="C1034" s="8">
        <v>969.36077899999998</v>
      </c>
      <c r="D1034" s="8">
        <v>90011.046875</v>
      </c>
      <c r="E1034" s="8">
        <v>90022.492188000004</v>
      </c>
      <c r="F1034" s="8">
        <f t="shared" si="30"/>
        <v>11.445313000003807</v>
      </c>
      <c r="G1034" s="8">
        <f t="shared" si="31"/>
        <v>1.1445313000003808E-2</v>
      </c>
    </row>
    <row r="1035" spans="1:7" x14ac:dyDescent="0.25">
      <c r="A1035" s="8">
        <v>13</v>
      </c>
      <c r="B1035" s="8">
        <v>38</v>
      </c>
      <c r="C1035" s="8">
        <v>167.07107500000001</v>
      </c>
      <c r="D1035" s="8">
        <v>90995.523438000004</v>
      </c>
      <c r="E1035" s="8">
        <v>91014.8125</v>
      </c>
      <c r="F1035" s="8">
        <f t="shared" ref="F1035:F1098" si="32">E1035-D1035</f>
        <v>19.289061999996193</v>
      </c>
      <c r="G1035" s="8">
        <f t="shared" ref="G1035:G1098" si="33">F1035/1000</f>
        <v>1.9289061999996193E-2</v>
      </c>
    </row>
    <row r="1036" spans="1:7" x14ac:dyDescent="0.25">
      <c r="A1036" s="8">
        <v>13</v>
      </c>
      <c r="B1036" s="8">
        <v>39</v>
      </c>
      <c r="C1036" s="8">
        <v>1150.7757570000001</v>
      </c>
      <c r="D1036" s="8">
        <v>91183.078125</v>
      </c>
      <c r="E1036" s="8">
        <v>91194.046875</v>
      </c>
      <c r="F1036" s="8">
        <f t="shared" si="32"/>
        <v>10.96875</v>
      </c>
      <c r="G1036" s="8">
        <f t="shared" si="33"/>
        <v>1.0968749999999999E-2</v>
      </c>
    </row>
    <row r="1037" spans="1:7" x14ac:dyDescent="0.25">
      <c r="A1037" s="8">
        <v>13</v>
      </c>
      <c r="B1037" s="8">
        <v>40</v>
      </c>
      <c r="C1037" s="8">
        <v>2594.8664549999999</v>
      </c>
      <c r="D1037" s="8">
        <v>92355.03125</v>
      </c>
      <c r="E1037" s="8">
        <v>92365.71875</v>
      </c>
      <c r="F1037" s="8">
        <f t="shared" si="32"/>
        <v>10.6875</v>
      </c>
      <c r="G1037" s="8">
        <f t="shared" si="33"/>
        <v>1.0687500000000001E-2</v>
      </c>
    </row>
    <row r="1038" spans="1:7" x14ac:dyDescent="0.25">
      <c r="A1038" s="8">
        <v>13</v>
      </c>
      <c r="B1038" s="8">
        <v>41</v>
      </c>
      <c r="C1038" s="8">
        <v>401.74154700000003</v>
      </c>
      <c r="D1038" s="8">
        <v>94967.734375</v>
      </c>
      <c r="E1038" s="8">
        <v>94980.742188000004</v>
      </c>
      <c r="F1038" s="8">
        <f t="shared" si="32"/>
        <v>13.007813000003807</v>
      </c>
      <c r="G1038" s="8">
        <f t="shared" si="33"/>
        <v>1.3007813000003808E-2</v>
      </c>
    </row>
    <row r="1039" spans="1:7" x14ac:dyDescent="0.25">
      <c r="A1039" s="8">
        <v>13</v>
      </c>
      <c r="B1039" s="8">
        <v>42</v>
      </c>
      <c r="C1039" s="8">
        <v>272.030396</v>
      </c>
      <c r="D1039" s="8">
        <v>95390.460938000004</v>
      </c>
      <c r="E1039" s="8">
        <v>95410.492188000004</v>
      </c>
      <c r="F1039" s="8">
        <f t="shared" si="32"/>
        <v>20.03125</v>
      </c>
      <c r="G1039" s="8">
        <f t="shared" si="33"/>
        <v>2.003125E-2</v>
      </c>
    </row>
    <row r="1040" spans="1:7" x14ac:dyDescent="0.25">
      <c r="A1040" s="8">
        <v>13</v>
      </c>
      <c r="B1040" s="8">
        <v>43</v>
      </c>
      <c r="C1040" s="8">
        <v>39.325729000000003</v>
      </c>
      <c r="D1040" s="8">
        <v>95693.992188000004</v>
      </c>
      <c r="E1040" s="8">
        <v>95706.15625</v>
      </c>
      <c r="F1040" s="8">
        <f t="shared" si="32"/>
        <v>12.164061999996193</v>
      </c>
      <c r="G1040" s="8">
        <f t="shared" si="33"/>
        <v>1.2164061999996192E-2</v>
      </c>
    </row>
    <row r="1041" spans="1:7" x14ac:dyDescent="0.25">
      <c r="A1041" s="8">
        <v>13</v>
      </c>
      <c r="B1041" s="8">
        <v>44</v>
      </c>
      <c r="C1041" s="8">
        <v>2259.7790530000002</v>
      </c>
      <c r="D1041" s="8">
        <v>95756.507813000004</v>
      </c>
      <c r="E1041" s="8">
        <v>95769.789063000004</v>
      </c>
      <c r="F1041" s="8">
        <f t="shared" si="32"/>
        <v>13.28125</v>
      </c>
      <c r="G1041" s="8">
        <f t="shared" si="33"/>
        <v>1.328125E-2</v>
      </c>
    </row>
    <row r="1042" spans="1:7" x14ac:dyDescent="0.25">
      <c r="A1042" s="8">
        <v>13</v>
      </c>
      <c r="B1042" s="8">
        <v>45</v>
      </c>
      <c r="C1042" s="8">
        <v>2084.9536130000001</v>
      </c>
      <c r="D1042" s="8">
        <v>98035.242188000004</v>
      </c>
      <c r="E1042" s="8">
        <v>98060.335938000004</v>
      </c>
      <c r="F1042" s="8">
        <f t="shared" si="32"/>
        <v>25.09375</v>
      </c>
      <c r="G1042" s="8">
        <f t="shared" si="33"/>
        <v>2.5093750000000001E-2</v>
      </c>
    </row>
    <row r="1043" spans="1:7" x14ac:dyDescent="0.25">
      <c r="A1043" s="8">
        <v>13</v>
      </c>
      <c r="B1043" s="8">
        <v>46</v>
      </c>
      <c r="C1043" s="8">
        <v>1688.0551760000001</v>
      </c>
      <c r="D1043" s="8">
        <v>100151.40625</v>
      </c>
      <c r="E1043" s="8">
        <v>100179.335938</v>
      </c>
      <c r="F1043" s="8">
        <f t="shared" si="32"/>
        <v>27.929688000003807</v>
      </c>
      <c r="G1043" s="8">
        <f t="shared" si="33"/>
        <v>2.7929688000003807E-2</v>
      </c>
    </row>
    <row r="1044" spans="1:7" x14ac:dyDescent="0.25">
      <c r="A1044" s="8">
        <v>13</v>
      </c>
      <c r="B1044" s="8">
        <v>47</v>
      </c>
      <c r="C1044" s="8">
        <v>3344.314453</v>
      </c>
      <c r="D1044" s="8">
        <v>101870.023438</v>
      </c>
      <c r="E1044" s="8">
        <v>101883.335938</v>
      </c>
      <c r="F1044" s="8">
        <f t="shared" si="32"/>
        <v>13.3125</v>
      </c>
      <c r="G1044" s="8">
        <f t="shared" si="33"/>
        <v>1.33125E-2</v>
      </c>
    </row>
    <row r="1045" spans="1:7" x14ac:dyDescent="0.25">
      <c r="A1045" s="8">
        <v>13</v>
      </c>
      <c r="B1045" s="8">
        <v>48</v>
      </c>
      <c r="C1045" s="8">
        <v>38.952278</v>
      </c>
      <c r="D1045" s="8">
        <v>105237.796875</v>
      </c>
      <c r="E1045" s="8">
        <v>105250.882813</v>
      </c>
      <c r="F1045" s="8">
        <f t="shared" si="32"/>
        <v>13.085938000003807</v>
      </c>
      <c r="G1045" s="8">
        <f t="shared" si="33"/>
        <v>1.3085938000003808E-2</v>
      </c>
    </row>
    <row r="1046" spans="1:7" x14ac:dyDescent="0.25">
      <c r="A1046" s="8">
        <v>13</v>
      </c>
      <c r="B1046" s="8">
        <v>49</v>
      </c>
      <c r="C1046" s="8">
        <v>464.57473800000002</v>
      </c>
      <c r="D1046" s="8">
        <v>105300.367188</v>
      </c>
      <c r="E1046" s="8">
        <v>105325.015625</v>
      </c>
      <c r="F1046" s="8">
        <f t="shared" si="32"/>
        <v>24.648436999996193</v>
      </c>
      <c r="G1046" s="8">
        <f t="shared" si="33"/>
        <v>2.4648436999996193E-2</v>
      </c>
    </row>
    <row r="1047" spans="1:7" x14ac:dyDescent="0.25">
      <c r="A1047" s="8">
        <v>13</v>
      </c>
      <c r="B1047" s="8">
        <v>50</v>
      </c>
      <c r="C1047" s="8">
        <v>4333.2001950000003</v>
      </c>
      <c r="D1047" s="8">
        <v>105797.15625</v>
      </c>
      <c r="E1047" s="8">
        <v>105812.671875</v>
      </c>
      <c r="F1047" s="8">
        <f t="shared" si="32"/>
        <v>15.515625</v>
      </c>
      <c r="G1047" s="8">
        <f t="shared" si="33"/>
        <v>1.5515625E-2</v>
      </c>
    </row>
    <row r="1048" spans="1:7" x14ac:dyDescent="0.25">
      <c r="A1048" s="8">
        <v>13</v>
      </c>
      <c r="B1048" s="8">
        <v>51</v>
      </c>
      <c r="C1048" s="8">
        <v>1900.3698730000001</v>
      </c>
      <c r="D1048" s="8">
        <v>110158.1875</v>
      </c>
      <c r="E1048" s="8">
        <v>110169.046875</v>
      </c>
      <c r="F1048" s="8">
        <f t="shared" si="32"/>
        <v>10.859375</v>
      </c>
      <c r="G1048" s="8">
        <f t="shared" si="33"/>
        <v>1.0859374999999999E-2</v>
      </c>
    </row>
    <row r="1049" spans="1:7" x14ac:dyDescent="0.25">
      <c r="A1049" s="8">
        <v>13</v>
      </c>
      <c r="B1049" s="8">
        <v>52</v>
      </c>
      <c r="C1049" s="8">
        <v>387.76272599999999</v>
      </c>
      <c r="D1049" s="8">
        <v>112084.632813</v>
      </c>
      <c r="E1049" s="8">
        <v>112091.976563</v>
      </c>
      <c r="F1049" s="8">
        <f t="shared" si="32"/>
        <v>7.34375</v>
      </c>
      <c r="G1049" s="8">
        <f t="shared" si="33"/>
        <v>7.3437499999999996E-3</v>
      </c>
    </row>
    <row r="1050" spans="1:7" x14ac:dyDescent="0.25">
      <c r="A1050" s="8">
        <v>13</v>
      </c>
      <c r="B1050" s="8">
        <v>53</v>
      </c>
      <c r="C1050" s="8">
        <v>2080.1123050000001</v>
      </c>
      <c r="D1050" s="8">
        <v>112493.4375</v>
      </c>
      <c r="E1050" s="8">
        <v>112504.382813</v>
      </c>
      <c r="F1050" s="8">
        <f t="shared" si="32"/>
        <v>10.945313000003807</v>
      </c>
      <c r="G1050" s="8">
        <f t="shared" si="33"/>
        <v>1.0945313000003808E-2</v>
      </c>
    </row>
    <row r="1051" spans="1:7" x14ac:dyDescent="0.25">
      <c r="A1051" s="8">
        <v>13</v>
      </c>
      <c r="B1051" s="8">
        <v>54</v>
      </c>
      <c r="C1051" s="8">
        <v>127.38911400000001</v>
      </c>
      <c r="D1051" s="8">
        <v>114596.921875</v>
      </c>
      <c r="E1051" s="8">
        <v>114605.140625</v>
      </c>
      <c r="F1051" s="8">
        <f t="shared" si="32"/>
        <v>8.21875</v>
      </c>
      <c r="G1051" s="8">
        <f t="shared" si="33"/>
        <v>8.2187500000000004E-3</v>
      </c>
    </row>
    <row r="1052" spans="1:7" x14ac:dyDescent="0.25">
      <c r="A1052" s="8">
        <v>13</v>
      </c>
      <c r="B1052" s="8">
        <v>55</v>
      </c>
      <c r="C1052" s="8">
        <v>5271.7163090000004</v>
      </c>
      <c r="D1052" s="8">
        <v>114737.640625</v>
      </c>
      <c r="E1052" s="8">
        <v>114752.882813</v>
      </c>
      <c r="F1052" s="8">
        <f t="shared" si="32"/>
        <v>15.242188000003807</v>
      </c>
      <c r="G1052" s="8">
        <f t="shared" si="33"/>
        <v>1.5242188000003808E-2</v>
      </c>
    </row>
    <row r="1053" spans="1:7" x14ac:dyDescent="0.25">
      <c r="A1053" s="8">
        <v>13</v>
      </c>
      <c r="B1053" s="8">
        <v>56</v>
      </c>
      <c r="C1053" s="8">
        <v>2556.150635</v>
      </c>
      <c r="D1053" s="8">
        <v>120031.039063</v>
      </c>
      <c r="E1053" s="8">
        <v>120047.21875</v>
      </c>
      <c r="F1053" s="8">
        <f t="shared" si="32"/>
        <v>16.179686999996193</v>
      </c>
      <c r="G1053" s="8">
        <f t="shared" si="33"/>
        <v>1.6179686999996192E-2</v>
      </c>
    </row>
    <row r="1054" spans="1:7" x14ac:dyDescent="0.25">
      <c r="A1054" s="8">
        <v>13</v>
      </c>
      <c r="B1054" s="8">
        <v>57</v>
      </c>
      <c r="C1054" s="8">
        <v>1294.0313719999999</v>
      </c>
      <c r="D1054" s="8">
        <v>122611.515625</v>
      </c>
      <c r="E1054" s="8">
        <v>122628.484375</v>
      </c>
      <c r="F1054" s="8">
        <f t="shared" si="32"/>
        <v>16.96875</v>
      </c>
      <c r="G1054" s="8">
        <f t="shared" si="33"/>
        <v>1.6968750000000001E-2</v>
      </c>
    </row>
    <row r="1055" spans="1:7" x14ac:dyDescent="0.25">
      <c r="A1055" s="8">
        <v>13</v>
      </c>
      <c r="B1055" s="8">
        <v>58</v>
      </c>
      <c r="C1055" s="8">
        <v>922.92895499999997</v>
      </c>
      <c r="D1055" s="8">
        <v>123933.929688</v>
      </c>
      <c r="E1055" s="8">
        <v>124024.09375</v>
      </c>
      <c r="F1055" s="8">
        <f t="shared" si="32"/>
        <v>90.164061999996193</v>
      </c>
      <c r="G1055" s="8">
        <f t="shared" si="33"/>
        <v>9.0164061999996187E-2</v>
      </c>
    </row>
    <row r="1056" spans="1:7" x14ac:dyDescent="0.25">
      <c r="A1056" s="8">
        <v>13</v>
      </c>
      <c r="B1056" s="8">
        <v>59</v>
      </c>
      <c r="C1056" s="8">
        <v>65.264258999999996</v>
      </c>
      <c r="D1056" s="8">
        <v>124955.054688</v>
      </c>
      <c r="E1056" s="8">
        <v>124979.507813</v>
      </c>
      <c r="F1056" s="8">
        <f t="shared" si="32"/>
        <v>24.453125</v>
      </c>
      <c r="G1056" s="8">
        <f t="shared" si="33"/>
        <v>2.4453124999999999E-2</v>
      </c>
    </row>
    <row r="1057" spans="1:7" x14ac:dyDescent="0.25">
      <c r="A1057" s="8">
        <v>13</v>
      </c>
      <c r="B1057" s="8">
        <v>60</v>
      </c>
      <c r="C1057" s="8">
        <v>139.525406</v>
      </c>
      <c r="D1057" s="8">
        <v>125048.976563</v>
      </c>
      <c r="E1057" s="8">
        <v>125076.375</v>
      </c>
      <c r="F1057" s="8">
        <f t="shared" si="32"/>
        <v>27.398436999996193</v>
      </c>
      <c r="G1057" s="8">
        <f t="shared" si="33"/>
        <v>2.7398436999996192E-2</v>
      </c>
    </row>
    <row r="1058" spans="1:7" x14ac:dyDescent="0.25">
      <c r="A1058" s="8">
        <v>13</v>
      </c>
      <c r="B1058" s="8">
        <v>61</v>
      </c>
      <c r="C1058" s="8">
        <v>563.37591599999996</v>
      </c>
      <c r="D1058" s="8">
        <v>125220.734375</v>
      </c>
      <c r="E1058" s="8">
        <v>125241</v>
      </c>
      <c r="F1058" s="8">
        <f t="shared" si="32"/>
        <v>20.265625</v>
      </c>
      <c r="G1058" s="8">
        <f t="shared" si="33"/>
        <v>2.0265624999999999E-2</v>
      </c>
    </row>
    <row r="1059" spans="1:7" x14ac:dyDescent="0.25">
      <c r="A1059" s="8">
        <v>13</v>
      </c>
      <c r="B1059" s="8">
        <v>62</v>
      </c>
      <c r="C1059" s="8">
        <v>722.69287099999997</v>
      </c>
      <c r="D1059" s="8">
        <v>125815.351563</v>
      </c>
      <c r="E1059" s="8">
        <v>125841.125</v>
      </c>
      <c r="F1059" s="8">
        <f t="shared" si="32"/>
        <v>25.773436999996193</v>
      </c>
      <c r="G1059" s="8">
        <f t="shared" si="33"/>
        <v>2.5773436999996194E-2</v>
      </c>
    </row>
    <row r="1060" spans="1:7" x14ac:dyDescent="0.25">
      <c r="A1060" s="8">
        <v>13</v>
      </c>
      <c r="B1060" s="8">
        <v>63</v>
      </c>
      <c r="C1060" s="8">
        <v>1477.135376</v>
      </c>
      <c r="D1060" s="8">
        <v>126565.429688</v>
      </c>
      <c r="E1060" s="8">
        <v>126579.179688</v>
      </c>
      <c r="F1060" s="8">
        <f t="shared" si="32"/>
        <v>13.75</v>
      </c>
      <c r="G1060" s="8">
        <f t="shared" si="33"/>
        <v>1.375E-2</v>
      </c>
    </row>
    <row r="1061" spans="1:7" x14ac:dyDescent="0.25">
      <c r="A1061" s="8">
        <v>13</v>
      </c>
      <c r="B1061" s="8">
        <v>64</v>
      </c>
      <c r="C1061" s="8">
        <v>2298.3115229999999</v>
      </c>
      <c r="D1061" s="8">
        <v>128065.640625</v>
      </c>
      <c r="E1061" s="8">
        <v>128084.734375</v>
      </c>
      <c r="F1061" s="8">
        <f t="shared" si="32"/>
        <v>19.09375</v>
      </c>
      <c r="G1061" s="8">
        <f t="shared" si="33"/>
        <v>1.909375E-2</v>
      </c>
    </row>
    <row r="1062" spans="1:7" x14ac:dyDescent="0.25">
      <c r="A1062" s="8">
        <v>13</v>
      </c>
      <c r="B1062" s="8">
        <v>65</v>
      </c>
      <c r="C1062" s="8">
        <v>611.93212900000003</v>
      </c>
      <c r="D1062" s="8">
        <v>130395.0625</v>
      </c>
      <c r="E1062" s="8">
        <v>130417.960938</v>
      </c>
      <c r="F1062" s="8">
        <f t="shared" si="32"/>
        <v>22.898438000003807</v>
      </c>
      <c r="G1062" s="8">
        <f t="shared" si="33"/>
        <v>2.2898438000003806E-2</v>
      </c>
    </row>
    <row r="1063" spans="1:7" x14ac:dyDescent="0.25">
      <c r="A1063" s="8">
        <v>13</v>
      </c>
      <c r="B1063" s="8">
        <v>66</v>
      </c>
      <c r="C1063" s="8">
        <v>669.18817100000001</v>
      </c>
      <c r="D1063" s="8">
        <v>131035.945313</v>
      </c>
      <c r="E1063" s="8">
        <v>131043.742188</v>
      </c>
      <c r="F1063" s="8">
        <f t="shared" si="32"/>
        <v>7.796875</v>
      </c>
      <c r="G1063" s="8">
        <f t="shared" si="33"/>
        <v>7.796875E-3</v>
      </c>
    </row>
    <row r="1064" spans="1:7" x14ac:dyDescent="0.25">
      <c r="A1064" s="8">
        <v>13</v>
      </c>
      <c r="B1064" s="8">
        <v>67</v>
      </c>
      <c r="C1064" s="8">
        <v>1735.312134</v>
      </c>
      <c r="D1064" s="8">
        <v>131717.625</v>
      </c>
      <c r="E1064" s="8">
        <v>131736.375</v>
      </c>
      <c r="F1064" s="8">
        <f t="shared" si="32"/>
        <v>18.75</v>
      </c>
      <c r="G1064" s="8">
        <f t="shared" si="33"/>
        <v>1.8749999999999999E-2</v>
      </c>
    </row>
    <row r="1065" spans="1:7" x14ac:dyDescent="0.25">
      <c r="A1065" s="8">
        <v>13</v>
      </c>
      <c r="B1065" s="8">
        <v>68</v>
      </c>
      <c r="C1065" s="8">
        <v>405.99917599999998</v>
      </c>
      <c r="D1065" s="8">
        <v>133472.46875</v>
      </c>
      <c r="E1065" s="8">
        <v>133489.53125</v>
      </c>
      <c r="F1065" s="8">
        <f t="shared" si="32"/>
        <v>17.0625</v>
      </c>
      <c r="G1065" s="8">
        <f t="shared" si="33"/>
        <v>1.7062500000000001E-2</v>
      </c>
    </row>
    <row r="1066" spans="1:7" x14ac:dyDescent="0.25">
      <c r="A1066" s="8">
        <v>13</v>
      </c>
      <c r="B1066" s="8">
        <v>69</v>
      </c>
      <c r="C1066" s="8">
        <v>2447.8315429999998</v>
      </c>
      <c r="D1066" s="8">
        <v>133910</v>
      </c>
      <c r="E1066" s="8">
        <v>133928.21875</v>
      </c>
      <c r="F1066" s="8">
        <f t="shared" si="32"/>
        <v>18.21875</v>
      </c>
      <c r="G1066" s="8">
        <f t="shared" si="33"/>
        <v>1.8218749999999999E-2</v>
      </c>
    </row>
    <row r="1067" spans="1:7" x14ac:dyDescent="0.25">
      <c r="A1067" s="8">
        <v>13</v>
      </c>
      <c r="B1067" s="8">
        <v>70</v>
      </c>
      <c r="C1067" s="8">
        <v>508.086029</v>
      </c>
      <c r="D1067" s="8">
        <v>136382.171875</v>
      </c>
      <c r="E1067" s="8">
        <v>136398.453125</v>
      </c>
      <c r="F1067" s="8">
        <f t="shared" si="32"/>
        <v>16.28125</v>
      </c>
      <c r="G1067" s="8">
        <f t="shared" si="33"/>
        <v>1.6281250000000001E-2</v>
      </c>
    </row>
    <row r="1068" spans="1:7" x14ac:dyDescent="0.25">
      <c r="A1068" s="8">
        <v>13</v>
      </c>
      <c r="B1068" s="8">
        <v>71</v>
      </c>
      <c r="C1068" s="8">
        <v>2160.4541020000001</v>
      </c>
      <c r="D1068" s="8">
        <v>136919.1875</v>
      </c>
      <c r="E1068" s="8">
        <v>136930.703125</v>
      </c>
      <c r="F1068" s="8">
        <f t="shared" si="32"/>
        <v>11.515625</v>
      </c>
      <c r="G1068" s="8">
        <f t="shared" si="33"/>
        <v>1.1515625E-2</v>
      </c>
    </row>
    <row r="1069" spans="1:7" x14ac:dyDescent="0.25">
      <c r="A1069" s="8">
        <v>13</v>
      </c>
      <c r="B1069" s="8">
        <v>72</v>
      </c>
      <c r="C1069" s="8">
        <v>296.94018599999998</v>
      </c>
      <c r="D1069" s="8">
        <v>139100.046875</v>
      </c>
      <c r="E1069" s="8">
        <v>139118.765625</v>
      </c>
      <c r="F1069" s="8">
        <f t="shared" si="32"/>
        <v>18.71875</v>
      </c>
      <c r="G1069" s="8">
        <f t="shared" si="33"/>
        <v>1.8718749999999999E-2</v>
      </c>
    </row>
    <row r="1070" spans="1:7" x14ac:dyDescent="0.25">
      <c r="A1070" s="8">
        <v>13</v>
      </c>
      <c r="B1070" s="8">
        <v>73</v>
      </c>
      <c r="C1070" s="8">
        <v>1674.473755</v>
      </c>
      <c r="D1070" s="8">
        <v>139428.296875</v>
      </c>
      <c r="E1070" s="8">
        <v>139438.875</v>
      </c>
      <c r="F1070" s="8">
        <f t="shared" si="32"/>
        <v>10.578125</v>
      </c>
      <c r="G1070" s="8">
        <f t="shared" si="33"/>
        <v>1.0578125000000001E-2</v>
      </c>
    </row>
    <row r="1071" spans="1:7" x14ac:dyDescent="0.25">
      <c r="A1071" s="8">
        <v>13</v>
      </c>
      <c r="B1071" s="8">
        <v>74</v>
      </c>
      <c r="C1071" s="8">
        <v>1541.1273189999999</v>
      </c>
      <c r="D1071" s="8">
        <v>141123.53125</v>
      </c>
      <c r="E1071" s="8">
        <v>141144.234375</v>
      </c>
      <c r="F1071" s="8">
        <f t="shared" si="32"/>
        <v>20.703125</v>
      </c>
      <c r="G1071" s="8">
        <f t="shared" si="33"/>
        <v>2.0703124999999999E-2</v>
      </c>
    </row>
    <row r="1072" spans="1:7" x14ac:dyDescent="0.25">
      <c r="A1072" s="8">
        <v>13</v>
      </c>
      <c r="B1072" s="8">
        <v>75</v>
      </c>
      <c r="C1072" s="8">
        <v>3514.117432</v>
      </c>
      <c r="D1072" s="8">
        <v>142687.09375</v>
      </c>
      <c r="E1072" s="8">
        <v>142732.203125</v>
      </c>
      <c r="F1072" s="8">
        <f t="shared" si="32"/>
        <v>45.109375</v>
      </c>
      <c r="G1072" s="8">
        <f t="shared" si="33"/>
        <v>4.5109375E-2</v>
      </c>
    </row>
    <row r="1073" spans="1:7" x14ac:dyDescent="0.25">
      <c r="A1073" s="8">
        <v>13</v>
      </c>
      <c r="B1073" s="8">
        <v>76</v>
      </c>
      <c r="C1073" s="8">
        <v>5483.5727539999998</v>
      </c>
      <c r="D1073" s="8">
        <v>146255.9375</v>
      </c>
      <c r="E1073" s="8">
        <v>146312.53125</v>
      </c>
      <c r="F1073" s="8">
        <f t="shared" si="32"/>
        <v>56.59375</v>
      </c>
      <c r="G1073" s="8">
        <f t="shared" si="33"/>
        <v>5.6593749999999998E-2</v>
      </c>
    </row>
    <row r="1074" spans="1:7" x14ac:dyDescent="0.25">
      <c r="A1074" s="8">
        <v>13</v>
      </c>
      <c r="B1074" s="8">
        <v>77</v>
      </c>
      <c r="C1074" s="8">
        <v>1136.6108400000001</v>
      </c>
      <c r="D1074" s="8">
        <v>151795.875</v>
      </c>
      <c r="E1074" s="8">
        <v>151814.546875</v>
      </c>
      <c r="F1074" s="8">
        <f t="shared" si="32"/>
        <v>18.671875</v>
      </c>
      <c r="G1074" s="8">
        <f t="shared" si="33"/>
        <v>1.8671875000000001E-2</v>
      </c>
    </row>
    <row r="1075" spans="1:7" x14ac:dyDescent="0.25">
      <c r="A1075" s="8">
        <v>13</v>
      </c>
      <c r="B1075" s="8">
        <v>78</v>
      </c>
      <c r="C1075" s="8">
        <v>2393.1684570000002</v>
      </c>
      <c r="D1075" s="8">
        <v>152953.203125</v>
      </c>
      <c r="E1075" s="8">
        <v>152967.625</v>
      </c>
      <c r="F1075" s="8">
        <f t="shared" si="32"/>
        <v>14.421875</v>
      </c>
      <c r="G1075" s="8">
        <f t="shared" si="33"/>
        <v>1.4421875000000001E-2</v>
      </c>
    </row>
    <row r="1076" spans="1:7" x14ac:dyDescent="0.25">
      <c r="A1076" s="8">
        <v>13</v>
      </c>
      <c r="B1076" s="8">
        <v>79</v>
      </c>
      <c r="C1076" s="8">
        <v>1214.164673</v>
      </c>
      <c r="D1076" s="8">
        <v>155375.359375</v>
      </c>
      <c r="E1076" s="8">
        <v>155386.65625</v>
      </c>
      <c r="F1076" s="8">
        <f t="shared" si="32"/>
        <v>11.296875</v>
      </c>
      <c r="G1076" s="8">
        <f t="shared" si="33"/>
        <v>1.1296875E-2</v>
      </c>
    </row>
    <row r="1077" spans="1:7" x14ac:dyDescent="0.25">
      <c r="A1077" s="8">
        <v>13</v>
      </c>
      <c r="B1077" s="8">
        <v>80</v>
      </c>
      <c r="C1077" s="8">
        <v>1636.9013669999999</v>
      </c>
      <c r="D1077" s="8">
        <v>156609.84375</v>
      </c>
      <c r="E1077" s="8">
        <v>156634.25</v>
      </c>
      <c r="F1077" s="8">
        <f t="shared" si="32"/>
        <v>24.40625</v>
      </c>
      <c r="G1077" s="8">
        <f t="shared" si="33"/>
        <v>2.4406250000000001E-2</v>
      </c>
    </row>
    <row r="1078" spans="1:7" x14ac:dyDescent="0.25">
      <c r="A1078" s="8">
        <v>13</v>
      </c>
      <c r="B1078" s="8">
        <v>81</v>
      </c>
      <c r="C1078" s="8">
        <v>1565.1448969999999</v>
      </c>
      <c r="D1078" s="8">
        <v>158281.90625</v>
      </c>
      <c r="E1078" s="8">
        <v>158292.1875</v>
      </c>
      <c r="F1078" s="8">
        <f t="shared" si="32"/>
        <v>10.28125</v>
      </c>
      <c r="G1078" s="8">
        <f t="shared" si="33"/>
        <v>1.028125E-2</v>
      </c>
    </row>
    <row r="1079" spans="1:7" x14ac:dyDescent="0.25">
      <c r="A1079" s="8">
        <v>13</v>
      </c>
      <c r="B1079" s="8">
        <v>82</v>
      </c>
      <c r="C1079" s="8">
        <v>5561.7871089999999</v>
      </c>
      <c r="D1079" s="8">
        <v>159861.1875</v>
      </c>
      <c r="E1079" s="8">
        <v>159877.453125</v>
      </c>
      <c r="F1079" s="8">
        <f t="shared" si="32"/>
        <v>16.265625</v>
      </c>
      <c r="G1079" s="8">
        <f t="shared" si="33"/>
        <v>1.6265624999999999E-2</v>
      </c>
    </row>
    <row r="1080" spans="1:7" x14ac:dyDescent="0.25">
      <c r="A1080" s="8">
        <v>13</v>
      </c>
      <c r="B1080" s="8">
        <v>83</v>
      </c>
      <c r="C1080" s="8">
        <v>1438.1713870000001</v>
      </c>
      <c r="D1080" s="8">
        <v>165452.078125</v>
      </c>
      <c r="E1080" s="8">
        <v>165467.890625</v>
      </c>
      <c r="F1080" s="8">
        <f t="shared" si="32"/>
        <v>15.8125</v>
      </c>
      <c r="G1080" s="8">
        <f t="shared" si="33"/>
        <v>1.58125E-2</v>
      </c>
    </row>
    <row r="1081" spans="1:7" x14ac:dyDescent="0.25">
      <c r="A1081" s="8">
        <v>13</v>
      </c>
      <c r="B1081" s="8">
        <v>84</v>
      </c>
      <c r="C1081" s="8">
        <v>1848.7913820000001</v>
      </c>
      <c r="D1081" s="8">
        <v>166911.453125</v>
      </c>
      <c r="E1081" s="8">
        <v>166923.5</v>
      </c>
      <c r="F1081" s="8">
        <f t="shared" si="32"/>
        <v>12.046875</v>
      </c>
      <c r="G1081" s="8">
        <f t="shared" si="33"/>
        <v>1.2046875E-2</v>
      </c>
    </row>
    <row r="1082" spans="1:7" x14ac:dyDescent="0.25">
      <c r="A1082" s="8">
        <v>13</v>
      </c>
      <c r="B1082" s="8">
        <v>85</v>
      </c>
      <c r="C1082" s="8">
        <v>208.43687399999999</v>
      </c>
      <c r="D1082" s="8">
        <v>168778.5625</v>
      </c>
      <c r="E1082" s="8">
        <v>168788.78125</v>
      </c>
      <c r="F1082" s="8">
        <f t="shared" si="32"/>
        <v>10.21875</v>
      </c>
      <c r="G1082" s="8">
        <f t="shared" si="33"/>
        <v>1.021875E-2</v>
      </c>
    </row>
    <row r="1083" spans="1:7" x14ac:dyDescent="0.25">
      <c r="A1083" s="8">
        <v>13</v>
      </c>
      <c r="B1083" s="8">
        <v>86</v>
      </c>
      <c r="C1083" s="8">
        <v>387.98501599999997</v>
      </c>
      <c r="D1083" s="8">
        <v>169001.375</v>
      </c>
      <c r="E1083" s="8">
        <v>169013.1875</v>
      </c>
      <c r="F1083" s="8">
        <f t="shared" si="32"/>
        <v>11.8125</v>
      </c>
      <c r="G1083" s="8">
        <f t="shared" si="33"/>
        <v>1.18125E-2</v>
      </c>
    </row>
    <row r="1084" spans="1:7" x14ac:dyDescent="0.25">
      <c r="A1084" s="8">
        <v>13</v>
      </c>
      <c r="B1084" s="8">
        <v>87</v>
      </c>
      <c r="C1084" s="8">
        <v>332.15588400000001</v>
      </c>
      <c r="D1084" s="8">
        <v>169407.875</v>
      </c>
      <c r="E1084" s="8">
        <v>169425.625</v>
      </c>
      <c r="F1084" s="8">
        <f t="shared" si="32"/>
        <v>17.75</v>
      </c>
      <c r="G1084" s="8">
        <f t="shared" si="33"/>
        <v>1.7749999999999998E-2</v>
      </c>
    </row>
    <row r="1085" spans="1:7" x14ac:dyDescent="0.25">
      <c r="A1085" s="8">
        <v>13</v>
      </c>
      <c r="B1085" s="8">
        <v>88</v>
      </c>
      <c r="C1085" s="8">
        <v>982.58508300000005</v>
      </c>
      <c r="D1085" s="8">
        <v>169767.3125</v>
      </c>
      <c r="E1085" s="8">
        <v>169780.203125</v>
      </c>
      <c r="F1085" s="8">
        <f t="shared" si="32"/>
        <v>12.890625</v>
      </c>
      <c r="G1085" s="8">
        <f t="shared" si="33"/>
        <v>1.2890624999999999E-2</v>
      </c>
    </row>
    <row r="1086" spans="1:7" x14ac:dyDescent="0.25">
      <c r="A1086" s="8">
        <v>14</v>
      </c>
      <c r="B1086" s="8">
        <v>0</v>
      </c>
      <c r="C1086" s="8">
        <v>2042.136475</v>
      </c>
      <c r="D1086" s="8">
        <v>22031.923827999999</v>
      </c>
      <c r="E1086" s="8">
        <v>22052.417968999998</v>
      </c>
      <c r="F1086" s="8">
        <f t="shared" si="32"/>
        <v>20.494140999999217</v>
      </c>
      <c r="G1086" s="8">
        <f t="shared" si="33"/>
        <v>2.0494140999999216E-2</v>
      </c>
    </row>
    <row r="1087" spans="1:7" x14ac:dyDescent="0.25">
      <c r="A1087" s="8">
        <v>14</v>
      </c>
      <c r="B1087" s="8">
        <v>1</v>
      </c>
      <c r="C1087" s="8">
        <v>1888.7226559999999</v>
      </c>
      <c r="D1087" s="8">
        <v>24099.884765999999</v>
      </c>
      <c r="E1087" s="8">
        <v>24119.710938</v>
      </c>
      <c r="F1087" s="8">
        <f t="shared" si="32"/>
        <v>19.826172000000952</v>
      </c>
      <c r="G1087" s="8">
        <f t="shared" si="33"/>
        <v>1.982617200000095E-2</v>
      </c>
    </row>
    <row r="1088" spans="1:7" x14ac:dyDescent="0.25">
      <c r="A1088" s="8">
        <v>14</v>
      </c>
      <c r="B1088" s="8">
        <v>2</v>
      </c>
      <c r="C1088" s="8">
        <v>958.48895300000004</v>
      </c>
      <c r="D1088" s="8">
        <v>26021.935547000001</v>
      </c>
      <c r="E1088" s="8">
        <v>26036.042968999998</v>
      </c>
      <c r="F1088" s="8">
        <f t="shared" si="32"/>
        <v>14.107421999997314</v>
      </c>
      <c r="G1088" s="8">
        <f t="shared" si="33"/>
        <v>1.4107421999997314E-2</v>
      </c>
    </row>
    <row r="1089" spans="1:7" x14ac:dyDescent="0.25">
      <c r="A1089" s="8">
        <v>14</v>
      </c>
      <c r="B1089" s="8">
        <v>3</v>
      </c>
      <c r="C1089" s="8">
        <v>6.1036E-2</v>
      </c>
      <c r="D1089" s="8">
        <v>27008.800781000002</v>
      </c>
      <c r="E1089" s="8">
        <v>27029.080077999999</v>
      </c>
      <c r="F1089" s="8">
        <f t="shared" si="32"/>
        <v>20.279296999997314</v>
      </c>
      <c r="G1089" s="8">
        <f t="shared" si="33"/>
        <v>2.0279296999997313E-2</v>
      </c>
    </row>
    <row r="1090" spans="1:7" x14ac:dyDescent="0.25">
      <c r="A1090" s="8">
        <v>14</v>
      </c>
      <c r="B1090" s="8">
        <v>4</v>
      </c>
      <c r="C1090" s="8">
        <v>5056.3154299999997</v>
      </c>
      <c r="D1090" s="8">
        <v>27029.166015999999</v>
      </c>
      <c r="E1090" s="8">
        <v>27041.880859000001</v>
      </c>
      <c r="F1090" s="8">
        <f t="shared" si="32"/>
        <v>12.714843000001565</v>
      </c>
      <c r="G1090" s="8">
        <f t="shared" si="33"/>
        <v>1.2714843000001565E-2</v>
      </c>
    </row>
    <row r="1091" spans="1:7" x14ac:dyDescent="0.25">
      <c r="A1091" s="8">
        <v>14</v>
      </c>
      <c r="B1091" s="8">
        <v>5</v>
      </c>
      <c r="C1091" s="8">
        <v>2024.590942</v>
      </c>
      <c r="D1091" s="8">
        <v>32098.201172000001</v>
      </c>
      <c r="E1091" s="8">
        <v>32115.832031000002</v>
      </c>
      <c r="F1091" s="8">
        <f t="shared" si="32"/>
        <v>17.630859000000783</v>
      </c>
      <c r="G1091" s="8">
        <f t="shared" si="33"/>
        <v>1.7630859000000783E-2</v>
      </c>
    </row>
    <row r="1092" spans="1:7" x14ac:dyDescent="0.25">
      <c r="A1092" s="8">
        <v>14</v>
      </c>
      <c r="B1092" s="8">
        <v>6</v>
      </c>
      <c r="C1092" s="8">
        <v>264.28311200000002</v>
      </c>
      <c r="D1092" s="8">
        <v>34155.003905999998</v>
      </c>
      <c r="E1092" s="8">
        <v>34169.15625</v>
      </c>
      <c r="F1092" s="8">
        <f t="shared" si="32"/>
        <v>14.152344000001904</v>
      </c>
      <c r="G1092" s="8">
        <f t="shared" si="33"/>
        <v>1.4152344000001904E-2</v>
      </c>
    </row>
    <row r="1093" spans="1:7" x14ac:dyDescent="0.25">
      <c r="A1093" s="8">
        <v>14</v>
      </c>
      <c r="B1093" s="8">
        <v>7</v>
      </c>
      <c r="C1093" s="8">
        <v>107.51741</v>
      </c>
      <c r="D1093" s="8">
        <v>34436.183594000002</v>
      </c>
      <c r="E1093" s="8">
        <v>34453.195312999997</v>
      </c>
      <c r="F1093" s="8">
        <f t="shared" si="32"/>
        <v>17.011718999994628</v>
      </c>
      <c r="G1093" s="8">
        <f t="shared" si="33"/>
        <v>1.7011718999994627E-2</v>
      </c>
    </row>
    <row r="1094" spans="1:7" x14ac:dyDescent="0.25">
      <c r="A1094" s="8">
        <v>14</v>
      </c>
      <c r="B1094" s="8">
        <v>8</v>
      </c>
      <c r="C1094" s="8">
        <v>2396.4023440000001</v>
      </c>
      <c r="D1094" s="8">
        <v>34561.269530999998</v>
      </c>
      <c r="E1094" s="8">
        <v>34582.339844000002</v>
      </c>
      <c r="F1094" s="8">
        <f t="shared" si="32"/>
        <v>21.070313000003807</v>
      </c>
      <c r="G1094" s="8">
        <f t="shared" si="33"/>
        <v>2.1070313000003806E-2</v>
      </c>
    </row>
    <row r="1095" spans="1:7" x14ac:dyDescent="0.25">
      <c r="A1095" s="8">
        <v>14</v>
      </c>
      <c r="B1095" s="8">
        <v>9</v>
      </c>
      <c r="C1095" s="8">
        <v>347.492279</v>
      </c>
      <c r="D1095" s="8">
        <v>36987.839844000002</v>
      </c>
      <c r="E1095" s="8">
        <v>37002.949219000002</v>
      </c>
      <c r="F1095" s="8">
        <f t="shared" si="32"/>
        <v>15.109375</v>
      </c>
      <c r="G1095" s="8">
        <f t="shared" si="33"/>
        <v>1.5109375E-2</v>
      </c>
    </row>
    <row r="1096" spans="1:7" x14ac:dyDescent="0.25">
      <c r="A1096" s="8">
        <v>14</v>
      </c>
      <c r="B1096" s="8">
        <v>10</v>
      </c>
      <c r="C1096" s="8">
        <v>11932.720703000001</v>
      </c>
      <c r="D1096" s="8">
        <v>37362.941405999998</v>
      </c>
      <c r="E1096" s="8">
        <v>37384.5625</v>
      </c>
      <c r="F1096" s="8">
        <f t="shared" si="32"/>
        <v>21.621094000001904</v>
      </c>
      <c r="G1096" s="8">
        <f t="shared" si="33"/>
        <v>2.1621094000001905E-2</v>
      </c>
    </row>
    <row r="1097" spans="1:7" x14ac:dyDescent="0.25">
      <c r="A1097" s="8">
        <v>14</v>
      </c>
      <c r="B1097" s="8">
        <v>11</v>
      </c>
      <c r="C1097" s="8">
        <v>130.77453600000001</v>
      </c>
      <c r="D1097" s="8">
        <v>49326.804687999997</v>
      </c>
      <c r="E1097" s="8">
        <v>49342.414062999997</v>
      </c>
      <c r="F1097" s="8">
        <f t="shared" si="32"/>
        <v>15.609375</v>
      </c>
      <c r="G1097" s="8">
        <f t="shared" si="33"/>
        <v>1.5609375E-2</v>
      </c>
    </row>
    <row r="1098" spans="1:7" x14ac:dyDescent="0.25">
      <c r="A1098" s="8">
        <v>14</v>
      </c>
      <c r="B1098" s="8">
        <v>12</v>
      </c>
      <c r="C1098" s="8">
        <v>4467.6118159999996</v>
      </c>
      <c r="D1098" s="8">
        <v>49483.054687999997</v>
      </c>
      <c r="E1098" s="8">
        <v>49490.609375</v>
      </c>
      <c r="F1098" s="8">
        <f t="shared" si="32"/>
        <v>7.5546870000034687</v>
      </c>
      <c r="G1098" s="8">
        <f t="shared" si="33"/>
        <v>7.5546870000034686E-3</v>
      </c>
    </row>
    <row r="1099" spans="1:7" x14ac:dyDescent="0.25">
      <c r="A1099" s="8">
        <v>14</v>
      </c>
      <c r="B1099" s="8">
        <v>13</v>
      </c>
      <c r="C1099" s="8">
        <v>1485.456177</v>
      </c>
      <c r="D1099" s="8">
        <v>53971.980469000002</v>
      </c>
      <c r="E1099" s="8">
        <v>53986.875</v>
      </c>
      <c r="F1099" s="8">
        <f t="shared" ref="F1099:F1162" si="34">E1099-D1099</f>
        <v>14.894530999998096</v>
      </c>
      <c r="G1099" s="8">
        <f t="shared" ref="G1099:G1162" si="35">F1099/1000</f>
        <v>1.4894530999998096E-2</v>
      </c>
    </row>
    <row r="1100" spans="1:7" x14ac:dyDescent="0.25">
      <c r="A1100" s="8">
        <v>14</v>
      </c>
      <c r="B1100" s="8">
        <v>14</v>
      </c>
      <c r="C1100" s="8">
        <v>361.33767699999999</v>
      </c>
      <c r="D1100" s="8">
        <v>55472.339844000002</v>
      </c>
      <c r="E1100" s="8">
        <v>55497.894530999998</v>
      </c>
      <c r="F1100" s="8">
        <f t="shared" si="34"/>
        <v>25.554686999996193</v>
      </c>
      <c r="G1100" s="8">
        <f t="shared" si="35"/>
        <v>2.5554686999996194E-2</v>
      </c>
    </row>
    <row r="1101" spans="1:7" x14ac:dyDescent="0.25">
      <c r="A1101" s="8">
        <v>14</v>
      </c>
      <c r="B1101" s="8">
        <v>15</v>
      </c>
      <c r="C1101" s="8">
        <v>1201.547607</v>
      </c>
      <c r="D1101" s="8">
        <v>55863.039062999997</v>
      </c>
      <c r="E1101" s="8">
        <v>55886.40625</v>
      </c>
      <c r="F1101" s="8">
        <f t="shared" si="34"/>
        <v>23.367187000003469</v>
      </c>
      <c r="G1101" s="8">
        <f t="shared" si="35"/>
        <v>2.3367187000003467E-2</v>
      </c>
    </row>
    <row r="1102" spans="1:7" x14ac:dyDescent="0.25">
      <c r="A1102" s="8">
        <v>14</v>
      </c>
      <c r="B1102" s="8">
        <v>16</v>
      </c>
      <c r="C1102" s="8">
        <v>37.956760000000003</v>
      </c>
      <c r="D1102" s="8">
        <v>57098.113280999998</v>
      </c>
      <c r="E1102" s="8">
        <v>57122.148437999997</v>
      </c>
      <c r="F1102" s="8">
        <f t="shared" si="34"/>
        <v>24.035156999998435</v>
      </c>
      <c r="G1102" s="8">
        <f t="shared" si="35"/>
        <v>2.4035156999998433E-2</v>
      </c>
    </row>
    <row r="1103" spans="1:7" x14ac:dyDescent="0.25">
      <c r="A1103" s="8">
        <v>14</v>
      </c>
      <c r="B1103" s="8">
        <v>17</v>
      </c>
      <c r="C1103" s="8">
        <v>934.29016100000001</v>
      </c>
      <c r="D1103" s="8">
        <v>57160.519530999998</v>
      </c>
      <c r="E1103" s="8">
        <v>57175.519530999998</v>
      </c>
      <c r="F1103" s="8">
        <f t="shared" si="34"/>
        <v>15</v>
      </c>
      <c r="G1103" s="8">
        <f t="shared" si="35"/>
        <v>1.4999999999999999E-2</v>
      </c>
    </row>
    <row r="1104" spans="1:7" x14ac:dyDescent="0.25">
      <c r="A1104" s="8">
        <v>14</v>
      </c>
      <c r="B1104" s="8">
        <v>18</v>
      </c>
      <c r="C1104" s="8">
        <v>2035.707764</v>
      </c>
      <c r="D1104" s="8">
        <v>58117.195312999997</v>
      </c>
      <c r="E1104" s="8">
        <v>58136.152344000002</v>
      </c>
      <c r="F1104" s="8">
        <f t="shared" si="34"/>
        <v>18.957031000005372</v>
      </c>
      <c r="G1104" s="8">
        <f t="shared" si="35"/>
        <v>1.8957031000005373E-2</v>
      </c>
    </row>
    <row r="1105" spans="1:7" x14ac:dyDescent="0.25">
      <c r="A1105" s="8">
        <v>14</v>
      </c>
      <c r="B1105" s="8">
        <v>19</v>
      </c>
      <c r="C1105" s="8">
        <v>4032.0659179999998</v>
      </c>
      <c r="D1105" s="8">
        <v>60184.957030999998</v>
      </c>
      <c r="E1105" s="8">
        <v>60203.984375</v>
      </c>
      <c r="F1105" s="8">
        <f t="shared" si="34"/>
        <v>19.027344000001904</v>
      </c>
      <c r="G1105" s="8">
        <f t="shared" si="35"/>
        <v>1.9027344000001903E-2</v>
      </c>
    </row>
    <row r="1106" spans="1:7" x14ac:dyDescent="0.25">
      <c r="A1106" s="8">
        <v>14</v>
      </c>
      <c r="B1106" s="8">
        <v>20</v>
      </c>
      <c r="C1106" s="8">
        <v>1727.044312</v>
      </c>
      <c r="D1106" s="8">
        <v>64246.488280999998</v>
      </c>
      <c r="E1106" s="8">
        <v>64255.472655999998</v>
      </c>
      <c r="F1106" s="8">
        <f t="shared" si="34"/>
        <v>8.984375</v>
      </c>
      <c r="G1106" s="8">
        <f t="shared" si="35"/>
        <v>8.9843749999999993E-3</v>
      </c>
    </row>
    <row r="1107" spans="1:7" x14ac:dyDescent="0.25">
      <c r="A1107" s="8">
        <v>14</v>
      </c>
      <c r="B1107" s="8">
        <v>21</v>
      </c>
      <c r="C1107" s="8">
        <v>855.33563200000003</v>
      </c>
      <c r="D1107" s="8">
        <v>65996.6875</v>
      </c>
      <c r="E1107" s="8">
        <v>66013.898438000004</v>
      </c>
      <c r="F1107" s="8">
        <f t="shared" si="34"/>
        <v>17.210938000003807</v>
      </c>
      <c r="G1107" s="8">
        <f t="shared" si="35"/>
        <v>1.7210938000003808E-2</v>
      </c>
    </row>
    <row r="1108" spans="1:7" x14ac:dyDescent="0.25">
      <c r="A1108" s="8">
        <v>14</v>
      </c>
      <c r="B1108" s="8">
        <v>22</v>
      </c>
      <c r="C1108" s="8">
        <v>1594.7312010000001</v>
      </c>
      <c r="D1108" s="8">
        <v>66871.710938000004</v>
      </c>
      <c r="E1108" s="8">
        <v>66890.367188000004</v>
      </c>
      <c r="F1108" s="8">
        <f t="shared" si="34"/>
        <v>18.65625</v>
      </c>
      <c r="G1108" s="8">
        <f t="shared" si="35"/>
        <v>1.8656249999999999E-2</v>
      </c>
    </row>
    <row r="1109" spans="1:7" x14ac:dyDescent="0.25">
      <c r="A1109" s="8">
        <v>14</v>
      </c>
      <c r="B1109" s="8">
        <v>23</v>
      </c>
      <c r="C1109" s="8">
        <v>559.81957999999997</v>
      </c>
      <c r="D1109" s="8">
        <v>68498.546875</v>
      </c>
      <c r="E1109" s="8">
        <v>68512.234375</v>
      </c>
      <c r="F1109" s="8">
        <f t="shared" si="34"/>
        <v>13.6875</v>
      </c>
      <c r="G1109" s="8">
        <f t="shared" si="35"/>
        <v>1.36875E-2</v>
      </c>
    </row>
    <row r="1110" spans="1:7" x14ac:dyDescent="0.25">
      <c r="A1110" s="8">
        <v>14</v>
      </c>
      <c r="B1110" s="8">
        <v>24</v>
      </c>
      <c r="C1110" s="8">
        <v>631.589111</v>
      </c>
      <c r="D1110" s="8">
        <v>69076.648438000004</v>
      </c>
      <c r="E1110" s="8">
        <v>69095.03125</v>
      </c>
      <c r="F1110" s="8">
        <f t="shared" si="34"/>
        <v>18.382811999996193</v>
      </c>
      <c r="G1110" s="8">
        <f t="shared" si="35"/>
        <v>1.8382811999996192E-2</v>
      </c>
    </row>
    <row r="1111" spans="1:7" x14ac:dyDescent="0.25">
      <c r="A1111" s="8">
        <v>14</v>
      </c>
      <c r="B1111" s="8">
        <v>25</v>
      </c>
      <c r="C1111" s="8">
        <v>813.098206</v>
      </c>
      <c r="D1111" s="8">
        <v>69733.320313000004</v>
      </c>
      <c r="E1111" s="8">
        <v>69762.640625</v>
      </c>
      <c r="F1111" s="8">
        <f t="shared" si="34"/>
        <v>29.320311999996193</v>
      </c>
      <c r="G1111" s="8">
        <f t="shared" si="35"/>
        <v>2.9320311999996192E-2</v>
      </c>
    </row>
    <row r="1112" spans="1:7" x14ac:dyDescent="0.25">
      <c r="A1112" s="8">
        <v>14</v>
      </c>
      <c r="B1112" s="8">
        <v>26</v>
      </c>
      <c r="C1112" s="8">
        <v>3115.5112300000001</v>
      </c>
      <c r="D1112" s="8">
        <v>70585.6875</v>
      </c>
      <c r="E1112" s="8">
        <v>70613.03125</v>
      </c>
      <c r="F1112" s="8">
        <f t="shared" si="34"/>
        <v>27.34375</v>
      </c>
      <c r="G1112" s="8">
        <f t="shared" si="35"/>
        <v>2.734375E-2</v>
      </c>
    </row>
    <row r="1113" spans="1:7" x14ac:dyDescent="0.25">
      <c r="A1113" s="8">
        <v>14</v>
      </c>
      <c r="B1113" s="8">
        <v>27</v>
      </c>
      <c r="C1113" s="8">
        <v>2889.4023440000001</v>
      </c>
      <c r="D1113" s="8">
        <v>73732.289063000004</v>
      </c>
      <c r="E1113" s="8">
        <v>73751.101563000004</v>
      </c>
      <c r="F1113" s="8">
        <f t="shared" si="34"/>
        <v>18.8125</v>
      </c>
      <c r="G1113" s="8">
        <f t="shared" si="35"/>
        <v>1.8812499999999999E-2</v>
      </c>
    </row>
    <row r="1114" spans="1:7" x14ac:dyDescent="0.25">
      <c r="A1114" s="8">
        <v>14</v>
      </c>
      <c r="B1114" s="8">
        <v>28</v>
      </c>
      <c r="C1114" s="8">
        <v>1346.111206</v>
      </c>
      <c r="D1114" s="8">
        <v>76647.867188000004</v>
      </c>
      <c r="E1114" s="8">
        <v>76674.46875</v>
      </c>
      <c r="F1114" s="8">
        <f t="shared" si="34"/>
        <v>26.601561999996193</v>
      </c>
      <c r="G1114" s="8">
        <f t="shared" si="35"/>
        <v>2.6601561999996193E-2</v>
      </c>
    </row>
    <row r="1115" spans="1:7" x14ac:dyDescent="0.25">
      <c r="A1115" s="8">
        <v>14</v>
      </c>
      <c r="B1115" s="8">
        <v>29</v>
      </c>
      <c r="C1115" s="8">
        <v>3734.9255370000001</v>
      </c>
      <c r="D1115" s="8">
        <v>78026.023438000004</v>
      </c>
      <c r="E1115" s="8">
        <v>78049.882813000004</v>
      </c>
      <c r="F1115" s="8">
        <f t="shared" si="34"/>
        <v>23.859375</v>
      </c>
      <c r="G1115" s="8">
        <f t="shared" si="35"/>
        <v>2.3859374999999999E-2</v>
      </c>
    </row>
    <row r="1116" spans="1:7" x14ac:dyDescent="0.25">
      <c r="A1116" s="8">
        <v>14</v>
      </c>
      <c r="B1116" s="8">
        <v>30</v>
      </c>
      <c r="C1116" s="8">
        <v>527.22039800000005</v>
      </c>
      <c r="D1116" s="8">
        <v>81791.15625</v>
      </c>
      <c r="E1116" s="8">
        <v>81799.007813000004</v>
      </c>
      <c r="F1116" s="8">
        <f t="shared" si="34"/>
        <v>7.8515630000038072</v>
      </c>
      <c r="G1116" s="8">
        <f t="shared" si="35"/>
        <v>7.8515630000038066E-3</v>
      </c>
    </row>
    <row r="1117" spans="1:7" x14ac:dyDescent="0.25">
      <c r="A1117" s="8">
        <v>14</v>
      </c>
      <c r="B1117" s="8">
        <v>31</v>
      </c>
      <c r="C1117" s="8">
        <v>123.48983800000001</v>
      </c>
      <c r="D1117" s="8">
        <v>82339.296875</v>
      </c>
      <c r="E1117" s="8">
        <v>82349.890625</v>
      </c>
      <c r="F1117" s="8">
        <f t="shared" si="34"/>
        <v>10.59375</v>
      </c>
      <c r="G1117" s="8">
        <f t="shared" si="35"/>
        <v>1.0593750000000001E-2</v>
      </c>
    </row>
    <row r="1118" spans="1:7" x14ac:dyDescent="0.25">
      <c r="A1118" s="8">
        <v>14</v>
      </c>
      <c r="B1118" s="8">
        <v>32</v>
      </c>
      <c r="C1118" s="8">
        <v>158.19924900000001</v>
      </c>
      <c r="D1118" s="8">
        <v>82479.914063000004</v>
      </c>
      <c r="E1118" s="8">
        <v>82506.71875</v>
      </c>
      <c r="F1118" s="8">
        <f t="shared" si="34"/>
        <v>26.804686999996193</v>
      </c>
      <c r="G1118" s="8">
        <f t="shared" si="35"/>
        <v>2.6804686999996191E-2</v>
      </c>
    </row>
    <row r="1119" spans="1:7" x14ac:dyDescent="0.25">
      <c r="A1119" s="8">
        <v>14</v>
      </c>
      <c r="B1119" s="8">
        <v>33</v>
      </c>
      <c r="C1119" s="8">
        <v>2050.4567870000001</v>
      </c>
      <c r="D1119" s="8">
        <v>82667.421875</v>
      </c>
      <c r="E1119" s="8">
        <v>82678.546875</v>
      </c>
      <c r="F1119" s="8">
        <f t="shared" si="34"/>
        <v>11.125</v>
      </c>
      <c r="G1119" s="8">
        <f t="shared" si="35"/>
        <v>1.1124999999999999E-2</v>
      </c>
    </row>
    <row r="1120" spans="1:7" x14ac:dyDescent="0.25">
      <c r="A1120" s="8">
        <v>14</v>
      </c>
      <c r="B1120" s="8">
        <v>34</v>
      </c>
      <c r="C1120" s="8">
        <v>594.76599099999999</v>
      </c>
      <c r="D1120" s="8">
        <v>84735.351563000004</v>
      </c>
      <c r="E1120" s="8">
        <v>84768.125</v>
      </c>
      <c r="F1120" s="8">
        <f t="shared" si="34"/>
        <v>32.773436999996193</v>
      </c>
      <c r="G1120" s="8">
        <f t="shared" si="35"/>
        <v>3.2773436999996193E-2</v>
      </c>
    </row>
    <row r="1121" spans="1:7" x14ac:dyDescent="0.25">
      <c r="A1121" s="8">
        <v>14</v>
      </c>
      <c r="B1121" s="8">
        <v>35</v>
      </c>
      <c r="C1121" s="8">
        <v>1452.0002440000001</v>
      </c>
      <c r="D1121" s="8">
        <v>85377.421875</v>
      </c>
      <c r="E1121" s="8">
        <v>85394.453125</v>
      </c>
      <c r="F1121" s="8">
        <f t="shared" si="34"/>
        <v>17.03125</v>
      </c>
      <c r="G1121" s="8">
        <f t="shared" si="35"/>
        <v>1.7031250000000001E-2</v>
      </c>
    </row>
    <row r="1122" spans="1:7" x14ac:dyDescent="0.25">
      <c r="A1122" s="8">
        <v>14</v>
      </c>
      <c r="B1122" s="8">
        <v>36</v>
      </c>
      <c r="C1122" s="8">
        <v>3163.9113769999999</v>
      </c>
      <c r="D1122" s="8">
        <v>86862.15625</v>
      </c>
      <c r="E1122" s="8">
        <v>86890.65625</v>
      </c>
      <c r="F1122" s="8">
        <f t="shared" si="34"/>
        <v>28.5</v>
      </c>
      <c r="G1122" s="8">
        <f t="shared" si="35"/>
        <v>2.8500000000000001E-2</v>
      </c>
    </row>
    <row r="1123" spans="1:7" x14ac:dyDescent="0.25">
      <c r="A1123" s="8">
        <v>14</v>
      </c>
      <c r="B1123" s="8">
        <v>37</v>
      </c>
      <c r="C1123" s="8">
        <v>368.22308299999997</v>
      </c>
      <c r="D1123" s="8">
        <v>90057.921875</v>
      </c>
      <c r="E1123" s="8">
        <v>90065.8125</v>
      </c>
      <c r="F1123" s="8">
        <f t="shared" si="34"/>
        <v>7.890625</v>
      </c>
      <c r="G1123" s="8">
        <f t="shared" si="35"/>
        <v>7.8906250000000001E-3</v>
      </c>
    </row>
    <row r="1124" spans="1:7" x14ac:dyDescent="0.25">
      <c r="A1124" s="8">
        <v>14</v>
      </c>
      <c r="B1124" s="8">
        <v>38</v>
      </c>
      <c r="C1124" s="8">
        <v>3224.8054200000001</v>
      </c>
      <c r="D1124" s="8">
        <v>90448.570313000004</v>
      </c>
      <c r="E1124" s="8">
        <v>90465.601563000004</v>
      </c>
      <c r="F1124" s="8">
        <f t="shared" si="34"/>
        <v>17.03125</v>
      </c>
      <c r="G1124" s="8">
        <f t="shared" si="35"/>
        <v>1.7031250000000001E-2</v>
      </c>
    </row>
    <row r="1125" spans="1:7" x14ac:dyDescent="0.25">
      <c r="A1125" s="8">
        <v>14</v>
      </c>
      <c r="B1125" s="8">
        <v>39</v>
      </c>
      <c r="C1125" s="8">
        <v>8.5021719999999998</v>
      </c>
      <c r="D1125" s="8">
        <v>93701.296875</v>
      </c>
      <c r="E1125" s="8">
        <v>93723.398438000004</v>
      </c>
      <c r="F1125" s="8">
        <f t="shared" si="34"/>
        <v>22.101563000003807</v>
      </c>
      <c r="G1125" s="8">
        <f t="shared" si="35"/>
        <v>2.2101563000003807E-2</v>
      </c>
    </row>
    <row r="1126" spans="1:7" x14ac:dyDescent="0.25">
      <c r="A1126" s="8">
        <v>14</v>
      </c>
      <c r="B1126" s="8">
        <v>40</v>
      </c>
      <c r="C1126" s="8">
        <v>1406.7236330000001</v>
      </c>
      <c r="D1126" s="8">
        <v>93732.5625</v>
      </c>
      <c r="E1126" s="8">
        <v>93756.898438000004</v>
      </c>
      <c r="F1126" s="8">
        <f t="shared" si="34"/>
        <v>24.335938000003807</v>
      </c>
      <c r="G1126" s="8">
        <f t="shared" si="35"/>
        <v>2.4335938000003807E-2</v>
      </c>
    </row>
    <row r="1127" spans="1:7" x14ac:dyDescent="0.25">
      <c r="A1127" s="8">
        <v>14</v>
      </c>
      <c r="B1127" s="8">
        <v>41</v>
      </c>
      <c r="C1127" s="8">
        <v>5137.4814450000003</v>
      </c>
      <c r="D1127" s="8">
        <v>95165.101563000004</v>
      </c>
      <c r="E1127" s="8">
        <v>95176.257813000004</v>
      </c>
      <c r="F1127" s="8">
        <f t="shared" si="34"/>
        <v>11.15625</v>
      </c>
      <c r="G1127" s="8">
        <f t="shared" si="35"/>
        <v>1.115625E-2</v>
      </c>
    </row>
    <row r="1128" spans="1:7" x14ac:dyDescent="0.25">
      <c r="A1128" s="8">
        <v>14</v>
      </c>
      <c r="B1128" s="8">
        <v>42</v>
      </c>
      <c r="C1128" s="8">
        <v>2028.626221</v>
      </c>
      <c r="D1128" s="8">
        <v>100323.320313</v>
      </c>
      <c r="E1128" s="8">
        <v>100349</v>
      </c>
      <c r="F1128" s="8">
        <f t="shared" si="34"/>
        <v>25.679686999996193</v>
      </c>
      <c r="G1128" s="8">
        <f t="shared" si="35"/>
        <v>2.5679686999996194E-2</v>
      </c>
    </row>
    <row r="1129" spans="1:7" x14ac:dyDescent="0.25">
      <c r="A1129" s="8">
        <v>14</v>
      </c>
      <c r="B1129" s="8">
        <v>43</v>
      </c>
      <c r="C1129" s="8">
        <v>4528.9409180000002</v>
      </c>
      <c r="D1129" s="8">
        <v>102391.085938</v>
      </c>
      <c r="E1129" s="8">
        <v>102407.289063</v>
      </c>
      <c r="F1129" s="8">
        <f t="shared" si="34"/>
        <v>16.203125</v>
      </c>
      <c r="G1129" s="8">
        <f t="shared" si="35"/>
        <v>1.6203124999999999E-2</v>
      </c>
    </row>
    <row r="1130" spans="1:7" x14ac:dyDescent="0.25">
      <c r="A1130" s="8">
        <v>14</v>
      </c>
      <c r="B1130" s="8">
        <v>44</v>
      </c>
      <c r="C1130" s="8">
        <v>1371.395996</v>
      </c>
      <c r="D1130" s="8">
        <v>106937.757813</v>
      </c>
      <c r="E1130" s="8">
        <v>106952.421875</v>
      </c>
      <c r="F1130" s="8">
        <f t="shared" si="34"/>
        <v>14.664061999996193</v>
      </c>
      <c r="G1130" s="8">
        <f t="shared" si="35"/>
        <v>1.4664061999996193E-2</v>
      </c>
    </row>
    <row r="1131" spans="1:7" x14ac:dyDescent="0.25">
      <c r="A1131" s="8">
        <v>14</v>
      </c>
      <c r="B1131" s="8">
        <v>45</v>
      </c>
      <c r="C1131" s="8">
        <v>803.04144299999996</v>
      </c>
      <c r="D1131" s="8">
        <v>108329.25</v>
      </c>
      <c r="E1131" s="8">
        <v>108399.570313</v>
      </c>
      <c r="F1131" s="8">
        <f t="shared" si="34"/>
        <v>70.320313000003807</v>
      </c>
      <c r="G1131" s="8">
        <f t="shared" si="35"/>
        <v>7.0320313000003812E-2</v>
      </c>
    </row>
    <row r="1132" spans="1:7" x14ac:dyDescent="0.25">
      <c r="A1132" s="8">
        <v>14</v>
      </c>
      <c r="B1132" s="8">
        <v>46</v>
      </c>
      <c r="C1132" s="8">
        <v>278.75500499999998</v>
      </c>
      <c r="D1132" s="8">
        <v>109204.351563</v>
      </c>
      <c r="E1132" s="8">
        <v>109215.78125</v>
      </c>
      <c r="F1132" s="8">
        <f t="shared" si="34"/>
        <v>11.429686999996193</v>
      </c>
      <c r="G1132" s="8">
        <f t="shared" si="35"/>
        <v>1.1429686999996193E-2</v>
      </c>
    </row>
    <row r="1133" spans="1:7" x14ac:dyDescent="0.25">
      <c r="A1133" s="8">
        <v>14</v>
      </c>
      <c r="B1133" s="8">
        <v>47</v>
      </c>
      <c r="C1133" s="8">
        <v>2415.508057</v>
      </c>
      <c r="D1133" s="8">
        <v>109501.234375</v>
      </c>
      <c r="E1133" s="8">
        <v>109508.59375</v>
      </c>
      <c r="F1133" s="8">
        <f t="shared" si="34"/>
        <v>7.359375</v>
      </c>
      <c r="G1133" s="8">
        <f t="shared" si="35"/>
        <v>7.3593749999999996E-3</v>
      </c>
    </row>
    <row r="1134" spans="1:7" x14ac:dyDescent="0.25">
      <c r="A1134" s="8">
        <v>14</v>
      </c>
      <c r="B1134" s="8">
        <v>48</v>
      </c>
      <c r="C1134" s="8">
        <v>5912.8872069999998</v>
      </c>
      <c r="D1134" s="8">
        <v>111926.75</v>
      </c>
      <c r="E1134" s="8">
        <v>111940.367188</v>
      </c>
      <c r="F1134" s="8">
        <f t="shared" si="34"/>
        <v>13.617188000003807</v>
      </c>
      <c r="G1134" s="8">
        <f t="shared" si="35"/>
        <v>1.3617188000003807E-2</v>
      </c>
    </row>
    <row r="1135" spans="1:7" x14ac:dyDescent="0.25">
      <c r="A1135" s="8">
        <v>14</v>
      </c>
      <c r="B1135" s="8">
        <v>49</v>
      </c>
      <c r="C1135" s="8">
        <v>508.79437300000001</v>
      </c>
      <c r="D1135" s="8">
        <v>117853.6875</v>
      </c>
      <c r="E1135" s="8">
        <v>117871.609375</v>
      </c>
      <c r="F1135" s="8">
        <f t="shared" si="34"/>
        <v>17.921875</v>
      </c>
      <c r="G1135" s="8">
        <f t="shared" si="35"/>
        <v>1.7921875E-2</v>
      </c>
    </row>
    <row r="1136" spans="1:7" x14ac:dyDescent="0.25">
      <c r="A1136" s="8">
        <v>14</v>
      </c>
      <c r="B1136" s="8">
        <v>50</v>
      </c>
      <c r="C1136" s="8">
        <v>329.92321800000002</v>
      </c>
      <c r="D1136" s="8">
        <v>118384.820313</v>
      </c>
      <c r="E1136" s="8">
        <v>118402.273438</v>
      </c>
      <c r="F1136" s="8">
        <f t="shared" si="34"/>
        <v>17.453125</v>
      </c>
      <c r="G1136" s="8">
        <f t="shared" si="35"/>
        <v>1.7453125E-2</v>
      </c>
    </row>
    <row r="1137" spans="1:7" x14ac:dyDescent="0.25">
      <c r="A1137" s="8">
        <v>14</v>
      </c>
      <c r="B1137" s="8">
        <v>51</v>
      </c>
      <c r="C1137" s="8">
        <v>373.51309199999997</v>
      </c>
      <c r="D1137" s="8">
        <v>118744.429688</v>
      </c>
      <c r="E1137" s="8">
        <v>118764.007813</v>
      </c>
      <c r="F1137" s="8">
        <f t="shared" si="34"/>
        <v>19.578125</v>
      </c>
      <c r="G1137" s="8">
        <f t="shared" si="35"/>
        <v>1.9578124999999998E-2</v>
      </c>
    </row>
    <row r="1138" spans="1:7" x14ac:dyDescent="0.25">
      <c r="A1138" s="8">
        <v>14</v>
      </c>
      <c r="B1138" s="8">
        <v>52</v>
      </c>
      <c r="C1138" s="8">
        <v>10799.929688</v>
      </c>
      <c r="D1138" s="8">
        <v>119141.390625</v>
      </c>
      <c r="E1138" s="8">
        <v>119161.320313</v>
      </c>
      <c r="F1138" s="8">
        <f t="shared" si="34"/>
        <v>19.929688000003807</v>
      </c>
      <c r="G1138" s="8">
        <f t="shared" si="35"/>
        <v>1.9929688000003807E-2</v>
      </c>
    </row>
    <row r="1139" spans="1:7" x14ac:dyDescent="0.25">
      <c r="A1139" s="8">
        <v>14</v>
      </c>
      <c r="B1139" s="8">
        <v>53</v>
      </c>
      <c r="C1139" s="8">
        <v>1531.6530760000001</v>
      </c>
      <c r="D1139" s="8">
        <v>129973.164063</v>
      </c>
      <c r="E1139" s="8">
        <v>129988.304688</v>
      </c>
      <c r="F1139" s="8">
        <f t="shared" si="34"/>
        <v>15.140625</v>
      </c>
      <c r="G1139" s="8">
        <f t="shared" si="35"/>
        <v>1.5140625E-2</v>
      </c>
    </row>
    <row r="1140" spans="1:7" x14ac:dyDescent="0.25">
      <c r="A1140" s="8">
        <v>14</v>
      </c>
      <c r="B1140" s="8">
        <v>54</v>
      </c>
      <c r="C1140" s="8">
        <v>1046.0310059999999</v>
      </c>
      <c r="D1140" s="8">
        <v>131530.109375</v>
      </c>
      <c r="E1140" s="8">
        <v>131556.8125</v>
      </c>
      <c r="F1140" s="8">
        <f t="shared" si="34"/>
        <v>26.703125</v>
      </c>
      <c r="G1140" s="8">
        <f t="shared" si="35"/>
        <v>2.6703125000000001E-2</v>
      </c>
    </row>
    <row r="1141" spans="1:7" x14ac:dyDescent="0.25">
      <c r="A1141" s="8">
        <v>14</v>
      </c>
      <c r="B1141" s="8">
        <v>55</v>
      </c>
      <c r="C1141" s="8">
        <v>473.29440299999999</v>
      </c>
      <c r="D1141" s="8">
        <v>132608.140625</v>
      </c>
      <c r="E1141" s="8">
        <v>132616.546875</v>
      </c>
      <c r="F1141" s="8">
        <f t="shared" si="34"/>
        <v>8.40625</v>
      </c>
      <c r="G1141" s="8">
        <f t="shared" si="35"/>
        <v>8.4062500000000005E-3</v>
      </c>
    </row>
    <row r="1142" spans="1:7" x14ac:dyDescent="0.25">
      <c r="A1142" s="8">
        <v>14</v>
      </c>
      <c r="B1142" s="8">
        <v>56</v>
      </c>
      <c r="C1142" s="8">
        <v>894.948486</v>
      </c>
      <c r="D1142" s="8">
        <v>133097.34375</v>
      </c>
      <c r="E1142" s="8">
        <v>133110.578125</v>
      </c>
      <c r="F1142" s="8">
        <f t="shared" si="34"/>
        <v>13.234375</v>
      </c>
      <c r="G1142" s="8">
        <f t="shared" si="35"/>
        <v>1.3234375E-2</v>
      </c>
    </row>
    <row r="1143" spans="1:7" x14ac:dyDescent="0.25">
      <c r="A1143" s="8">
        <v>14</v>
      </c>
      <c r="B1143" s="8">
        <v>57</v>
      </c>
      <c r="C1143" s="8">
        <v>621.48663299999998</v>
      </c>
      <c r="D1143" s="8">
        <v>134019.390625</v>
      </c>
      <c r="E1143" s="8">
        <v>134027.328125</v>
      </c>
      <c r="F1143" s="8">
        <f t="shared" si="34"/>
        <v>7.9375</v>
      </c>
      <c r="G1143" s="8">
        <f t="shared" si="35"/>
        <v>7.9375000000000001E-3</v>
      </c>
    </row>
    <row r="1144" spans="1:7" x14ac:dyDescent="0.25">
      <c r="A1144" s="8">
        <v>14</v>
      </c>
      <c r="B1144" s="8">
        <v>58</v>
      </c>
      <c r="C1144" s="8">
        <v>4020.185547</v>
      </c>
      <c r="D1144" s="8">
        <v>134660</v>
      </c>
      <c r="E1144" s="8">
        <v>134685.59375</v>
      </c>
      <c r="F1144" s="8">
        <f t="shared" si="34"/>
        <v>25.59375</v>
      </c>
      <c r="G1144" s="8">
        <f t="shared" si="35"/>
        <v>2.5593749999999998E-2</v>
      </c>
    </row>
    <row r="1145" spans="1:7" x14ac:dyDescent="0.25">
      <c r="A1145" s="8">
        <v>14</v>
      </c>
      <c r="B1145" s="8">
        <v>59</v>
      </c>
      <c r="C1145" s="8">
        <v>1209.6892089999999</v>
      </c>
      <c r="D1145" s="8">
        <v>138718.796875</v>
      </c>
      <c r="E1145" s="8">
        <v>138734.375</v>
      </c>
      <c r="F1145" s="8">
        <f t="shared" si="34"/>
        <v>15.578125</v>
      </c>
      <c r="G1145" s="8">
        <f t="shared" si="35"/>
        <v>1.5578125E-2</v>
      </c>
    </row>
    <row r="1146" spans="1:7" x14ac:dyDescent="0.25">
      <c r="A1146" s="8">
        <v>14</v>
      </c>
      <c r="B1146" s="8">
        <v>60</v>
      </c>
      <c r="C1146" s="8">
        <v>43.687904000000003</v>
      </c>
      <c r="D1146" s="8">
        <v>139944.078125</v>
      </c>
      <c r="E1146" s="8">
        <v>139955.75</v>
      </c>
      <c r="F1146" s="8">
        <f t="shared" si="34"/>
        <v>11.671875</v>
      </c>
      <c r="G1146" s="8">
        <f t="shared" si="35"/>
        <v>1.1671875E-2</v>
      </c>
    </row>
    <row r="1147" spans="1:7" x14ac:dyDescent="0.25">
      <c r="A1147" s="8">
        <v>14</v>
      </c>
      <c r="B1147" s="8">
        <v>61</v>
      </c>
      <c r="C1147" s="8">
        <v>923.50994900000001</v>
      </c>
      <c r="D1147" s="8">
        <v>140006.59375</v>
      </c>
      <c r="E1147" s="8">
        <v>140023.375</v>
      </c>
      <c r="F1147" s="8">
        <f t="shared" si="34"/>
        <v>16.78125</v>
      </c>
      <c r="G1147" s="8">
        <f t="shared" si="35"/>
        <v>1.6781250000000001E-2</v>
      </c>
    </row>
    <row r="1148" spans="1:7" x14ac:dyDescent="0.25">
      <c r="A1148" s="8">
        <v>14</v>
      </c>
      <c r="B1148" s="8">
        <v>62</v>
      </c>
      <c r="C1148" s="8">
        <v>1528.1116939999999</v>
      </c>
      <c r="D1148" s="8">
        <v>140951.640625</v>
      </c>
      <c r="E1148" s="8">
        <v>140968.90625</v>
      </c>
      <c r="F1148" s="8">
        <f t="shared" si="34"/>
        <v>17.265625</v>
      </c>
      <c r="G1148" s="8">
        <f t="shared" si="35"/>
        <v>1.7265625E-2</v>
      </c>
    </row>
    <row r="1149" spans="1:7" x14ac:dyDescent="0.25">
      <c r="A1149" s="8">
        <v>14</v>
      </c>
      <c r="B1149" s="8">
        <v>63</v>
      </c>
      <c r="C1149" s="8">
        <v>3459.6826169999999</v>
      </c>
      <c r="D1149" s="8">
        <v>142499.640625</v>
      </c>
      <c r="E1149" s="8">
        <v>142513.484375</v>
      </c>
      <c r="F1149" s="8">
        <f t="shared" si="34"/>
        <v>13.84375</v>
      </c>
      <c r="G1149" s="8">
        <f t="shared" si="35"/>
        <v>1.384375E-2</v>
      </c>
    </row>
    <row r="1150" spans="1:7" x14ac:dyDescent="0.25">
      <c r="A1150" s="8">
        <v>14</v>
      </c>
      <c r="B1150" s="8">
        <v>64</v>
      </c>
      <c r="C1150" s="8">
        <v>4347.1000979999999</v>
      </c>
      <c r="D1150" s="8">
        <v>145974.671875</v>
      </c>
      <c r="E1150" s="8">
        <v>145984.1875</v>
      </c>
      <c r="F1150" s="8">
        <f t="shared" si="34"/>
        <v>9.515625</v>
      </c>
      <c r="G1150" s="8">
        <f t="shared" si="35"/>
        <v>9.5156249999999998E-3</v>
      </c>
    </row>
    <row r="1151" spans="1:7" x14ac:dyDescent="0.25">
      <c r="A1151" s="8">
        <v>14</v>
      </c>
      <c r="B1151" s="8">
        <v>65</v>
      </c>
      <c r="C1151" s="8">
        <v>1768.72937</v>
      </c>
      <c r="D1151" s="8">
        <v>150342.59375</v>
      </c>
      <c r="E1151" s="8">
        <v>150363.765625</v>
      </c>
      <c r="F1151" s="8">
        <f t="shared" si="34"/>
        <v>21.171875</v>
      </c>
      <c r="G1151" s="8">
        <f t="shared" si="35"/>
        <v>2.1171875E-2</v>
      </c>
    </row>
    <row r="1152" spans="1:7" x14ac:dyDescent="0.25">
      <c r="A1152" s="8">
        <v>14</v>
      </c>
      <c r="B1152" s="8">
        <v>66</v>
      </c>
      <c r="C1152" s="8">
        <v>645.11084000000005</v>
      </c>
      <c r="D1152" s="8">
        <v>152139.71875</v>
      </c>
      <c r="E1152" s="8">
        <v>152155.28125</v>
      </c>
      <c r="F1152" s="8">
        <f t="shared" si="34"/>
        <v>15.5625</v>
      </c>
      <c r="G1152" s="8">
        <f t="shared" si="35"/>
        <v>1.55625E-2</v>
      </c>
    </row>
    <row r="1153" spans="1:7" x14ac:dyDescent="0.25">
      <c r="A1153" s="8">
        <v>14</v>
      </c>
      <c r="B1153" s="8">
        <v>67</v>
      </c>
      <c r="C1153" s="8">
        <v>5639.0869140000004</v>
      </c>
      <c r="D1153" s="8">
        <v>152812.640625</v>
      </c>
      <c r="E1153" s="8">
        <v>152825</v>
      </c>
      <c r="F1153" s="8">
        <f t="shared" si="34"/>
        <v>12.359375</v>
      </c>
      <c r="G1153" s="8">
        <f t="shared" si="35"/>
        <v>1.2359375000000001E-2</v>
      </c>
    </row>
    <row r="1154" spans="1:7" x14ac:dyDescent="0.25">
      <c r="A1154" s="8">
        <v>14</v>
      </c>
      <c r="B1154" s="8">
        <v>68</v>
      </c>
      <c r="C1154" s="8">
        <v>5707.8076170000004</v>
      </c>
      <c r="D1154" s="8">
        <v>158469.484375</v>
      </c>
      <c r="E1154" s="8">
        <v>158485.859375</v>
      </c>
      <c r="F1154" s="8">
        <f t="shared" si="34"/>
        <v>16.375</v>
      </c>
      <c r="G1154" s="8">
        <f t="shared" si="35"/>
        <v>1.6375000000000001E-2</v>
      </c>
    </row>
    <row r="1155" spans="1:7" x14ac:dyDescent="0.25">
      <c r="A1155" s="8">
        <v>14</v>
      </c>
      <c r="B1155" s="8">
        <v>69</v>
      </c>
      <c r="C1155" s="8">
        <v>4316.2236329999996</v>
      </c>
      <c r="D1155" s="8">
        <v>164206</v>
      </c>
      <c r="E1155" s="8">
        <v>164222.515625</v>
      </c>
      <c r="F1155" s="8">
        <f t="shared" si="34"/>
        <v>16.515625</v>
      </c>
      <c r="G1155" s="8">
        <f t="shared" si="35"/>
        <v>1.6515624999999999E-2</v>
      </c>
    </row>
    <row r="1156" spans="1:7" x14ac:dyDescent="0.25">
      <c r="A1156" s="8">
        <v>14</v>
      </c>
      <c r="B1156" s="8">
        <v>70</v>
      </c>
      <c r="C1156" s="8">
        <v>4722.501953</v>
      </c>
      <c r="D1156" s="8">
        <v>168544.28125</v>
      </c>
      <c r="E1156" s="8">
        <v>168555.375</v>
      </c>
      <c r="F1156" s="8">
        <f t="shared" si="34"/>
        <v>11.09375</v>
      </c>
      <c r="G1156" s="8">
        <f t="shared" si="35"/>
        <v>1.1093749999999999E-2</v>
      </c>
    </row>
    <row r="1157" spans="1:7" x14ac:dyDescent="0.25">
      <c r="A1157" s="8">
        <v>15</v>
      </c>
      <c r="B1157" s="8">
        <v>0</v>
      </c>
      <c r="C1157" s="8">
        <v>786.06024200000002</v>
      </c>
      <c r="D1157" s="8">
        <v>21094.332031000002</v>
      </c>
      <c r="E1157" s="8">
        <v>21120.902343999998</v>
      </c>
      <c r="F1157" s="8">
        <f t="shared" si="34"/>
        <v>26.570312999996531</v>
      </c>
      <c r="G1157" s="8">
        <f t="shared" si="35"/>
        <v>2.6570312999996532E-2</v>
      </c>
    </row>
    <row r="1158" spans="1:7" x14ac:dyDescent="0.25">
      <c r="A1158" s="8">
        <v>15</v>
      </c>
      <c r="B1158" s="8">
        <v>1</v>
      </c>
      <c r="C1158" s="8">
        <v>1351.6225589999999</v>
      </c>
      <c r="D1158" s="8">
        <v>21922.574218999998</v>
      </c>
      <c r="E1158" s="8">
        <v>21943.269531000002</v>
      </c>
      <c r="F1158" s="8">
        <f t="shared" si="34"/>
        <v>20.695312000003469</v>
      </c>
      <c r="G1158" s="8">
        <f t="shared" si="35"/>
        <v>2.069531200000347E-2</v>
      </c>
    </row>
    <row r="1159" spans="1:7" x14ac:dyDescent="0.25">
      <c r="A1159" s="8">
        <v>15</v>
      </c>
      <c r="B1159" s="8">
        <v>2</v>
      </c>
      <c r="C1159" s="8">
        <v>673.02990699999998</v>
      </c>
      <c r="D1159" s="8">
        <v>23300.46875</v>
      </c>
      <c r="E1159" s="8">
        <v>23327.59375</v>
      </c>
      <c r="F1159" s="8">
        <f t="shared" si="34"/>
        <v>27.125</v>
      </c>
      <c r="G1159" s="8">
        <f t="shared" si="35"/>
        <v>2.7125E-2</v>
      </c>
    </row>
    <row r="1160" spans="1:7" x14ac:dyDescent="0.25">
      <c r="A1160" s="8">
        <v>15</v>
      </c>
      <c r="B1160" s="8">
        <v>3</v>
      </c>
      <c r="C1160" s="8">
        <v>187.21133399999999</v>
      </c>
      <c r="D1160" s="8">
        <v>24006.107422000001</v>
      </c>
      <c r="E1160" s="8">
        <v>24020.996093999998</v>
      </c>
      <c r="F1160" s="8">
        <f t="shared" si="34"/>
        <v>14.888671999997314</v>
      </c>
      <c r="G1160" s="8">
        <f t="shared" si="35"/>
        <v>1.4888671999997313E-2</v>
      </c>
    </row>
    <row r="1161" spans="1:7" x14ac:dyDescent="0.25">
      <c r="A1161" s="8">
        <v>15</v>
      </c>
      <c r="B1161" s="8">
        <v>4</v>
      </c>
      <c r="C1161" s="8">
        <v>1076.7464600000001</v>
      </c>
      <c r="D1161" s="8">
        <v>24209.257813</v>
      </c>
      <c r="E1161" s="8">
        <v>24222.117188</v>
      </c>
      <c r="F1161" s="8">
        <f t="shared" si="34"/>
        <v>12.859375</v>
      </c>
      <c r="G1161" s="8">
        <f t="shared" si="35"/>
        <v>1.2859374999999999E-2</v>
      </c>
    </row>
    <row r="1162" spans="1:7" x14ac:dyDescent="0.25">
      <c r="A1162" s="8">
        <v>15</v>
      </c>
      <c r="B1162" s="8">
        <v>5</v>
      </c>
      <c r="C1162" s="8">
        <v>3477.3161620000001</v>
      </c>
      <c r="D1162" s="8">
        <v>25303.160156000002</v>
      </c>
      <c r="E1162" s="8">
        <v>25330.076172000001</v>
      </c>
      <c r="F1162" s="8">
        <f t="shared" si="34"/>
        <v>26.916015999999217</v>
      </c>
      <c r="G1162" s="8">
        <f t="shared" si="35"/>
        <v>2.6916015999999217E-2</v>
      </c>
    </row>
    <row r="1163" spans="1:7" x14ac:dyDescent="0.25">
      <c r="A1163" s="8">
        <v>15</v>
      </c>
      <c r="B1163" s="8">
        <v>6</v>
      </c>
      <c r="C1163" s="8">
        <v>274.619507</v>
      </c>
      <c r="D1163" s="8">
        <v>28808.945313</v>
      </c>
      <c r="E1163" s="8">
        <v>28816.853515999999</v>
      </c>
      <c r="F1163" s="8">
        <f t="shared" ref="F1163:F1226" si="36">E1163-D1163</f>
        <v>7.9082029999990482</v>
      </c>
      <c r="G1163" s="8">
        <f t="shared" ref="G1163:G1226" si="37">F1163/1000</f>
        <v>7.9082029999990484E-3</v>
      </c>
    </row>
    <row r="1164" spans="1:7" x14ac:dyDescent="0.25">
      <c r="A1164" s="8">
        <v>15</v>
      </c>
      <c r="B1164" s="8">
        <v>7</v>
      </c>
      <c r="C1164" s="8">
        <v>104.685417</v>
      </c>
      <c r="D1164" s="8">
        <v>29105.681640999999</v>
      </c>
      <c r="E1164" s="8">
        <v>29132.433593999998</v>
      </c>
      <c r="F1164" s="8">
        <f t="shared" si="36"/>
        <v>26.751952999999048</v>
      </c>
      <c r="G1164" s="8">
        <f t="shared" si="37"/>
        <v>2.6751952999999048E-2</v>
      </c>
    </row>
    <row r="1165" spans="1:7" x14ac:dyDescent="0.25">
      <c r="A1165" s="8">
        <v>15</v>
      </c>
      <c r="B1165" s="8">
        <v>8</v>
      </c>
      <c r="C1165" s="8">
        <v>45.747726</v>
      </c>
      <c r="D1165" s="8">
        <v>29246.511718999998</v>
      </c>
      <c r="E1165" s="8">
        <v>29254.251952999999</v>
      </c>
      <c r="F1165" s="8">
        <f t="shared" si="36"/>
        <v>7.7402340000007825</v>
      </c>
      <c r="G1165" s="8">
        <f t="shared" si="37"/>
        <v>7.7402340000007827E-3</v>
      </c>
    </row>
    <row r="1166" spans="1:7" x14ac:dyDescent="0.25">
      <c r="A1166" s="8">
        <v>15</v>
      </c>
      <c r="B1166" s="8">
        <v>9</v>
      </c>
      <c r="C1166" s="8">
        <v>2125.8784179999998</v>
      </c>
      <c r="D1166" s="8">
        <v>29308.923827999999</v>
      </c>
      <c r="E1166" s="8">
        <v>29328.900390999999</v>
      </c>
      <c r="F1166" s="8">
        <f t="shared" si="36"/>
        <v>19.976563000000169</v>
      </c>
      <c r="G1166" s="8">
        <f t="shared" si="37"/>
        <v>1.9976563000000169E-2</v>
      </c>
    </row>
    <row r="1167" spans="1:7" x14ac:dyDescent="0.25">
      <c r="A1167" s="8">
        <v>15</v>
      </c>
      <c r="B1167" s="8">
        <v>10</v>
      </c>
      <c r="C1167" s="8">
        <v>771.82409700000005</v>
      </c>
      <c r="D1167" s="8">
        <v>31456.611327999999</v>
      </c>
      <c r="E1167" s="8">
        <v>31477.804688</v>
      </c>
      <c r="F1167" s="8">
        <f t="shared" si="36"/>
        <v>21.193360000001121</v>
      </c>
      <c r="G1167" s="8">
        <f t="shared" si="37"/>
        <v>2.1193360000001122E-2</v>
      </c>
    </row>
    <row r="1168" spans="1:7" x14ac:dyDescent="0.25">
      <c r="A1168" s="8">
        <v>15</v>
      </c>
      <c r="B1168" s="8">
        <v>11</v>
      </c>
      <c r="C1168" s="8">
        <v>1527.980591</v>
      </c>
      <c r="D1168" s="8">
        <v>32254.441406000002</v>
      </c>
      <c r="E1168" s="8">
        <v>32270.175781000002</v>
      </c>
      <c r="F1168" s="8">
        <f t="shared" si="36"/>
        <v>15.734375</v>
      </c>
      <c r="G1168" s="8">
        <f t="shared" si="37"/>
        <v>1.5734374999999998E-2</v>
      </c>
    </row>
    <row r="1169" spans="1:7" x14ac:dyDescent="0.25">
      <c r="A1169" s="8">
        <v>15</v>
      </c>
      <c r="B1169" s="8">
        <v>12</v>
      </c>
      <c r="C1169" s="8">
        <v>154.70105000000001</v>
      </c>
      <c r="D1169" s="8">
        <v>33806.351562999997</v>
      </c>
      <c r="E1169" s="8">
        <v>33829.109375</v>
      </c>
      <c r="F1169" s="8">
        <f t="shared" si="36"/>
        <v>22.757812000003469</v>
      </c>
      <c r="G1169" s="8">
        <f t="shared" si="37"/>
        <v>2.2757812000003468E-2</v>
      </c>
    </row>
    <row r="1170" spans="1:7" x14ac:dyDescent="0.25">
      <c r="A1170" s="8">
        <v>15</v>
      </c>
      <c r="B1170" s="8">
        <v>13</v>
      </c>
      <c r="C1170" s="8">
        <v>6535.7592770000001</v>
      </c>
      <c r="D1170" s="8">
        <v>33993.921875</v>
      </c>
      <c r="E1170" s="8">
        <v>34016.273437999997</v>
      </c>
      <c r="F1170" s="8">
        <f t="shared" si="36"/>
        <v>22.351562999996531</v>
      </c>
      <c r="G1170" s="8">
        <f t="shared" si="37"/>
        <v>2.2351562999996532E-2</v>
      </c>
    </row>
    <row r="1171" spans="1:7" x14ac:dyDescent="0.25">
      <c r="A1171" s="8">
        <v>15</v>
      </c>
      <c r="B1171" s="8">
        <v>14</v>
      </c>
      <c r="C1171" s="8">
        <v>231.80819700000001</v>
      </c>
      <c r="D1171" s="8">
        <v>40559.449219000002</v>
      </c>
      <c r="E1171" s="8">
        <v>40569.71875</v>
      </c>
      <c r="F1171" s="8">
        <f t="shared" si="36"/>
        <v>10.269530999998096</v>
      </c>
      <c r="G1171" s="8">
        <f t="shared" si="37"/>
        <v>1.0269530999998097E-2</v>
      </c>
    </row>
    <row r="1172" spans="1:7" x14ac:dyDescent="0.25">
      <c r="A1172" s="8">
        <v>15</v>
      </c>
      <c r="B1172" s="8">
        <v>15</v>
      </c>
      <c r="C1172" s="8">
        <v>2646.4589839999999</v>
      </c>
      <c r="D1172" s="8">
        <v>40809.402344000002</v>
      </c>
      <c r="E1172" s="8">
        <v>40824.449219000002</v>
      </c>
      <c r="F1172" s="8">
        <f t="shared" si="36"/>
        <v>15.046875</v>
      </c>
      <c r="G1172" s="8">
        <f t="shared" si="37"/>
        <v>1.5046874999999999E-2</v>
      </c>
    </row>
    <row r="1173" spans="1:7" x14ac:dyDescent="0.25">
      <c r="A1173" s="8">
        <v>15</v>
      </c>
      <c r="B1173" s="8">
        <v>16</v>
      </c>
      <c r="C1173" s="8">
        <v>2220.1220699999999</v>
      </c>
      <c r="D1173" s="8">
        <v>43474.871094000002</v>
      </c>
      <c r="E1173" s="8">
        <v>43486.09375</v>
      </c>
      <c r="F1173" s="8">
        <f t="shared" si="36"/>
        <v>11.222655999998096</v>
      </c>
      <c r="G1173" s="8">
        <f t="shared" si="37"/>
        <v>1.1222655999998096E-2</v>
      </c>
    </row>
    <row r="1174" spans="1:7" x14ac:dyDescent="0.25">
      <c r="A1174" s="8">
        <v>15</v>
      </c>
      <c r="B1174" s="8">
        <v>17</v>
      </c>
      <c r="C1174" s="8">
        <v>4620.9189450000003</v>
      </c>
      <c r="D1174" s="8">
        <v>45709.410155999998</v>
      </c>
      <c r="E1174" s="8">
        <v>45724.167969000002</v>
      </c>
      <c r="F1174" s="8">
        <f t="shared" si="36"/>
        <v>14.757813000003807</v>
      </c>
      <c r="G1174" s="8">
        <f t="shared" si="37"/>
        <v>1.4757813000003808E-2</v>
      </c>
    </row>
    <row r="1175" spans="1:7" x14ac:dyDescent="0.25">
      <c r="A1175" s="8">
        <v>15</v>
      </c>
      <c r="B1175" s="8">
        <v>18</v>
      </c>
      <c r="C1175" s="8">
        <v>397.93969700000002</v>
      </c>
      <c r="D1175" s="8">
        <v>50346.566405999998</v>
      </c>
      <c r="E1175" s="8">
        <v>50368.960937999997</v>
      </c>
      <c r="F1175" s="8">
        <f t="shared" si="36"/>
        <v>22.394531999998435</v>
      </c>
      <c r="G1175" s="8">
        <f t="shared" si="37"/>
        <v>2.2394531999998434E-2</v>
      </c>
    </row>
    <row r="1176" spans="1:7" x14ac:dyDescent="0.25">
      <c r="A1176" s="8">
        <v>15</v>
      </c>
      <c r="B1176" s="8">
        <v>19</v>
      </c>
      <c r="C1176" s="8">
        <v>2115.3046880000002</v>
      </c>
      <c r="D1176" s="8">
        <v>50768.542969000002</v>
      </c>
      <c r="E1176" s="8">
        <v>50785.277344000002</v>
      </c>
      <c r="F1176" s="8">
        <f t="shared" si="36"/>
        <v>16.734375</v>
      </c>
      <c r="G1176" s="8">
        <f t="shared" si="37"/>
        <v>1.6734374999999999E-2</v>
      </c>
    </row>
    <row r="1177" spans="1:7" x14ac:dyDescent="0.25">
      <c r="A1177" s="8">
        <v>15</v>
      </c>
      <c r="B1177" s="8">
        <v>20</v>
      </c>
      <c r="C1177" s="8">
        <v>284.65759300000002</v>
      </c>
      <c r="D1177" s="8">
        <v>52904.730469000002</v>
      </c>
      <c r="E1177" s="8">
        <v>52930.359375</v>
      </c>
      <c r="F1177" s="8">
        <f t="shared" si="36"/>
        <v>25.628905999998096</v>
      </c>
      <c r="G1177" s="8">
        <f t="shared" si="37"/>
        <v>2.5628905999998095E-2</v>
      </c>
    </row>
    <row r="1178" spans="1:7" x14ac:dyDescent="0.25">
      <c r="A1178" s="8">
        <v>15</v>
      </c>
      <c r="B1178" s="8">
        <v>21</v>
      </c>
      <c r="C1178" s="8">
        <v>21.046001</v>
      </c>
      <c r="D1178" s="8">
        <v>53218.058594000002</v>
      </c>
      <c r="E1178" s="8">
        <v>53227.695312999997</v>
      </c>
      <c r="F1178" s="8">
        <f t="shared" si="36"/>
        <v>9.6367189999946277</v>
      </c>
      <c r="G1178" s="8">
        <f t="shared" si="37"/>
        <v>9.6367189999946277E-3</v>
      </c>
    </row>
    <row r="1179" spans="1:7" x14ac:dyDescent="0.25">
      <c r="A1179" s="8">
        <v>15</v>
      </c>
      <c r="B1179" s="8">
        <v>22</v>
      </c>
      <c r="C1179" s="8">
        <v>4589.7871089999999</v>
      </c>
      <c r="D1179" s="8">
        <v>53249.296875</v>
      </c>
      <c r="E1179" s="8">
        <v>53260.390625</v>
      </c>
      <c r="F1179" s="8">
        <f t="shared" si="36"/>
        <v>11.09375</v>
      </c>
      <c r="G1179" s="8">
        <f t="shared" si="37"/>
        <v>1.1093749999999999E-2</v>
      </c>
    </row>
    <row r="1180" spans="1:7" x14ac:dyDescent="0.25">
      <c r="A1180" s="8">
        <v>15</v>
      </c>
      <c r="B1180" s="8">
        <v>23</v>
      </c>
      <c r="C1180" s="8">
        <v>2704.602539</v>
      </c>
      <c r="D1180" s="8">
        <v>57851.519530999998</v>
      </c>
      <c r="E1180" s="8">
        <v>57868.59375</v>
      </c>
      <c r="F1180" s="8">
        <f t="shared" si="36"/>
        <v>17.074219000001904</v>
      </c>
      <c r="G1180" s="8">
        <f t="shared" si="37"/>
        <v>1.7074219000001903E-2</v>
      </c>
    </row>
    <row r="1181" spans="1:7" x14ac:dyDescent="0.25">
      <c r="A1181" s="8">
        <v>15</v>
      </c>
      <c r="B1181" s="8">
        <v>24</v>
      </c>
      <c r="C1181" s="8">
        <v>6755.7612300000001</v>
      </c>
      <c r="D1181" s="8">
        <v>60575.640625</v>
      </c>
      <c r="E1181" s="8">
        <v>60595.421875</v>
      </c>
      <c r="F1181" s="8">
        <f t="shared" si="36"/>
        <v>19.78125</v>
      </c>
      <c r="G1181" s="8">
        <f t="shared" si="37"/>
        <v>1.978125E-2</v>
      </c>
    </row>
    <row r="1182" spans="1:7" x14ac:dyDescent="0.25">
      <c r="A1182" s="8">
        <v>15</v>
      </c>
      <c r="B1182" s="8">
        <v>25</v>
      </c>
      <c r="C1182" s="8">
        <v>2489.3554690000001</v>
      </c>
      <c r="D1182" s="8">
        <v>67357.773438000004</v>
      </c>
      <c r="E1182" s="8">
        <v>67381.867188000004</v>
      </c>
      <c r="F1182" s="8">
        <f t="shared" si="36"/>
        <v>24.09375</v>
      </c>
      <c r="G1182" s="8">
        <f t="shared" si="37"/>
        <v>2.4093750000000001E-2</v>
      </c>
    </row>
    <row r="1183" spans="1:7" x14ac:dyDescent="0.25">
      <c r="A1183" s="8">
        <v>15</v>
      </c>
      <c r="B1183" s="8">
        <v>26</v>
      </c>
      <c r="C1183" s="8">
        <v>2393.3703609999998</v>
      </c>
      <c r="D1183" s="8">
        <v>69874.054688000004</v>
      </c>
      <c r="E1183" s="8">
        <v>69884.53125</v>
      </c>
      <c r="F1183" s="8">
        <f t="shared" si="36"/>
        <v>10.476561999996193</v>
      </c>
      <c r="G1183" s="8">
        <f t="shared" si="37"/>
        <v>1.0476561999996192E-2</v>
      </c>
    </row>
    <row r="1184" spans="1:7" x14ac:dyDescent="0.25">
      <c r="A1184" s="8">
        <v>15</v>
      </c>
      <c r="B1184" s="8">
        <v>27</v>
      </c>
      <c r="C1184" s="8">
        <v>253.65353400000001</v>
      </c>
      <c r="D1184" s="8">
        <v>72279.1875</v>
      </c>
      <c r="E1184" s="8">
        <v>72299.414063000004</v>
      </c>
      <c r="F1184" s="8">
        <f t="shared" si="36"/>
        <v>20.226563000003807</v>
      </c>
      <c r="G1184" s="8">
        <f t="shared" si="37"/>
        <v>2.0226563000003809E-2</v>
      </c>
    </row>
    <row r="1185" spans="1:7" x14ac:dyDescent="0.25">
      <c r="A1185" s="8">
        <v>15</v>
      </c>
      <c r="B1185" s="8">
        <v>28</v>
      </c>
      <c r="C1185" s="8">
        <v>133.77424600000001</v>
      </c>
      <c r="D1185" s="8">
        <v>72560.476563000004</v>
      </c>
      <c r="E1185" s="8">
        <v>72592.976563000004</v>
      </c>
      <c r="F1185" s="8">
        <f t="shared" si="36"/>
        <v>32.5</v>
      </c>
      <c r="G1185" s="8">
        <f t="shared" si="37"/>
        <v>3.2500000000000001E-2</v>
      </c>
    </row>
    <row r="1186" spans="1:7" x14ac:dyDescent="0.25">
      <c r="A1186" s="8">
        <v>15</v>
      </c>
      <c r="B1186" s="8">
        <v>29</v>
      </c>
      <c r="C1186" s="8">
        <v>124.98362</v>
      </c>
      <c r="D1186" s="8">
        <v>72732.421875</v>
      </c>
      <c r="E1186" s="8">
        <v>72747.789063000004</v>
      </c>
      <c r="F1186" s="8">
        <f t="shared" si="36"/>
        <v>15.367188000003807</v>
      </c>
      <c r="G1186" s="8">
        <f t="shared" si="37"/>
        <v>1.5367188000003808E-2</v>
      </c>
    </row>
    <row r="1187" spans="1:7" x14ac:dyDescent="0.25">
      <c r="A1187" s="8">
        <v>15</v>
      </c>
      <c r="B1187" s="8">
        <v>30</v>
      </c>
      <c r="C1187" s="8">
        <v>2346.6567380000001</v>
      </c>
      <c r="D1187" s="8">
        <v>72872.9375</v>
      </c>
      <c r="E1187" s="8">
        <v>72880.296875</v>
      </c>
      <c r="F1187" s="8">
        <f t="shared" si="36"/>
        <v>7.359375</v>
      </c>
      <c r="G1187" s="8">
        <f t="shared" si="37"/>
        <v>7.3593749999999996E-3</v>
      </c>
    </row>
    <row r="1188" spans="1:7" x14ac:dyDescent="0.25">
      <c r="A1188" s="8">
        <v>15</v>
      </c>
      <c r="B1188" s="8">
        <v>31</v>
      </c>
      <c r="C1188" s="8">
        <v>211.35179099999999</v>
      </c>
      <c r="D1188" s="8">
        <v>75237.054688000004</v>
      </c>
      <c r="E1188" s="8">
        <v>75362.734375</v>
      </c>
      <c r="F1188" s="8">
        <f t="shared" si="36"/>
        <v>125.67968699999619</v>
      </c>
      <c r="G1188" s="8">
        <f t="shared" si="37"/>
        <v>0.12567968699999618</v>
      </c>
    </row>
    <row r="1189" spans="1:7" x14ac:dyDescent="0.25">
      <c r="A1189" s="8">
        <v>15</v>
      </c>
      <c r="B1189" s="8">
        <v>32</v>
      </c>
      <c r="C1189" s="8">
        <v>26.852658999999999</v>
      </c>
      <c r="D1189" s="8">
        <v>75580.78125</v>
      </c>
      <c r="E1189" s="8">
        <v>75601.710938000004</v>
      </c>
      <c r="F1189" s="8">
        <f t="shared" si="36"/>
        <v>20.929688000003807</v>
      </c>
      <c r="G1189" s="8">
        <f t="shared" si="37"/>
        <v>2.0929688000003808E-2</v>
      </c>
    </row>
    <row r="1190" spans="1:7" x14ac:dyDescent="0.25">
      <c r="A1190" s="8">
        <v>15</v>
      </c>
      <c r="B1190" s="8">
        <v>33</v>
      </c>
      <c r="C1190" s="8">
        <v>506.512878</v>
      </c>
      <c r="D1190" s="8">
        <v>75643.273438000004</v>
      </c>
      <c r="E1190" s="8">
        <v>75657.59375</v>
      </c>
      <c r="F1190" s="8">
        <f t="shared" si="36"/>
        <v>14.320311999996193</v>
      </c>
      <c r="G1190" s="8">
        <f t="shared" si="37"/>
        <v>1.4320311999996192E-2</v>
      </c>
    </row>
    <row r="1191" spans="1:7" x14ac:dyDescent="0.25">
      <c r="A1191" s="8">
        <v>15</v>
      </c>
      <c r="B1191" s="8">
        <v>34</v>
      </c>
      <c r="C1191" s="8">
        <v>249.98448200000001</v>
      </c>
      <c r="D1191" s="8">
        <v>76178.765625</v>
      </c>
      <c r="E1191" s="8">
        <v>76193.210938000004</v>
      </c>
      <c r="F1191" s="8">
        <f t="shared" si="36"/>
        <v>14.445313000003807</v>
      </c>
      <c r="G1191" s="8">
        <f t="shared" si="37"/>
        <v>1.4445313000003807E-2</v>
      </c>
    </row>
    <row r="1192" spans="1:7" x14ac:dyDescent="0.25">
      <c r="A1192" s="8">
        <v>15</v>
      </c>
      <c r="B1192" s="8">
        <v>35</v>
      </c>
      <c r="C1192" s="8">
        <v>550.63488800000005</v>
      </c>
      <c r="D1192" s="8">
        <v>76444.5</v>
      </c>
      <c r="E1192" s="8">
        <v>76459.640625</v>
      </c>
      <c r="F1192" s="8">
        <f t="shared" si="36"/>
        <v>15.140625</v>
      </c>
      <c r="G1192" s="8">
        <f t="shared" si="37"/>
        <v>1.5140625E-2</v>
      </c>
    </row>
    <row r="1193" spans="1:7" x14ac:dyDescent="0.25">
      <c r="A1193" s="8">
        <v>15</v>
      </c>
      <c r="B1193" s="8">
        <v>36</v>
      </c>
      <c r="C1193" s="8">
        <v>3426.90625</v>
      </c>
      <c r="D1193" s="8">
        <v>77022.703125</v>
      </c>
      <c r="E1193" s="8">
        <v>77048.976563000004</v>
      </c>
      <c r="F1193" s="8">
        <f t="shared" si="36"/>
        <v>26.273438000003807</v>
      </c>
      <c r="G1193" s="8">
        <f t="shared" si="37"/>
        <v>2.6273438000003806E-2</v>
      </c>
    </row>
    <row r="1194" spans="1:7" x14ac:dyDescent="0.25">
      <c r="A1194" s="8">
        <v>15</v>
      </c>
      <c r="B1194" s="8">
        <v>37</v>
      </c>
      <c r="C1194" s="8">
        <v>2107.936279</v>
      </c>
      <c r="D1194" s="8">
        <v>80489.421875</v>
      </c>
      <c r="E1194" s="8">
        <v>80514.914063000004</v>
      </c>
      <c r="F1194" s="8">
        <f t="shared" si="36"/>
        <v>25.492188000003807</v>
      </c>
      <c r="G1194" s="8">
        <f t="shared" si="37"/>
        <v>2.5492188000003808E-2</v>
      </c>
    </row>
    <row r="1195" spans="1:7" x14ac:dyDescent="0.25">
      <c r="A1195" s="8">
        <v>15</v>
      </c>
      <c r="B1195" s="8">
        <v>38</v>
      </c>
      <c r="C1195" s="8">
        <v>2448.2468260000001</v>
      </c>
      <c r="D1195" s="8">
        <v>82636.140625</v>
      </c>
      <c r="E1195" s="8">
        <v>82653.898438000004</v>
      </c>
      <c r="F1195" s="8">
        <f t="shared" si="36"/>
        <v>17.757813000003807</v>
      </c>
      <c r="G1195" s="8">
        <f t="shared" si="37"/>
        <v>1.7757813000003807E-2</v>
      </c>
    </row>
    <row r="1196" spans="1:7" x14ac:dyDescent="0.25">
      <c r="A1196" s="8">
        <v>15</v>
      </c>
      <c r="B1196" s="8">
        <v>39</v>
      </c>
      <c r="C1196" s="8">
        <v>1958.5073239999999</v>
      </c>
      <c r="D1196" s="8">
        <v>85110.414063000004</v>
      </c>
      <c r="E1196" s="8">
        <v>85124.703125</v>
      </c>
      <c r="F1196" s="8">
        <f t="shared" si="36"/>
        <v>14.289061999996193</v>
      </c>
      <c r="G1196" s="8">
        <f t="shared" si="37"/>
        <v>1.4289061999996192E-2</v>
      </c>
    </row>
    <row r="1197" spans="1:7" x14ac:dyDescent="0.25">
      <c r="A1197" s="8">
        <v>15</v>
      </c>
      <c r="B1197" s="8">
        <v>40</v>
      </c>
      <c r="C1197" s="8">
        <v>5319.1220700000003</v>
      </c>
      <c r="D1197" s="8">
        <v>87096.375</v>
      </c>
      <c r="E1197" s="8">
        <v>87114.46875</v>
      </c>
      <c r="F1197" s="8">
        <f t="shared" si="36"/>
        <v>18.09375</v>
      </c>
      <c r="G1197" s="8">
        <f t="shared" si="37"/>
        <v>1.8093749999999999E-2</v>
      </c>
    </row>
    <row r="1198" spans="1:7" x14ac:dyDescent="0.25">
      <c r="A1198" s="8">
        <v>15</v>
      </c>
      <c r="B1198" s="8">
        <v>41</v>
      </c>
      <c r="C1198" s="8">
        <v>1052.529053</v>
      </c>
      <c r="D1198" s="8">
        <v>92448.773438000004</v>
      </c>
      <c r="E1198" s="8">
        <v>92474.195313000004</v>
      </c>
      <c r="F1198" s="8">
        <f t="shared" si="36"/>
        <v>25.421875</v>
      </c>
      <c r="G1198" s="8">
        <f t="shared" si="37"/>
        <v>2.5421875E-2</v>
      </c>
    </row>
    <row r="1199" spans="1:7" x14ac:dyDescent="0.25">
      <c r="A1199" s="8">
        <v>15</v>
      </c>
      <c r="B1199" s="8">
        <v>42</v>
      </c>
      <c r="C1199" s="8">
        <v>1587.833496</v>
      </c>
      <c r="D1199" s="8">
        <v>93529.359375</v>
      </c>
      <c r="E1199" s="8">
        <v>93543.046875</v>
      </c>
      <c r="F1199" s="8">
        <f t="shared" si="36"/>
        <v>13.6875</v>
      </c>
      <c r="G1199" s="8">
        <f t="shared" si="37"/>
        <v>1.36875E-2</v>
      </c>
    </row>
    <row r="1200" spans="1:7" x14ac:dyDescent="0.25">
      <c r="A1200" s="8">
        <v>15</v>
      </c>
      <c r="B1200" s="8">
        <v>43</v>
      </c>
      <c r="C1200" s="8">
        <v>1884.3332519999999</v>
      </c>
      <c r="D1200" s="8">
        <v>95133.9375</v>
      </c>
      <c r="E1200" s="8">
        <v>95159.367188000004</v>
      </c>
      <c r="F1200" s="8">
        <f t="shared" si="36"/>
        <v>25.429688000003807</v>
      </c>
      <c r="G1200" s="8">
        <f t="shared" si="37"/>
        <v>2.5429688000003808E-2</v>
      </c>
    </row>
    <row r="1201" spans="1:7" x14ac:dyDescent="0.25">
      <c r="A1201" s="8">
        <v>15</v>
      </c>
      <c r="B1201" s="8">
        <v>44</v>
      </c>
      <c r="C1201" s="8">
        <v>4009.7341310000002</v>
      </c>
      <c r="D1201" s="8">
        <v>97056.117188000004</v>
      </c>
      <c r="E1201" s="8">
        <v>97180.164063000004</v>
      </c>
      <c r="F1201" s="8">
        <f t="shared" si="36"/>
        <v>124.046875</v>
      </c>
      <c r="G1201" s="8">
        <f t="shared" si="37"/>
        <v>0.124046875</v>
      </c>
    </row>
    <row r="1202" spans="1:7" x14ac:dyDescent="0.25">
      <c r="A1202" s="8">
        <v>15</v>
      </c>
      <c r="B1202" s="8">
        <v>45</v>
      </c>
      <c r="C1202" s="8">
        <v>2054.0329590000001</v>
      </c>
      <c r="D1202" s="8">
        <v>101199.984375</v>
      </c>
      <c r="E1202" s="8">
        <v>101217.179688</v>
      </c>
      <c r="F1202" s="8">
        <f t="shared" si="36"/>
        <v>17.195313000003807</v>
      </c>
      <c r="G1202" s="8">
        <f t="shared" si="37"/>
        <v>1.7195313000003806E-2</v>
      </c>
    </row>
    <row r="1203" spans="1:7" x14ac:dyDescent="0.25">
      <c r="A1203" s="8">
        <v>15</v>
      </c>
      <c r="B1203" s="8">
        <v>46</v>
      </c>
      <c r="C1203" s="8">
        <v>1750.7788089999999</v>
      </c>
      <c r="D1203" s="8">
        <v>103275.742188</v>
      </c>
      <c r="E1203" s="8">
        <v>103293.132813</v>
      </c>
      <c r="F1203" s="8">
        <f t="shared" si="36"/>
        <v>17.390625</v>
      </c>
      <c r="G1203" s="8">
        <f t="shared" si="37"/>
        <v>1.7390625E-2</v>
      </c>
    </row>
    <row r="1204" spans="1:7" x14ac:dyDescent="0.25">
      <c r="A1204" s="8">
        <v>15</v>
      </c>
      <c r="B1204" s="8">
        <v>47</v>
      </c>
      <c r="C1204" s="8">
        <v>2811.7277829999998</v>
      </c>
      <c r="D1204" s="8">
        <v>105050.359375</v>
      </c>
      <c r="E1204" s="8">
        <v>105060.796875</v>
      </c>
      <c r="F1204" s="8">
        <f t="shared" si="36"/>
        <v>10.4375</v>
      </c>
      <c r="G1204" s="8">
        <f t="shared" si="37"/>
        <v>1.0437500000000001E-2</v>
      </c>
    </row>
    <row r="1205" spans="1:7" x14ac:dyDescent="0.25">
      <c r="A1205" s="8">
        <v>15</v>
      </c>
      <c r="B1205" s="8">
        <v>48</v>
      </c>
      <c r="C1205" s="8">
        <v>788.86541699999998</v>
      </c>
      <c r="D1205" s="8">
        <v>107876.125</v>
      </c>
      <c r="E1205" s="8">
        <v>107888.523438</v>
      </c>
      <c r="F1205" s="8">
        <f t="shared" si="36"/>
        <v>12.398438000003807</v>
      </c>
      <c r="G1205" s="8">
        <f t="shared" si="37"/>
        <v>1.2398438000003807E-2</v>
      </c>
    </row>
    <row r="1206" spans="1:7" x14ac:dyDescent="0.25">
      <c r="A1206" s="8">
        <v>15</v>
      </c>
      <c r="B1206" s="8">
        <v>49</v>
      </c>
      <c r="C1206" s="8">
        <v>2027.4483640000001</v>
      </c>
      <c r="D1206" s="8">
        <v>108688.703125</v>
      </c>
      <c r="E1206" s="8">
        <v>108697.71875</v>
      </c>
      <c r="F1206" s="8">
        <f t="shared" si="36"/>
        <v>9.015625</v>
      </c>
      <c r="G1206" s="8">
        <f t="shared" si="37"/>
        <v>9.0156249999999993E-3</v>
      </c>
    </row>
    <row r="1207" spans="1:7" x14ac:dyDescent="0.25">
      <c r="A1207" s="8">
        <v>15</v>
      </c>
      <c r="B1207" s="8">
        <v>50</v>
      </c>
      <c r="C1207" s="8">
        <v>670.55328399999996</v>
      </c>
      <c r="D1207" s="8">
        <v>110736.554688</v>
      </c>
      <c r="E1207" s="8">
        <v>110762.390625</v>
      </c>
      <c r="F1207" s="8">
        <f t="shared" si="36"/>
        <v>25.835936999996193</v>
      </c>
      <c r="G1207" s="8">
        <f t="shared" si="37"/>
        <v>2.5835936999996194E-2</v>
      </c>
    </row>
    <row r="1208" spans="1:7" x14ac:dyDescent="0.25">
      <c r="A1208" s="8">
        <v>15</v>
      </c>
      <c r="B1208" s="8">
        <v>51</v>
      </c>
      <c r="C1208" s="8">
        <v>286.41763300000002</v>
      </c>
      <c r="D1208" s="8">
        <v>111439.71875</v>
      </c>
      <c r="E1208" s="8">
        <v>111460.210938</v>
      </c>
      <c r="F1208" s="8">
        <f t="shared" si="36"/>
        <v>20.492188000003807</v>
      </c>
      <c r="G1208" s="8">
        <f t="shared" si="37"/>
        <v>2.0492188000003807E-2</v>
      </c>
    </row>
    <row r="1209" spans="1:7" x14ac:dyDescent="0.25">
      <c r="A1209" s="8">
        <v>15</v>
      </c>
      <c r="B1209" s="8">
        <v>52</v>
      </c>
      <c r="C1209" s="8">
        <v>222.91807600000001</v>
      </c>
      <c r="D1209" s="8">
        <v>111752.289063</v>
      </c>
      <c r="E1209" s="8">
        <v>111775.804688</v>
      </c>
      <c r="F1209" s="8">
        <f t="shared" si="36"/>
        <v>23.515625</v>
      </c>
      <c r="G1209" s="8">
        <f t="shared" si="37"/>
        <v>2.3515624999999998E-2</v>
      </c>
    </row>
    <row r="1210" spans="1:7" x14ac:dyDescent="0.25">
      <c r="A1210" s="8">
        <v>15</v>
      </c>
      <c r="B1210" s="8">
        <v>53</v>
      </c>
      <c r="C1210" s="8">
        <v>1220.3344729999999</v>
      </c>
      <c r="D1210" s="8">
        <v>112004.9375</v>
      </c>
      <c r="E1210" s="8">
        <v>112018.421875</v>
      </c>
      <c r="F1210" s="8">
        <f t="shared" si="36"/>
        <v>13.484375</v>
      </c>
      <c r="G1210" s="8">
        <f t="shared" si="37"/>
        <v>1.3484375E-2</v>
      </c>
    </row>
    <row r="1211" spans="1:7" x14ac:dyDescent="0.25">
      <c r="A1211" s="8">
        <v>15</v>
      </c>
      <c r="B1211" s="8">
        <v>54</v>
      </c>
      <c r="C1211" s="8">
        <v>2033.8507079999999</v>
      </c>
      <c r="D1211" s="8">
        <v>113252.90625</v>
      </c>
      <c r="E1211" s="8">
        <v>113328.5</v>
      </c>
      <c r="F1211" s="8">
        <f t="shared" si="36"/>
        <v>75.59375</v>
      </c>
      <c r="G1211" s="8">
        <f t="shared" si="37"/>
        <v>7.5593750000000001E-2</v>
      </c>
    </row>
    <row r="1212" spans="1:7" x14ac:dyDescent="0.25">
      <c r="A1212" s="8">
        <v>15</v>
      </c>
      <c r="B1212" s="8">
        <v>55</v>
      </c>
      <c r="C1212" s="8">
        <v>2982.3808589999999</v>
      </c>
      <c r="D1212" s="8">
        <v>115364.367188</v>
      </c>
      <c r="E1212" s="8">
        <v>115380.03125</v>
      </c>
      <c r="F1212" s="8">
        <f t="shared" si="36"/>
        <v>15.664061999996193</v>
      </c>
      <c r="G1212" s="8">
        <f t="shared" si="37"/>
        <v>1.5664061999996193E-2</v>
      </c>
    </row>
    <row r="1213" spans="1:7" x14ac:dyDescent="0.25">
      <c r="A1213" s="8">
        <v>15</v>
      </c>
      <c r="B1213" s="8">
        <v>56</v>
      </c>
      <c r="C1213" s="8">
        <v>2156.3237300000001</v>
      </c>
      <c r="D1213" s="8">
        <v>118369.414063</v>
      </c>
      <c r="E1213" s="8">
        <v>118378.953125</v>
      </c>
      <c r="F1213" s="8">
        <f t="shared" si="36"/>
        <v>9.5390619999961928</v>
      </c>
      <c r="G1213" s="8">
        <f t="shared" si="37"/>
        <v>9.5390619999961932E-3</v>
      </c>
    </row>
    <row r="1214" spans="1:7" x14ac:dyDescent="0.25">
      <c r="A1214" s="8">
        <v>15</v>
      </c>
      <c r="B1214" s="8">
        <v>57</v>
      </c>
      <c r="C1214" s="8">
        <v>1862.2198490000001</v>
      </c>
      <c r="D1214" s="8">
        <v>120546.679688</v>
      </c>
      <c r="E1214" s="8">
        <v>120567.273438</v>
      </c>
      <c r="F1214" s="8">
        <f t="shared" si="36"/>
        <v>20.59375</v>
      </c>
      <c r="G1214" s="8">
        <f t="shared" si="37"/>
        <v>2.0593750000000001E-2</v>
      </c>
    </row>
    <row r="1215" spans="1:7" x14ac:dyDescent="0.25">
      <c r="A1215" s="8">
        <v>15</v>
      </c>
      <c r="B1215" s="8">
        <v>58</v>
      </c>
      <c r="C1215" s="8">
        <v>21.292738</v>
      </c>
      <c r="D1215" s="8">
        <v>122439.632813</v>
      </c>
      <c r="E1215" s="8">
        <v>122451.195313</v>
      </c>
      <c r="F1215" s="8">
        <f t="shared" si="36"/>
        <v>11.5625</v>
      </c>
      <c r="G1215" s="8">
        <f t="shared" si="37"/>
        <v>1.15625E-2</v>
      </c>
    </row>
    <row r="1216" spans="1:7" x14ac:dyDescent="0.25">
      <c r="A1216" s="8">
        <v>15</v>
      </c>
      <c r="B1216" s="8">
        <v>59</v>
      </c>
      <c r="C1216" s="8">
        <v>1128.653564</v>
      </c>
      <c r="D1216" s="8">
        <v>122486.515625</v>
      </c>
      <c r="E1216" s="8">
        <v>122515.023438</v>
      </c>
      <c r="F1216" s="8">
        <f t="shared" si="36"/>
        <v>28.507813000003807</v>
      </c>
      <c r="G1216" s="8">
        <f t="shared" si="37"/>
        <v>2.8507813000003806E-2</v>
      </c>
    </row>
    <row r="1217" spans="1:7" x14ac:dyDescent="0.25">
      <c r="A1217" s="8">
        <v>15</v>
      </c>
      <c r="B1217" s="8">
        <v>60</v>
      </c>
      <c r="C1217" s="8">
        <v>2239.29126</v>
      </c>
      <c r="D1217" s="8">
        <v>123652.640625</v>
      </c>
      <c r="E1217" s="8">
        <v>123680.039063</v>
      </c>
      <c r="F1217" s="8">
        <f t="shared" si="36"/>
        <v>27.398438000003807</v>
      </c>
      <c r="G1217" s="8">
        <f t="shared" si="37"/>
        <v>2.7398438000003807E-2</v>
      </c>
    </row>
    <row r="1218" spans="1:7" x14ac:dyDescent="0.25">
      <c r="A1218" s="8">
        <v>15</v>
      </c>
      <c r="B1218" s="8">
        <v>61</v>
      </c>
      <c r="C1218" s="8">
        <v>2458.8625489999999</v>
      </c>
      <c r="D1218" s="8">
        <v>125924.75</v>
      </c>
      <c r="E1218" s="8">
        <v>125935.671875</v>
      </c>
      <c r="F1218" s="8">
        <f t="shared" si="36"/>
        <v>10.921875</v>
      </c>
      <c r="G1218" s="8">
        <f t="shared" si="37"/>
        <v>1.0921874999999999E-2</v>
      </c>
    </row>
    <row r="1219" spans="1:7" x14ac:dyDescent="0.25">
      <c r="A1219" s="8">
        <v>15</v>
      </c>
      <c r="B1219" s="8">
        <v>62</v>
      </c>
      <c r="C1219" s="8">
        <v>2.0763919999999998</v>
      </c>
      <c r="D1219" s="8">
        <v>128395.007813</v>
      </c>
      <c r="E1219" s="8">
        <v>128410.40625</v>
      </c>
      <c r="F1219" s="8">
        <f t="shared" si="36"/>
        <v>15.398436999996193</v>
      </c>
      <c r="G1219" s="8">
        <f t="shared" si="37"/>
        <v>1.5398436999996193E-2</v>
      </c>
    </row>
    <row r="1220" spans="1:7" x14ac:dyDescent="0.25">
      <c r="A1220" s="8">
        <v>15</v>
      </c>
      <c r="B1220" s="8">
        <v>63</v>
      </c>
      <c r="C1220" s="8">
        <v>1021.264771</v>
      </c>
      <c r="D1220" s="8">
        <v>128426.21875</v>
      </c>
      <c r="E1220" s="8">
        <v>128449.289063</v>
      </c>
      <c r="F1220" s="8">
        <f t="shared" si="36"/>
        <v>23.070313000003807</v>
      </c>
      <c r="G1220" s="8">
        <f t="shared" si="37"/>
        <v>2.3070313000003808E-2</v>
      </c>
    </row>
    <row r="1221" spans="1:7" x14ac:dyDescent="0.25">
      <c r="A1221" s="8">
        <v>15</v>
      </c>
      <c r="B1221" s="8">
        <v>64</v>
      </c>
      <c r="C1221" s="8">
        <v>1266.5931399999999</v>
      </c>
      <c r="D1221" s="8">
        <v>129473.289063</v>
      </c>
      <c r="E1221" s="8">
        <v>129490.171875</v>
      </c>
      <c r="F1221" s="8">
        <f t="shared" si="36"/>
        <v>16.882811999996193</v>
      </c>
      <c r="G1221" s="8">
        <f t="shared" si="37"/>
        <v>1.6882811999996191E-2</v>
      </c>
    </row>
    <row r="1222" spans="1:7" x14ac:dyDescent="0.25">
      <c r="A1222" s="8">
        <v>15</v>
      </c>
      <c r="B1222" s="8">
        <v>65</v>
      </c>
      <c r="C1222" s="8">
        <v>2110.389404</v>
      </c>
      <c r="D1222" s="8">
        <v>130770.242188</v>
      </c>
      <c r="E1222" s="8">
        <v>130790.75</v>
      </c>
      <c r="F1222" s="8">
        <f t="shared" si="36"/>
        <v>20.507811999996193</v>
      </c>
      <c r="G1222" s="8">
        <f t="shared" si="37"/>
        <v>2.0507811999996194E-2</v>
      </c>
    </row>
    <row r="1223" spans="1:7" x14ac:dyDescent="0.25">
      <c r="A1223" s="8">
        <v>15</v>
      </c>
      <c r="B1223" s="8">
        <v>66</v>
      </c>
      <c r="C1223" s="8">
        <v>4055.1127929999998</v>
      </c>
      <c r="D1223" s="8">
        <v>132905.21875</v>
      </c>
      <c r="E1223" s="8">
        <v>132922.65625</v>
      </c>
      <c r="F1223" s="8">
        <f t="shared" si="36"/>
        <v>17.4375</v>
      </c>
      <c r="G1223" s="8">
        <f t="shared" si="37"/>
        <v>1.7437500000000002E-2</v>
      </c>
    </row>
    <row r="1224" spans="1:7" x14ac:dyDescent="0.25">
      <c r="A1224" s="8">
        <v>15</v>
      </c>
      <c r="B1224" s="8">
        <v>67</v>
      </c>
      <c r="C1224" s="8">
        <v>1920.1994629999999</v>
      </c>
      <c r="D1224" s="8">
        <v>136981.578125</v>
      </c>
      <c r="E1224" s="8">
        <v>137005.34375</v>
      </c>
      <c r="F1224" s="8">
        <f t="shared" si="36"/>
        <v>23.765625</v>
      </c>
      <c r="G1224" s="8">
        <f t="shared" si="37"/>
        <v>2.3765624999999999E-2</v>
      </c>
    </row>
    <row r="1225" spans="1:7" x14ac:dyDescent="0.25">
      <c r="A1225" s="8">
        <v>15</v>
      </c>
      <c r="B1225" s="8">
        <v>68</v>
      </c>
      <c r="C1225" s="8">
        <v>1834.3829350000001</v>
      </c>
      <c r="D1225" s="8">
        <v>138928.15625</v>
      </c>
      <c r="E1225" s="8">
        <v>138946.53125</v>
      </c>
      <c r="F1225" s="8">
        <f t="shared" si="36"/>
        <v>18.375</v>
      </c>
      <c r="G1225" s="8">
        <f t="shared" si="37"/>
        <v>1.8374999999999999E-2</v>
      </c>
    </row>
    <row r="1226" spans="1:7" x14ac:dyDescent="0.25">
      <c r="A1226" s="8">
        <v>15</v>
      </c>
      <c r="B1226" s="8">
        <v>69</v>
      </c>
      <c r="C1226" s="8">
        <v>418.60101300000002</v>
      </c>
      <c r="D1226" s="8">
        <v>140795.359375</v>
      </c>
      <c r="E1226" s="8">
        <v>140802.984375</v>
      </c>
      <c r="F1226" s="8">
        <f t="shared" si="36"/>
        <v>7.625</v>
      </c>
      <c r="G1226" s="8">
        <f t="shared" si="37"/>
        <v>7.6249999999999998E-3</v>
      </c>
    </row>
    <row r="1227" spans="1:7" x14ac:dyDescent="0.25">
      <c r="A1227" s="8">
        <v>15</v>
      </c>
      <c r="B1227" s="8">
        <v>70</v>
      </c>
      <c r="C1227" s="8">
        <v>1975.8079829999999</v>
      </c>
      <c r="D1227" s="8">
        <v>141232.90625</v>
      </c>
      <c r="E1227" s="8">
        <v>141246.640625</v>
      </c>
      <c r="F1227" s="8">
        <f t="shared" ref="F1227:F1290" si="38">E1227-D1227</f>
        <v>13.734375</v>
      </c>
      <c r="G1227" s="8">
        <f t="shared" ref="G1227:G1290" si="39">F1227/1000</f>
        <v>1.3734375E-2</v>
      </c>
    </row>
    <row r="1228" spans="1:7" x14ac:dyDescent="0.25">
      <c r="A1228" s="8">
        <v>15</v>
      </c>
      <c r="B1228" s="8">
        <v>71</v>
      </c>
      <c r="C1228" s="8">
        <v>2710.0375979999999</v>
      </c>
      <c r="D1228" s="8">
        <v>143234.0625</v>
      </c>
      <c r="E1228" s="8">
        <v>143244.09375</v>
      </c>
      <c r="F1228" s="8">
        <f t="shared" si="38"/>
        <v>10.03125</v>
      </c>
      <c r="G1228" s="8">
        <f t="shared" si="39"/>
        <v>1.003125E-2</v>
      </c>
    </row>
    <row r="1229" spans="1:7" x14ac:dyDescent="0.25">
      <c r="A1229" s="8">
        <v>15</v>
      </c>
      <c r="B1229" s="8">
        <v>72</v>
      </c>
      <c r="C1229" s="8">
        <v>1292.982422</v>
      </c>
      <c r="D1229" s="8">
        <v>145958.984375</v>
      </c>
      <c r="E1229" s="8">
        <v>145970.328125</v>
      </c>
      <c r="F1229" s="8">
        <f t="shared" si="38"/>
        <v>11.34375</v>
      </c>
      <c r="G1229" s="8">
        <f t="shared" si="39"/>
        <v>1.134375E-2</v>
      </c>
    </row>
    <row r="1230" spans="1:7" x14ac:dyDescent="0.25">
      <c r="A1230" s="8">
        <v>15</v>
      </c>
      <c r="B1230" s="8">
        <v>73</v>
      </c>
      <c r="C1230" s="8">
        <v>1135.1030270000001</v>
      </c>
      <c r="D1230" s="8">
        <v>147271.703125</v>
      </c>
      <c r="E1230" s="8">
        <v>147282.859375</v>
      </c>
      <c r="F1230" s="8">
        <f t="shared" si="38"/>
        <v>11.15625</v>
      </c>
      <c r="G1230" s="8">
        <f t="shared" si="39"/>
        <v>1.115625E-2</v>
      </c>
    </row>
    <row r="1231" spans="1:7" x14ac:dyDescent="0.25">
      <c r="A1231" s="8">
        <v>15</v>
      </c>
      <c r="B1231" s="8">
        <v>74</v>
      </c>
      <c r="C1231" s="8">
        <v>1059.6701660000001</v>
      </c>
      <c r="D1231" s="8">
        <v>148431.640625</v>
      </c>
      <c r="E1231" s="8">
        <v>148455.375</v>
      </c>
      <c r="F1231" s="8">
        <f t="shared" si="38"/>
        <v>23.734375</v>
      </c>
      <c r="G1231" s="8">
        <f t="shared" si="39"/>
        <v>2.3734374999999999E-2</v>
      </c>
    </row>
    <row r="1232" spans="1:7" x14ac:dyDescent="0.25">
      <c r="A1232" s="8">
        <v>15</v>
      </c>
      <c r="B1232" s="8">
        <v>75</v>
      </c>
      <c r="C1232" s="8">
        <v>1193.549927</v>
      </c>
      <c r="D1232" s="8">
        <v>149525.484375</v>
      </c>
      <c r="E1232" s="8">
        <v>149545.953125</v>
      </c>
      <c r="F1232" s="8">
        <f t="shared" si="38"/>
        <v>20.46875</v>
      </c>
      <c r="G1232" s="8">
        <f t="shared" si="39"/>
        <v>2.0468750000000001E-2</v>
      </c>
    </row>
    <row r="1233" spans="1:7" x14ac:dyDescent="0.25">
      <c r="A1233" s="8">
        <v>15</v>
      </c>
      <c r="B1233" s="8">
        <v>76</v>
      </c>
      <c r="C1233" s="8">
        <v>882.66882299999997</v>
      </c>
      <c r="D1233" s="8">
        <v>150748.890625</v>
      </c>
      <c r="E1233" s="8">
        <v>150774.359375</v>
      </c>
      <c r="F1233" s="8">
        <f t="shared" si="38"/>
        <v>25.46875</v>
      </c>
      <c r="G1233" s="8">
        <f t="shared" si="39"/>
        <v>2.5468749999999998E-2</v>
      </c>
    </row>
    <row r="1234" spans="1:7" x14ac:dyDescent="0.25">
      <c r="A1234" s="8">
        <v>15</v>
      </c>
      <c r="B1234" s="8">
        <v>77</v>
      </c>
      <c r="C1234" s="8">
        <v>573.67620799999997</v>
      </c>
      <c r="D1234" s="8">
        <v>151670.890625</v>
      </c>
      <c r="E1234" s="8">
        <v>151679.953125</v>
      </c>
      <c r="F1234" s="8">
        <f t="shared" si="38"/>
        <v>9.0625</v>
      </c>
      <c r="G1234" s="8">
        <f t="shared" si="39"/>
        <v>9.0624999999999994E-3</v>
      </c>
    </row>
    <row r="1235" spans="1:7" x14ac:dyDescent="0.25">
      <c r="A1235" s="8">
        <v>15</v>
      </c>
      <c r="B1235" s="8">
        <v>78</v>
      </c>
      <c r="C1235" s="8">
        <v>413.86602800000003</v>
      </c>
      <c r="D1235" s="8">
        <v>152265.765625</v>
      </c>
      <c r="E1235" s="8">
        <v>152287.375</v>
      </c>
      <c r="F1235" s="8">
        <f t="shared" si="38"/>
        <v>21.609375</v>
      </c>
      <c r="G1235" s="8">
        <f t="shared" si="39"/>
        <v>2.1609375E-2</v>
      </c>
    </row>
    <row r="1236" spans="1:7" x14ac:dyDescent="0.25">
      <c r="A1236" s="8">
        <v>15</v>
      </c>
      <c r="B1236" s="8">
        <v>79</v>
      </c>
      <c r="C1236" s="8">
        <v>2100.9438479999999</v>
      </c>
      <c r="D1236" s="8">
        <v>152703.28125</v>
      </c>
      <c r="E1236" s="8">
        <v>152721.109375</v>
      </c>
      <c r="F1236" s="8">
        <f t="shared" si="38"/>
        <v>17.828125</v>
      </c>
      <c r="G1236" s="8">
        <f t="shared" si="39"/>
        <v>1.7828125E-2</v>
      </c>
    </row>
    <row r="1237" spans="1:7" x14ac:dyDescent="0.25">
      <c r="A1237" s="8">
        <v>15</v>
      </c>
      <c r="B1237" s="8">
        <v>80</v>
      </c>
      <c r="C1237" s="8">
        <v>1677.0131839999999</v>
      </c>
      <c r="D1237" s="8">
        <v>154828.5</v>
      </c>
      <c r="E1237" s="8">
        <v>154853.046875</v>
      </c>
      <c r="F1237" s="8">
        <f t="shared" si="38"/>
        <v>24.546875</v>
      </c>
      <c r="G1237" s="8">
        <f t="shared" si="39"/>
        <v>2.4546874999999999E-2</v>
      </c>
    </row>
    <row r="1238" spans="1:7" x14ac:dyDescent="0.25">
      <c r="A1238" s="8">
        <v>15</v>
      </c>
      <c r="B1238" s="8">
        <v>81</v>
      </c>
      <c r="C1238" s="8">
        <v>8831.5253909999992</v>
      </c>
      <c r="D1238" s="8">
        <v>156531.78125</v>
      </c>
      <c r="E1238" s="8">
        <v>156547.265625</v>
      </c>
      <c r="F1238" s="8">
        <f t="shared" si="38"/>
        <v>15.484375</v>
      </c>
      <c r="G1238" s="8">
        <f t="shared" si="39"/>
        <v>1.5484375E-2</v>
      </c>
    </row>
    <row r="1239" spans="1:7" x14ac:dyDescent="0.25">
      <c r="A1239" s="8">
        <v>15</v>
      </c>
      <c r="B1239" s="8">
        <v>82</v>
      </c>
      <c r="C1239" s="8">
        <v>1113.365356</v>
      </c>
      <c r="D1239" s="8">
        <v>165389.765625</v>
      </c>
      <c r="E1239" s="8">
        <v>165403.828125</v>
      </c>
      <c r="F1239" s="8">
        <f t="shared" si="38"/>
        <v>14.0625</v>
      </c>
      <c r="G1239" s="8">
        <f t="shared" si="39"/>
        <v>1.40625E-2</v>
      </c>
    </row>
    <row r="1240" spans="1:7" x14ac:dyDescent="0.25">
      <c r="A1240" s="8">
        <v>15</v>
      </c>
      <c r="B1240" s="8">
        <v>83</v>
      </c>
      <c r="C1240" s="8">
        <v>3914.1621089999999</v>
      </c>
      <c r="D1240" s="8">
        <v>166520.75</v>
      </c>
      <c r="E1240" s="8">
        <v>166534.5</v>
      </c>
      <c r="F1240" s="8">
        <f t="shared" si="38"/>
        <v>13.75</v>
      </c>
      <c r="G1240" s="8">
        <f t="shared" si="39"/>
        <v>1.375E-2</v>
      </c>
    </row>
    <row r="1241" spans="1:7" x14ac:dyDescent="0.25">
      <c r="A1241" s="8">
        <v>16</v>
      </c>
      <c r="B1241" s="8">
        <v>0</v>
      </c>
      <c r="C1241" s="8">
        <v>23.823687</v>
      </c>
      <c r="D1241" s="8">
        <v>20281.710938</v>
      </c>
      <c r="E1241" s="8">
        <v>20302.896484000001</v>
      </c>
      <c r="F1241" s="8">
        <f t="shared" si="38"/>
        <v>21.185546000000613</v>
      </c>
      <c r="G1241" s="8">
        <f t="shared" si="39"/>
        <v>2.1185546000000614E-2</v>
      </c>
    </row>
    <row r="1242" spans="1:7" x14ac:dyDescent="0.25">
      <c r="A1242" s="8">
        <v>16</v>
      </c>
      <c r="B1242" s="8">
        <v>1</v>
      </c>
      <c r="C1242" s="8">
        <v>284.93908699999997</v>
      </c>
      <c r="D1242" s="8">
        <v>20328.572265999999</v>
      </c>
      <c r="E1242" s="8">
        <v>20336.712890999999</v>
      </c>
      <c r="F1242" s="8">
        <f t="shared" si="38"/>
        <v>8.140625</v>
      </c>
      <c r="G1242" s="8">
        <f t="shared" si="39"/>
        <v>8.1406250000000003E-3</v>
      </c>
    </row>
    <row r="1243" spans="1:7" x14ac:dyDescent="0.25">
      <c r="A1243" s="8">
        <v>16</v>
      </c>
      <c r="B1243" s="8">
        <v>2</v>
      </c>
      <c r="C1243" s="8">
        <v>101.857437</v>
      </c>
      <c r="D1243" s="8">
        <v>20625.416015999999</v>
      </c>
      <c r="E1243" s="8">
        <v>20646.179688</v>
      </c>
      <c r="F1243" s="8">
        <f t="shared" si="38"/>
        <v>20.763672000000952</v>
      </c>
      <c r="G1243" s="8">
        <f t="shared" si="39"/>
        <v>2.0763672000000951E-2</v>
      </c>
    </row>
    <row r="1244" spans="1:7" x14ac:dyDescent="0.25">
      <c r="A1244" s="8">
        <v>16</v>
      </c>
      <c r="B1244" s="8">
        <v>3</v>
      </c>
      <c r="C1244" s="8">
        <v>852.34240699999998</v>
      </c>
      <c r="D1244" s="8">
        <v>20750.478515999999</v>
      </c>
      <c r="E1244" s="8">
        <v>20761.667968999998</v>
      </c>
      <c r="F1244" s="8">
        <f t="shared" si="38"/>
        <v>11.189452999999048</v>
      </c>
      <c r="G1244" s="8">
        <f t="shared" si="39"/>
        <v>1.1189452999999048E-2</v>
      </c>
    </row>
    <row r="1245" spans="1:7" x14ac:dyDescent="0.25">
      <c r="A1245" s="8">
        <v>16</v>
      </c>
      <c r="B1245" s="8">
        <v>4</v>
      </c>
      <c r="C1245" s="8">
        <v>324.101044</v>
      </c>
      <c r="D1245" s="8">
        <v>21625.611327999999</v>
      </c>
      <c r="E1245" s="8">
        <v>21640.582031000002</v>
      </c>
      <c r="F1245" s="8">
        <f t="shared" si="38"/>
        <v>14.970703000002686</v>
      </c>
      <c r="G1245" s="8">
        <f t="shared" si="39"/>
        <v>1.4970703000002685E-2</v>
      </c>
    </row>
    <row r="1246" spans="1:7" x14ac:dyDescent="0.25">
      <c r="A1246" s="8">
        <v>16</v>
      </c>
      <c r="B1246" s="8">
        <v>5</v>
      </c>
      <c r="C1246" s="8">
        <v>2059.66626</v>
      </c>
      <c r="D1246" s="8">
        <v>21969.355468999998</v>
      </c>
      <c r="E1246" s="8">
        <v>21980.511718999998</v>
      </c>
      <c r="F1246" s="8">
        <f t="shared" si="38"/>
        <v>11.15625</v>
      </c>
      <c r="G1246" s="8">
        <f t="shared" si="39"/>
        <v>1.115625E-2</v>
      </c>
    </row>
    <row r="1247" spans="1:7" x14ac:dyDescent="0.25">
      <c r="A1247" s="8">
        <v>16</v>
      </c>
      <c r="B1247" s="8">
        <v>6</v>
      </c>
      <c r="C1247" s="8">
        <v>10.157946000000001</v>
      </c>
      <c r="D1247" s="8">
        <v>24052.970702999999</v>
      </c>
      <c r="E1247" s="8">
        <v>24070.513672000001</v>
      </c>
      <c r="F1247" s="8">
        <f t="shared" si="38"/>
        <v>17.542969000001904</v>
      </c>
      <c r="G1247" s="8">
        <f t="shared" si="39"/>
        <v>1.7542969000001903E-2</v>
      </c>
    </row>
    <row r="1248" spans="1:7" x14ac:dyDescent="0.25">
      <c r="A1248" s="8">
        <v>16</v>
      </c>
      <c r="B1248" s="8">
        <v>7</v>
      </c>
      <c r="C1248" s="8">
        <v>591.481628</v>
      </c>
      <c r="D1248" s="8">
        <v>24084.25</v>
      </c>
      <c r="E1248" s="8">
        <v>24092.191406000002</v>
      </c>
      <c r="F1248" s="8">
        <f t="shared" si="38"/>
        <v>7.9414060000017344</v>
      </c>
      <c r="G1248" s="8">
        <f t="shared" si="39"/>
        <v>7.9414060000017345E-3</v>
      </c>
    </row>
    <row r="1249" spans="1:7" x14ac:dyDescent="0.25">
      <c r="A1249" s="8">
        <v>16</v>
      </c>
      <c r="B1249" s="8">
        <v>8</v>
      </c>
      <c r="C1249" s="8">
        <v>1020.349609</v>
      </c>
      <c r="D1249" s="8">
        <v>24693.558593999998</v>
      </c>
      <c r="E1249" s="8">
        <v>24713.642577999999</v>
      </c>
      <c r="F1249" s="8">
        <f t="shared" si="38"/>
        <v>20.083984000000783</v>
      </c>
      <c r="G1249" s="8">
        <f t="shared" si="39"/>
        <v>2.0083984000000783E-2</v>
      </c>
    </row>
    <row r="1250" spans="1:7" x14ac:dyDescent="0.25">
      <c r="A1250" s="8">
        <v>16</v>
      </c>
      <c r="B1250" s="8">
        <v>9</v>
      </c>
      <c r="C1250" s="8">
        <v>110.095314</v>
      </c>
      <c r="D1250" s="8">
        <v>25740.626952999999</v>
      </c>
      <c r="E1250" s="8">
        <v>25748.228515999999</v>
      </c>
      <c r="F1250" s="8">
        <f t="shared" si="38"/>
        <v>7.6015630000001693</v>
      </c>
      <c r="G1250" s="8">
        <f t="shared" si="39"/>
        <v>7.6015630000001696E-3</v>
      </c>
    </row>
    <row r="1251" spans="1:7" x14ac:dyDescent="0.25">
      <c r="A1251" s="8">
        <v>16</v>
      </c>
      <c r="B1251" s="8">
        <v>10</v>
      </c>
      <c r="C1251" s="8">
        <v>31.807728000000001</v>
      </c>
      <c r="D1251" s="8">
        <v>25865.667968999998</v>
      </c>
      <c r="E1251" s="8">
        <v>25891.84375</v>
      </c>
      <c r="F1251" s="8">
        <f t="shared" si="38"/>
        <v>26.175781000001734</v>
      </c>
      <c r="G1251" s="8">
        <f t="shared" si="39"/>
        <v>2.6175781000001733E-2</v>
      </c>
    </row>
    <row r="1252" spans="1:7" x14ac:dyDescent="0.25">
      <c r="A1252" s="8">
        <v>16</v>
      </c>
      <c r="B1252" s="8">
        <v>11</v>
      </c>
      <c r="C1252" s="8">
        <v>777.39843800000006</v>
      </c>
      <c r="D1252" s="8">
        <v>25928.132813</v>
      </c>
      <c r="E1252" s="8">
        <v>25947.123047000001</v>
      </c>
      <c r="F1252" s="8">
        <f t="shared" si="38"/>
        <v>18.990234000000783</v>
      </c>
      <c r="G1252" s="8">
        <f t="shared" si="39"/>
        <v>1.8990234000000782E-2</v>
      </c>
    </row>
    <row r="1253" spans="1:7" x14ac:dyDescent="0.25">
      <c r="A1253" s="8">
        <v>16</v>
      </c>
      <c r="B1253" s="8">
        <v>12</v>
      </c>
      <c r="C1253" s="8">
        <v>1118.377197</v>
      </c>
      <c r="D1253" s="8">
        <v>26727.421875</v>
      </c>
      <c r="E1253" s="8">
        <v>26741.628906000002</v>
      </c>
      <c r="F1253" s="8">
        <f t="shared" si="38"/>
        <v>14.207031000001734</v>
      </c>
      <c r="G1253" s="8">
        <f t="shared" si="39"/>
        <v>1.4207031000001735E-2</v>
      </c>
    </row>
    <row r="1254" spans="1:7" x14ac:dyDescent="0.25">
      <c r="A1254" s="8">
        <v>16</v>
      </c>
      <c r="B1254" s="8">
        <v>13</v>
      </c>
      <c r="C1254" s="8">
        <v>2561.8554690000001</v>
      </c>
      <c r="D1254" s="8">
        <v>27869.037109000001</v>
      </c>
      <c r="E1254" s="8">
        <v>27876.832031000002</v>
      </c>
      <c r="F1254" s="8">
        <f t="shared" si="38"/>
        <v>7.7949220000009518</v>
      </c>
      <c r="G1254" s="8">
        <f t="shared" si="39"/>
        <v>7.7949220000009516E-3</v>
      </c>
    </row>
    <row r="1255" spans="1:7" x14ac:dyDescent="0.25">
      <c r="A1255" s="8">
        <v>16</v>
      </c>
      <c r="B1255" s="8">
        <v>14</v>
      </c>
      <c r="C1255" s="8">
        <v>1154.903687</v>
      </c>
      <c r="D1255" s="8">
        <v>30452.927734000001</v>
      </c>
      <c r="E1255" s="8">
        <v>30475.550781000002</v>
      </c>
      <c r="F1255" s="8">
        <f t="shared" si="38"/>
        <v>22.623047000000952</v>
      </c>
      <c r="G1255" s="8">
        <f t="shared" si="39"/>
        <v>2.2623047000000951E-2</v>
      </c>
    </row>
    <row r="1256" spans="1:7" x14ac:dyDescent="0.25">
      <c r="A1256" s="8">
        <v>16</v>
      </c>
      <c r="B1256" s="8">
        <v>15</v>
      </c>
      <c r="C1256" s="8">
        <v>2323.313232</v>
      </c>
      <c r="D1256" s="8">
        <v>31644.958984000001</v>
      </c>
      <c r="E1256" s="8">
        <v>31669.59375</v>
      </c>
      <c r="F1256" s="8">
        <f t="shared" si="38"/>
        <v>24.634765999999217</v>
      </c>
      <c r="G1256" s="8">
        <f t="shared" si="39"/>
        <v>2.4634765999999218E-2</v>
      </c>
    </row>
    <row r="1257" spans="1:7" x14ac:dyDescent="0.25">
      <c r="A1257" s="8">
        <v>16</v>
      </c>
      <c r="B1257" s="8">
        <v>16</v>
      </c>
      <c r="C1257" s="8">
        <v>2235.554443</v>
      </c>
      <c r="D1257" s="8">
        <v>33994.007812999997</v>
      </c>
      <c r="E1257" s="8">
        <v>34013.628905999998</v>
      </c>
      <c r="F1257" s="8">
        <f t="shared" si="38"/>
        <v>19.621093000001565</v>
      </c>
      <c r="G1257" s="8">
        <f t="shared" si="39"/>
        <v>1.9621093000001564E-2</v>
      </c>
    </row>
    <row r="1258" spans="1:7" x14ac:dyDescent="0.25">
      <c r="A1258" s="8">
        <v>16</v>
      </c>
      <c r="B1258" s="8">
        <v>17</v>
      </c>
      <c r="C1258" s="8">
        <v>572.45678699999996</v>
      </c>
      <c r="D1258" s="8">
        <v>36248.988280999998</v>
      </c>
      <c r="E1258" s="8">
        <v>36263.117187999997</v>
      </c>
      <c r="F1258" s="8">
        <f t="shared" si="38"/>
        <v>14.128906999998435</v>
      </c>
      <c r="G1258" s="8">
        <f t="shared" si="39"/>
        <v>1.4128906999998435E-2</v>
      </c>
    </row>
    <row r="1259" spans="1:7" x14ac:dyDescent="0.25">
      <c r="A1259" s="8">
        <v>16</v>
      </c>
      <c r="B1259" s="8">
        <v>18</v>
      </c>
      <c r="C1259" s="8">
        <v>545.01599099999999</v>
      </c>
      <c r="D1259" s="8">
        <v>36847.203125</v>
      </c>
      <c r="E1259" s="8">
        <v>36860.769530999998</v>
      </c>
      <c r="F1259" s="8">
        <f t="shared" si="38"/>
        <v>13.566405999998096</v>
      </c>
      <c r="G1259" s="8">
        <f t="shared" si="39"/>
        <v>1.3566405999998097E-2</v>
      </c>
    </row>
    <row r="1260" spans="1:7" x14ac:dyDescent="0.25">
      <c r="A1260" s="8">
        <v>16</v>
      </c>
      <c r="B1260" s="8">
        <v>19</v>
      </c>
      <c r="C1260" s="8">
        <v>2162.9726559999999</v>
      </c>
      <c r="D1260" s="8">
        <v>37409.8125</v>
      </c>
      <c r="E1260" s="8">
        <v>37424.011719000002</v>
      </c>
      <c r="F1260" s="8">
        <f t="shared" si="38"/>
        <v>14.199219000001904</v>
      </c>
      <c r="G1260" s="8">
        <f t="shared" si="39"/>
        <v>1.4199219000001904E-2</v>
      </c>
    </row>
    <row r="1261" spans="1:7" x14ac:dyDescent="0.25">
      <c r="A1261" s="8">
        <v>16</v>
      </c>
      <c r="B1261" s="8">
        <v>20</v>
      </c>
      <c r="C1261" s="8">
        <v>188.216949</v>
      </c>
      <c r="D1261" s="8">
        <v>39589.738280999998</v>
      </c>
      <c r="E1261" s="8">
        <v>39607.003905999998</v>
      </c>
      <c r="F1261" s="8">
        <f t="shared" si="38"/>
        <v>17.265625</v>
      </c>
      <c r="G1261" s="8">
        <f t="shared" si="39"/>
        <v>1.7265625E-2</v>
      </c>
    </row>
    <row r="1262" spans="1:7" x14ac:dyDescent="0.25">
      <c r="A1262" s="8">
        <v>16</v>
      </c>
      <c r="B1262" s="8">
        <v>21</v>
      </c>
      <c r="C1262" s="8">
        <v>1863.9241939999999</v>
      </c>
      <c r="D1262" s="8">
        <v>39808.433594000002</v>
      </c>
      <c r="E1262" s="8">
        <v>39825.160155999998</v>
      </c>
      <c r="F1262" s="8">
        <f t="shared" si="38"/>
        <v>16.726561999996193</v>
      </c>
      <c r="G1262" s="8">
        <f t="shared" si="39"/>
        <v>1.6726561999996194E-2</v>
      </c>
    </row>
    <row r="1263" spans="1:7" x14ac:dyDescent="0.25">
      <c r="A1263" s="8">
        <v>16</v>
      </c>
      <c r="B1263" s="8">
        <v>22</v>
      </c>
      <c r="C1263" s="8">
        <v>1285.1915280000001</v>
      </c>
      <c r="D1263" s="8">
        <v>41700.191405999998</v>
      </c>
      <c r="E1263" s="8">
        <v>41711.25</v>
      </c>
      <c r="F1263" s="8">
        <f t="shared" si="38"/>
        <v>11.058594000001904</v>
      </c>
      <c r="G1263" s="8">
        <f t="shared" si="39"/>
        <v>1.1058594000001904E-2</v>
      </c>
    </row>
    <row r="1264" spans="1:7" x14ac:dyDescent="0.25">
      <c r="A1264" s="8">
        <v>16</v>
      </c>
      <c r="B1264" s="8">
        <v>23</v>
      </c>
      <c r="C1264" s="8">
        <v>2040.950562</v>
      </c>
      <c r="D1264" s="8">
        <v>43006.097655999998</v>
      </c>
      <c r="E1264" s="8">
        <v>43017.984375</v>
      </c>
      <c r="F1264" s="8">
        <f t="shared" si="38"/>
        <v>11.886719000001904</v>
      </c>
      <c r="G1264" s="8">
        <f t="shared" si="39"/>
        <v>1.1886719000001903E-2</v>
      </c>
    </row>
    <row r="1265" spans="1:7" x14ac:dyDescent="0.25">
      <c r="A1265" s="8">
        <v>16</v>
      </c>
      <c r="B1265" s="8">
        <v>24</v>
      </c>
      <c r="C1265" s="8">
        <v>645.11084000000005</v>
      </c>
      <c r="D1265" s="8">
        <v>45068.796875</v>
      </c>
      <c r="E1265" s="8">
        <v>45093.074219000002</v>
      </c>
      <c r="F1265" s="8">
        <f t="shared" si="38"/>
        <v>24.277344000001904</v>
      </c>
      <c r="G1265" s="8">
        <f t="shared" si="39"/>
        <v>2.4277344000001904E-2</v>
      </c>
    </row>
    <row r="1266" spans="1:7" x14ac:dyDescent="0.25">
      <c r="A1266" s="8">
        <v>16</v>
      </c>
      <c r="B1266" s="8">
        <v>25</v>
      </c>
      <c r="C1266" s="8">
        <v>324.02926600000001</v>
      </c>
      <c r="D1266" s="8">
        <v>45741.191405999998</v>
      </c>
      <c r="E1266" s="8">
        <v>45749.101562999997</v>
      </c>
      <c r="F1266" s="8">
        <f t="shared" si="38"/>
        <v>7.9101569999984349</v>
      </c>
      <c r="G1266" s="8">
        <f t="shared" si="39"/>
        <v>7.9101569999984345E-3</v>
      </c>
    </row>
    <row r="1267" spans="1:7" x14ac:dyDescent="0.25">
      <c r="A1267" s="8">
        <v>16</v>
      </c>
      <c r="B1267" s="8">
        <v>26</v>
      </c>
      <c r="C1267" s="8">
        <v>303.32284499999997</v>
      </c>
      <c r="D1267" s="8">
        <v>46085.664062999997</v>
      </c>
      <c r="E1267" s="8">
        <v>46096.304687999997</v>
      </c>
      <c r="F1267" s="8">
        <f t="shared" si="38"/>
        <v>10.640625</v>
      </c>
      <c r="G1267" s="8">
        <f t="shared" si="39"/>
        <v>1.0640625000000001E-2</v>
      </c>
    </row>
    <row r="1268" spans="1:7" x14ac:dyDescent="0.25">
      <c r="A1268" s="8">
        <v>16</v>
      </c>
      <c r="B1268" s="8">
        <v>27</v>
      </c>
      <c r="C1268" s="8">
        <v>6016.4624020000001</v>
      </c>
      <c r="D1268" s="8">
        <v>46406.84375</v>
      </c>
      <c r="E1268" s="8">
        <v>46415.410155999998</v>
      </c>
      <c r="F1268" s="8">
        <f t="shared" si="38"/>
        <v>8.5664059999980964</v>
      </c>
      <c r="G1268" s="8">
        <f t="shared" si="39"/>
        <v>8.5664059999980956E-3</v>
      </c>
    </row>
    <row r="1269" spans="1:7" x14ac:dyDescent="0.25">
      <c r="A1269" s="8">
        <v>16</v>
      </c>
      <c r="B1269" s="8">
        <v>28</v>
      </c>
      <c r="C1269" s="8">
        <v>3282.249268</v>
      </c>
      <c r="D1269" s="8">
        <v>52435.917969000002</v>
      </c>
      <c r="E1269" s="8">
        <v>52459.195312999997</v>
      </c>
      <c r="F1269" s="8">
        <f t="shared" si="38"/>
        <v>23.277343999994628</v>
      </c>
      <c r="G1269" s="8">
        <f t="shared" si="39"/>
        <v>2.3277343999994628E-2</v>
      </c>
    </row>
    <row r="1270" spans="1:7" x14ac:dyDescent="0.25">
      <c r="A1270" s="8">
        <v>16</v>
      </c>
      <c r="B1270" s="8">
        <v>29</v>
      </c>
      <c r="C1270" s="8">
        <v>7613.7524409999996</v>
      </c>
      <c r="D1270" s="8">
        <v>55753.660155999998</v>
      </c>
      <c r="E1270" s="8">
        <v>55774.910155999998</v>
      </c>
      <c r="F1270" s="8">
        <f t="shared" si="38"/>
        <v>21.25</v>
      </c>
      <c r="G1270" s="8">
        <f t="shared" si="39"/>
        <v>2.1250000000000002E-2</v>
      </c>
    </row>
    <row r="1271" spans="1:7" x14ac:dyDescent="0.25">
      <c r="A1271" s="8">
        <v>16</v>
      </c>
      <c r="B1271" s="8">
        <v>30</v>
      </c>
      <c r="C1271" s="8">
        <v>6716.7871089999999</v>
      </c>
      <c r="D1271" s="8">
        <v>63399.320312999997</v>
      </c>
      <c r="E1271" s="8">
        <v>63421.09375</v>
      </c>
      <c r="F1271" s="8">
        <f t="shared" si="38"/>
        <v>21.773437000003469</v>
      </c>
      <c r="G1271" s="8">
        <f t="shared" si="39"/>
        <v>2.1773437000003469E-2</v>
      </c>
    </row>
    <row r="1272" spans="1:7" x14ac:dyDescent="0.25">
      <c r="A1272" s="8">
        <v>16</v>
      </c>
      <c r="B1272" s="8">
        <v>31</v>
      </c>
      <c r="C1272" s="8">
        <v>3729.4028320000002</v>
      </c>
      <c r="D1272" s="8">
        <v>70139.554688000004</v>
      </c>
      <c r="E1272" s="8">
        <v>70155.398438000004</v>
      </c>
      <c r="F1272" s="8">
        <f t="shared" si="38"/>
        <v>15.84375</v>
      </c>
      <c r="G1272" s="8">
        <f t="shared" si="39"/>
        <v>1.584375E-2</v>
      </c>
    </row>
    <row r="1273" spans="1:7" x14ac:dyDescent="0.25">
      <c r="A1273" s="8">
        <v>16</v>
      </c>
      <c r="B1273" s="8">
        <v>32</v>
      </c>
      <c r="C1273" s="8">
        <v>289.30758700000001</v>
      </c>
      <c r="D1273" s="8">
        <v>73888.929688000004</v>
      </c>
      <c r="E1273" s="8">
        <v>73910.945313000004</v>
      </c>
      <c r="F1273" s="8">
        <f t="shared" si="38"/>
        <v>22.015625</v>
      </c>
      <c r="G1273" s="8">
        <f t="shared" si="39"/>
        <v>2.2015625E-2</v>
      </c>
    </row>
    <row r="1274" spans="1:7" x14ac:dyDescent="0.25">
      <c r="A1274" s="8">
        <v>16</v>
      </c>
      <c r="B1274" s="8">
        <v>33</v>
      </c>
      <c r="C1274" s="8">
        <v>1890.2926030000001</v>
      </c>
      <c r="D1274" s="8">
        <v>74203.179688000004</v>
      </c>
      <c r="E1274" s="8">
        <v>74220.703125</v>
      </c>
      <c r="F1274" s="8">
        <f t="shared" si="38"/>
        <v>17.523436999996193</v>
      </c>
      <c r="G1274" s="8">
        <f t="shared" si="39"/>
        <v>1.7523436999996193E-2</v>
      </c>
    </row>
    <row r="1275" spans="1:7" x14ac:dyDescent="0.25">
      <c r="A1275" s="8">
        <v>16</v>
      </c>
      <c r="B1275" s="8">
        <v>34</v>
      </c>
      <c r="C1275" s="8">
        <v>560.86962900000003</v>
      </c>
      <c r="D1275" s="8">
        <v>76116.367188000004</v>
      </c>
      <c r="E1275" s="8">
        <v>76140.96875</v>
      </c>
      <c r="F1275" s="8">
        <f t="shared" si="38"/>
        <v>24.601561999996193</v>
      </c>
      <c r="G1275" s="8">
        <f t="shared" si="39"/>
        <v>2.4601561999996194E-2</v>
      </c>
    </row>
    <row r="1276" spans="1:7" x14ac:dyDescent="0.25">
      <c r="A1276" s="8">
        <v>16</v>
      </c>
      <c r="B1276" s="8">
        <v>35</v>
      </c>
      <c r="C1276" s="8">
        <v>876.69915800000001</v>
      </c>
      <c r="D1276" s="8">
        <v>76710.148438000004</v>
      </c>
      <c r="E1276" s="8">
        <v>76718.03125</v>
      </c>
      <c r="F1276" s="8">
        <f t="shared" si="38"/>
        <v>7.8828119999961928</v>
      </c>
      <c r="G1276" s="8">
        <f t="shared" si="39"/>
        <v>7.8828119999961935E-3</v>
      </c>
    </row>
    <row r="1277" spans="1:7" x14ac:dyDescent="0.25">
      <c r="A1277" s="8">
        <v>16</v>
      </c>
      <c r="B1277" s="8">
        <v>36</v>
      </c>
      <c r="C1277" s="8">
        <v>4508.482422</v>
      </c>
      <c r="D1277" s="8">
        <v>77601.507813000004</v>
      </c>
      <c r="E1277" s="8">
        <v>77613.726563000004</v>
      </c>
      <c r="F1277" s="8">
        <f t="shared" si="38"/>
        <v>12.21875</v>
      </c>
      <c r="G1277" s="8">
        <f t="shared" si="39"/>
        <v>1.221875E-2</v>
      </c>
    </row>
    <row r="1278" spans="1:7" x14ac:dyDescent="0.25">
      <c r="A1278" s="8">
        <v>16</v>
      </c>
      <c r="B1278" s="8">
        <v>37</v>
      </c>
      <c r="C1278" s="8">
        <v>1226.974487</v>
      </c>
      <c r="D1278" s="8">
        <v>82136.15625</v>
      </c>
      <c r="E1278" s="8">
        <v>82159.085938000004</v>
      </c>
      <c r="F1278" s="8">
        <f t="shared" si="38"/>
        <v>22.929688000003807</v>
      </c>
      <c r="G1278" s="8">
        <f t="shared" si="39"/>
        <v>2.2929688000003806E-2</v>
      </c>
    </row>
    <row r="1279" spans="1:7" x14ac:dyDescent="0.25">
      <c r="A1279" s="8">
        <v>16</v>
      </c>
      <c r="B1279" s="8">
        <v>38</v>
      </c>
      <c r="C1279" s="8">
        <v>784.07195999999999</v>
      </c>
      <c r="D1279" s="8">
        <v>83390.414063000004</v>
      </c>
      <c r="E1279" s="8">
        <v>83401.945313000004</v>
      </c>
      <c r="F1279" s="8">
        <f t="shared" si="38"/>
        <v>11.53125</v>
      </c>
      <c r="G1279" s="8">
        <f t="shared" si="39"/>
        <v>1.153125E-2</v>
      </c>
    </row>
    <row r="1280" spans="1:7" x14ac:dyDescent="0.25">
      <c r="A1280" s="8">
        <v>16</v>
      </c>
      <c r="B1280" s="8">
        <v>39</v>
      </c>
      <c r="C1280" s="8">
        <v>534.14428699999996</v>
      </c>
      <c r="D1280" s="8">
        <v>84187.359375</v>
      </c>
      <c r="E1280" s="8">
        <v>84198.828125</v>
      </c>
      <c r="F1280" s="8">
        <f t="shared" si="38"/>
        <v>11.46875</v>
      </c>
      <c r="G1280" s="8">
        <f t="shared" si="39"/>
        <v>1.146875E-2</v>
      </c>
    </row>
    <row r="1281" spans="1:7" x14ac:dyDescent="0.25">
      <c r="A1281" s="8">
        <v>16</v>
      </c>
      <c r="B1281" s="8">
        <v>40</v>
      </c>
      <c r="C1281" s="8">
        <v>6121.783203</v>
      </c>
      <c r="D1281" s="8">
        <v>84735.34375</v>
      </c>
      <c r="E1281" s="8">
        <v>84753.09375</v>
      </c>
      <c r="F1281" s="8">
        <f t="shared" si="38"/>
        <v>17.75</v>
      </c>
      <c r="G1281" s="8">
        <f t="shared" si="39"/>
        <v>1.7749999999999998E-2</v>
      </c>
    </row>
    <row r="1282" spans="1:7" x14ac:dyDescent="0.25">
      <c r="A1282" s="8">
        <v>16</v>
      </c>
      <c r="B1282" s="8">
        <v>41</v>
      </c>
      <c r="C1282" s="8">
        <v>74.239220000000003</v>
      </c>
      <c r="D1282" s="8">
        <v>90886.09375</v>
      </c>
      <c r="E1282" s="8">
        <v>90904.257813000004</v>
      </c>
      <c r="F1282" s="8">
        <f t="shared" si="38"/>
        <v>18.164063000003807</v>
      </c>
      <c r="G1282" s="8">
        <f t="shared" si="39"/>
        <v>1.8164063000003807E-2</v>
      </c>
    </row>
    <row r="1283" spans="1:7" x14ac:dyDescent="0.25">
      <c r="A1283" s="8">
        <v>16</v>
      </c>
      <c r="B1283" s="8">
        <v>42</v>
      </c>
      <c r="C1283" s="8">
        <v>3306.3344729999999</v>
      </c>
      <c r="D1283" s="8">
        <v>90979.859375</v>
      </c>
      <c r="E1283" s="8">
        <v>90988.054688000004</v>
      </c>
      <c r="F1283" s="8">
        <f t="shared" si="38"/>
        <v>8.1953130000038072</v>
      </c>
      <c r="G1283" s="8">
        <f t="shared" si="39"/>
        <v>8.1953130000038069E-3</v>
      </c>
    </row>
    <row r="1284" spans="1:7" x14ac:dyDescent="0.25">
      <c r="A1284" s="8">
        <v>16</v>
      </c>
      <c r="B1284" s="8">
        <v>43</v>
      </c>
      <c r="C1284" s="8">
        <v>2433.9736330000001</v>
      </c>
      <c r="D1284" s="8">
        <v>94295.085938000004</v>
      </c>
      <c r="E1284" s="8">
        <v>94305.992188000004</v>
      </c>
      <c r="F1284" s="8">
        <f t="shared" si="38"/>
        <v>10.90625</v>
      </c>
      <c r="G1284" s="8">
        <f t="shared" si="39"/>
        <v>1.0906249999999999E-2</v>
      </c>
    </row>
    <row r="1285" spans="1:7" x14ac:dyDescent="0.25">
      <c r="A1285" s="8">
        <v>16</v>
      </c>
      <c r="B1285" s="8">
        <v>44</v>
      </c>
      <c r="C1285" s="8">
        <v>101.728989</v>
      </c>
      <c r="D1285" s="8">
        <v>96743.476563000004</v>
      </c>
      <c r="E1285" s="8">
        <v>96755.070313000004</v>
      </c>
      <c r="F1285" s="8">
        <f t="shared" si="38"/>
        <v>11.59375</v>
      </c>
      <c r="G1285" s="8">
        <f t="shared" si="39"/>
        <v>1.159375E-2</v>
      </c>
    </row>
    <row r="1286" spans="1:7" x14ac:dyDescent="0.25">
      <c r="A1286" s="8">
        <v>16</v>
      </c>
      <c r="B1286" s="8">
        <v>45</v>
      </c>
      <c r="C1286" s="8">
        <v>1081.352905</v>
      </c>
      <c r="D1286" s="8">
        <v>96868.578125</v>
      </c>
      <c r="E1286" s="8">
        <v>96889.203125</v>
      </c>
      <c r="F1286" s="8">
        <f t="shared" si="38"/>
        <v>20.625</v>
      </c>
      <c r="G1286" s="8">
        <f t="shared" si="39"/>
        <v>2.0625000000000001E-2</v>
      </c>
    </row>
    <row r="1287" spans="1:7" x14ac:dyDescent="0.25">
      <c r="A1287" s="8">
        <v>16</v>
      </c>
      <c r="B1287" s="8">
        <v>46</v>
      </c>
      <c r="C1287" s="8">
        <v>202.957245</v>
      </c>
      <c r="D1287" s="8">
        <v>97972.679688000004</v>
      </c>
      <c r="E1287" s="8">
        <v>97987.296875</v>
      </c>
      <c r="F1287" s="8">
        <f t="shared" si="38"/>
        <v>14.617186999996193</v>
      </c>
      <c r="G1287" s="8">
        <f t="shared" si="39"/>
        <v>1.4617186999996193E-2</v>
      </c>
    </row>
    <row r="1288" spans="1:7" x14ac:dyDescent="0.25">
      <c r="A1288" s="8">
        <v>16</v>
      </c>
      <c r="B1288" s="8">
        <v>47</v>
      </c>
      <c r="C1288" s="8">
        <v>485.39492799999999</v>
      </c>
      <c r="D1288" s="8">
        <v>98191.484375</v>
      </c>
      <c r="E1288" s="8">
        <v>98203.171875</v>
      </c>
      <c r="F1288" s="8">
        <f t="shared" si="38"/>
        <v>11.6875</v>
      </c>
      <c r="G1288" s="8">
        <f t="shared" si="39"/>
        <v>1.16875E-2</v>
      </c>
    </row>
    <row r="1289" spans="1:7" x14ac:dyDescent="0.25">
      <c r="A1289" s="8">
        <v>16</v>
      </c>
      <c r="B1289" s="8">
        <v>48</v>
      </c>
      <c r="C1289" s="8">
        <v>951.01196300000004</v>
      </c>
      <c r="D1289" s="8">
        <v>98691.5</v>
      </c>
      <c r="E1289" s="8">
        <v>98711.859375</v>
      </c>
      <c r="F1289" s="8">
        <f t="shared" si="38"/>
        <v>20.359375</v>
      </c>
      <c r="G1289" s="8">
        <f t="shared" si="39"/>
        <v>2.0359374999999999E-2</v>
      </c>
    </row>
    <row r="1290" spans="1:7" x14ac:dyDescent="0.25">
      <c r="A1290" s="8">
        <v>16</v>
      </c>
      <c r="B1290" s="8">
        <v>49</v>
      </c>
      <c r="C1290" s="8">
        <v>4070.0034179999998</v>
      </c>
      <c r="D1290" s="8">
        <v>99666.976563000004</v>
      </c>
      <c r="E1290" s="8">
        <v>99687.835938000004</v>
      </c>
      <c r="F1290" s="8">
        <f t="shared" si="38"/>
        <v>20.859375</v>
      </c>
      <c r="G1290" s="8">
        <f t="shared" si="39"/>
        <v>2.0859374999999999E-2</v>
      </c>
    </row>
    <row r="1291" spans="1:7" x14ac:dyDescent="0.25">
      <c r="A1291" s="8">
        <v>16</v>
      </c>
      <c r="B1291" s="8">
        <v>50</v>
      </c>
      <c r="C1291" s="8">
        <v>828.09411599999999</v>
      </c>
      <c r="D1291" s="8">
        <v>103768.90625</v>
      </c>
      <c r="E1291" s="8">
        <v>103776.609375</v>
      </c>
      <c r="F1291" s="8">
        <f t="shared" ref="F1291:F1354" si="40">E1291-D1291</f>
        <v>7.703125</v>
      </c>
      <c r="G1291" s="8">
        <f t="shared" ref="G1291:G1354" si="41">F1291/1000</f>
        <v>7.7031249999999999E-3</v>
      </c>
    </row>
    <row r="1292" spans="1:7" x14ac:dyDescent="0.25">
      <c r="A1292" s="8">
        <v>16</v>
      </c>
      <c r="B1292" s="8">
        <v>51</v>
      </c>
      <c r="C1292" s="8">
        <v>6380.1166990000002</v>
      </c>
      <c r="D1292" s="8">
        <v>104612.789063</v>
      </c>
      <c r="E1292" s="8">
        <v>104628.96875</v>
      </c>
      <c r="F1292" s="8">
        <f t="shared" si="40"/>
        <v>16.179686999996193</v>
      </c>
      <c r="G1292" s="8">
        <f t="shared" si="41"/>
        <v>1.6179686999996192E-2</v>
      </c>
    </row>
    <row r="1293" spans="1:7" x14ac:dyDescent="0.25">
      <c r="A1293" s="8">
        <v>16</v>
      </c>
      <c r="B1293" s="8">
        <v>52</v>
      </c>
      <c r="C1293" s="8">
        <v>5788.8779299999997</v>
      </c>
      <c r="D1293" s="8">
        <v>111017.78125</v>
      </c>
      <c r="E1293" s="8">
        <v>111034.617188</v>
      </c>
      <c r="F1293" s="8">
        <f t="shared" si="40"/>
        <v>16.835938000003807</v>
      </c>
      <c r="G1293" s="8">
        <f t="shared" si="41"/>
        <v>1.6835938000003808E-2</v>
      </c>
    </row>
    <row r="1294" spans="1:7" x14ac:dyDescent="0.25">
      <c r="A1294" s="8">
        <v>16</v>
      </c>
      <c r="B1294" s="8">
        <v>53</v>
      </c>
      <c r="C1294" s="8">
        <v>337.27899200000002</v>
      </c>
      <c r="D1294" s="8">
        <v>116833.179688</v>
      </c>
      <c r="E1294" s="8">
        <v>116852.960938</v>
      </c>
      <c r="F1294" s="8">
        <f t="shared" si="40"/>
        <v>19.78125</v>
      </c>
      <c r="G1294" s="8">
        <f t="shared" si="41"/>
        <v>1.978125E-2</v>
      </c>
    </row>
    <row r="1295" spans="1:7" x14ac:dyDescent="0.25">
      <c r="A1295" s="8">
        <v>16</v>
      </c>
      <c r="B1295" s="8">
        <v>54</v>
      </c>
      <c r="C1295" s="8">
        <v>1050.7734379999999</v>
      </c>
      <c r="D1295" s="8">
        <v>117200.367188</v>
      </c>
      <c r="E1295" s="8">
        <v>117224.21875</v>
      </c>
      <c r="F1295" s="8">
        <f t="shared" si="40"/>
        <v>23.851561999996193</v>
      </c>
      <c r="G1295" s="8">
        <f t="shared" si="41"/>
        <v>2.3851561999996194E-2</v>
      </c>
    </row>
    <row r="1296" spans="1:7" x14ac:dyDescent="0.25">
      <c r="A1296" s="8">
        <v>16</v>
      </c>
      <c r="B1296" s="8">
        <v>55</v>
      </c>
      <c r="C1296" s="8">
        <v>787.77917500000001</v>
      </c>
      <c r="D1296" s="8">
        <v>118275.546875</v>
      </c>
      <c r="E1296" s="8">
        <v>118285.789063</v>
      </c>
      <c r="F1296" s="8">
        <f t="shared" si="40"/>
        <v>10.242188000003807</v>
      </c>
      <c r="G1296" s="8">
        <f t="shared" si="41"/>
        <v>1.0242188000003807E-2</v>
      </c>
    </row>
    <row r="1297" spans="1:7" x14ac:dyDescent="0.25">
      <c r="A1297" s="8">
        <v>16</v>
      </c>
      <c r="B1297" s="8">
        <v>56</v>
      </c>
      <c r="C1297" s="8">
        <v>92.566306999999995</v>
      </c>
      <c r="D1297" s="8">
        <v>119088.226563</v>
      </c>
      <c r="E1297" s="8">
        <v>119104.859375</v>
      </c>
      <c r="F1297" s="8">
        <f t="shared" si="40"/>
        <v>16.632811999996193</v>
      </c>
      <c r="G1297" s="8">
        <f t="shared" si="41"/>
        <v>1.6632811999996194E-2</v>
      </c>
    </row>
    <row r="1298" spans="1:7" x14ac:dyDescent="0.25">
      <c r="A1298" s="8">
        <v>16</v>
      </c>
      <c r="B1298" s="8">
        <v>57</v>
      </c>
      <c r="C1298" s="8">
        <v>1261.6551509999999</v>
      </c>
      <c r="D1298" s="8">
        <v>119204.085938</v>
      </c>
      <c r="E1298" s="8">
        <v>119221.125</v>
      </c>
      <c r="F1298" s="8">
        <f t="shared" si="40"/>
        <v>17.039061999996193</v>
      </c>
      <c r="G1298" s="8">
        <f t="shared" si="41"/>
        <v>1.7039061999996191E-2</v>
      </c>
    </row>
    <row r="1299" spans="1:7" x14ac:dyDescent="0.25">
      <c r="A1299" s="8">
        <v>16</v>
      </c>
      <c r="B1299" s="8">
        <v>58</v>
      </c>
      <c r="C1299" s="8">
        <v>7554.2080079999996</v>
      </c>
      <c r="D1299" s="8">
        <v>120484.195313</v>
      </c>
      <c r="E1299" s="8">
        <v>120495.4375</v>
      </c>
      <c r="F1299" s="8">
        <f t="shared" si="40"/>
        <v>11.242186999996193</v>
      </c>
      <c r="G1299" s="8">
        <f t="shared" si="41"/>
        <v>1.1242186999996193E-2</v>
      </c>
    </row>
    <row r="1300" spans="1:7" x14ac:dyDescent="0.25">
      <c r="A1300" s="8">
        <v>16</v>
      </c>
      <c r="B1300" s="8">
        <v>59</v>
      </c>
      <c r="C1300" s="8">
        <v>107.002228</v>
      </c>
      <c r="D1300" s="8">
        <v>128049.953125</v>
      </c>
      <c r="E1300" s="8">
        <v>128065.65625</v>
      </c>
      <c r="F1300" s="8">
        <f t="shared" si="40"/>
        <v>15.703125</v>
      </c>
      <c r="G1300" s="8">
        <f t="shared" si="41"/>
        <v>1.5703124999999998E-2</v>
      </c>
    </row>
    <row r="1301" spans="1:7" x14ac:dyDescent="0.25">
      <c r="A1301" s="8">
        <v>16</v>
      </c>
      <c r="B1301" s="8">
        <v>60</v>
      </c>
      <c r="C1301" s="8">
        <v>2522.474365</v>
      </c>
      <c r="D1301" s="8">
        <v>128175</v>
      </c>
      <c r="E1301" s="8">
        <v>128191.203125</v>
      </c>
      <c r="F1301" s="8">
        <f t="shared" si="40"/>
        <v>16.203125</v>
      </c>
      <c r="G1301" s="8">
        <f t="shared" si="41"/>
        <v>1.6203124999999999E-2</v>
      </c>
    </row>
    <row r="1302" spans="1:7" x14ac:dyDescent="0.25">
      <c r="A1302" s="8">
        <v>16</v>
      </c>
      <c r="B1302" s="8">
        <v>61</v>
      </c>
      <c r="C1302" s="8">
        <v>1235.899658</v>
      </c>
      <c r="D1302" s="8">
        <v>130723.4375</v>
      </c>
      <c r="E1302" s="8">
        <v>130745.0625</v>
      </c>
      <c r="F1302" s="8">
        <f t="shared" si="40"/>
        <v>21.625</v>
      </c>
      <c r="G1302" s="8">
        <f t="shared" si="41"/>
        <v>2.1624999999999998E-2</v>
      </c>
    </row>
    <row r="1303" spans="1:7" x14ac:dyDescent="0.25">
      <c r="A1303" s="8">
        <v>16</v>
      </c>
      <c r="B1303" s="8">
        <v>62</v>
      </c>
      <c r="C1303" s="8">
        <v>695.97760000000005</v>
      </c>
      <c r="D1303" s="8">
        <v>131983.328125</v>
      </c>
      <c r="E1303" s="8">
        <v>131994.34375</v>
      </c>
      <c r="F1303" s="8">
        <f t="shared" si="40"/>
        <v>11.015625</v>
      </c>
      <c r="G1303" s="8">
        <f t="shared" si="41"/>
        <v>1.1015624999999999E-2</v>
      </c>
    </row>
    <row r="1304" spans="1:7" x14ac:dyDescent="0.25">
      <c r="A1304" s="8">
        <v>16</v>
      </c>
      <c r="B1304" s="8">
        <v>63</v>
      </c>
      <c r="C1304" s="8">
        <v>597.72644000000003</v>
      </c>
      <c r="D1304" s="8">
        <v>132702.0625</v>
      </c>
      <c r="E1304" s="8">
        <v>132716.59375</v>
      </c>
      <c r="F1304" s="8">
        <f t="shared" si="40"/>
        <v>14.53125</v>
      </c>
      <c r="G1304" s="8">
        <f t="shared" si="41"/>
        <v>1.4531250000000001E-2</v>
      </c>
    </row>
    <row r="1305" spans="1:7" x14ac:dyDescent="0.25">
      <c r="A1305" s="8">
        <v>16</v>
      </c>
      <c r="B1305" s="8">
        <v>64</v>
      </c>
      <c r="C1305" s="8">
        <v>1359.436279</v>
      </c>
      <c r="D1305" s="8">
        <v>133316.171875</v>
      </c>
      <c r="E1305" s="8">
        <v>133334.25</v>
      </c>
      <c r="F1305" s="8">
        <f t="shared" si="40"/>
        <v>18.078125</v>
      </c>
      <c r="G1305" s="8">
        <f t="shared" si="41"/>
        <v>1.8078125E-2</v>
      </c>
    </row>
    <row r="1306" spans="1:7" x14ac:dyDescent="0.25">
      <c r="A1306" s="8">
        <v>16</v>
      </c>
      <c r="B1306" s="8">
        <v>65</v>
      </c>
      <c r="C1306" s="8">
        <v>860.303223</v>
      </c>
      <c r="D1306" s="8">
        <v>134706.9375</v>
      </c>
      <c r="E1306" s="8">
        <v>134726.859375</v>
      </c>
      <c r="F1306" s="8">
        <f t="shared" si="40"/>
        <v>19.921875</v>
      </c>
      <c r="G1306" s="8">
        <f t="shared" si="41"/>
        <v>1.9921874999999999E-2</v>
      </c>
    </row>
    <row r="1307" spans="1:7" x14ac:dyDescent="0.25">
      <c r="A1307" s="8">
        <v>16</v>
      </c>
      <c r="B1307" s="8">
        <v>66</v>
      </c>
      <c r="C1307" s="8">
        <v>2855.2705080000001</v>
      </c>
      <c r="D1307" s="8">
        <v>135600.78125</v>
      </c>
      <c r="E1307" s="8">
        <v>135614.984375</v>
      </c>
      <c r="F1307" s="8">
        <f t="shared" si="40"/>
        <v>14.203125</v>
      </c>
      <c r="G1307" s="8">
        <f t="shared" si="41"/>
        <v>1.4203125E-2</v>
      </c>
    </row>
    <row r="1308" spans="1:7" x14ac:dyDescent="0.25">
      <c r="A1308" s="8">
        <v>16</v>
      </c>
      <c r="B1308" s="8">
        <v>67</v>
      </c>
      <c r="C1308" s="8">
        <v>215.15448000000001</v>
      </c>
      <c r="D1308" s="8">
        <v>138484.375</v>
      </c>
      <c r="E1308" s="8">
        <v>138491.9375</v>
      </c>
      <c r="F1308" s="8">
        <f t="shared" si="40"/>
        <v>7.5625</v>
      </c>
      <c r="G1308" s="8">
        <f t="shared" si="41"/>
        <v>7.5624999999999998E-3</v>
      </c>
    </row>
    <row r="1309" spans="1:7" x14ac:dyDescent="0.25">
      <c r="A1309" s="8">
        <v>16</v>
      </c>
      <c r="B1309" s="8">
        <v>68</v>
      </c>
      <c r="C1309" s="8">
        <v>769.49121100000002</v>
      </c>
      <c r="D1309" s="8">
        <v>138718.796875</v>
      </c>
      <c r="E1309" s="8">
        <v>138736.25</v>
      </c>
      <c r="F1309" s="8">
        <f t="shared" si="40"/>
        <v>17.453125</v>
      </c>
      <c r="G1309" s="8">
        <f t="shared" si="41"/>
        <v>1.7453125E-2</v>
      </c>
    </row>
    <row r="1310" spans="1:7" x14ac:dyDescent="0.25">
      <c r="A1310" s="8">
        <v>16</v>
      </c>
      <c r="B1310" s="8">
        <v>69</v>
      </c>
      <c r="C1310" s="8">
        <v>1587.833496</v>
      </c>
      <c r="D1310" s="8">
        <v>139506.296875</v>
      </c>
      <c r="E1310" s="8">
        <v>139523.953125</v>
      </c>
      <c r="F1310" s="8">
        <f t="shared" si="40"/>
        <v>17.65625</v>
      </c>
      <c r="G1310" s="8">
        <f t="shared" si="41"/>
        <v>1.7656249999999998E-2</v>
      </c>
    </row>
    <row r="1311" spans="1:7" x14ac:dyDescent="0.25">
      <c r="A1311" s="8">
        <v>16</v>
      </c>
      <c r="B1311" s="8">
        <v>70</v>
      </c>
      <c r="C1311" s="8">
        <v>4425.3266599999997</v>
      </c>
      <c r="D1311" s="8">
        <v>141123.5</v>
      </c>
      <c r="E1311" s="8">
        <v>141149.5625</v>
      </c>
      <c r="F1311" s="8">
        <f t="shared" si="40"/>
        <v>26.0625</v>
      </c>
      <c r="G1311" s="8">
        <f t="shared" si="41"/>
        <v>2.6062499999999999E-2</v>
      </c>
    </row>
    <row r="1312" spans="1:7" x14ac:dyDescent="0.25">
      <c r="A1312" s="8">
        <v>16</v>
      </c>
      <c r="B1312" s="8">
        <v>71</v>
      </c>
      <c r="C1312" s="8">
        <v>620.15454099999999</v>
      </c>
      <c r="D1312" s="8">
        <v>145583.96875</v>
      </c>
      <c r="E1312" s="8">
        <v>145608.78125</v>
      </c>
      <c r="F1312" s="8">
        <f t="shared" si="40"/>
        <v>24.8125</v>
      </c>
      <c r="G1312" s="8">
        <f t="shared" si="41"/>
        <v>2.4812500000000001E-2</v>
      </c>
    </row>
    <row r="1313" spans="1:7" x14ac:dyDescent="0.25">
      <c r="A1313" s="8">
        <v>16</v>
      </c>
      <c r="B1313" s="8">
        <v>72</v>
      </c>
      <c r="C1313" s="8">
        <v>6455.654297</v>
      </c>
      <c r="D1313" s="8">
        <v>146240.28125</v>
      </c>
      <c r="E1313" s="8">
        <v>146257.3125</v>
      </c>
      <c r="F1313" s="8">
        <f t="shared" si="40"/>
        <v>17.03125</v>
      </c>
      <c r="G1313" s="8">
        <f t="shared" si="41"/>
        <v>1.7031250000000001E-2</v>
      </c>
    </row>
    <row r="1314" spans="1:7" x14ac:dyDescent="0.25">
      <c r="A1314" s="8">
        <v>16</v>
      </c>
      <c r="B1314" s="8">
        <v>73</v>
      </c>
      <c r="C1314" s="8">
        <v>3349.5200199999999</v>
      </c>
      <c r="D1314" s="8">
        <v>152718.859375</v>
      </c>
      <c r="E1314" s="8">
        <v>152729.140625</v>
      </c>
      <c r="F1314" s="8">
        <f t="shared" si="40"/>
        <v>10.28125</v>
      </c>
      <c r="G1314" s="8">
        <f t="shared" si="41"/>
        <v>1.028125E-2</v>
      </c>
    </row>
    <row r="1315" spans="1:7" x14ac:dyDescent="0.25">
      <c r="A1315" s="8">
        <v>16</v>
      </c>
      <c r="B1315" s="8">
        <v>74</v>
      </c>
      <c r="C1315" s="8">
        <v>2842.3354490000002</v>
      </c>
      <c r="D1315" s="8">
        <v>156078.59375</v>
      </c>
      <c r="E1315" s="8">
        <v>156086.296875</v>
      </c>
      <c r="F1315" s="8">
        <f t="shared" si="40"/>
        <v>7.703125</v>
      </c>
      <c r="G1315" s="8">
        <f t="shared" si="41"/>
        <v>7.7031249999999999E-3</v>
      </c>
    </row>
    <row r="1316" spans="1:7" x14ac:dyDescent="0.25">
      <c r="A1316" s="8">
        <v>16</v>
      </c>
      <c r="B1316" s="8">
        <v>75</v>
      </c>
      <c r="C1316" s="8">
        <v>5.0724640000000001</v>
      </c>
      <c r="D1316" s="8">
        <v>158939.21875</v>
      </c>
      <c r="E1316" s="8">
        <v>158963.265625</v>
      </c>
      <c r="F1316" s="8">
        <f t="shared" si="40"/>
        <v>24.046875</v>
      </c>
      <c r="G1316" s="8">
        <f t="shared" si="41"/>
        <v>2.4046874999999999E-2</v>
      </c>
    </row>
    <row r="1317" spans="1:7" x14ac:dyDescent="0.25">
      <c r="A1317" s="8">
        <v>16</v>
      </c>
      <c r="B1317" s="8">
        <v>76</v>
      </c>
      <c r="C1317" s="8">
        <v>2807.251221</v>
      </c>
      <c r="D1317" s="8">
        <v>158970.53125</v>
      </c>
      <c r="E1317" s="8">
        <v>158982.046875</v>
      </c>
      <c r="F1317" s="8">
        <f t="shared" si="40"/>
        <v>11.515625</v>
      </c>
      <c r="G1317" s="8">
        <f t="shared" si="41"/>
        <v>1.1515625E-2</v>
      </c>
    </row>
    <row r="1318" spans="1:7" x14ac:dyDescent="0.25">
      <c r="A1318" s="8">
        <v>16</v>
      </c>
      <c r="B1318" s="8">
        <v>77</v>
      </c>
      <c r="C1318" s="8">
        <v>895.42590299999995</v>
      </c>
      <c r="D1318" s="8">
        <v>161798.953125</v>
      </c>
      <c r="E1318" s="8">
        <v>161822.9375</v>
      </c>
      <c r="F1318" s="8">
        <f t="shared" si="40"/>
        <v>23.984375</v>
      </c>
      <c r="G1318" s="8">
        <f t="shared" si="41"/>
        <v>2.3984374999999999E-2</v>
      </c>
    </row>
    <row r="1319" spans="1:7" x14ac:dyDescent="0.25">
      <c r="A1319" s="8">
        <v>16</v>
      </c>
      <c r="B1319" s="8">
        <v>78</v>
      </c>
      <c r="C1319" s="8">
        <v>1454.145874</v>
      </c>
      <c r="D1319" s="8">
        <v>162721.4375</v>
      </c>
      <c r="E1319" s="8">
        <v>162736.21875</v>
      </c>
      <c r="F1319" s="8">
        <f t="shared" si="40"/>
        <v>14.78125</v>
      </c>
      <c r="G1319" s="8">
        <f t="shared" si="41"/>
        <v>1.4781249999999999E-2</v>
      </c>
    </row>
    <row r="1320" spans="1:7" x14ac:dyDescent="0.25">
      <c r="A1320" s="8">
        <v>16</v>
      </c>
      <c r="B1320" s="8">
        <v>79</v>
      </c>
      <c r="C1320" s="8">
        <v>5606.5986329999996</v>
      </c>
      <c r="D1320" s="8">
        <v>164206</v>
      </c>
      <c r="E1320" s="8">
        <v>164225.015625</v>
      </c>
      <c r="F1320" s="8">
        <f t="shared" si="40"/>
        <v>19.015625</v>
      </c>
      <c r="G1320" s="8">
        <f t="shared" si="41"/>
        <v>1.9015625000000001E-2</v>
      </c>
    </row>
    <row r="1321" spans="1:7" x14ac:dyDescent="0.25">
      <c r="A1321" s="8">
        <v>16</v>
      </c>
      <c r="B1321" s="8">
        <v>80</v>
      </c>
      <c r="C1321" s="8">
        <v>103.528091</v>
      </c>
      <c r="D1321" s="8">
        <v>169845.359375</v>
      </c>
      <c r="E1321" s="8">
        <v>169853.28125</v>
      </c>
      <c r="F1321" s="8">
        <f t="shared" si="40"/>
        <v>7.921875</v>
      </c>
      <c r="G1321" s="8">
        <f t="shared" si="41"/>
        <v>7.9218750000000001E-3</v>
      </c>
    </row>
    <row r="1322" spans="1:7" x14ac:dyDescent="0.25">
      <c r="A1322" s="8">
        <v>16</v>
      </c>
      <c r="B1322" s="8">
        <v>81</v>
      </c>
      <c r="C1322" s="8">
        <v>5372.1518550000001</v>
      </c>
      <c r="D1322" s="8">
        <v>169970.234375</v>
      </c>
      <c r="E1322" s="8">
        <v>169978.546875</v>
      </c>
      <c r="F1322" s="8">
        <f t="shared" si="40"/>
        <v>8.3125</v>
      </c>
      <c r="G1322" s="8">
        <f t="shared" si="41"/>
        <v>8.3125000000000004E-3</v>
      </c>
    </row>
    <row r="1323" spans="1:7" x14ac:dyDescent="0.25">
      <c r="A1323" s="8">
        <v>17</v>
      </c>
      <c r="B1323" s="8">
        <v>0</v>
      </c>
      <c r="C1323" s="8">
        <v>295.38293499999997</v>
      </c>
      <c r="D1323" s="8">
        <v>20500.546875</v>
      </c>
      <c r="E1323" s="8">
        <v>20511.478515999999</v>
      </c>
      <c r="F1323" s="8">
        <f t="shared" si="40"/>
        <v>10.931640999999217</v>
      </c>
      <c r="G1323" s="8">
        <f t="shared" si="41"/>
        <v>1.0931640999999218E-2</v>
      </c>
    </row>
    <row r="1324" spans="1:7" x14ac:dyDescent="0.25">
      <c r="A1324" s="8">
        <v>17</v>
      </c>
      <c r="B1324" s="8">
        <v>1</v>
      </c>
      <c r="C1324" s="8">
        <v>99.033569</v>
      </c>
      <c r="D1324" s="8">
        <v>20813.017577999999</v>
      </c>
      <c r="E1324" s="8">
        <v>20823.787109000001</v>
      </c>
      <c r="F1324" s="8">
        <f t="shared" si="40"/>
        <v>10.769531000001734</v>
      </c>
      <c r="G1324" s="8">
        <f t="shared" si="41"/>
        <v>1.0769531000001734E-2</v>
      </c>
    </row>
    <row r="1325" spans="1:7" x14ac:dyDescent="0.25">
      <c r="A1325" s="8">
        <v>17</v>
      </c>
      <c r="B1325" s="8">
        <v>2</v>
      </c>
      <c r="C1325" s="8">
        <v>2225.6860350000002</v>
      </c>
      <c r="D1325" s="8">
        <v>20938.048827999999</v>
      </c>
      <c r="E1325" s="8">
        <v>20984.822265999999</v>
      </c>
      <c r="F1325" s="8">
        <f t="shared" si="40"/>
        <v>46.773438000000169</v>
      </c>
      <c r="G1325" s="8">
        <f t="shared" si="41"/>
        <v>4.6773438000000167E-2</v>
      </c>
    </row>
    <row r="1326" spans="1:7" x14ac:dyDescent="0.25">
      <c r="A1326" s="8">
        <v>17</v>
      </c>
      <c r="B1326" s="8">
        <v>3</v>
      </c>
      <c r="C1326" s="8">
        <v>2069.2617190000001</v>
      </c>
      <c r="D1326" s="8">
        <v>23222.310547000001</v>
      </c>
      <c r="E1326" s="8">
        <v>23242.28125</v>
      </c>
      <c r="F1326" s="8">
        <f t="shared" si="40"/>
        <v>19.970702999999048</v>
      </c>
      <c r="G1326" s="8">
        <f t="shared" si="41"/>
        <v>1.9970702999999049E-2</v>
      </c>
    </row>
    <row r="1327" spans="1:7" x14ac:dyDescent="0.25">
      <c r="A1327" s="8">
        <v>17</v>
      </c>
      <c r="B1327" s="8">
        <v>4</v>
      </c>
      <c r="C1327" s="8">
        <v>6745.0561520000001</v>
      </c>
      <c r="D1327" s="8">
        <v>25318.746093999998</v>
      </c>
      <c r="E1327" s="8">
        <v>25330.089843999998</v>
      </c>
      <c r="F1327" s="8">
        <f t="shared" si="40"/>
        <v>11.34375</v>
      </c>
      <c r="G1327" s="8">
        <f t="shared" si="41"/>
        <v>1.134375E-2</v>
      </c>
    </row>
    <row r="1328" spans="1:7" x14ac:dyDescent="0.25">
      <c r="A1328" s="8">
        <v>17</v>
      </c>
      <c r="B1328" s="8">
        <v>5</v>
      </c>
      <c r="C1328" s="8">
        <v>1292.4001459999999</v>
      </c>
      <c r="D1328" s="8">
        <v>32082.587890999999</v>
      </c>
      <c r="E1328" s="8">
        <v>32098.4375</v>
      </c>
      <c r="F1328" s="8">
        <f t="shared" si="40"/>
        <v>15.849609000000783</v>
      </c>
      <c r="G1328" s="8">
        <f t="shared" si="41"/>
        <v>1.5849609000000781E-2</v>
      </c>
    </row>
    <row r="1329" spans="1:7" x14ac:dyDescent="0.25">
      <c r="A1329" s="8">
        <v>17</v>
      </c>
      <c r="B1329" s="8">
        <v>6</v>
      </c>
      <c r="C1329" s="8">
        <v>1151.101318</v>
      </c>
      <c r="D1329" s="8">
        <v>33395.226562999997</v>
      </c>
      <c r="E1329" s="8">
        <v>33404.339844000002</v>
      </c>
      <c r="F1329" s="8">
        <f t="shared" si="40"/>
        <v>9.1132810000053723</v>
      </c>
      <c r="G1329" s="8">
        <f t="shared" si="41"/>
        <v>9.1132810000053716E-3</v>
      </c>
    </row>
    <row r="1330" spans="1:7" x14ac:dyDescent="0.25">
      <c r="A1330" s="8">
        <v>17</v>
      </c>
      <c r="B1330" s="8">
        <v>7</v>
      </c>
      <c r="C1330" s="8">
        <v>3631.7661130000001</v>
      </c>
      <c r="D1330" s="8">
        <v>34561.269530999998</v>
      </c>
      <c r="E1330" s="8">
        <v>34585.542969000002</v>
      </c>
      <c r="F1330" s="8">
        <f t="shared" si="40"/>
        <v>24.273438000003807</v>
      </c>
      <c r="G1330" s="8">
        <f t="shared" si="41"/>
        <v>2.4273438000003807E-2</v>
      </c>
    </row>
    <row r="1331" spans="1:7" x14ac:dyDescent="0.25">
      <c r="A1331" s="8">
        <v>17</v>
      </c>
      <c r="B1331" s="8">
        <v>8</v>
      </c>
      <c r="C1331" s="8">
        <v>12159.377930000001</v>
      </c>
      <c r="D1331" s="8">
        <v>38230.027344000002</v>
      </c>
      <c r="E1331" s="8">
        <v>38250.441405999998</v>
      </c>
      <c r="F1331" s="8">
        <f t="shared" si="40"/>
        <v>20.414061999996193</v>
      </c>
      <c r="G1331" s="8">
        <f t="shared" si="41"/>
        <v>2.0414061999996194E-2</v>
      </c>
    </row>
    <row r="1332" spans="1:7" x14ac:dyDescent="0.25">
      <c r="A1332" s="8">
        <v>17</v>
      </c>
      <c r="B1332" s="8">
        <v>9</v>
      </c>
      <c r="C1332" s="8">
        <v>707.24688700000002</v>
      </c>
      <c r="D1332" s="8">
        <v>50424.710937999997</v>
      </c>
      <c r="E1332" s="8">
        <v>50445.054687999997</v>
      </c>
      <c r="F1332" s="8">
        <f t="shared" si="40"/>
        <v>20.34375</v>
      </c>
      <c r="G1332" s="8">
        <f t="shared" si="41"/>
        <v>2.0343750000000001E-2</v>
      </c>
    </row>
    <row r="1333" spans="1:7" x14ac:dyDescent="0.25">
      <c r="A1333" s="8">
        <v>17</v>
      </c>
      <c r="B1333" s="8">
        <v>10</v>
      </c>
      <c r="C1333" s="8">
        <v>7278.1655270000001</v>
      </c>
      <c r="D1333" s="8">
        <v>51159.121094000002</v>
      </c>
      <c r="E1333" s="8">
        <v>51180.628905999998</v>
      </c>
      <c r="F1333" s="8">
        <f t="shared" si="40"/>
        <v>21.507811999996193</v>
      </c>
      <c r="G1333" s="8">
        <f t="shared" si="41"/>
        <v>2.1507811999996192E-2</v>
      </c>
    </row>
    <row r="1334" spans="1:7" x14ac:dyDescent="0.25">
      <c r="A1334" s="8">
        <v>17</v>
      </c>
      <c r="B1334" s="8">
        <v>11</v>
      </c>
      <c r="C1334" s="8">
        <v>6242.625</v>
      </c>
      <c r="D1334" s="8">
        <v>58462.808594000002</v>
      </c>
      <c r="E1334" s="8">
        <v>58490.265625</v>
      </c>
      <c r="F1334" s="8">
        <f t="shared" si="40"/>
        <v>27.457030999998096</v>
      </c>
      <c r="G1334" s="8">
        <f t="shared" si="41"/>
        <v>2.7457030999998095E-2</v>
      </c>
    </row>
    <row r="1335" spans="1:7" x14ac:dyDescent="0.25">
      <c r="A1335" s="8">
        <v>17</v>
      </c>
      <c r="B1335" s="8">
        <v>12</v>
      </c>
      <c r="C1335" s="8">
        <v>613.00982699999997</v>
      </c>
      <c r="D1335" s="8">
        <v>64746.605469000002</v>
      </c>
      <c r="E1335" s="8">
        <v>64754.039062999997</v>
      </c>
      <c r="F1335" s="8">
        <f t="shared" si="40"/>
        <v>7.4335939999946277</v>
      </c>
      <c r="G1335" s="8">
        <f t="shared" si="41"/>
        <v>7.4335939999946275E-3</v>
      </c>
    </row>
    <row r="1336" spans="1:7" x14ac:dyDescent="0.25">
      <c r="A1336" s="8">
        <v>17</v>
      </c>
      <c r="B1336" s="8">
        <v>13</v>
      </c>
      <c r="C1336" s="8">
        <v>508.71563700000002</v>
      </c>
      <c r="D1336" s="8">
        <v>65371.648437999997</v>
      </c>
      <c r="E1336" s="8">
        <v>65388.59375</v>
      </c>
      <c r="F1336" s="8">
        <f t="shared" si="40"/>
        <v>16.945312000003469</v>
      </c>
      <c r="G1336" s="8">
        <f t="shared" si="41"/>
        <v>1.694531200000347E-2</v>
      </c>
    </row>
    <row r="1337" spans="1:7" x14ac:dyDescent="0.25">
      <c r="A1337" s="8">
        <v>17</v>
      </c>
      <c r="B1337" s="8">
        <v>14</v>
      </c>
      <c r="C1337" s="8">
        <v>552.48461899999995</v>
      </c>
      <c r="D1337" s="8">
        <v>65902.914063000004</v>
      </c>
      <c r="E1337" s="8">
        <v>65916.109375</v>
      </c>
      <c r="F1337" s="8">
        <f t="shared" si="40"/>
        <v>13.195311999996193</v>
      </c>
      <c r="G1337" s="8">
        <f t="shared" si="41"/>
        <v>1.3195311999996193E-2</v>
      </c>
    </row>
    <row r="1338" spans="1:7" x14ac:dyDescent="0.25">
      <c r="A1338" s="8">
        <v>17</v>
      </c>
      <c r="B1338" s="8">
        <v>15</v>
      </c>
      <c r="C1338" s="8">
        <v>817.50250200000005</v>
      </c>
      <c r="D1338" s="8">
        <v>66480.929688000004</v>
      </c>
      <c r="E1338" s="8">
        <v>66498.171875</v>
      </c>
      <c r="F1338" s="8">
        <f t="shared" si="40"/>
        <v>17.242186999996193</v>
      </c>
      <c r="G1338" s="8">
        <f t="shared" si="41"/>
        <v>1.7242186999996193E-2</v>
      </c>
    </row>
    <row r="1339" spans="1:7" x14ac:dyDescent="0.25">
      <c r="A1339" s="8">
        <v>17</v>
      </c>
      <c r="B1339" s="8">
        <v>16</v>
      </c>
      <c r="C1339" s="8">
        <v>1825.8482670000001</v>
      </c>
      <c r="D1339" s="8">
        <v>67325.617188000004</v>
      </c>
      <c r="E1339" s="8">
        <v>67344.9375</v>
      </c>
      <c r="F1339" s="8">
        <f t="shared" si="40"/>
        <v>19.320311999996193</v>
      </c>
      <c r="G1339" s="8">
        <f t="shared" si="41"/>
        <v>1.9320311999996193E-2</v>
      </c>
    </row>
    <row r="1340" spans="1:7" x14ac:dyDescent="0.25">
      <c r="A1340" s="8">
        <v>17</v>
      </c>
      <c r="B1340" s="8">
        <v>17</v>
      </c>
      <c r="C1340" s="8">
        <v>2661.876221</v>
      </c>
      <c r="D1340" s="8">
        <v>69170.726563000004</v>
      </c>
      <c r="E1340" s="8">
        <v>69200.132813000004</v>
      </c>
      <c r="F1340" s="8">
        <f t="shared" si="40"/>
        <v>29.40625</v>
      </c>
      <c r="G1340" s="8">
        <f t="shared" si="41"/>
        <v>2.9406249999999998E-2</v>
      </c>
    </row>
    <row r="1341" spans="1:7" x14ac:dyDescent="0.25">
      <c r="A1341" s="8">
        <v>17</v>
      </c>
      <c r="B1341" s="8">
        <v>18</v>
      </c>
      <c r="C1341" s="8">
        <v>879.91857900000002</v>
      </c>
      <c r="D1341" s="8">
        <v>71870.148438000004</v>
      </c>
      <c r="E1341" s="8">
        <v>71883.265625</v>
      </c>
      <c r="F1341" s="8">
        <f t="shared" si="40"/>
        <v>13.117186999996193</v>
      </c>
      <c r="G1341" s="8">
        <f t="shared" si="41"/>
        <v>1.3117186999996193E-2</v>
      </c>
    </row>
    <row r="1342" spans="1:7" x14ac:dyDescent="0.25">
      <c r="A1342" s="8">
        <v>17</v>
      </c>
      <c r="B1342" s="8">
        <v>19</v>
      </c>
      <c r="C1342" s="8">
        <v>1261.196289</v>
      </c>
      <c r="D1342" s="8">
        <v>72763.742188000004</v>
      </c>
      <c r="E1342" s="8">
        <v>72774.054688000004</v>
      </c>
      <c r="F1342" s="8">
        <f t="shared" si="40"/>
        <v>10.3125</v>
      </c>
      <c r="G1342" s="8">
        <f t="shared" si="41"/>
        <v>1.03125E-2</v>
      </c>
    </row>
    <row r="1343" spans="1:7" x14ac:dyDescent="0.25">
      <c r="A1343" s="8">
        <v>17</v>
      </c>
      <c r="B1343" s="8">
        <v>20</v>
      </c>
      <c r="C1343" s="8">
        <v>1445.7025149999999</v>
      </c>
      <c r="D1343" s="8">
        <v>74046.976563000004</v>
      </c>
      <c r="E1343" s="8">
        <v>74070.195313000004</v>
      </c>
      <c r="F1343" s="8">
        <f t="shared" si="40"/>
        <v>23.21875</v>
      </c>
      <c r="G1343" s="8">
        <f t="shared" si="41"/>
        <v>2.321875E-2</v>
      </c>
    </row>
    <row r="1344" spans="1:7" x14ac:dyDescent="0.25">
      <c r="A1344" s="8">
        <v>17</v>
      </c>
      <c r="B1344" s="8">
        <v>21</v>
      </c>
      <c r="C1344" s="8">
        <v>3532.5966800000001</v>
      </c>
      <c r="D1344" s="8">
        <v>75518.351563000004</v>
      </c>
      <c r="E1344" s="8">
        <v>75544.789063000004</v>
      </c>
      <c r="F1344" s="8">
        <f t="shared" si="40"/>
        <v>26.4375</v>
      </c>
      <c r="G1344" s="8">
        <f t="shared" si="41"/>
        <v>2.6437499999999999E-2</v>
      </c>
    </row>
    <row r="1345" spans="1:7" x14ac:dyDescent="0.25">
      <c r="A1345" s="8">
        <v>17</v>
      </c>
      <c r="B1345" s="8">
        <v>22</v>
      </c>
      <c r="C1345" s="8">
        <v>482.673767</v>
      </c>
      <c r="D1345" s="8">
        <v>79091.578125</v>
      </c>
      <c r="E1345" s="8">
        <v>79107.53125</v>
      </c>
      <c r="F1345" s="8">
        <f t="shared" si="40"/>
        <v>15.953125</v>
      </c>
      <c r="G1345" s="8">
        <f t="shared" si="41"/>
        <v>1.5953124999999999E-2</v>
      </c>
    </row>
    <row r="1346" spans="1:7" x14ac:dyDescent="0.25">
      <c r="A1346" s="8">
        <v>17</v>
      </c>
      <c r="B1346" s="8">
        <v>23</v>
      </c>
      <c r="C1346" s="8">
        <v>1349.9433590000001</v>
      </c>
      <c r="D1346" s="8">
        <v>79597.828125</v>
      </c>
      <c r="E1346" s="8">
        <v>79606.507813000004</v>
      </c>
      <c r="F1346" s="8">
        <f t="shared" si="40"/>
        <v>8.6796880000038072</v>
      </c>
      <c r="G1346" s="8">
        <f t="shared" si="41"/>
        <v>8.6796880000038074E-3</v>
      </c>
    </row>
    <row r="1347" spans="1:7" x14ac:dyDescent="0.25">
      <c r="A1347" s="8">
        <v>17</v>
      </c>
      <c r="B1347" s="8">
        <v>24</v>
      </c>
      <c r="C1347" s="8">
        <v>1875.5832519999999</v>
      </c>
      <c r="D1347" s="8">
        <v>80958.039063000004</v>
      </c>
      <c r="E1347" s="8">
        <v>80999.492188000004</v>
      </c>
      <c r="F1347" s="8">
        <f t="shared" si="40"/>
        <v>41.453125</v>
      </c>
      <c r="G1347" s="8">
        <f t="shared" si="41"/>
        <v>4.1453125E-2</v>
      </c>
    </row>
    <row r="1348" spans="1:7" x14ac:dyDescent="0.25">
      <c r="A1348" s="8">
        <v>17</v>
      </c>
      <c r="B1348" s="8">
        <v>25</v>
      </c>
      <c r="C1348" s="8">
        <v>399.65347300000002</v>
      </c>
      <c r="D1348" s="8">
        <v>82886.171875</v>
      </c>
      <c r="E1348" s="8">
        <v>82903.460938000004</v>
      </c>
      <c r="F1348" s="8">
        <f t="shared" si="40"/>
        <v>17.289063000003807</v>
      </c>
      <c r="G1348" s="8">
        <f t="shared" si="41"/>
        <v>1.7289063000003806E-2</v>
      </c>
    </row>
    <row r="1349" spans="1:7" x14ac:dyDescent="0.25">
      <c r="A1349" s="8">
        <v>17</v>
      </c>
      <c r="B1349" s="8">
        <v>26</v>
      </c>
      <c r="C1349" s="8">
        <v>4376.2817379999997</v>
      </c>
      <c r="D1349" s="8">
        <v>83308.078125</v>
      </c>
      <c r="E1349" s="8">
        <v>83331.789063000004</v>
      </c>
      <c r="F1349" s="8">
        <f t="shared" si="40"/>
        <v>23.710938000003807</v>
      </c>
      <c r="G1349" s="8">
        <f t="shared" si="41"/>
        <v>2.3710938000003807E-2</v>
      </c>
    </row>
    <row r="1350" spans="1:7" x14ac:dyDescent="0.25">
      <c r="A1350" s="8">
        <v>17</v>
      </c>
      <c r="B1350" s="8">
        <v>27</v>
      </c>
      <c r="C1350" s="8">
        <v>984.38147000000004</v>
      </c>
      <c r="D1350" s="8">
        <v>87709.148438000004</v>
      </c>
      <c r="E1350" s="8">
        <v>87721.109375</v>
      </c>
      <c r="F1350" s="8">
        <f t="shared" si="40"/>
        <v>11.960936999996193</v>
      </c>
      <c r="G1350" s="8">
        <f t="shared" si="41"/>
        <v>1.1960936999996192E-2</v>
      </c>
    </row>
    <row r="1351" spans="1:7" x14ac:dyDescent="0.25">
      <c r="A1351" s="8">
        <v>17</v>
      </c>
      <c r="B1351" s="8">
        <v>28</v>
      </c>
      <c r="C1351" s="8">
        <v>3640.7905270000001</v>
      </c>
      <c r="D1351" s="8">
        <v>88709.117188000004</v>
      </c>
      <c r="E1351" s="8">
        <v>88728.476563000004</v>
      </c>
      <c r="F1351" s="8">
        <f t="shared" si="40"/>
        <v>19.359375</v>
      </c>
      <c r="G1351" s="8">
        <f t="shared" si="41"/>
        <v>1.9359375000000002E-2</v>
      </c>
    </row>
    <row r="1352" spans="1:7" x14ac:dyDescent="0.25">
      <c r="A1352" s="8">
        <v>17</v>
      </c>
      <c r="B1352" s="8">
        <v>29</v>
      </c>
      <c r="C1352" s="8">
        <v>2340.5495609999998</v>
      </c>
      <c r="D1352" s="8">
        <v>92370.6875</v>
      </c>
      <c r="E1352" s="8">
        <v>92379.171875</v>
      </c>
      <c r="F1352" s="8">
        <f t="shared" si="40"/>
        <v>8.484375</v>
      </c>
      <c r="G1352" s="8">
        <f t="shared" si="41"/>
        <v>8.4843750000000006E-3</v>
      </c>
    </row>
    <row r="1353" spans="1:7" x14ac:dyDescent="0.25">
      <c r="A1353" s="8">
        <v>17</v>
      </c>
      <c r="B1353" s="8">
        <v>30</v>
      </c>
      <c r="C1353" s="8">
        <v>4085.9470209999999</v>
      </c>
      <c r="D1353" s="8">
        <v>94733.296875</v>
      </c>
      <c r="E1353" s="8">
        <v>94744.203125</v>
      </c>
      <c r="F1353" s="8">
        <f t="shared" si="40"/>
        <v>10.90625</v>
      </c>
      <c r="G1353" s="8">
        <f t="shared" si="41"/>
        <v>1.0906249999999999E-2</v>
      </c>
    </row>
    <row r="1354" spans="1:7" x14ac:dyDescent="0.25">
      <c r="A1354" s="8">
        <v>17</v>
      </c>
      <c r="B1354" s="8">
        <v>31</v>
      </c>
      <c r="C1354" s="8">
        <v>1924.3488769999999</v>
      </c>
      <c r="D1354" s="8">
        <v>98832.164063000004</v>
      </c>
      <c r="E1354" s="8">
        <v>98874.445313000004</v>
      </c>
      <c r="F1354" s="8">
        <f t="shared" si="40"/>
        <v>42.28125</v>
      </c>
      <c r="G1354" s="8">
        <f t="shared" si="41"/>
        <v>4.2281249999999999E-2</v>
      </c>
    </row>
    <row r="1355" spans="1:7" x14ac:dyDescent="0.25">
      <c r="A1355" s="8">
        <v>17</v>
      </c>
      <c r="B1355" s="8">
        <v>32</v>
      </c>
      <c r="C1355" s="8">
        <v>1454.52478</v>
      </c>
      <c r="D1355" s="8">
        <v>100807.71875</v>
      </c>
      <c r="E1355" s="8">
        <v>100829.84375</v>
      </c>
      <c r="F1355" s="8">
        <f t="shared" ref="F1355:F1418" si="42">E1355-D1355</f>
        <v>22.125</v>
      </c>
      <c r="G1355" s="8">
        <f t="shared" ref="G1355:G1418" si="43">F1355/1000</f>
        <v>2.2124999999999999E-2</v>
      </c>
    </row>
    <row r="1356" spans="1:7" x14ac:dyDescent="0.25">
      <c r="A1356" s="8">
        <v>17</v>
      </c>
      <c r="B1356" s="8">
        <v>33</v>
      </c>
      <c r="C1356" s="8">
        <v>4001.1420899999998</v>
      </c>
      <c r="D1356" s="8">
        <v>102297.25</v>
      </c>
      <c r="E1356" s="8">
        <v>102324.515625</v>
      </c>
      <c r="F1356" s="8">
        <f t="shared" si="42"/>
        <v>27.265625</v>
      </c>
      <c r="G1356" s="8">
        <f t="shared" si="43"/>
        <v>2.7265625000000002E-2</v>
      </c>
    </row>
    <row r="1357" spans="1:7" x14ac:dyDescent="0.25">
      <c r="A1357" s="8">
        <v>17</v>
      </c>
      <c r="B1357" s="8">
        <v>34</v>
      </c>
      <c r="C1357" s="8">
        <v>3026.7966310000002</v>
      </c>
      <c r="D1357" s="8">
        <v>106328.445313</v>
      </c>
      <c r="E1357" s="8">
        <v>106352.625</v>
      </c>
      <c r="F1357" s="8">
        <f t="shared" si="42"/>
        <v>24.179686999996193</v>
      </c>
      <c r="G1357" s="8">
        <f t="shared" si="43"/>
        <v>2.4179686999996192E-2</v>
      </c>
    </row>
    <row r="1358" spans="1:7" x14ac:dyDescent="0.25">
      <c r="A1358" s="8">
        <v>17</v>
      </c>
      <c r="B1358" s="8">
        <v>35</v>
      </c>
      <c r="C1358" s="8">
        <v>958.88324</v>
      </c>
      <c r="D1358" s="8">
        <v>109391.820313</v>
      </c>
      <c r="E1358" s="8">
        <v>109403.21875</v>
      </c>
      <c r="F1358" s="8">
        <f t="shared" si="42"/>
        <v>11.398436999996193</v>
      </c>
      <c r="G1358" s="8">
        <f t="shared" si="43"/>
        <v>1.1398436999996193E-2</v>
      </c>
    </row>
    <row r="1359" spans="1:7" x14ac:dyDescent="0.25">
      <c r="A1359" s="8">
        <v>17</v>
      </c>
      <c r="B1359" s="8">
        <v>36</v>
      </c>
      <c r="C1359" s="8">
        <v>921.28356900000006</v>
      </c>
      <c r="D1359" s="8">
        <v>110361.523438</v>
      </c>
      <c r="E1359" s="8">
        <v>110368.75</v>
      </c>
      <c r="F1359" s="8">
        <f t="shared" si="42"/>
        <v>7.2265619999961928</v>
      </c>
      <c r="G1359" s="8">
        <f t="shared" si="43"/>
        <v>7.2265619999961929E-3</v>
      </c>
    </row>
    <row r="1360" spans="1:7" x14ac:dyDescent="0.25">
      <c r="A1360" s="8">
        <v>17</v>
      </c>
      <c r="B1360" s="8">
        <v>37</v>
      </c>
      <c r="C1360" s="8">
        <v>78.360900999999998</v>
      </c>
      <c r="D1360" s="8">
        <v>111299.101563</v>
      </c>
      <c r="E1360" s="8">
        <v>111309.3125</v>
      </c>
      <c r="F1360" s="8">
        <f t="shared" si="42"/>
        <v>10.210936999996193</v>
      </c>
      <c r="G1360" s="8">
        <f t="shared" si="43"/>
        <v>1.0210936999996192E-2</v>
      </c>
    </row>
    <row r="1361" spans="1:7" x14ac:dyDescent="0.25">
      <c r="A1361" s="8">
        <v>17</v>
      </c>
      <c r="B1361" s="8">
        <v>38</v>
      </c>
      <c r="C1361" s="8">
        <v>1850.0223390000001</v>
      </c>
      <c r="D1361" s="8">
        <v>111392.875</v>
      </c>
      <c r="E1361" s="8">
        <v>111415.15625</v>
      </c>
      <c r="F1361" s="8">
        <f t="shared" si="42"/>
        <v>22.28125</v>
      </c>
      <c r="G1361" s="8">
        <f t="shared" si="43"/>
        <v>2.2281249999999999E-2</v>
      </c>
    </row>
    <row r="1362" spans="1:7" x14ac:dyDescent="0.25">
      <c r="A1362" s="8">
        <v>17</v>
      </c>
      <c r="B1362" s="8">
        <v>39</v>
      </c>
      <c r="C1362" s="8">
        <v>614.00518799999998</v>
      </c>
      <c r="D1362" s="8">
        <v>113268.75</v>
      </c>
      <c r="E1362" s="8">
        <v>113427</v>
      </c>
      <c r="F1362" s="8">
        <f t="shared" si="42"/>
        <v>158.25</v>
      </c>
      <c r="G1362" s="8">
        <f t="shared" si="43"/>
        <v>0.15825</v>
      </c>
    </row>
    <row r="1363" spans="1:7" x14ac:dyDescent="0.25">
      <c r="A1363" s="8">
        <v>17</v>
      </c>
      <c r="B1363" s="8">
        <v>40</v>
      </c>
      <c r="C1363" s="8">
        <v>1345.2738039999999</v>
      </c>
      <c r="D1363" s="8">
        <v>114050.085938</v>
      </c>
      <c r="E1363" s="8">
        <v>114058.289063</v>
      </c>
      <c r="F1363" s="8">
        <f t="shared" si="42"/>
        <v>8.203125</v>
      </c>
      <c r="G1363" s="8">
        <f t="shared" si="43"/>
        <v>8.2031250000000003E-3</v>
      </c>
    </row>
    <row r="1364" spans="1:7" x14ac:dyDescent="0.25">
      <c r="A1364" s="8">
        <v>17</v>
      </c>
      <c r="B1364" s="8">
        <v>41</v>
      </c>
      <c r="C1364" s="8">
        <v>3964.9196780000002</v>
      </c>
      <c r="D1364" s="8">
        <v>115411.273438</v>
      </c>
      <c r="E1364" s="8">
        <v>115431.554688</v>
      </c>
      <c r="F1364" s="8">
        <f t="shared" si="42"/>
        <v>20.28125</v>
      </c>
      <c r="G1364" s="8">
        <f t="shared" si="43"/>
        <v>2.0281250000000001E-2</v>
      </c>
    </row>
    <row r="1365" spans="1:7" x14ac:dyDescent="0.25">
      <c r="A1365" s="8">
        <v>17</v>
      </c>
      <c r="B1365" s="8">
        <v>42</v>
      </c>
      <c r="C1365" s="8">
        <v>170.723938</v>
      </c>
      <c r="D1365" s="8">
        <v>119407.210938</v>
      </c>
      <c r="E1365" s="8">
        <v>119428.585938</v>
      </c>
      <c r="F1365" s="8">
        <f t="shared" si="42"/>
        <v>21.375</v>
      </c>
      <c r="G1365" s="8">
        <f t="shared" si="43"/>
        <v>2.1375000000000002E-2</v>
      </c>
    </row>
    <row r="1366" spans="1:7" x14ac:dyDescent="0.25">
      <c r="A1366" s="8">
        <v>17</v>
      </c>
      <c r="B1366" s="8">
        <v>43</v>
      </c>
      <c r="C1366" s="8">
        <v>1240.2071530000001</v>
      </c>
      <c r="D1366" s="8">
        <v>119611.367188</v>
      </c>
      <c r="E1366" s="8">
        <v>119630.75</v>
      </c>
      <c r="F1366" s="8">
        <f t="shared" si="42"/>
        <v>19.382811999996193</v>
      </c>
      <c r="G1366" s="8">
        <f t="shared" si="43"/>
        <v>1.9382811999996193E-2</v>
      </c>
    </row>
    <row r="1367" spans="1:7" x14ac:dyDescent="0.25">
      <c r="A1367" s="8">
        <v>17</v>
      </c>
      <c r="B1367" s="8">
        <v>44</v>
      </c>
      <c r="C1367" s="8">
        <v>1598.935547</v>
      </c>
      <c r="D1367" s="8">
        <v>120876.96875</v>
      </c>
      <c r="E1367" s="8">
        <v>120897.359375</v>
      </c>
      <c r="F1367" s="8">
        <f t="shared" si="42"/>
        <v>20.390625</v>
      </c>
      <c r="G1367" s="8">
        <f t="shared" si="43"/>
        <v>2.0390624999999999E-2</v>
      </c>
    </row>
    <row r="1368" spans="1:7" x14ac:dyDescent="0.25">
      <c r="A1368" s="8">
        <v>17</v>
      </c>
      <c r="B1368" s="8">
        <v>45</v>
      </c>
      <c r="C1368" s="8">
        <v>122.840721</v>
      </c>
      <c r="D1368" s="8">
        <v>122502.046875</v>
      </c>
      <c r="E1368" s="8">
        <v>122511.429688</v>
      </c>
      <c r="F1368" s="8">
        <f t="shared" si="42"/>
        <v>9.3828130000038072</v>
      </c>
      <c r="G1368" s="8">
        <f t="shared" si="43"/>
        <v>9.382813000003808E-3</v>
      </c>
    </row>
    <row r="1369" spans="1:7" x14ac:dyDescent="0.25">
      <c r="A1369" s="8">
        <v>17</v>
      </c>
      <c r="B1369" s="8">
        <v>46</v>
      </c>
      <c r="C1369" s="8">
        <v>787.68866000000003</v>
      </c>
      <c r="D1369" s="8">
        <v>122642.828125</v>
      </c>
      <c r="E1369" s="8">
        <v>122659.28125</v>
      </c>
      <c r="F1369" s="8">
        <f t="shared" si="42"/>
        <v>16.453125</v>
      </c>
      <c r="G1369" s="8">
        <f t="shared" si="43"/>
        <v>1.6453124999999999E-2</v>
      </c>
    </row>
    <row r="1370" spans="1:7" x14ac:dyDescent="0.25">
      <c r="A1370" s="8">
        <v>17</v>
      </c>
      <c r="B1370" s="8">
        <v>47</v>
      </c>
      <c r="C1370" s="8">
        <v>713.77722200000005</v>
      </c>
      <c r="D1370" s="8">
        <v>123449.523438</v>
      </c>
      <c r="E1370" s="8">
        <v>123464</v>
      </c>
      <c r="F1370" s="8">
        <f t="shared" si="42"/>
        <v>14.476561999996193</v>
      </c>
      <c r="G1370" s="8">
        <f t="shared" si="43"/>
        <v>1.4476561999996192E-2</v>
      </c>
    </row>
    <row r="1371" spans="1:7" x14ac:dyDescent="0.25">
      <c r="A1371" s="8">
        <v>17</v>
      </c>
      <c r="B1371" s="8">
        <v>48</v>
      </c>
      <c r="C1371" s="8">
        <v>211.419647</v>
      </c>
      <c r="D1371" s="8">
        <v>124189.570313</v>
      </c>
      <c r="E1371" s="8">
        <v>124204.382813</v>
      </c>
      <c r="F1371" s="8">
        <f t="shared" si="42"/>
        <v>14.8125</v>
      </c>
      <c r="G1371" s="8">
        <f t="shared" si="43"/>
        <v>1.4812499999999999E-2</v>
      </c>
    </row>
    <row r="1372" spans="1:7" x14ac:dyDescent="0.25">
      <c r="A1372" s="8">
        <v>17</v>
      </c>
      <c r="B1372" s="8">
        <v>49</v>
      </c>
      <c r="C1372" s="8">
        <v>4670.7495120000003</v>
      </c>
      <c r="D1372" s="8">
        <v>124423.976563</v>
      </c>
      <c r="E1372" s="8">
        <v>124439.734375</v>
      </c>
      <c r="F1372" s="8">
        <f t="shared" si="42"/>
        <v>15.757811999996193</v>
      </c>
      <c r="G1372" s="8">
        <f t="shared" si="43"/>
        <v>1.5757811999996194E-2</v>
      </c>
    </row>
    <row r="1373" spans="1:7" x14ac:dyDescent="0.25">
      <c r="A1373" s="8">
        <v>17</v>
      </c>
      <c r="B1373" s="8">
        <v>50</v>
      </c>
      <c r="C1373" s="8">
        <v>596.41021699999999</v>
      </c>
      <c r="D1373" s="8">
        <v>129113.84375</v>
      </c>
      <c r="E1373" s="8">
        <v>129131.132813</v>
      </c>
      <c r="F1373" s="8">
        <f t="shared" si="42"/>
        <v>17.289063000003807</v>
      </c>
      <c r="G1373" s="8">
        <f t="shared" si="43"/>
        <v>1.7289063000003806E-2</v>
      </c>
    </row>
    <row r="1374" spans="1:7" x14ac:dyDescent="0.25">
      <c r="A1374" s="8">
        <v>17</v>
      </c>
      <c r="B1374" s="8">
        <v>51</v>
      </c>
      <c r="C1374" s="8">
        <v>666.63098100000002</v>
      </c>
      <c r="D1374" s="8">
        <v>129738.992188</v>
      </c>
      <c r="E1374" s="8">
        <v>129756.78125</v>
      </c>
      <c r="F1374" s="8">
        <f t="shared" si="42"/>
        <v>17.789061999996193</v>
      </c>
      <c r="G1374" s="8">
        <f t="shared" si="43"/>
        <v>1.7789061999996192E-2</v>
      </c>
    </row>
    <row r="1375" spans="1:7" x14ac:dyDescent="0.25">
      <c r="A1375" s="8">
        <v>17</v>
      </c>
      <c r="B1375" s="8">
        <v>52</v>
      </c>
      <c r="C1375" s="8">
        <v>712.73083499999996</v>
      </c>
      <c r="D1375" s="8">
        <v>130426.421875</v>
      </c>
      <c r="E1375" s="8">
        <v>130439.664063</v>
      </c>
      <c r="F1375" s="8">
        <f t="shared" si="42"/>
        <v>13.242188000003807</v>
      </c>
      <c r="G1375" s="8">
        <f t="shared" si="43"/>
        <v>1.3242188000003808E-2</v>
      </c>
    </row>
    <row r="1376" spans="1:7" x14ac:dyDescent="0.25">
      <c r="A1376" s="8">
        <v>17</v>
      </c>
      <c r="B1376" s="8">
        <v>53</v>
      </c>
      <c r="C1376" s="8">
        <v>975.81286599999999</v>
      </c>
      <c r="D1376" s="8">
        <v>131160.984375</v>
      </c>
      <c r="E1376" s="8">
        <v>131184.625</v>
      </c>
      <c r="F1376" s="8">
        <f t="shared" si="42"/>
        <v>23.640625</v>
      </c>
      <c r="G1376" s="8">
        <f t="shared" si="43"/>
        <v>2.3640624999999998E-2</v>
      </c>
    </row>
    <row r="1377" spans="1:7" x14ac:dyDescent="0.25">
      <c r="A1377" s="8">
        <v>17</v>
      </c>
      <c r="B1377" s="8">
        <v>54</v>
      </c>
      <c r="C1377" s="8">
        <v>7594.6132809999999</v>
      </c>
      <c r="D1377" s="8">
        <v>132170.765625</v>
      </c>
      <c r="E1377" s="8">
        <v>132180.734375</v>
      </c>
      <c r="F1377" s="8">
        <f t="shared" si="42"/>
        <v>9.96875</v>
      </c>
      <c r="G1377" s="8">
        <f t="shared" si="43"/>
        <v>9.9687500000000002E-3</v>
      </c>
    </row>
    <row r="1378" spans="1:7" x14ac:dyDescent="0.25">
      <c r="A1378" s="8">
        <v>17</v>
      </c>
      <c r="B1378" s="8">
        <v>55</v>
      </c>
      <c r="C1378" s="8">
        <v>965.59826699999996</v>
      </c>
      <c r="D1378" s="8">
        <v>139787.8125</v>
      </c>
      <c r="E1378" s="8">
        <v>139795.234375</v>
      </c>
      <c r="F1378" s="8">
        <f t="shared" si="42"/>
        <v>7.421875</v>
      </c>
      <c r="G1378" s="8">
        <f t="shared" si="43"/>
        <v>7.4218749999999997E-3</v>
      </c>
    </row>
    <row r="1379" spans="1:7" x14ac:dyDescent="0.25">
      <c r="A1379" s="8">
        <v>17</v>
      </c>
      <c r="B1379" s="8">
        <v>56</v>
      </c>
      <c r="C1379" s="8">
        <v>5457.2319340000004</v>
      </c>
      <c r="D1379" s="8">
        <v>140764.015625</v>
      </c>
      <c r="E1379" s="8">
        <v>140772.84375</v>
      </c>
      <c r="F1379" s="8">
        <f t="shared" si="42"/>
        <v>8.828125</v>
      </c>
      <c r="G1379" s="8">
        <f t="shared" si="43"/>
        <v>8.8281249999999992E-3</v>
      </c>
    </row>
    <row r="1380" spans="1:7" x14ac:dyDescent="0.25">
      <c r="A1380" s="8">
        <v>17</v>
      </c>
      <c r="B1380" s="8">
        <v>57</v>
      </c>
      <c r="C1380" s="8">
        <v>1616.2529300000001</v>
      </c>
      <c r="D1380" s="8">
        <v>146240.359375</v>
      </c>
      <c r="E1380" s="8">
        <v>146271.46875</v>
      </c>
      <c r="F1380" s="8">
        <f t="shared" si="42"/>
        <v>31.109375</v>
      </c>
      <c r="G1380" s="8">
        <f t="shared" si="43"/>
        <v>3.1109375000000002E-2</v>
      </c>
    </row>
    <row r="1381" spans="1:7" x14ac:dyDescent="0.25">
      <c r="A1381" s="8">
        <v>17</v>
      </c>
      <c r="B1381" s="8">
        <v>58</v>
      </c>
      <c r="C1381" s="8">
        <v>2016.042725</v>
      </c>
      <c r="D1381" s="8">
        <v>147896.734375</v>
      </c>
      <c r="E1381" s="8">
        <v>147916.234375</v>
      </c>
      <c r="F1381" s="8">
        <f t="shared" si="42"/>
        <v>19.5</v>
      </c>
      <c r="G1381" s="8">
        <f t="shared" si="43"/>
        <v>1.95E-2</v>
      </c>
    </row>
    <row r="1382" spans="1:7" x14ac:dyDescent="0.25">
      <c r="A1382" s="8">
        <v>17</v>
      </c>
      <c r="B1382" s="8">
        <v>59</v>
      </c>
      <c r="C1382" s="8">
        <v>3042.1032709999999</v>
      </c>
      <c r="D1382" s="8">
        <v>149936.296875</v>
      </c>
      <c r="E1382" s="8">
        <v>149955.640625</v>
      </c>
      <c r="F1382" s="8">
        <f t="shared" si="42"/>
        <v>19.34375</v>
      </c>
      <c r="G1382" s="8">
        <f t="shared" si="43"/>
        <v>1.934375E-2</v>
      </c>
    </row>
    <row r="1383" spans="1:7" x14ac:dyDescent="0.25">
      <c r="A1383" s="8">
        <v>17</v>
      </c>
      <c r="B1383" s="8">
        <v>60</v>
      </c>
      <c r="C1383" s="8">
        <v>110.15980500000001</v>
      </c>
      <c r="D1383" s="8">
        <v>153000.09375</v>
      </c>
      <c r="E1383" s="8">
        <v>153010.78125</v>
      </c>
      <c r="F1383" s="8">
        <f t="shared" si="42"/>
        <v>10.6875</v>
      </c>
      <c r="G1383" s="8">
        <f t="shared" si="43"/>
        <v>1.0687500000000001E-2</v>
      </c>
    </row>
    <row r="1384" spans="1:7" x14ac:dyDescent="0.25">
      <c r="A1384" s="8">
        <v>17</v>
      </c>
      <c r="B1384" s="8">
        <v>61</v>
      </c>
      <c r="C1384" s="8">
        <v>7058.4052730000003</v>
      </c>
      <c r="D1384" s="8">
        <v>153125.09375</v>
      </c>
      <c r="E1384" s="8">
        <v>153148.828125</v>
      </c>
      <c r="F1384" s="8">
        <f t="shared" si="42"/>
        <v>23.734375</v>
      </c>
      <c r="G1384" s="8">
        <f t="shared" si="43"/>
        <v>2.3734374999999999E-2</v>
      </c>
    </row>
    <row r="1385" spans="1:7" x14ac:dyDescent="0.25">
      <c r="A1385" s="8">
        <v>17</v>
      </c>
      <c r="B1385" s="8">
        <v>62</v>
      </c>
      <c r="C1385" s="8">
        <v>4962.1982420000004</v>
      </c>
      <c r="D1385" s="8">
        <v>160220.625</v>
      </c>
      <c r="E1385" s="8">
        <v>160227.859375</v>
      </c>
      <c r="F1385" s="8">
        <f t="shared" si="42"/>
        <v>7.234375</v>
      </c>
      <c r="G1385" s="8">
        <f t="shared" si="43"/>
        <v>7.2343750000000004E-3</v>
      </c>
    </row>
    <row r="1386" spans="1:7" x14ac:dyDescent="0.25">
      <c r="A1386" s="8">
        <v>17</v>
      </c>
      <c r="B1386" s="8">
        <v>63</v>
      </c>
      <c r="C1386" s="8">
        <v>3195.3325199999999</v>
      </c>
      <c r="D1386" s="8">
        <v>165202.109375</v>
      </c>
      <c r="E1386" s="8">
        <v>165226.5625</v>
      </c>
      <c r="F1386" s="8">
        <f t="shared" si="42"/>
        <v>24.453125</v>
      </c>
      <c r="G1386" s="8">
        <f t="shared" si="43"/>
        <v>2.4453124999999999E-2</v>
      </c>
    </row>
    <row r="1387" spans="1:7" x14ac:dyDescent="0.25">
      <c r="A1387" s="8">
        <v>17</v>
      </c>
      <c r="B1387" s="8">
        <v>64</v>
      </c>
      <c r="C1387" s="8">
        <v>148.44607500000001</v>
      </c>
      <c r="D1387" s="8">
        <v>168434.875</v>
      </c>
      <c r="E1387" s="8">
        <v>168458.484375</v>
      </c>
      <c r="F1387" s="8">
        <f t="shared" si="42"/>
        <v>23.609375</v>
      </c>
      <c r="G1387" s="8">
        <f t="shared" si="43"/>
        <v>2.3609374999999998E-2</v>
      </c>
    </row>
    <row r="1388" spans="1:7" x14ac:dyDescent="0.25">
      <c r="A1388" s="8">
        <v>17</v>
      </c>
      <c r="B1388" s="8">
        <v>65</v>
      </c>
      <c r="C1388" s="8">
        <v>3011.8815920000002</v>
      </c>
      <c r="D1388" s="8">
        <v>168606.8125</v>
      </c>
      <c r="E1388" s="8">
        <v>168620.859375</v>
      </c>
      <c r="F1388" s="8">
        <f t="shared" si="42"/>
        <v>14.046875</v>
      </c>
      <c r="G1388" s="8">
        <f t="shared" si="43"/>
        <v>1.4046875E-2</v>
      </c>
    </row>
    <row r="1389" spans="1:7" x14ac:dyDescent="0.25">
      <c r="A1389" s="8">
        <v>18</v>
      </c>
      <c r="B1389" s="8">
        <v>0</v>
      </c>
      <c r="C1389" s="8">
        <v>979.09643600000004</v>
      </c>
      <c r="D1389" s="8">
        <v>23425.337890999999</v>
      </c>
      <c r="E1389" s="8">
        <v>23444.896484000001</v>
      </c>
      <c r="F1389" s="8">
        <f t="shared" si="42"/>
        <v>19.558593000001565</v>
      </c>
      <c r="G1389" s="8">
        <f t="shared" si="43"/>
        <v>1.9558593000001564E-2</v>
      </c>
    </row>
    <row r="1390" spans="1:7" x14ac:dyDescent="0.25">
      <c r="A1390" s="8">
        <v>18</v>
      </c>
      <c r="B1390" s="8">
        <v>1</v>
      </c>
      <c r="C1390" s="8">
        <v>305.88174400000003</v>
      </c>
      <c r="D1390" s="8">
        <v>24427.996093999998</v>
      </c>
      <c r="E1390" s="8">
        <v>24435.785156000002</v>
      </c>
      <c r="F1390" s="8">
        <f t="shared" si="42"/>
        <v>7.7890620000034687</v>
      </c>
      <c r="G1390" s="8">
        <f t="shared" si="43"/>
        <v>7.7890620000034688E-3</v>
      </c>
    </row>
    <row r="1391" spans="1:7" x14ac:dyDescent="0.25">
      <c r="A1391" s="8">
        <v>18</v>
      </c>
      <c r="B1391" s="8">
        <v>2</v>
      </c>
      <c r="C1391" s="8">
        <v>96.213554000000002</v>
      </c>
      <c r="D1391" s="8">
        <v>24756.210938</v>
      </c>
      <c r="E1391" s="8">
        <v>24769.794922000001</v>
      </c>
      <c r="F1391" s="8">
        <f t="shared" si="42"/>
        <v>13.583984000000783</v>
      </c>
      <c r="G1391" s="8">
        <f t="shared" si="43"/>
        <v>1.3583984000000783E-2</v>
      </c>
    </row>
    <row r="1392" spans="1:7" x14ac:dyDescent="0.25">
      <c r="A1392" s="8">
        <v>18</v>
      </c>
      <c r="B1392" s="8">
        <v>3</v>
      </c>
      <c r="C1392" s="8">
        <v>10925.40625</v>
      </c>
      <c r="D1392" s="8">
        <v>24881.296875</v>
      </c>
      <c r="E1392" s="8">
        <v>24892.240234000001</v>
      </c>
      <c r="F1392" s="8">
        <f t="shared" si="42"/>
        <v>10.943359000000783</v>
      </c>
      <c r="G1392" s="8">
        <f t="shared" si="43"/>
        <v>1.0943359000000782E-2</v>
      </c>
    </row>
    <row r="1393" spans="1:7" x14ac:dyDescent="0.25">
      <c r="A1393" s="8">
        <v>18</v>
      </c>
      <c r="B1393" s="8">
        <v>4</v>
      </c>
      <c r="C1393" s="8">
        <v>300.90927099999999</v>
      </c>
      <c r="D1393" s="8">
        <v>35827.0625</v>
      </c>
      <c r="E1393" s="8">
        <v>35852.480469000002</v>
      </c>
      <c r="F1393" s="8">
        <f t="shared" si="42"/>
        <v>25.417969000001904</v>
      </c>
      <c r="G1393" s="8">
        <f t="shared" si="43"/>
        <v>2.5417969000001903E-2</v>
      </c>
    </row>
    <row r="1394" spans="1:7" x14ac:dyDescent="0.25">
      <c r="A1394" s="8">
        <v>18</v>
      </c>
      <c r="B1394" s="8">
        <v>5</v>
      </c>
      <c r="C1394" s="8">
        <v>680.47845500000005</v>
      </c>
      <c r="D1394" s="8">
        <v>36155.214844000002</v>
      </c>
      <c r="E1394" s="8">
        <v>36167.964844000002</v>
      </c>
      <c r="F1394" s="8">
        <f t="shared" si="42"/>
        <v>12.75</v>
      </c>
      <c r="G1394" s="8">
        <f t="shared" si="43"/>
        <v>1.2749999999999999E-2</v>
      </c>
    </row>
    <row r="1395" spans="1:7" x14ac:dyDescent="0.25">
      <c r="A1395" s="8">
        <v>18</v>
      </c>
      <c r="B1395" s="8">
        <v>6</v>
      </c>
      <c r="C1395" s="8">
        <v>5869.9243159999996</v>
      </c>
      <c r="D1395" s="8">
        <v>36862.777344000002</v>
      </c>
      <c r="E1395" s="8">
        <v>36883.660155999998</v>
      </c>
      <c r="F1395" s="8">
        <f t="shared" si="42"/>
        <v>20.882811999996193</v>
      </c>
      <c r="G1395" s="8">
        <f t="shared" si="43"/>
        <v>2.0882811999996191E-2</v>
      </c>
    </row>
    <row r="1396" spans="1:7" x14ac:dyDescent="0.25">
      <c r="A1396" s="8">
        <v>18</v>
      </c>
      <c r="B1396" s="8">
        <v>7</v>
      </c>
      <c r="C1396" s="8">
        <v>1930.909668</v>
      </c>
      <c r="D1396" s="8">
        <v>42767.085937999997</v>
      </c>
      <c r="E1396" s="8">
        <v>42827.191405999998</v>
      </c>
      <c r="F1396" s="8">
        <f t="shared" si="42"/>
        <v>60.105468000001565</v>
      </c>
      <c r="G1396" s="8">
        <f t="shared" si="43"/>
        <v>6.0105468000001563E-2</v>
      </c>
    </row>
    <row r="1397" spans="1:7" x14ac:dyDescent="0.25">
      <c r="A1397" s="8">
        <v>18</v>
      </c>
      <c r="B1397" s="8">
        <v>8</v>
      </c>
      <c r="C1397" s="8">
        <v>643.17358400000001</v>
      </c>
      <c r="D1397" s="8">
        <v>44771.863280999998</v>
      </c>
      <c r="E1397" s="8">
        <v>44779.242187999997</v>
      </c>
      <c r="F1397" s="8">
        <f t="shared" si="42"/>
        <v>7.3789069999984349</v>
      </c>
      <c r="G1397" s="8">
        <f t="shared" si="43"/>
        <v>7.3789069999984349E-3</v>
      </c>
    </row>
    <row r="1398" spans="1:7" x14ac:dyDescent="0.25">
      <c r="A1398" s="8">
        <v>18</v>
      </c>
      <c r="B1398" s="8">
        <v>9</v>
      </c>
      <c r="C1398" s="8">
        <v>5688.8305659999996</v>
      </c>
      <c r="D1398" s="8">
        <v>45428.171875</v>
      </c>
      <c r="E1398" s="8">
        <v>45442.734375</v>
      </c>
      <c r="F1398" s="8">
        <f t="shared" si="42"/>
        <v>14.5625</v>
      </c>
      <c r="G1398" s="8">
        <f t="shared" si="43"/>
        <v>1.4562500000000001E-2</v>
      </c>
    </row>
    <row r="1399" spans="1:7" x14ac:dyDescent="0.25">
      <c r="A1399" s="8">
        <v>18</v>
      </c>
      <c r="B1399" s="8">
        <v>10</v>
      </c>
      <c r="C1399" s="8">
        <v>1734.8760990000001</v>
      </c>
      <c r="D1399" s="8">
        <v>51143.53125</v>
      </c>
      <c r="E1399" s="8">
        <v>51160.6875</v>
      </c>
      <c r="F1399" s="8">
        <f t="shared" si="42"/>
        <v>17.15625</v>
      </c>
      <c r="G1399" s="8">
        <f t="shared" si="43"/>
        <v>1.7156250000000001E-2</v>
      </c>
    </row>
    <row r="1400" spans="1:7" x14ac:dyDescent="0.25">
      <c r="A1400" s="8">
        <v>18</v>
      </c>
      <c r="B1400" s="8">
        <v>11</v>
      </c>
      <c r="C1400" s="8">
        <v>1963.3885499999999</v>
      </c>
      <c r="D1400" s="8">
        <v>52904.730469000002</v>
      </c>
      <c r="E1400" s="8">
        <v>52921.144530999998</v>
      </c>
      <c r="F1400" s="8">
        <f t="shared" si="42"/>
        <v>16.414061999996193</v>
      </c>
      <c r="G1400" s="8">
        <f t="shared" si="43"/>
        <v>1.6414061999996194E-2</v>
      </c>
    </row>
    <row r="1401" spans="1:7" x14ac:dyDescent="0.25">
      <c r="A1401" s="8">
        <v>18</v>
      </c>
      <c r="B1401" s="8">
        <v>12</v>
      </c>
      <c r="C1401" s="8">
        <v>1321.260376</v>
      </c>
      <c r="D1401" s="8">
        <v>54894.171875</v>
      </c>
      <c r="E1401" s="8">
        <v>54905.632812999997</v>
      </c>
      <c r="F1401" s="8">
        <f t="shared" si="42"/>
        <v>11.460937999996531</v>
      </c>
      <c r="G1401" s="8">
        <f t="shared" si="43"/>
        <v>1.1460937999996531E-2</v>
      </c>
    </row>
    <row r="1402" spans="1:7" x14ac:dyDescent="0.25">
      <c r="A1402" s="8">
        <v>18</v>
      </c>
      <c r="B1402" s="8">
        <v>13</v>
      </c>
      <c r="C1402" s="8">
        <v>3277.5295409999999</v>
      </c>
      <c r="D1402" s="8">
        <v>56238.105469000002</v>
      </c>
      <c r="E1402" s="8">
        <v>56249.511719000002</v>
      </c>
      <c r="F1402" s="8">
        <f t="shared" si="42"/>
        <v>11.40625</v>
      </c>
      <c r="G1402" s="8">
        <f t="shared" si="43"/>
        <v>1.140625E-2</v>
      </c>
    </row>
    <row r="1403" spans="1:7" x14ac:dyDescent="0.25">
      <c r="A1403" s="8">
        <v>18</v>
      </c>
      <c r="B1403" s="8">
        <v>14</v>
      </c>
      <c r="C1403" s="8">
        <v>21.107683000000002</v>
      </c>
      <c r="D1403" s="8">
        <v>59528.554687999997</v>
      </c>
      <c r="E1403" s="8">
        <v>59543.765625</v>
      </c>
      <c r="F1403" s="8">
        <f t="shared" si="42"/>
        <v>15.210937000003469</v>
      </c>
      <c r="G1403" s="8">
        <f t="shared" si="43"/>
        <v>1.5210937000003468E-2</v>
      </c>
    </row>
    <row r="1404" spans="1:7" x14ac:dyDescent="0.25">
      <c r="A1404" s="8">
        <v>18</v>
      </c>
      <c r="B1404" s="8">
        <v>15</v>
      </c>
      <c r="C1404" s="8">
        <v>3176.719482</v>
      </c>
      <c r="D1404" s="8">
        <v>59575.449219000002</v>
      </c>
      <c r="E1404" s="8">
        <v>59586.910155999998</v>
      </c>
      <c r="F1404" s="8">
        <f t="shared" si="42"/>
        <v>11.460936999996193</v>
      </c>
      <c r="G1404" s="8">
        <f t="shared" si="43"/>
        <v>1.1460936999996193E-2</v>
      </c>
    </row>
    <row r="1405" spans="1:7" x14ac:dyDescent="0.25">
      <c r="A1405" s="8">
        <v>18</v>
      </c>
      <c r="B1405" s="8">
        <v>16</v>
      </c>
      <c r="C1405" s="8">
        <v>12476.587890999999</v>
      </c>
      <c r="D1405" s="8">
        <v>62766.609375</v>
      </c>
      <c r="E1405" s="8">
        <v>62780.472655999998</v>
      </c>
      <c r="F1405" s="8">
        <f t="shared" si="42"/>
        <v>13.863280999998096</v>
      </c>
      <c r="G1405" s="8">
        <f t="shared" si="43"/>
        <v>1.3863280999998097E-2</v>
      </c>
    </row>
    <row r="1406" spans="1:7" x14ac:dyDescent="0.25">
      <c r="A1406" s="8">
        <v>18</v>
      </c>
      <c r="B1406" s="8">
        <v>17</v>
      </c>
      <c r="C1406" s="8">
        <v>5927.0214839999999</v>
      </c>
      <c r="D1406" s="8">
        <v>75268.273438000004</v>
      </c>
      <c r="E1406" s="8">
        <v>75367.492188000004</v>
      </c>
      <c r="F1406" s="8">
        <f t="shared" si="42"/>
        <v>99.21875</v>
      </c>
      <c r="G1406" s="8">
        <f t="shared" si="43"/>
        <v>9.9218749999999994E-2</v>
      </c>
    </row>
    <row r="1407" spans="1:7" x14ac:dyDescent="0.25">
      <c r="A1407" s="8">
        <v>18</v>
      </c>
      <c r="B1407" s="8">
        <v>18</v>
      </c>
      <c r="C1407" s="8">
        <v>530.400757</v>
      </c>
      <c r="D1407" s="8">
        <v>81302.023438000004</v>
      </c>
      <c r="E1407" s="8">
        <v>81316.90625</v>
      </c>
      <c r="F1407" s="8">
        <f t="shared" si="42"/>
        <v>14.882811999996193</v>
      </c>
      <c r="G1407" s="8">
        <f t="shared" si="43"/>
        <v>1.4882811999996193E-2</v>
      </c>
    </row>
    <row r="1408" spans="1:7" x14ac:dyDescent="0.25">
      <c r="A1408" s="8">
        <v>18</v>
      </c>
      <c r="B1408" s="8">
        <v>19</v>
      </c>
      <c r="C1408" s="8">
        <v>104.621101</v>
      </c>
      <c r="D1408" s="8">
        <v>81853.820313000004</v>
      </c>
      <c r="E1408" s="8">
        <v>81864.78125</v>
      </c>
      <c r="F1408" s="8">
        <f t="shared" si="42"/>
        <v>10.960936999996193</v>
      </c>
      <c r="G1408" s="8">
        <f t="shared" si="43"/>
        <v>1.0960936999996193E-2</v>
      </c>
    </row>
    <row r="1409" spans="1:7" x14ac:dyDescent="0.25">
      <c r="A1409" s="8">
        <v>18</v>
      </c>
      <c r="B1409" s="8">
        <v>20</v>
      </c>
      <c r="C1409" s="8">
        <v>3736.9016109999998</v>
      </c>
      <c r="D1409" s="8">
        <v>81978.828125</v>
      </c>
      <c r="E1409" s="8">
        <v>81993.578125</v>
      </c>
      <c r="F1409" s="8">
        <f t="shared" si="42"/>
        <v>14.75</v>
      </c>
      <c r="G1409" s="8">
        <f t="shared" si="43"/>
        <v>1.4749999999999999E-2</v>
      </c>
    </row>
    <row r="1410" spans="1:7" x14ac:dyDescent="0.25">
      <c r="A1410" s="8">
        <v>18</v>
      </c>
      <c r="B1410" s="8">
        <v>21</v>
      </c>
      <c r="C1410" s="8">
        <v>1099.9910890000001</v>
      </c>
      <c r="D1410" s="8">
        <v>85737.039063000004</v>
      </c>
      <c r="E1410" s="8">
        <v>85749.570313000004</v>
      </c>
      <c r="F1410" s="8">
        <f t="shared" si="42"/>
        <v>12.53125</v>
      </c>
      <c r="G1410" s="8">
        <f t="shared" si="43"/>
        <v>1.2531250000000001E-2</v>
      </c>
    </row>
    <row r="1411" spans="1:7" x14ac:dyDescent="0.25">
      <c r="A1411" s="8">
        <v>18</v>
      </c>
      <c r="B1411" s="8">
        <v>22</v>
      </c>
      <c r="C1411" s="8">
        <v>406.67224099999999</v>
      </c>
      <c r="D1411" s="8">
        <v>86862.15625</v>
      </c>
      <c r="E1411" s="8">
        <v>86880.273438000004</v>
      </c>
      <c r="F1411" s="8">
        <f t="shared" si="42"/>
        <v>18.117188000003807</v>
      </c>
      <c r="G1411" s="8">
        <f t="shared" si="43"/>
        <v>1.8117188000003809E-2</v>
      </c>
    </row>
    <row r="1412" spans="1:7" x14ac:dyDescent="0.25">
      <c r="A1412" s="8">
        <v>18</v>
      </c>
      <c r="B1412" s="8">
        <v>23</v>
      </c>
      <c r="C1412" s="8">
        <v>3114.641846</v>
      </c>
      <c r="D1412" s="8">
        <v>87301.351563000004</v>
      </c>
      <c r="E1412" s="8">
        <v>87317.695313000004</v>
      </c>
      <c r="F1412" s="8">
        <f t="shared" si="42"/>
        <v>16.34375</v>
      </c>
      <c r="G1412" s="8">
        <f t="shared" si="43"/>
        <v>1.6343750000000001E-2</v>
      </c>
    </row>
    <row r="1413" spans="1:7" x14ac:dyDescent="0.25">
      <c r="A1413" s="8">
        <v>18</v>
      </c>
      <c r="B1413" s="8">
        <v>24</v>
      </c>
      <c r="C1413" s="8">
        <v>2448.039307</v>
      </c>
      <c r="D1413" s="8">
        <v>90432.960938000004</v>
      </c>
      <c r="E1413" s="8">
        <v>90444.804688000004</v>
      </c>
      <c r="F1413" s="8">
        <f t="shared" si="42"/>
        <v>11.84375</v>
      </c>
      <c r="G1413" s="8">
        <f t="shared" si="43"/>
        <v>1.184375E-2</v>
      </c>
    </row>
    <row r="1414" spans="1:7" x14ac:dyDescent="0.25">
      <c r="A1414" s="8">
        <v>18</v>
      </c>
      <c r="B1414" s="8">
        <v>25</v>
      </c>
      <c r="C1414" s="8">
        <v>139.59085099999999</v>
      </c>
      <c r="D1414" s="8">
        <v>92904.070313000004</v>
      </c>
      <c r="E1414" s="8">
        <v>92918.75</v>
      </c>
      <c r="F1414" s="8">
        <f t="shared" si="42"/>
        <v>14.679686999996193</v>
      </c>
      <c r="G1414" s="8">
        <f t="shared" si="43"/>
        <v>1.4679686999996193E-2</v>
      </c>
    </row>
    <row r="1415" spans="1:7" x14ac:dyDescent="0.25">
      <c r="A1415" s="8">
        <v>18</v>
      </c>
      <c r="B1415" s="8">
        <v>26</v>
      </c>
      <c r="C1415" s="8">
        <v>500.93786599999999</v>
      </c>
      <c r="D1415" s="8">
        <v>93060.351563000004</v>
      </c>
      <c r="E1415" s="8">
        <v>93072.257813000004</v>
      </c>
      <c r="F1415" s="8">
        <f t="shared" si="42"/>
        <v>11.90625</v>
      </c>
      <c r="G1415" s="8">
        <f t="shared" si="43"/>
        <v>1.190625E-2</v>
      </c>
    </row>
    <row r="1416" spans="1:7" x14ac:dyDescent="0.25">
      <c r="A1416" s="8">
        <v>18</v>
      </c>
      <c r="B1416" s="8">
        <v>27</v>
      </c>
      <c r="C1416" s="8">
        <v>3487.4125979999999</v>
      </c>
      <c r="D1416" s="8">
        <v>93576.265625</v>
      </c>
      <c r="E1416" s="8">
        <v>93596.9375</v>
      </c>
      <c r="F1416" s="8">
        <f t="shared" si="42"/>
        <v>20.671875</v>
      </c>
      <c r="G1416" s="8">
        <f t="shared" si="43"/>
        <v>2.0671874999999999E-2</v>
      </c>
    </row>
    <row r="1417" spans="1:7" x14ac:dyDescent="0.25">
      <c r="A1417" s="8">
        <v>18</v>
      </c>
      <c r="B1417" s="8">
        <v>28</v>
      </c>
      <c r="C1417" s="8">
        <v>7096.2216799999997</v>
      </c>
      <c r="D1417" s="8">
        <v>97087.359375</v>
      </c>
      <c r="E1417" s="8">
        <v>97179.945313000004</v>
      </c>
      <c r="F1417" s="8">
        <f t="shared" si="42"/>
        <v>92.585938000003807</v>
      </c>
      <c r="G1417" s="8">
        <f t="shared" si="43"/>
        <v>9.2585938000003809E-2</v>
      </c>
    </row>
    <row r="1418" spans="1:7" x14ac:dyDescent="0.25">
      <c r="A1418" s="8">
        <v>18</v>
      </c>
      <c r="B1418" s="8">
        <v>29</v>
      </c>
      <c r="C1418" s="8">
        <v>2396.6044919999999</v>
      </c>
      <c r="D1418" s="8">
        <v>104284.632813</v>
      </c>
      <c r="E1418" s="8">
        <v>104311.429688</v>
      </c>
      <c r="F1418" s="8">
        <f t="shared" si="42"/>
        <v>26.796875</v>
      </c>
      <c r="G1418" s="8">
        <f t="shared" si="43"/>
        <v>2.6796875000000001E-2</v>
      </c>
    </row>
    <row r="1419" spans="1:7" x14ac:dyDescent="0.25">
      <c r="A1419" s="8">
        <v>18</v>
      </c>
      <c r="B1419" s="8">
        <v>30</v>
      </c>
      <c r="C1419" s="8">
        <v>1069.6484379999999</v>
      </c>
      <c r="D1419" s="8">
        <v>106719.140625</v>
      </c>
      <c r="E1419" s="8">
        <v>106728.09375</v>
      </c>
      <c r="F1419" s="8">
        <f t="shared" ref="F1419:F1482" si="44">E1419-D1419</f>
        <v>8.953125</v>
      </c>
      <c r="G1419" s="8">
        <f t="shared" ref="G1419:G1482" si="45">F1419/1000</f>
        <v>8.9531249999999993E-3</v>
      </c>
    </row>
    <row r="1420" spans="1:7" x14ac:dyDescent="0.25">
      <c r="A1420" s="8">
        <v>18</v>
      </c>
      <c r="B1420" s="8">
        <v>31</v>
      </c>
      <c r="C1420" s="8">
        <v>4520.7329099999997</v>
      </c>
      <c r="D1420" s="8">
        <v>107797.976563</v>
      </c>
      <c r="E1420" s="8">
        <v>107808.960938</v>
      </c>
      <c r="F1420" s="8">
        <f t="shared" si="44"/>
        <v>10.984375</v>
      </c>
      <c r="G1420" s="8">
        <f t="shared" si="45"/>
        <v>1.0984374999999999E-2</v>
      </c>
    </row>
    <row r="1421" spans="1:7" x14ac:dyDescent="0.25">
      <c r="A1421" s="8">
        <v>18</v>
      </c>
      <c r="B1421" s="8">
        <v>32</v>
      </c>
      <c r="C1421" s="8">
        <v>213.38812300000001</v>
      </c>
      <c r="D1421" s="8">
        <v>112334.601563</v>
      </c>
      <c r="E1421" s="8">
        <v>112353.09375</v>
      </c>
      <c r="F1421" s="8">
        <f t="shared" si="44"/>
        <v>18.492186999996193</v>
      </c>
      <c r="G1421" s="8">
        <f t="shared" si="45"/>
        <v>1.8492186999996194E-2</v>
      </c>
    </row>
    <row r="1422" spans="1:7" x14ac:dyDescent="0.25">
      <c r="A1422" s="8">
        <v>18</v>
      </c>
      <c r="B1422" s="8">
        <v>33</v>
      </c>
      <c r="C1422" s="8">
        <v>1097.030884</v>
      </c>
      <c r="D1422" s="8">
        <v>112571.507813</v>
      </c>
      <c r="E1422" s="8">
        <v>112589.6875</v>
      </c>
      <c r="F1422" s="8">
        <f t="shared" si="44"/>
        <v>18.179686999996193</v>
      </c>
      <c r="G1422" s="8">
        <f t="shared" si="45"/>
        <v>1.8179686999996194E-2</v>
      </c>
    </row>
    <row r="1423" spans="1:7" x14ac:dyDescent="0.25">
      <c r="A1423" s="8">
        <v>18</v>
      </c>
      <c r="B1423" s="8">
        <v>34</v>
      </c>
      <c r="C1423" s="8">
        <v>1326.7033690000001</v>
      </c>
      <c r="D1423" s="8">
        <v>113690.671875</v>
      </c>
      <c r="E1423" s="8">
        <v>113702.054688</v>
      </c>
      <c r="F1423" s="8">
        <f t="shared" si="44"/>
        <v>11.382813000003807</v>
      </c>
      <c r="G1423" s="8">
        <f t="shared" si="45"/>
        <v>1.1382813000003808E-2</v>
      </c>
    </row>
    <row r="1424" spans="1:7" x14ac:dyDescent="0.25">
      <c r="A1424" s="8">
        <v>18</v>
      </c>
      <c r="B1424" s="8">
        <v>35</v>
      </c>
      <c r="C1424" s="8">
        <v>458.19418300000001</v>
      </c>
      <c r="D1424" s="8">
        <v>115036.179688</v>
      </c>
      <c r="E1424" s="8">
        <v>115048.421875</v>
      </c>
      <c r="F1424" s="8">
        <f t="shared" si="44"/>
        <v>12.242186999996193</v>
      </c>
      <c r="G1424" s="8">
        <f t="shared" si="45"/>
        <v>1.2242186999996192E-2</v>
      </c>
    </row>
    <row r="1425" spans="1:7" x14ac:dyDescent="0.25">
      <c r="A1425" s="8">
        <v>18</v>
      </c>
      <c r="B1425" s="8">
        <v>36</v>
      </c>
      <c r="C1425" s="8">
        <v>4030.6911620000001</v>
      </c>
      <c r="D1425" s="8">
        <v>115520.632813</v>
      </c>
      <c r="E1425" s="8">
        <v>115531.71875</v>
      </c>
      <c r="F1425" s="8">
        <f t="shared" si="44"/>
        <v>11.085936999996193</v>
      </c>
      <c r="G1425" s="8">
        <f t="shared" si="45"/>
        <v>1.1085936999996193E-2</v>
      </c>
    </row>
    <row r="1426" spans="1:7" x14ac:dyDescent="0.25">
      <c r="A1426" s="8">
        <v>18</v>
      </c>
      <c r="B1426" s="8">
        <v>37</v>
      </c>
      <c r="C1426" s="8">
        <v>656.265625</v>
      </c>
      <c r="D1426" s="8">
        <v>119564.28125</v>
      </c>
      <c r="E1426" s="8">
        <v>119571.742188</v>
      </c>
      <c r="F1426" s="8">
        <f t="shared" si="44"/>
        <v>7.4609380000038072</v>
      </c>
      <c r="G1426" s="8">
        <f t="shared" si="45"/>
        <v>7.4609380000038071E-3</v>
      </c>
    </row>
    <row r="1427" spans="1:7" x14ac:dyDescent="0.25">
      <c r="A1427" s="8">
        <v>18</v>
      </c>
      <c r="B1427" s="8">
        <v>38</v>
      </c>
      <c r="C1427" s="8">
        <v>2793.141357</v>
      </c>
      <c r="D1427" s="8">
        <v>120234.164063</v>
      </c>
      <c r="E1427" s="8">
        <v>120245.515625</v>
      </c>
      <c r="F1427" s="8">
        <f t="shared" si="44"/>
        <v>11.351561999996193</v>
      </c>
      <c r="G1427" s="8">
        <f t="shared" si="45"/>
        <v>1.1351561999996193E-2</v>
      </c>
    </row>
    <row r="1428" spans="1:7" x14ac:dyDescent="0.25">
      <c r="A1428" s="8">
        <v>18</v>
      </c>
      <c r="B1428" s="8">
        <v>39</v>
      </c>
      <c r="C1428" s="8">
        <v>7189.5649409999996</v>
      </c>
      <c r="D1428" s="8">
        <v>123050.734375</v>
      </c>
      <c r="E1428" s="8">
        <v>123066.9375</v>
      </c>
      <c r="F1428" s="8">
        <f t="shared" si="44"/>
        <v>16.203125</v>
      </c>
      <c r="G1428" s="8">
        <f t="shared" si="45"/>
        <v>1.6203124999999999E-2</v>
      </c>
    </row>
    <row r="1429" spans="1:7" x14ac:dyDescent="0.25">
      <c r="A1429" s="8">
        <v>18</v>
      </c>
      <c r="B1429" s="8">
        <v>40</v>
      </c>
      <c r="C1429" s="8">
        <v>1714.059082</v>
      </c>
      <c r="D1429" s="8">
        <v>130270.25</v>
      </c>
      <c r="E1429" s="8">
        <v>130287.09375</v>
      </c>
      <c r="F1429" s="8">
        <f t="shared" si="44"/>
        <v>16.84375</v>
      </c>
      <c r="G1429" s="8">
        <f t="shared" si="45"/>
        <v>1.6843750000000001E-2</v>
      </c>
    </row>
    <row r="1430" spans="1:7" x14ac:dyDescent="0.25">
      <c r="A1430" s="8">
        <v>18</v>
      </c>
      <c r="B1430" s="8">
        <v>41</v>
      </c>
      <c r="C1430" s="8">
        <v>5723.7612300000001</v>
      </c>
      <c r="D1430" s="8">
        <v>132014.53125</v>
      </c>
      <c r="E1430" s="8">
        <v>132025.515625</v>
      </c>
      <c r="F1430" s="8">
        <f t="shared" si="44"/>
        <v>10.984375</v>
      </c>
      <c r="G1430" s="8">
        <f t="shared" si="45"/>
        <v>1.0984374999999999E-2</v>
      </c>
    </row>
    <row r="1431" spans="1:7" x14ac:dyDescent="0.25">
      <c r="A1431" s="8">
        <v>18</v>
      </c>
      <c r="B1431" s="8">
        <v>42</v>
      </c>
      <c r="C1431" s="8">
        <v>4953.4609380000002</v>
      </c>
      <c r="D1431" s="8">
        <v>137749.953125</v>
      </c>
      <c r="E1431" s="8">
        <v>137764.921875</v>
      </c>
      <c r="F1431" s="8">
        <f t="shared" si="44"/>
        <v>14.96875</v>
      </c>
      <c r="G1431" s="8">
        <f t="shared" si="45"/>
        <v>1.4968749999999999E-2</v>
      </c>
    </row>
    <row r="1432" spans="1:7" x14ac:dyDescent="0.25">
      <c r="A1432" s="8">
        <v>18</v>
      </c>
      <c r="B1432" s="8">
        <v>43</v>
      </c>
      <c r="C1432" s="8">
        <v>1231.6014399999999</v>
      </c>
      <c r="D1432" s="8">
        <v>142718.359375</v>
      </c>
      <c r="E1432" s="8">
        <v>142741.34375</v>
      </c>
      <c r="F1432" s="8">
        <f t="shared" si="44"/>
        <v>22.984375</v>
      </c>
      <c r="G1432" s="8">
        <f t="shared" si="45"/>
        <v>2.2984375000000001E-2</v>
      </c>
    </row>
    <row r="1433" spans="1:7" x14ac:dyDescent="0.25">
      <c r="A1433" s="8">
        <v>18</v>
      </c>
      <c r="B1433" s="8">
        <v>44</v>
      </c>
      <c r="C1433" s="8">
        <v>4152.484375</v>
      </c>
      <c r="D1433" s="8">
        <v>143978.65625</v>
      </c>
      <c r="E1433" s="8">
        <v>144007.71875</v>
      </c>
      <c r="F1433" s="8">
        <f t="shared" si="44"/>
        <v>29.0625</v>
      </c>
      <c r="G1433" s="8">
        <f t="shared" si="45"/>
        <v>2.9062500000000002E-2</v>
      </c>
    </row>
    <row r="1434" spans="1:7" x14ac:dyDescent="0.25">
      <c r="A1434" s="8">
        <v>18</v>
      </c>
      <c r="B1434" s="8">
        <v>45</v>
      </c>
      <c r="C1434" s="8">
        <v>2298.889404</v>
      </c>
      <c r="D1434" s="8">
        <v>148165.125</v>
      </c>
      <c r="E1434" s="8">
        <v>148175.953125</v>
      </c>
      <c r="F1434" s="8">
        <f t="shared" si="44"/>
        <v>10.828125</v>
      </c>
      <c r="G1434" s="8">
        <f t="shared" si="45"/>
        <v>1.0828124999999999E-2</v>
      </c>
    </row>
    <row r="1435" spans="1:7" x14ac:dyDescent="0.25">
      <c r="A1435" s="8">
        <v>18</v>
      </c>
      <c r="B1435" s="8">
        <v>46</v>
      </c>
      <c r="C1435" s="8">
        <v>45.810177000000003</v>
      </c>
      <c r="D1435" s="8">
        <v>150483.25</v>
      </c>
      <c r="E1435" s="8">
        <v>150508.25</v>
      </c>
      <c r="F1435" s="8">
        <f t="shared" si="44"/>
        <v>25</v>
      </c>
      <c r="G1435" s="8">
        <f t="shared" si="45"/>
        <v>2.5000000000000001E-2</v>
      </c>
    </row>
    <row r="1436" spans="1:7" x14ac:dyDescent="0.25">
      <c r="A1436" s="8">
        <v>18</v>
      </c>
      <c r="B1436" s="8">
        <v>47</v>
      </c>
      <c r="C1436" s="8">
        <v>1143.8428960000001</v>
      </c>
      <c r="D1436" s="8">
        <v>150561.375</v>
      </c>
      <c r="E1436" s="8">
        <v>150570.234375</v>
      </c>
      <c r="F1436" s="8">
        <f t="shared" si="44"/>
        <v>8.859375</v>
      </c>
      <c r="G1436" s="8">
        <f t="shared" si="45"/>
        <v>8.8593749999999992E-3</v>
      </c>
    </row>
    <row r="1437" spans="1:7" x14ac:dyDescent="0.25">
      <c r="A1437" s="8">
        <v>18</v>
      </c>
      <c r="B1437" s="8">
        <v>48</v>
      </c>
      <c r="C1437" s="8">
        <v>501.64382899999998</v>
      </c>
      <c r="D1437" s="8">
        <v>151717.765625</v>
      </c>
      <c r="E1437" s="8">
        <v>151730.5625</v>
      </c>
      <c r="F1437" s="8">
        <f t="shared" si="44"/>
        <v>12.796875</v>
      </c>
      <c r="G1437" s="8">
        <f t="shared" si="45"/>
        <v>1.2796874999999999E-2</v>
      </c>
    </row>
    <row r="1438" spans="1:7" x14ac:dyDescent="0.25">
      <c r="A1438" s="8">
        <v>18</v>
      </c>
      <c r="B1438" s="8">
        <v>49</v>
      </c>
      <c r="C1438" s="8">
        <v>804.957581</v>
      </c>
      <c r="D1438" s="8">
        <v>152234.40625</v>
      </c>
      <c r="E1438" s="8">
        <v>152254.578125</v>
      </c>
      <c r="F1438" s="8">
        <f t="shared" si="44"/>
        <v>20.171875</v>
      </c>
      <c r="G1438" s="8">
        <f t="shared" si="45"/>
        <v>2.0171874999999999E-2</v>
      </c>
    </row>
    <row r="1439" spans="1:7" x14ac:dyDescent="0.25">
      <c r="A1439" s="8">
        <v>18</v>
      </c>
      <c r="B1439" s="8">
        <v>50</v>
      </c>
      <c r="C1439" s="8">
        <v>1259.8206789999999</v>
      </c>
      <c r="D1439" s="8">
        <v>153062.625</v>
      </c>
      <c r="E1439" s="8">
        <v>153085</v>
      </c>
      <c r="F1439" s="8">
        <f t="shared" si="44"/>
        <v>22.375</v>
      </c>
      <c r="G1439" s="8">
        <f t="shared" si="45"/>
        <v>2.2374999999999999E-2</v>
      </c>
    </row>
    <row r="1440" spans="1:7" x14ac:dyDescent="0.25">
      <c r="A1440" s="8">
        <v>18</v>
      </c>
      <c r="B1440" s="8">
        <v>51</v>
      </c>
      <c r="C1440" s="8">
        <v>1627.92749</v>
      </c>
      <c r="D1440" s="8">
        <v>154359.6875</v>
      </c>
      <c r="E1440" s="8">
        <v>154381.28125</v>
      </c>
      <c r="F1440" s="8">
        <f t="shared" si="44"/>
        <v>21.59375</v>
      </c>
      <c r="G1440" s="8">
        <f t="shared" si="45"/>
        <v>2.1593749999999998E-2</v>
      </c>
    </row>
    <row r="1441" spans="1:7" x14ac:dyDescent="0.25">
      <c r="A1441" s="8">
        <v>18</v>
      </c>
      <c r="B1441" s="8">
        <v>52</v>
      </c>
      <c r="C1441" s="8">
        <v>1947.0024410000001</v>
      </c>
      <c r="D1441" s="8">
        <v>156016.09375</v>
      </c>
      <c r="E1441" s="8">
        <v>156027.75</v>
      </c>
      <c r="F1441" s="8">
        <f t="shared" si="44"/>
        <v>11.65625</v>
      </c>
      <c r="G1441" s="8">
        <f t="shared" si="45"/>
        <v>1.165625E-2</v>
      </c>
    </row>
    <row r="1442" spans="1:7" x14ac:dyDescent="0.25">
      <c r="A1442" s="8">
        <v>18</v>
      </c>
      <c r="B1442" s="8">
        <v>53</v>
      </c>
      <c r="C1442" s="8">
        <v>1175.3414310000001</v>
      </c>
      <c r="D1442" s="8">
        <v>157985.09375</v>
      </c>
      <c r="E1442" s="8">
        <v>157996.625</v>
      </c>
      <c r="F1442" s="8">
        <f t="shared" si="44"/>
        <v>11.53125</v>
      </c>
      <c r="G1442" s="8">
        <f t="shared" si="45"/>
        <v>1.153125E-2</v>
      </c>
    </row>
    <row r="1443" spans="1:7" x14ac:dyDescent="0.25">
      <c r="A1443" s="8">
        <v>18</v>
      </c>
      <c r="B1443" s="8">
        <v>54</v>
      </c>
      <c r="C1443" s="8">
        <v>903.65637200000003</v>
      </c>
      <c r="D1443" s="8">
        <v>159173.765625</v>
      </c>
      <c r="E1443" s="8">
        <v>159185.484375</v>
      </c>
      <c r="F1443" s="8">
        <f t="shared" si="44"/>
        <v>11.71875</v>
      </c>
      <c r="G1443" s="8">
        <f t="shared" si="45"/>
        <v>1.171875E-2</v>
      </c>
    </row>
    <row r="1444" spans="1:7" x14ac:dyDescent="0.25">
      <c r="A1444" s="8">
        <v>18</v>
      </c>
      <c r="B1444" s="8">
        <v>55</v>
      </c>
      <c r="C1444" s="8">
        <v>1985.9970699999999</v>
      </c>
      <c r="D1444" s="8">
        <v>160095.640625</v>
      </c>
      <c r="E1444" s="8">
        <v>160103.40625</v>
      </c>
      <c r="F1444" s="8">
        <f t="shared" si="44"/>
        <v>7.765625</v>
      </c>
      <c r="G1444" s="8">
        <f t="shared" si="45"/>
        <v>7.765625E-3</v>
      </c>
    </row>
    <row r="1445" spans="1:7" x14ac:dyDescent="0.25">
      <c r="A1445" s="8">
        <v>18</v>
      </c>
      <c r="B1445" s="8">
        <v>56</v>
      </c>
      <c r="C1445" s="8">
        <v>2550.6804200000001</v>
      </c>
      <c r="D1445" s="8">
        <v>162096.40625</v>
      </c>
      <c r="E1445" s="8">
        <v>162113.859375</v>
      </c>
      <c r="F1445" s="8">
        <f t="shared" si="44"/>
        <v>17.453125</v>
      </c>
      <c r="G1445" s="8">
        <f t="shared" si="45"/>
        <v>1.7453125E-2</v>
      </c>
    </row>
    <row r="1446" spans="1:7" x14ac:dyDescent="0.25">
      <c r="A1446" s="8">
        <v>18</v>
      </c>
      <c r="B1446" s="8">
        <v>57</v>
      </c>
      <c r="C1446" s="8">
        <v>1026.6625979999999</v>
      </c>
      <c r="D1446" s="8">
        <v>164670.0625</v>
      </c>
      <c r="E1446" s="8">
        <v>164680.921875</v>
      </c>
      <c r="F1446" s="8">
        <f t="shared" si="44"/>
        <v>10.859375</v>
      </c>
      <c r="G1446" s="8">
        <f t="shared" si="45"/>
        <v>1.0859374999999999E-2</v>
      </c>
    </row>
    <row r="1447" spans="1:7" x14ac:dyDescent="0.25">
      <c r="A1447" s="8">
        <v>18</v>
      </c>
      <c r="B1447" s="8">
        <v>58</v>
      </c>
      <c r="C1447" s="8">
        <v>281.98513800000001</v>
      </c>
      <c r="D1447" s="8">
        <v>165717.90625</v>
      </c>
      <c r="E1447" s="8">
        <v>165731.546875</v>
      </c>
      <c r="F1447" s="8">
        <f t="shared" si="44"/>
        <v>13.640625</v>
      </c>
      <c r="G1447" s="8">
        <f t="shared" si="45"/>
        <v>1.3640625E-2</v>
      </c>
    </row>
    <row r="1448" spans="1:7" x14ac:dyDescent="0.25">
      <c r="A1448" s="8">
        <v>18</v>
      </c>
      <c r="B1448" s="8">
        <v>59</v>
      </c>
      <c r="C1448" s="8">
        <v>491.785034</v>
      </c>
      <c r="D1448" s="8">
        <v>166014.875</v>
      </c>
      <c r="E1448" s="8">
        <v>166033.25</v>
      </c>
      <c r="F1448" s="8">
        <f t="shared" si="44"/>
        <v>18.375</v>
      </c>
      <c r="G1448" s="8">
        <f t="shared" si="45"/>
        <v>1.8374999999999999E-2</v>
      </c>
    </row>
    <row r="1449" spans="1:7" x14ac:dyDescent="0.25">
      <c r="A1449" s="8">
        <v>18</v>
      </c>
      <c r="B1449" s="8">
        <v>60</v>
      </c>
      <c r="C1449" s="8">
        <v>3746.016846</v>
      </c>
      <c r="D1449" s="8">
        <v>166536.328125</v>
      </c>
      <c r="E1449" s="8">
        <v>166549.765625</v>
      </c>
      <c r="F1449" s="8">
        <f t="shared" si="44"/>
        <v>13.4375</v>
      </c>
      <c r="G1449" s="8">
        <f t="shared" si="45"/>
        <v>1.34375E-2</v>
      </c>
    </row>
    <row r="1450" spans="1:7" x14ac:dyDescent="0.25">
      <c r="A1450" s="8">
        <v>19</v>
      </c>
      <c r="B1450" s="8">
        <v>0</v>
      </c>
      <c r="C1450" s="8">
        <v>93.397521999999995</v>
      </c>
      <c r="D1450" s="8">
        <v>20010.134765999999</v>
      </c>
      <c r="E1450" s="8">
        <v>20058.587890999999</v>
      </c>
      <c r="F1450" s="8">
        <f t="shared" si="44"/>
        <v>48.453125</v>
      </c>
      <c r="G1450" s="8">
        <f t="shared" si="45"/>
        <v>4.8453125E-2</v>
      </c>
    </row>
    <row r="1451" spans="1:7" x14ac:dyDescent="0.25">
      <c r="A1451" s="8">
        <v>19</v>
      </c>
      <c r="B1451" s="8">
        <v>1</v>
      </c>
      <c r="C1451" s="8">
        <v>771.73431400000004</v>
      </c>
      <c r="D1451" s="8">
        <v>20166.414063</v>
      </c>
      <c r="E1451" s="8">
        <v>20182.623047000001</v>
      </c>
      <c r="F1451" s="8">
        <f t="shared" si="44"/>
        <v>16.208984000000783</v>
      </c>
      <c r="G1451" s="8">
        <f t="shared" si="45"/>
        <v>1.6208984000000783E-2</v>
      </c>
    </row>
    <row r="1452" spans="1:7" x14ac:dyDescent="0.25">
      <c r="A1452" s="8">
        <v>19</v>
      </c>
      <c r="B1452" s="8">
        <v>2</v>
      </c>
      <c r="C1452" s="8">
        <v>2014.3709719999999</v>
      </c>
      <c r="D1452" s="8">
        <v>20969.111327999999</v>
      </c>
      <c r="E1452" s="8">
        <v>20984.802734000001</v>
      </c>
      <c r="F1452" s="8">
        <f t="shared" si="44"/>
        <v>15.691406000001734</v>
      </c>
      <c r="G1452" s="8">
        <f t="shared" si="45"/>
        <v>1.5691406000001733E-2</v>
      </c>
    </row>
    <row r="1453" spans="1:7" x14ac:dyDescent="0.25">
      <c r="A1453" s="8">
        <v>19</v>
      </c>
      <c r="B1453" s="8">
        <v>3</v>
      </c>
      <c r="C1453" s="8">
        <v>1889.193481</v>
      </c>
      <c r="D1453" s="8">
        <v>23000.785156000002</v>
      </c>
      <c r="E1453" s="8">
        <v>23027.992188</v>
      </c>
      <c r="F1453" s="8">
        <f t="shared" si="44"/>
        <v>27.207031999998435</v>
      </c>
      <c r="G1453" s="8">
        <f t="shared" si="45"/>
        <v>2.7207031999998434E-2</v>
      </c>
    </row>
    <row r="1454" spans="1:7" x14ac:dyDescent="0.25">
      <c r="A1454" s="8">
        <v>19</v>
      </c>
      <c r="B1454" s="8">
        <v>4</v>
      </c>
      <c r="C1454" s="8">
        <v>1081.6673579999999</v>
      </c>
      <c r="D1454" s="8">
        <v>24928.060547000001</v>
      </c>
      <c r="E1454" s="8">
        <v>24945.964843999998</v>
      </c>
      <c r="F1454" s="8">
        <f t="shared" si="44"/>
        <v>17.904296999997314</v>
      </c>
      <c r="G1454" s="8">
        <f t="shared" si="45"/>
        <v>1.7904296999997314E-2</v>
      </c>
    </row>
    <row r="1455" spans="1:7" x14ac:dyDescent="0.25">
      <c r="A1455" s="8">
        <v>19</v>
      </c>
      <c r="B1455" s="8">
        <v>5</v>
      </c>
      <c r="C1455" s="8">
        <v>3226.642578</v>
      </c>
      <c r="D1455" s="8">
        <v>26037.472656000002</v>
      </c>
      <c r="E1455" s="8">
        <v>26049.484375</v>
      </c>
      <c r="F1455" s="8">
        <f t="shared" si="44"/>
        <v>12.011718999998266</v>
      </c>
      <c r="G1455" s="8">
        <f t="shared" si="45"/>
        <v>1.2011718999998266E-2</v>
      </c>
    </row>
    <row r="1456" spans="1:7" x14ac:dyDescent="0.25">
      <c r="A1456" s="8">
        <v>19</v>
      </c>
      <c r="B1456" s="8">
        <v>6</v>
      </c>
      <c r="C1456" s="8">
        <v>2494.6604000000002</v>
      </c>
      <c r="D1456" s="8">
        <v>29277.697265999999</v>
      </c>
      <c r="E1456" s="8">
        <v>29291.726563</v>
      </c>
      <c r="F1456" s="8">
        <f t="shared" si="44"/>
        <v>14.029297000000952</v>
      </c>
      <c r="G1456" s="8">
        <f t="shared" si="45"/>
        <v>1.4029297000000952E-2</v>
      </c>
    </row>
    <row r="1457" spans="1:7" x14ac:dyDescent="0.25">
      <c r="A1457" s="8">
        <v>19</v>
      </c>
      <c r="B1457" s="8">
        <v>7</v>
      </c>
      <c r="C1457" s="8">
        <v>4342.8129879999997</v>
      </c>
      <c r="D1457" s="8">
        <v>31801.240234000001</v>
      </c>
      <c r="E1457" s="8">
        <v>31823.589843999998</v>
      </c>
      <c r="F1457" s="8">
        <f t="shared" si="44"/>
        <v>22.349609999997483</v>
      </c>
      <c r="G1457" s="8">
        <f t="shared" si="45"/>
        <v>2.2349609999997484E-2</v>
      </c>
    </row>
    <row r="1458" spans="1:7" x14ac:dyDescent="0.25">
      <c r="A1458" s="8">
        <v>19</v>
      </c>
      <c r="B1458" s="8">
        <v>8</v>
      </c>
      <c r="C1458" s="8">
        <v>3961.8195799999999</v>
      </c>
      <c r="D1458" s="8">
        <v>36170.769530999998</v>
      </c>
      <c r="E1458" s="8">
        <v>36181.742187999997</v>
      </c>
      <c r="F1458" s="8">
        <f t="shared" si="44"/>
        <v>10.972656999998435</v>
      </c>
      <c r="G1458" s="8">
        <f t="shared" si="45"/>
        <v>1.0972656999998436E-2</v>
      </c>
    </row>
    <row r="1459" spans="1:7" x14ac:dyDescent="0.25">
      <c r="A1459" s="8">
        <v>19</v>
      </c>
      <c r="B1459" s="8">
        <v>9</v>
      </c>
      <c r="C1459" s="8">
        <v>648.56897000000004</v>
      </c>
      <c r="D1459" s="8">
        <v>40152.390625</v>
      </c>
      <c r="E1459" s="8">
        <v>40169.203125</v>
      </c>
      <c r="F1459" s="8">
        <f t="shared" si="44"/>
        <v>16.8125</v>
      </c>
      <c r="G1459" s="8">
        <f t="shared" si="45"/>
        <v>1.6812500000000001E-2</v>
      </c>
    </row>
    <row r="1460" spans="1:7" x14ac:dyDescent="0.25">
      <c r="A1460" s="8">
        <v>19</v>
      </c>
      <c r="B1460" s="8">
        <v>10</v>
      </c>
      <c r="C1460" s="8">
        <v>22.156683000000001</v>
      </c>
      <c r="D1460" s="8">
        <v>40824.894530999998</v>
      </c>
      <c r="E1460" s="8">
        <v>40848.292969000002</v>
      </c>
      <c r="F1460" s="8">
        <f t="shared" si="44"/>
        <v>23.398438000003807</v>
      </c>
      <c r="G1460" s="8">
        <f t="shared" si="45"/>
        <v>2.3398438000003807E-2</v>
      </c>
    </row>
    <row r="1461" spans="1:7" x14ac:dyDescent="0.25">
      <c r="A1461" s="8">
        <v>19</v>
      </c>
      <c r="B1461" s="8">
        <v>11</v>
      </c>
      <c r="C1461" s="8">
        <v>854.02551300000005</v>
      </c>
      <c r="D1461" s="8">
        <v>40872.03125</v>
      </c>
      <c r="E1461" s="8">
        <v>40897.210937999997</v>
      </c>
      <c r="F1461" s="8">
        <f t="shared" si="44"/>
        <v>25.179687999996531</v>
      </c>
      <c r="G1461" s="8">
        <f t="shared" si="45"/>
        <v>2.5179687999996533E-2</v>
      </c>
    </row>
    <row r="1462" spans="1:7" x14ac:dyDescent="0.25">
      <c r="A1462" s="8">
        <v>19</v>
      </c>
      <c r="B1462" s="8">
        <v>12</v>
      </c>
      <c r="C1462" s="8">
        <v>3183.9040530000002</v>
      </c>
      <c r="D1462" s="8">
        <v>41762.765625</v>
      </c>
      <c r="E1462" s="8">
        <v>41781.847655999998</v>
      </c>
      <c r="F1462" s="8">
        <f t="shared" si="44"/>
        <v>19.082030999998096</v>
      </c>
      <c r="G1462" s="8">
        <f t="shared" si="45"/>
        <v>1.9082030999998098E-2</v>
      </c>
    </row>
    <row r="1463" spans="1:7" x14ac:dyDescent="0.25">
      <c r="A1463" s="8">
        <v>19</v>
      </c>
      <c r="B1463" s="8">
        <v>13</v>
      </c>
      <c r="C1463" s="8">
        <v>861.80523700000003</v>
      </c>
      <c r="D1463" s="8">
        <v>44975.046875</v>
      </c>
      <c r="E1463" s="8">
        <v>44993.421875</v>
      </c>
      <c r="F1463" s="8">
        <f t="shared" si="44"/>
        <v>18.375</v>
      </c>
      <c r="G1463" s="8">
        <f t="shared" si="45"/>
        <v>1.8374999999999999E-2</v>
      </c>
    </row>
    <row r="1464" spans="1:7" x14ac:dyDescent="0.25">
      <c r="A1464" s="8">
        <v>19</v>
      </c>
      <c r="B1464" s="8">
        <v>14</v>
      </c>
      <c r="C1464" s="8">
        <v>2160.8134770000001</v>
      </c>
      <c r="D1464" s="8">
        <v>45866.398437999997</v>
      </c>
      <c r="E1464" s="8">
        <v>45900.992187999997</v>
      </c>
      <c r="F1464" s="8">
        <f t="shared" si="44"/>
        <v>34.59375</v>
      </c>
      <c r="G1464" s="8">
        <f t="shared" si="45"/>
        <v>3.459375E-2</v>
      </c>
    </row>
    <row r="1465" spans="1:7" x14ac:dyDescent="0.25">
      <c r="A1465" s="8">
        <v>19</v>
      </c>
      <c r="B1465" s="8">
        <v>15</v>
      </c>
      <c r="C1465" s="8">
        <v>707.85546899999997</v>
      </c>
      <c r="D1465" s="8">
        <v>48064.339844000002</v>
      </c>
      <c r="E1465" s="8">
        <v>48104.425780999998</v>
      </c>
      <c r="F1465" s="8">
        <f t="shared" si="44"/>
        <v>40.085936999996193</v>
      </c>
      <c r="G1465" s="8">
        <f t="shared" si="45"/>
        <v>4.0085936999996193E-2</v>
      </c>
    </row>
    <row r="1466" spans="1:7" x14ac:dyDescent="0.25">
      <c r="A1466" s="8">
        <v>19</v>
      </c>
      <c r="B1466" s="8">
        <v>16</v>
      </c>
      <c r="C1466" s="8">
        <v>2619.8176269999999</v>
      </c>
      <c r="D1466" s="8">
        <v>48814.390625</v>
      </c>
      <c r="E1466" s="8">
        <v>48833.175780999998</v>
      </c>
      <c r="F1466" s="8">
        <f t="shared" si="44"/>
        <v>18.785155999998096</v>
      </c>
      <c r="G1466" s="8">
        <f t="shared" si="45"/>
        <v>1.8785155999998096E-2</v>
      </c>
    </row>
    <row r="1467" spans="1:7" x14ac:dyDescent="0.25">
      <c r="A1467" s="8">
        <v>19</v>
      </c>
      <c r="B1467" s="8">
        <v>17</v>
      </c>
      <c r="C1467" s="8">
        <v>2741.0385740000002</v>
      </c>
      <c r="D1467" s="8">
        <v>51459.730469000002</v>
      </c>
      <c r="E1467" s="8">
        <v>51474.726562999997</v>
      </c>
      <c r="F1467" s="8">
        <f t="shared" si="44"/>
        <v>14.996093999994628</v>
      </c>
      <c r="G1467" s="8">
        <f t="shared" si="45"/>
        <v>1.4996093999994627E-2</v>
      </c>
    </row>
    <row r="1468" spans="1:7" x14ac:dyDescent="0.25">
      <c r="A1468" s="8">
        <v>19</v>
      </c>
      <c r="B1468" s="8">
        <v>18</v>
      </c>
      <c r="C1468" s="8">
        <v>505.96243299999998</v>
      </c>
      <c r="D1468" s="8">
        <v>54221.96875</v>
      </c>
      <c r="E1468" s="8">
        <v>54232.128905999998</v>
      </c>
      <c r="F1468" s="8">
        <f t="shared" si="44"/>
        <v>10.160155999998096</v>
      </c>
      <c r="G1468" s="8">
        <f t="shared" si="45"/>
        <v>1.0160155999998097E-2</v>
      </c>
    </row>
    <row r="1469" spans="1:7" x14ac:dyDescent="0.25">
      <c r="A1469" s="8">
        <v>19</v>
      </c>
      <c r="B1469" s="8">
        <v>19</v>
      </c>
      <c r="C1469" s="8">
        <v>805.32269299999996</v>
      </c>
      <c r="D1469" s="8">
        <v>54737.957030999998</v>
      </c>
      <c r="E1469" s="8">
        <v>54752.105469000002</v>
      </c>
      <c r="F1469" s="8">
        <f t="shared" si="44"/>
        <v>14.148438000003807</v>
      </c>
      <c r="G1469" s="8">
        <f t="shared" si="45"/>
        <v>1.4148438000003807E-2</v>
      </c>
    </row>
    <row r="1470" spans="1:7" x14ac:dyDescent="0.25">
      <c r="A1470" s="8">
        <v>19</v>
      </c>
      <c r="B1470" s="8">
        <v>20</v>
      </c>
      <c r="C1470" s="8">
        <v>1548.5273440000001</v>
      </c>
      <c r="D1470" s="8">
        <v>55566.160155999998</v>
      </c>
      <c r="E1470" s="8">
        <v>55589.761719000002</v>
      </c>
      <c r="F1470" s="8">
        <f t="shared" si="44"/>
        <v>23.601563000003807</v>
      </c>
      <c r="G1470" s="8">
        <f t="shared" si="45"/>
        <v>2.3601563000003808E-2</v>
      </c>
    </row>
    <row r="1471" spans="1:7" x14ac:dyDescent="0.25">
      <c r="A1471" s="8">
        <v>19</v>
      </c>
      <c r="B1471" s="8">
        <v>21</v>
      </c>
      <c r="C1471" s="8">
        <v>905.57519500000001</v>
      </c>
      <c r="D1471" s="8">
        <v>57145.109375</v>
      </c>
      <c r="E1471" s="8">
        <v>57160.21875</v>
      </c>
      <c r="F1471" s="8">
        <f t="shared" si="44"/>
        <v>15.109375</v>
      </c>
      <c r="G1471" s="8">
        <f t="shared" si="45"/>
        <v>1.5109375E-2</v>
      </c>
    </row>
    <row r="1472" spans="1:7" x14ac:dyDescent="0.25">
      <c r="A1472" s="8">
        <v>19</v>
      </c>
      <c r="B1472" s="8">
        <v>22</v>
      </c>
      <c r="C1472" s="8">
        <v>5078.6196289999998</v>
      </c>
      <c r="D1472" s="8">
        <v>58070.242187999997</v>
      </c>
      <c r="E1472" s="8">
        <v>58093.609375</v>
      </c>
      <c r="F1472" s="8">
        <f t="shared" si="44"/>
        <v>23.367187000003469</v>
      </c>
      <c r="G1472" s="8">
        <f t="shared" si="45"/>
        <v>2.3367187000003467E-2</v>
      </c>
    </row>
    <row r="1473" spans="1:7" x14ac:dyDescent="0.25">
      <c r="A1473" s="8">
        <v>19</v>
      </c>
      <c r="B1473" s="8">
        <v>23</v>
      </c>
      <c r="C1473" s="8">
        <v>1494.5848390000001</v>
      </c>
      <c r="D1473" s="8">
        <v>63172.972655999998</v>
      </c>
      <c r="E1473" s="8">
        <v>63217.722655999998</v>
      </c>
      <c r="F1473" s="8">
        <f t="shared" si="44"/>
        <v>44.75</v>
      </c>
      <c r="G1473" s="8">
        <f t="shared" si="45"/>
        <v>4.4749999999999998E-2</v>
      </c>
    </row>
    <row r="1474" spans="1:7" x14ac:dyDescent="0.25">
      <c r="A1474" s="8">
        <v>19</v>
      </c>
      <c r="B1474" s="8">
        <v>24</v>
      </c>
      <c r="C1474" s="8">
        <v>607.54400599999997</v>
      </c>
      <c r="D1474" s="8">
        <v>64715.300780999998</v>
      </c>
      <c r="E1474" s="8">
        <v>64730.203125</v>
      </c>
      <c r="F1474" s="8">
        <f t="shared" si="44"/>
        <v>14.902344000001904</v>
      </c>
      <c r="G1474" s="8">
        <f t="shared" si="45"/>
        <v>1.4902344000001904E-2</v>
      </c>
    </row>
    <row r="1475" spans="1:7" x14ac:dyDescent="0.25">
      <c r="A1475" s="8">
        <v>19</v>
      </c>
      <c r="B1475" s="8">
        <v>25</v>
      </c>
      <c r="C1475" s="8">
        <v>2874.4460450000001</v>
      </c>
      <c r="D1475" s="8">
        <v>65340.367187999997</v>
      </c>
      <c r="E1475" s="8">
        <v>65351.449219000002</v>
      </c>
      <c r="F1475" s="8">
        <f t="shared" si="44"/>
        <v>11.082031000005372</v>
      </c>
      <c r="G1475" s="8">
        <f t="shared" si="45"/>
        <v>1.1082031000005372E-2</v>
      </c>
    </row>
    <row r="1476" spans="1:7" x14ac:dyDescent="0.25">
      <c r="A1476" s="8">
        <v>19</v>
      </c>
      <c r="B1476" s="8">
        <v>26</v>
      </c>
      <c r="C1476" s="8">
        <v>1613.5158690000001</v>
      </c>
      <c r="D1476" s="8">
        <v>68232.84375</v>
      </c>
      <c r="E1476" s="8">
        <v>68255.929688000004</v>
      </c>
      <c r="F1476" s="8">
        <f t="shared" si="44"/>
        <v>23.085938000003807</v>
      </c>
      <c r="G1476" s="8">
        <f t="shared" si="45"/>
        <v>2.3085938000003806E-2</v>
      </c>
    </row>
    <row r="1477" spans="1:7" x14ac:dyDescent="0.25">
      <c r="A1477" s="8">
        <v>19</v>
      </c>
      <c r="B1477" s="8">
        <v>27</v>
      </c>
      <c r="C1477" s="8">
        <v>1635.3798830000001</v>
      </c>
      <c r="D1477" s="8">
        <v>69874.0625</v>
      </c>
      <c r="E1477" s="8">
        <v>69893.507813000004</v>
      </c>
      <c r="F1477" s="8">
        <f t="shared" si="44"/>
        <v>19.445313000003807</v>
      </c>
      <c r="G1477" s="8">
        <f t="shared" si="45"/>
        <v>1.9445313000003808E-2</v>
      </c>
    </row>
    <row r="1478" spans="1:7" x14ac:dyDescent="0.25">
      <c r="A1478" s="8">
        <v>19</v>
      </c>
      <c r="B1478" s="8">
        <v>28</v>
      </c>
      <c r="C1478" s="8">
        <v>298.71105999999997</v>
      </c>
      <c r="D1478" s="8">
        <v>71541.25</v>
      </c>
      <c r="E1478" s="8">
        <v>71559.664063000004</v>
      </c>
      <c r="F1478" s="8">
        <f t="shared" si="44"/>
        <v>18.414063000003807</v>
      </c>
      <c r="G1478" s="8">
        <f t="shared" si="45"/>
        <v>1.8414063000003807E-2</v>
      </c>
    </row>
    <row r="1479" spans="1:7" x14ac:dyDescent="0.25">
      <c r="A1479" s="8">
        <v>19</v>
      </c>
      <c r="B1479" s="8">
        <v>29</v>
      </c>
      <c r="C1479" s="8">
        <v>5076.3002930000002</v>
      </c>
      <c r="D1479" s="8">
        <v>71870.140625</v>
      </c>
      <c r="E1479" s="8">
        <v>71879.5625</v>
      </c>
      <c r="F1479" s="8">
        <f t="shared" si="44"/>
        <v>9.421875</v>
      </c>
      <c r="G1479" s="8">
        <f t="shared" si="45"/>
        <v>9.4218749999999997E-3</v>
      </c>
    </row>
    <row r="1480" spans="1:7" x14ac:dyDescent="0.25">
      <c r="A1480" s="8">
        <v>19</v>
      </c>
      <c r="B1480" s="8">
        <v>30</v>
      </c>
      <c r="C1480" s="8">
        <v>1756.3526609999999</v>
      </c>
      <c r="D1480" s="8">
        <v>76960.203125</v>
      </c>
      <c r="E1480" s="8">
        <v>76977.859375</v>
      </c>
      <c r="F1480" s="8">
        <f t="shared" si="44"/>
        <v>17.65625</v>
      </c>
      <c r="G1480" s="8">
        <f t="shared" si="45"/>
        <v>1.7656249999999998E-2</v>
      </c>
    </row>
    <row r="1481" spans="1:7" x14ac:dyDescent="0.25">
      <c r="A1481" s="8">
        <v>19</v>
      </c>
      <c r="B1481" s="8">
        <v>31</v>
      </c>
      <c r="C1481" s="8">
        <v>793.761169</v>
      </c>
      <c r="D1481" s="8">
        <v>78747.804688000004</v>
      </c>
      <c r="E1481" s="8">
        <v>78764.820313000004</v>
      </c>
      <c r="F1481" s="8">
        <f t="shared" si="44"/>
        <v>17.015625</v>
      </c>
      <c r="G1481" s="8">
        <f t="shared" si="45"/>
        <v>1.7015625E-2</v>
      </c>
    </row>
    <row r="1482" spans="1:7" x14ac:dyDescent="0.25">
      <c r="A1482" s="8">
        <v>19</v>
      </c>
      <c r="B1482" s="8">
        <v>32</v>
      </c>
      <c r="C1482" s="8">
        <v>221.894867</v>
      </c>
      <c r="D1482" s="8">
        <v>79566.609375</v>
      </c>
      <c r="E1482" s="8">
        <v>79581.054688000004</v>
      </c>
      <c r="F1482" s="8">
        <f t="shared" si="44"/>
        <v>14.445313000003807</v>
      </c>
      <c r="G1482" s="8">
        <f t="shared" si="45"/>
        <v>1.4445313000003807E-2</v>
      </c>
    </row>
    <row r="1483" spans="1:7" x14ac:dyDescent="0.25">
      <c r="A1483" s="8">
        <v>19</v>
      </c>
      <c r="B1483" s="8">
        <v>33</v>
      </c>
      <c r="C1483" s="8">
        <v>1986.65625</v>
      </c>
      <c r="D1483" s="8">
        <v>79816.65625</v>
      </c>
      <c r="E1483" s="8">
        <v>79838.015625</v>
      </c>
      <c r="F1483" s="8">
        <f t="shared" ref="F1483:F1546" si="46">E1483-D1483</f>
        <v>21.359375</v>
      </c>
      <c r="G1483" s="8">
        <f t="shared" ref="G1483:G1546" si="47">F1483/1000</f>
        <v>2.1359375E-2</v>
      </c>
    </row>
    <row r="1484" spans="1:7" x14ac:dyDescent="0.25">
      <c r="A1484" s="8">
        <v>19</v>
      </c>
      <c r="B1484" s="8">
        <v>34</v>
      </c>
      <c r="C1484" s="8">
        <v>869.42694100000006</v>
      </c>
      <c r="D1484" s="8">
        <v>81838.179688000004</v>
      </c>
      <c r="E1484" s="8">
        <v>81849.125</v>
      </c>
      <c r="F1484" s="8">
        <f t="shared" si="46"/>
        <v>10.945311999996193</v>
      </c>
      <c r="G1484" s="8">
        <f t="shared" si="47"/>
        <v>1.0945311999996193E-2</v>
      </c>
    </row>
    <row r="1485" spans="1:7" x14ac:dyDescent="0.25">
      <c r="A1485" s="8">
        <v>19</v>
      </c>
      <c r="B1485" s="8">
        <v>35</v>
      </c>
      <c r="C1485" s="8">
        <v>422.21603399999998</v>
      </c>
      <c r="D1485" s="8">
        <v>82730</v>
      </c>
      <c r="E1485" s="8">
        <v>82737.492188000004</v>
      </c>
      <c r="F1485" s="8">
        <f t="shared" si="46"/>
        <v>7.4921880000038072</v>
      </c>
      <c r="G1485" s="8">
        <f t="shared" si="47"/>
        <v>7.4921880000038072E-3</v>
      </c>
    </row>
    <row r="1486" spans="1:7" x14ac:dyDescent="0.25">
      <c r="A1486" s="8">
        <v>19</v>
      </c>
      <c r="B1486" s="8">
        <v>36</v>
      </c>
      <c r="C1486" s="8">
        <v>1257.186768</v>
      </c>
      <c r="D1486" s="8">
        <v>83167.46875</v>
      </c>
      <c r="E1486" s="8">
        <v>83183.578125</v>
      </c>
      <c r="F1486" s="8">
        <f t="shared" si="46"/>
        <v>16.109375</v>
      </c>
      <c r="G1486" s="8">
        <f t="shared" si="47"/>
        <v>1.6109374999999999E-2</v>
      </c>
    </row>
    <row r="1487" spans="1:7" x14ac:dyDescent="0.25">
      <c r="A1487" s="8">
        <v>19</v>
      </c>
      <c r="B1487" s="8">
        <v>37</v>
      </c>
      <c r="C1487" s="8">
        <v>835.86608899999999</v>
      </c>
      <c r="D1487" s="8">
        <v>84454.09375</v>
      </c>
      <c r="E1487" s="8">
        <v>84473</v>
      </c>
      <c r="F1487" s="8">
        <f t="shared" si="46"/>
        <v>18.90625</v>
      </c>
      <c r="G1487" s="8">
        <f t="shared" si="47"/>
        <v>1.8906249999999999E-2</v>
      </c>
    </row>
    <row r="1488" spans="1:7" x14ac:dyDescent="0.25">
      <c r="A1488" s="8">
        <v>19</v>
      </c>
      <c r="B1488" s="8">
        <v>38</v>
      </c>
      <c r="C1488" s="8">
        <v>4356.7802730000003</v>
      </c>
      <c r="D1488" s="8">
        <v>85313.734375</v>
      </c>
      <c r="E1488" s="8">
        <v>85339.078125</v>
      </c>
      <c r="F1488" s="8">
        <f t="shared" si="46"/>
        <v>25.34375</v>
      </c>
      <c r="G1488" s="8">
        <f t="shared" si="47"/>
        <v>2.5343750000000002E-2</v>
      </c>
    </row>
    <row r="1489" spans="1:7" x14ac:dyDescent="0.25">
      <c r="A1489" s="8">
        <v>19</v>
      </c>
      <c r="B1489" s="8">
        <v>39</v>
      </c>
      <c r="C1489" s="8">
        <v>1008.389221</v>
      </c>
      <c r="D1489" s="8">
        <v>89709.351563000004</v>
      </c>
      <c r="E1489" s="8">
        <v>89717.210938000004</v>
      </c>
      <c r="F1489" s="8">
        <f t="shared" si="46"/>
        <v>7.859375</v>
      </c>
      <c r="G1489" s="8">
        <f t="shared" si="47"/>
        <v>7.859375E-3</v>
      </c>
    </row>
    <row r="1490" spans="1:7" x14ac:dyDescent="0.25">
      <c r="A1490" s="8">
        <v>19</v>
      </c>
      <c r="B1490" s="8">
        <v>40</v>
      </c>
      <c r="C1490" s="8">
        <v>6992.8930659999996</v>
      </c>
      <c r="D1490" s="8">
        <v>90729.898438000004</v>
      </c>
      <c r="E1490" s="8">
        <v>90737.953125</v>
      </c>
      <c r="F1490" s="8">
        <f t="shared" si="46"/>
        <v>8.0546869999961928</v>
      </c>
      <c r="G1490" s="8">
        <f t="shared" si="47"/>
        <v>8.0546869999961919E-3</v>
      </c>
    </row>
    <row r="1491" spans="1:7" x14ac:dyDescent="0.25">
      <c r="A1491" s="8">
        <v>19</v>
      </c>
      <c r="B1491" s="8">
        <v>41</v>
      </c>
      <c r="C1491" s="8">
        <v>3637.4016109999998</v>
      </c>
      <c r="D1491" s="8">
        <v>97731.578125</v>
      </c>
      <c r="E1491" s="8">
        <v>97755.015625</v>
      </c>
      <c r="F1491" s="8">
        <f t="shared" si="46"/>
        <v>23.4375</v>
      </c>
      <c r="G1491" s="8">
        <f t="shared" si="47"/>
        <v>2.34375E-2</v>
      </c>
    </row>
    <row r="1492" spans="1:7" x14ac:dyDescent="0.25">
      <c r="A1492" s="8">
        <v>19</v>
      </c>
      <c r="B1492" s="8">
        <v>42</v>
      </c>
      <c r="C1492" s="8">
        <v>676.79351799999995</v>
      </c>
      <c r="D1492" s="8">
        <v>101394.09375</v>
      </c>
      <c r="E1492" s="8">
        <v>101411.648438</v>
      </c>
      <c r="F1492" s="8">
        <f t="shared" si="46"/>
        <v>17.554688000003807</v>
      </c>
      <c r="G1492" s="8">
        <f t="shared" si="47"/>
        <v>1.7554688000003808E-2</v>
      </c>
    </row>
    <row r="1493" spans="1:7" x14ac:dyDescent="0.25">
      <c r="A1493" s="8">
        <v>19</v>
      </c>
      <c r="B1493" s="8">
        <v>43</v>
      </c>
      <c r="C1493" s="8">
        <v>3385.3498540000001</v>
      </c>
      <c r="D1493" s="8">
        <v>102088.773438</v>
      </c>
      <c r="E1493" s="8">
        <v>102109.210938</v>
      </c>
      <c r="F1493" s="8">
        <f t="shared" si="46"/>
        <v>20.4375</v>
      </c>
      <c r="G1493" s="8">
        <f t="shared" si="47"/>
        <v>2.0437500000000001E-2</v>
      </c>
    </row>
    <row r="1494" spans="1:7" x14ac:dyDescent="0.25">
      <c r="A1494" s="8">
        <v>19</v>
      </c>
      <c r="B1494" s="8">
        <v>44</v>
      </c>
      <c r="C1494" s="8">
        <v>8501.6953130000002</v>
      </c>
      <c r="D1494" s="8">
        <v>105509.265625</v>
      </c>
      <c r="E1494" s="8">
        <v>105523.960938</v>
      </c>
      <c r="F1494" s="8">
        <f t="shared" si="46"/>
        <v>14.695313000003807</v>
      </c>
      <c r="G1494" s="8">
        <f t="shared" si="47"/>
        <v>1.4695313000003807E-2</v>
      </c>
    </row>
    <row r="1495" spans="1:7" x14ac:dyDescent="0.25">
      <c r="A1495" s="8">
        <v>19</v>
      </c>
      <c r="B1495" s="8">
        <v>45</v>
      </c>
      <c r="C1495" s="8">
        <v>1577.4642329999999</v>
      </c>
      <c r="D1495" s="8">
        <v>114034.4375</v>
      </c>
      <c r="E1495" s="8">
        <v>114041.976563</v>
      </c>
      <c r="F1495" s="8">
        <f t="shared" si="46"/>
        <v>7.5390630000038072</v>
      </c>
      <c r="G1495" s="8">
        <f t="shared" si="47"/>
        <v>7.5390630000038072E-3</v>
      </c>
    </row>
    <row r="1496" spans="1:7" x14ac:dyDescent="0.25">
      <c r="A1496" s="8">
        <v>19</v>
      </c>
      <c r="B1496" s="8">
        <v>46</v>
      </c>
      <c r="C1496" s="8">
        <v>309.86849999999998</v>
      </c>
      <c r="D1496" s="8">
        <v>115629.804688</v>
      </c>
      <c r="E1496" s="8">
        <v>115643.585938</v>
      </c>
      <c r="F1496" s="8">
        <f t="shared" si="46"/>
        <v>13.78125</v>
      </c>
      <c r="G1496" s="8">
        <f t="shared" si="47"/>
        <v>1.378125E-2</v>
      </c>
    </row>
    <row r="1497" spans="1:7" x14ac:dyDescent="0.25">
      <c r="A1497" s="8">
        <v>19</v>
      </c>
      <c r="B1497" s="8">
        <v>47</v>
      </c>
      <c r="C1497" s="8">
        <v>1652.738159</v>
      </c>
      <c r="D1497" s="8">
        <v>115958.1875</v>
      </c>
      <c r="E1497" s="8">
        <v>115970.71875</v>
      </c>
      <c r="F1497" s="8">
        <f t="shared" si="46"/>
        <v>12.53125</v>
      </c>
      <c r="G1497" s="8">
        <f t="shared" si="47"/>
        <v>1.2531250000000001E-2</v>
      </c>
    </row>
    <row r="1498" spans="1:7" x14ac:dyDescent="0.25">
      <c r="A1498" s="8">
        <v>19</v>
      </c>
      <c r="B1498" s="8">
        <v>48</v>
      </c>
      <c r="C1498" s="8">
        <v>64.003463999999994</v>
      </c>
      <c r="D1498" s="8">
        <v>117634.9375</v>
      </c>
      <c r="E1498" s="8">
        <v>117649.125</v>
      </c>
      <c r="F1498" s="8">
        <f t="shared" si="46"/>
        <v>14.1875</v>
      </c>
      <c r="G1498" s="8">
        <f t="shared" si="47"/>
        <v>1.41875E-2</v>
      </c>
    </row>
    <row r="1499" spans="1:7" x14ac:dyDescent="0.25">
      <c r="A1499" s="8">
        <v>19</v>
      </c>
      <c r="B1499" s="8">
        <v>49</v>
      </c>
      <c r="C1499" s="8">
        <v>3875.226318</v>
      </c>
      <c r="D1499" s="8">
        <v>117728.734375</v>
      </c>
      <c r="E1499" s="8">
        <v>117741.3125</v>
      </c>
      <c r="F1499" s="8">
        <f t="shared" si="46"/>
        <v>12.578125</v>
      </c>
      <c r="G1499" s="8">
        <f t="shared" si="47"/>
        <v>1.2578125000000001E-2</v>
      </c>
    </row>
    <row r="1500" spans="1:7" x14ac:dyDescent="0.25">
      <c r="A1500" s="8">
        <v>19</v>
      </c>
      <c r="B1500" s="8">
        <v>50</v>
      </c>
      <c r="C1500" s="8">
        <v>6489.8168949999999</v>
      </c>
      <c r="D1500" s="8">
        <v>121627.0625</v>
      </c>
      <c r="E1500" s="8">
        <v>121647.539063</v>
      </c>
      <c r="F1500" s="8">
        <f t="shared" si="46"/>
        <v>20.476563000003807</v>
      </c>
      <c r="G1500" s="8">
        <f t="shared" si="47"/>
        <v>2.0476563000003806E-2</v>
      </c>
    </row>
    <row r="1501" spans="1:7" x14ac:dyDescent="0.25">
      <c r="A1501" s="8">
        <v>19</v>
      </c>
      <c r="B1501" s="8">
        <v>51</v>
      </c>
      <c r="C1501" s="8">
        <v>1778.2108149999999</v>
      </c>
      <c r="D1501" s="8">
        <v>128143.710938</v>
      </c>
      <c r="E1501" s="8">
        <v>128174.921875</v>
      </c>
      <c r="F1501" s="8">
        <f t="shared" si="46"/>
        <v>31.210936999996193</v>
      </c>
      <c r="G1501" s="8">
        <f t="shared" si="47"/>
        <v>3.1210936999996192E-2</v>
      </c>
    </row>
    <row r="1502" spans="1:7" x14ac:dyDescent="0.25">
      <c r="A1502" s="8">
        <v>19</v>
      </c>
      <c r="B1502" s="8">
        <v>52</v>
      </c>
      <c r="C1502" s="8">
        <v>833.92028800000003</v>
      </c>
      <c r="D1502" s="8">
        <v>129957.515625</v>
      </c>
      <c r="E1502" s="8">
        <v>129971.9375</v>
      </c>
      <c r="F1502" s="8">
        <f t="shared" si="46"/>
        <v>14.421875</v>
      </c>
      <c r="G1502" s="8">
        <f t="shared" si="47"/>
        <v>1.4421875000000001E-2</v>
      </c>
    </row>
    <row r="1503" spans="1:7" x14ac:dyDescent="0.25">
      <c r="A1503" s="8">
        <v>19</v>
      </c>
      <c r="B1503" s="8">
        <v>53</v>
      </c>
      <c r="C1503" s="8">
        <v>661.18676800000003</v>
      </c>
      <c r="D1503" s="8">
        <v>130817.164063</v>
      </c>
      <c r="E1503" s="8">
        <v>130838.421875</v>
      </c>
      <c r="F1503" s="8">
        <f t="shared" si="46"/>
        <v>21.257811999996193</v>
      </c>
      <c r="G1503" s="8">
        <f t="shared" si="47"/>
        <v>2.1257811999996191E-2</v>
      </c>
    </row>
    <row r="1504" spans="1:7" x14ac:dyDescent="0.25">
      <c r="A1504" s="8">
        <v>19</v>
      </c>
      <c r="B1504" s="8">
        <v>54</v>
      </c>
      <c r="C1504" s="8">
        <v>120.246216</v>
      </c>
      <c r="D1504" s="8">
        <v>131514.453125</v>
      </c>
      <c r="E1504" s="8">
        <v>131541.234375</v>
      </c>
      <c r="F1504" s="8">
        <f t="shared" si="46"/>
        <v>26.78125</v>
      </c>
      <c r="G1504" s="8">
        <f t="shared" si="47"/>
        <v>2.678125E-2</v>
      </c>
    </row>
    <row r="1505" spans="1:7" x14ac:dyDescent="0.25">
      <c r="A1505" s="8">
        <v>19</v>
      </c>
      <c r="B1505" s="8">
        <v>55</v>
      </c>
      <c r="C1505" s="8">
        <v>4055.1127929999998</v>
      </c>
      <c r="D1505" s="8">
        <v>131670.65625</v>
      </c>
      <c r="E1505" s="8">
        <v>131687.46875</v>
      </c>
      <c r="F1505" s="8">
        <f t="shared" si="46"/>
        <v>16.8125</v>
      </c>
      <c r="G1505" s="8">
        <f t="shared" si="47"/>
        <v>1.6812500000000001E-2</v>
      </c>
    </row>
    <row r="1506" spans="1:7" x14ac:dyDescent="0.25">
      <c r="A1506" s="8">
        <v>19</v>
      </c>
      <c r="B1506" s="8">
        <v>56</v>
      </c>
      <c r="C1506" s="8">
        <v>2467.0185550000001</v>
      </c>
      <c r="D1506" s="8">
        <v>135757.078125</v>
      </c>
      <c r="E1506" s="8">
        <v>135826.765625</v>
      </c>
      <c r="F1506" s="8">
        <f t="shared" si="46"/>
        <v>69.6875</v>
      </c>
      <c r="G1506" s="8">
        <f t="shared" si="47"/>
        <v>6.9687499999999999E-2</v>
      </c>
    </row>
    <row r="1507" spans="1:7" x14ac:dyDescent="0.25">
      <c r="A1507" s="8">
        <v>19</v>
      </c>
      <c r="B1507" s="8">
        <v>57</v>
      </c>
      <c r="C1507" s="8">
        <v>3228.1748050000001</v>
      </c>
      <c r="D1507" s="8">
        <v>138296.859375</v>
      </c>
      <c r="E1507" s="8">
        <v>138319.390625</v>
      </c>
      <c r="F1507" s="8">
        <f t="shared" si="46"/>
        <v>22.53125</v>
      </c>
      <c r="G1507" s="8">
        <f t="shared" si="47"/>
        <v>2.2531249999999999E-2</v>
      </c>
    </row>
    <row r="1508" spans="1:7" x14ac:dyDescent="0.25">
      <c r="A1508" s="8">
        <v>19</v>
      </c>
      <c r="B1508" s="8">
        <v>58</v>
      </c>
      <c r="C1508" s="8">
        <v>4841.8500979999999</v>
      </c>
      <c r="D1508" s="8">
        <v>141548.03125</v>
      </c>
      <c r="E1508" s="8">
        <v>141561.796875</v>
      </c>
      <c r="F1508" s="8">
        <f t="shared" si="46"/>
        <v>13.765625</v>
      </c>
      <c r="G1508" s="8">
        <f t="shared" si="47"/>
        <v>1.3765625E-2</v>
      </c>
    </row>
    <row r="1509" spans="1:7" x14ac:dyDescent="0.25">
      <c r="A1509" s="8">
        <v>19</v>
      </c>
      <c r="B1509" s="8">
        <v>59</v>
      </c>
      <c r="C1509" s="8">
        <v>545.81774900000005</v>
      </c>
      <c r="D1509" s="8">
        <v>146412.25</v>
      </c>
      <c r="E1509" s="8">
        <v>146423.34375</v>
      </c>
      <c r="F1509" s="8">
        <f t="shared" si="46"/>
        <v>11.09375</v>
      </c>
      <c r="G1509" s="8">
        <f t="shared" si="47"/>
        <v>1.1093749999999999E-2</v>
      </c>
    </row>
    <row r="1510" spans="1:7" x14ac:dyDescent="0.25">
      <c r="A1510" s="8">
        <v>19</v>
      </c>
      <c r="B1510" s="8">
        <v>60</v>
      </c>
      <c r="C1510" s="8">
        <v>783.71063200000003</v>
      </c>
      <c r="D1510" s="8">
        <v>146974.6875</v>
      </c>
      <c r="E1510" s="8">
        <v>146992.3125</v>
      </c>
      <c r="F1510" s="8">
        <f t="shared" si="46"/>
        <v>17.625</v>
      </c>
      <c r="G1510" s="8">
        <f t="shared" si="47"/>
        <v>1.7624999999999998E-2</v>
      </c>
    </row>
    <row r="1511" spans="1:7" x14ac:dyDescent="0.25">
      <c r="A1511" s="8">
        <v>19</v>
      </c>
      <c r="B1511" s="8">
        <v>61</v>
      </c>
      <c r="C1511" s="8">
        <v>528.73046899999997</v>
      </c>
      <c r="D1511" s="8">
        <v>147787.390625</v>
      </c>
      <c r="E1511" s="8">
        <v>147816.359375</v>
      </c>
      <c r="F1511" s="8">
        <f t="shared" si="46"/>
        <v>28.96875</v>
      </c>
      <c r="G1511" s="8">
        <f t="shared" si="47"/>
        <v>2.8968750000000001E-2</v>
      </c>
    </row>
    <row r="1512" spans="1:7" x14ac:dyDescent="0.25">
      <c r="A1512" s="8">
        <v>19</v>
      </c>
      <c r="B1512" s="8">
        <v>62</v>
      </c>
      <c r="C1512" s="8">
        <v>1043.149658</v>
      </c>
      <c r="D1512" s="8">
        <v>148353.4375</v>
      </c>
      <c r="E1512" s="8">
        <v>148373.734375</v>
      </c>
      <c r="F1512" s="8">
        <f t="shared" si="46"/>
        <v>20.296875</v>
      </c>
      <c r="G1512" s="8">
        <f t="shared" si="47"/>
        <v>2.0296874999999999E-2</v>
      </c>
    </row>
    <row r="1513" spans="1:7" x14ac:dyDescent="0.25">
      <c r="A1513" s="8">
        <v>19</v>
      </c>
      <c r="B1513" s="8">
        <v>63</v>
      </c>
      <c r="C1513" s="8">
        <v>1449.2266850000001</v>
      </c>
      <c r="D1513" s="8">
        <v>149431.703125</v>
      </c>
      <c r="E1513" s="8">
        <v>149451.71875</v>
      </c>
      <c r="F1513" s="8">
        <f t="shared" si="46"/>
        <v>20.015625</v>
      </c>
      <c r="G1513" s="8">
        <f t="shared" si="47"/>
        <v>2.0015624999999999E-2</v>
      </c>
    </row>
    <row r="1514" spans="1:7" x14ac:dyDescent="0.25">
      <c r="A1514" s="8">
        <v>19</v>
      </c>
      <c r="B1514" s="8">
        <v>64</v>
      </c>
      <c r="C1514" s="8">
        <v>3367.5190429999998</v>
      </c>
      <c r="D1514" s="8">
        <v>150905.171875</v>
      </c>
      <c r="E1514" s="8">
        <v>150922.359375</v>
      </c>
      <c r="F1514" s="8">
        <f t="shared" si="46"/>
        <v>17.1875</v>
      </c>
      <c r="G1514" s="8">
        <f t="shared" si="47"/>
        <v>1.7187500000000001E-2</v>
      </c>
    </row>
    <row r="1515" spans="1:7" x14ac:dyDescent="0.25">
      <c r="A1515" s="8">
        <v>19</v>
      </c>
      <c r="B1515" s="8">
        <v>65</v>
      </c>
      <c r="C1515" s="8">
        <v>7791.7753910000001</v>
      </c>
      <c r="D1515" s="8">
        <v>154297.1875</v>
      </c>
      <c r="E1515" s="8">
        <v>154317.4375</v>
      </c>
      <c r="F1515" s="8">
        <f t="shared" si="46"/>
        <v>20.25</v>
      </c>
      <c r="G1515" s="8">
        <f t="shared" si="47"/>
        <v>2.0250000000000001E-2</v>
      </c>
    </row>
    <row r="1516" spans="1:7" x14ac:dyDescent="0.25">
      <c r="A1516" s="8">
        <v>19</v>
      </c>
      <c r="B1516" s="8">
        <v>66</v>
      </c>
      <c r="C1516" s="8">
        <v>7661.0092770000001</v>
      </c>
      <c r="D1516" s="8">
        <v>162112.0625</v>
      </c>
      <c r="E1516" s="8">
        <v>162133.734375</v>
      </c>
      <c r="F1516" s="8">
        <f t="shared" si="46"/>
        <v>21.671875</v>
      </c>
      <c r="G1516" s="8">
        <f t="shared" si="47"/>
        <v>2.1671875E-2</v>
      </c>
    </row>
    <row r="1517" spans="1:7" x14ac:dyDescent="0.25">
      <c r="A1517" s="8">
        <v>19</v>
      </c>
      <c r="B1517" s="8">
        <v>67</v>
      </c>
      <c r="C1517" s="8">
        <v>6336.126953</v>
      </c>
      <c r="D1517" s="8">
        <v>169798.515625</v>
      </c>
      <c r="E1517" s="8">
        <v>169819.671875</v>
      </c>
      <c r="F1517" s="8">
        <f t="shared" si="46"/>
        <v>21.15625</v>
      </c>
      <c r="G1517" s="8">
        <f t="shared" si="47"/>
        <v>2.1156250000000001E-2</v>
      </c>
    </row>
    <row r="1518" spans="1:7" x14ac:dyDescent="0.25">
      <c r="A1518" s="8">
        <v>20</v>
      </c>
      <c r="B1518" s="8">
        <v>0</v>
      </c>
      <c r="C1518" s="8">
        <v>3330.3903810000002</v>
      </c>
      <c r="D1518" s="8">
        <v>22859.919922000001</v>
      </c>
      <c r="E1518" s="8">
        <v>22881.535156000002</v>
      </c>
      <c r="F1518" s="8">
        <f t="shared" si="46"/>
        <v>21.615234000000783</v>
      </c>
      <c r="G1518" s="8">
        <f t="shared" si="47"/>
        <v>2.1615234000000781E-2</v>
      </c>
    </row>
    <row r="1519" spans="1:7" x14ac:dyDescent="0.25">
      <c r="A1519" s="8">
        <v>20</v>
      </c>
      <c r="B1519" s="8">
        <v>1</v>
      </c>
      <c r="C1519" s="8">
        <v>1535.9898679999999</v>
      </c>
      <c r="D1519" s="8">
        <v>26226.623047000001</v>
      </c>
      <c r="E1519" s="8">
        <v>26251.9375</v>
      </c>
      <c r="F1519" s="8">
        <f t="shared" si="46"/>
        <v>25.314452999999048</v>
      </c>
      <c r="G1519" s="8">
        <f t="shared" si="47"/>
        <v>2.5314452999999047E-2</v>
      </c>
    </row>
    <row r="1520" spans="1:7" x14ac:dyDescent="0.25">
      <c r="A1520" s="8">
        <v>20</v>
      </c>
      <c r="B1520" s="8">
        <v>2</v>
      </c>
      <c r="C1520" s="8">
        <v>4543.0922849999997</v>
      </c>
      <c r="D1520" s="8">
        <v>27790.974609000001</v>
      </c>
      <c r="E1520" s="8">
        <v>27819.193359000001</v>
      </c>
      <c r="F1520" s="8">
        <f t="shared" si="46"/>
        <v>28.21875</v>
      </c>
      <c r="G1520" s="8">
        <f t="shared" si="47"/>
        <v>2.8218750000000001E-2</v>
      </c>
    </row>
    <row r="1521" spans="1:7" x14ac:dyDescent="0.25">
      <c r="A1521" s="8">
        <v>20</v>
      </c>
      <c r="B1521" s="8">
        <v>3</v>
      </c>
      <c r="C1521" s="8">
        <v>2873.9323730000001</v>
      </c>
      <c r="D1521" s="8">
        <v>32363.810547000001</v>
      </c>
      <c r="E1521" s="8">
        <v>32372.748047000001</v>
      </c>
      <c r="F1521" s="8">
        <f t="shared" si="46"/>
        <v>8.9375</v>
      </c>
      <c r="G1521" s="8">
        <f t="shared" si="47"/>
        <v>8.9374999999999993E-3</v>
      </c>
    </row>
    <row r="1522" spans="1:7" x14ac:dyDescent="0.25">
      <c r="A1522" s="8">
        <v>20</v>
      </c>
      <c r="B1522" s="8">
        <v>4</v>
      </c>
      <c r="C1522" s="8">
        <v>327.04589800000002</v>
      </c>
      <c r="D1522" s="8">
        <v>35248.820312999997</v>
      </c>
      <c r="E1522" s="8">
        <v>35264.441405999998</v>
      </c>
      <c r="F1522" s="8">
        <f t="shared" si="46"/>
        <v>15.621093000001565</v>
      </c>
      <c r="G1522" s="8">
        <f t="shared" si="47"/>
        <v>1.5621093000001566E-2</v>
      </c>
    </row>
    <row r="1523" spans="1:7" x14ac:dyDescent="0.25">
      <c r="A1523" s="8">
        <v>20</v>
      </c>
      <c r="B1523" s="8">
        <v>5</v>
      </c>
      <c r="C1523" s="8">
        <v>90.585564000000005</v>
      </c>
      <c r="D1523" s="8">
        <v>35592.5625</v>
      </c>
      <c r="E1523" s="8">
        <v>35605.003905999998</v>
      </c>
      <c r="F1523" s="8">
        <f t="shared" si="46"/>
        <v>12.441405999998096</v>
      </c>
      <c r="G1523" s="8">
        <f t="shared" si="47"/>
        <v>1.2441405999998096E-2</v>
      </c>
    </row>
    <row r="1524" spans="1:7" x14ac:dyDescent="0.25">
      <c r="A1524" s="8">
        <v>20</v>
      </c>
      <c r="B1524" s="8">
        <v>6</v>
      </c>
      <c r="C1524" s="8">
        <v>2068.5749510000001</v>
      </c>
      <c r="D1524" s="8">
        <v>35701.988280999998</v>
      </c>
      <c r="E1524" s="8">
        <v>35709.734375</v>
      </c>
      <c r="F1524" s="8">
        <f t="shared" si="46"/>
        <v>7.7460940000019036</v>
      </c>
      <c r="G1524" s="8">
        <f t="shared" si="47"/>
        <v>7.7460940000019032E-3</v>
      </c>
    </row>
    <row r="1525" spans="1:7" x14ac:dyDescent="0.25">
      <c r="A1525" s="8">
        <v>20</v>
      </c>
      <c r="B1525" s="8">
        <v>7</v>
      </c>
      <c r="C1525" s="8">
        <v>277.98321499999997</v>
      </c>
      <c r="D1525" s="8">
        <v>37792.398437999997</v>
      </c>
      <c r="E1525" s="8">
        <v>37857.121094000002</v>
      </c>
      <c r="F1525" s="8">
        <f t="shared" si="46"/>
        <v>64.722656000005372</v>
      </c>
      <c r="G1525" s="8">
        <f t="shared" si="47"/>
        <v>6.4722656000005374E-2</v>
      </c>
    </row>
    <row r="1526" spans="1:7" x14ac:dyDescent="0.25">
      <c r="A1526" s="8">
        <v>20</v>
      </c>
      <c r="B1526" s="8">
        <v>8</v>
      </c>
      <c r="C1526" s="8">
        <v>5434.0029299999997</v>
      </c>
      <c r="D1526" s="8">
        <v>38136.265625</v>
      </c>
      <c r="E1526" s="8">
        <v>38156.753905999998</v>
      </c>
      <c r="F1526" s="8">
        <f t="shared" si="46"/>
        <v>20.488280999998096</v>
      </c>
      <c r="G1526" s="8">
        <f t="shared" si="47"/>
        <v>2.0488280999998096E-2</v>
      </c>
    </row>
    <row r="1527" spans="1:7" x14ac:dyDescent="0.25">
      <c r="A1527" s="8">
        <v>20</v>
      </c>
      <c r="B1527" s="8">
        <v>9</v>
      </c>
      <c r="C1527" s="8">
        <v>4389.9375</v>
      </c>
      <c r="D1527" s="8">
        <v>43599.832030999998</v>
      </c>
      <c r="E1527" s="8">
        <v>43611.9375</v>
      </c>
      <c r="F1527" s="8">
        <f t="shared" si="46"/>
        <v>12.105469000001904</v>
      </c>
      <c r="G1527" s="8">
        <f t="shared" si="47"/>
        <v>1.2105469000001904E-2</v>
      </c>
    </row>
    <row r="1528" spans="1:7" x14ac:dyDescent="0.25">
      <c r="A1528" s="8">
        <v>20</v>
      </c>
      <c r="B1528" s="8">
        <v>10</v>
      </c>
      <c r="C1528" s="8">
        <v>8075.2065430000002</v>
      </c>
      <c r="D1528" s="8">
        <v>48001.820312999997</v>
      </c>
      <c r="E1528" s="8">
        <v>48091.398437999997</v>
      </c>
      <c r="F1528" s="8">
        <f t="shared" si="46"/>
        <v>89.578125</v>
      </c>
      <c r="G1528" s="8">
        <f t="shared" si="47"/>
        <v>8.9578124999999995E-2</v>
      </c>
    </row>
    <row r="1529" spans="1:7" x14ac:dyDescent="0.25">
      <c r="A1529" s="8">
        <v>20</v>
      </c>
      <c r="B1529" s="8">
        <v>11</v>
      </c>
      <c r="C1529" s="8">
        <v>326.03982500000001</v>
      </c>
      <c r="D1529" s="8">
        <v>56175.410155999998</v>
      </c>
      <c r="E1529" s="8">
        <v>56196.414062999997</v>
      </c>
      <c r="F1529" s="8">
        <f t="shared" si="46"/>
        <v>21.003906999998435</v>
      </c>
      <c r="G1529" s="8">
        <f t="shared" si="47"/>
        <v>2.1003906999998434E-2</v>
      </c>
    </row>
    <row r="1530" spans="1:7" x14ac:dyDescent="0.25">
      <c r="A1530" s="8">
        <v>20</v>
      </c>
      <c r="B1530" s="8">
        <v>12</v>
      </c>
      <c r="C1530" s="8">
        <v>3545.1311040000001</v>
      </c>
      <c r="D1530" s="8">
        <v>56534.988280999998</v>
      </c>
      <c r="E1530" s="8">
        <v>56555.808594000002</v>
      </c>
      <c r="F1530" s="8">
        <f t="shared" si="46"/>
        <v>20.820313000003807</v>
      </c>
      <c r="G1530" s="8">
        <f t="shared" si="47"/>
        <v>2.0820313000003806E-2</v>
      </c>
    </row>
    <row r="1531" spans="1:7" x14ac:dyDescent="0.25">
      <c r="A1531" s="8">
        <v>20</v>
      </c>
      <c r="B1531" s="8">
        <v>13</v>
      </c>
      <c r="C1531" s="8">
        <v>311.22311400000001</v>
      </c>
      <c r="D1531" s="8">
        <v>60106.8125</v>
      </c>
      <c r="E1531" s="8">
        <v>60123.625</v>
      </c>
      <c r="F1531" s="8">
        <f t="shared" si="46"/>
        <v>16.8125</v>
      </c>
      <c r="G1531" s="8">
        <f t="shared" si="47"/>
        <v>1.6812500000000001E-2</v>
      </c>
    </row>
    <row r="1532" spans="1:7" x14ac:dyDescent="0.25">
      <c r="A1532" s="8">
        <v>20</v>
      </c>
      <c r="B1532" s="8">
        <v>14</v>
      </c>
      <c r="C1532" s="8">
        <v>5278.5419920000004</v>
      </c>
      <c r="D1532" s="8">
        <v>60434.90625</v>
      </c>
      <c r="E1532" s="8">
        <v>60456.902344000002</v>
      </c>
      <c r="F1532" s="8">
        <f t="shared" si="46"/>
        <v>21.996094000001904</v>
      </c>
      <c r="G1532" s="8">
        <f t="shared" si="47"/>
        <v>2.1996094000001902E-2</v>
      </c>
    </row>
    <row r="1533" spans="1:7" x14ac:dyDescent="0.25">
      <c r="A1533" s="8">
        <v>20</v>
      </c>
      <c r="B1533" s="8">
        <v>15</v>
      </c>
      <c r="C1533" s="8">
        <v>1546.939331</v>
      </c>
      <c r="D1533" s="8">
        <v>65746.710938000004</v>
      </c>
      <c r="E1533" s="8">
        <v>65761.398438000004</v>
      </c>
      <c r="F1533" s="8">
        <f t="shared" si="46"/>
        <v>14.6875</v>
      </c>
      <c r="G1533" s="8">
        <f t="shared" si="47"/>
        <v>1.4687499999999999E-2</v>
      </c>
    </row>
    <row r="1534" spans="1:7" x14ac:dyDescent="0.25">
      <c r="A1534" s="8">
        <v>20</v>
      </c>
      <c r="B1534" s="8">
        <v>16</v>
      </c>
      <c r="C1534" s="8">
        <v>4402.5834960000002</v>
      </c>
      <c r="D1534" s="8">
        <v>67310</v>
      </c>
      <c r="E1534" s="8">
        <v>67324.226563000004</v>
      </c>
      <c r="F1534" s="8">
        <f t="shared" si="46"/>
        <v>14.226563000003807</v>
      </c>
      <c r="G1534" s="8">
        <f t="shared" si="47"/>
        <v>1.4226563000003807E-2</v>
      </c>
    </row>
    <row r="1535" spans="1:7" x14ac:dyDescent="0.25">
      <c r="A1535" s="8">
        <v>20</v>
      </c>
      <c r="B1535" s="8">
        <v>17</v>
      </c>
      <c r="C1535" s="8">
        <v>1746.3892820000001</v>
      </c>
      <c r="D1535" s="8">
        <v>71729.476563000004</v>
      </c>
      <c r="E1535" s="8">
        <v>71748.609375</v>
      </c>
      <c r="F1535" s="8">
        <f t="shared" si="46"/>
        <v>19.132811999996193</v>
      </c>
      <c r="G1535" s="8">
        <f t="shared" si="47"/>
        <v>1.9132811999996193E-2</v>
      </c>
    </row>
    <row r="1536" spans="1:7" x14ac:dyDescent="0.25">
      <c r="A1536" s="8">
        <v>20</v>
      </c>
      <c r="B1536" s="8">
        <v>18</v>
      </c>
      <c r="C1536" s="8">
        <v>4696.138672</v>
      </c>
      <c r="D1536" s="8">
        <v>73498.085938000004</v>
      </c>
      <c r="E1536" s="8">
        <v>73509.265625</v>
      </c>
      <c r="F1536" s="8">
        <f t="shared" si="46"/>
        <v>11.179686999996193</v>
      </c>
      <c r="G1536" s="8">
        <f t="shared" si="47"/>
        <v>1.1179686999996193E-2</v>
      </c>
    </row>
    <row r="1537" spans="1:7" x14ac:dyDescent="0.25">
      <c r="A1537" s="8">
        <v>20</v>
      </c>
      <c r="B1537" s="8">
        <v>19</v>
      </c>
      <c r="C1537" s="8">
        <v>780.28149399999995</v>
      </c>
      <c r="D1537" s="8">
        <v>78213.492188000004</v>
      </c>
      <c r="E1537" s="8">
        <v>78239.085938000004</v>
      </c>
      <c r="F1537" s="8">
        <f t="shared" si="46"/>
        <v>25.59375</v>
      </c>
      <c r="G1537" s="8">
        <f t="shared" si="47"/>
        <v>2.5593749999999998E-2</v>
      </c>
    </row>
    <row r="1538" spans="1:7" x14ac:dyDescent="0.25">
      <c r="A1538" s="8">
        <v>20</v>
      </c>
      <c r="B1538" s="8">
        <v>20</v>
      </c>
      <c r="C1538" s="8">
        <v>2087.0317380000001</v>
      </c>
      <c r="D1538" s="8">
        <v>79029.0625</v>
      </c>
      <c r="E1538" s="8">
        <v>79041.039063000004</v>
      </c>
      <c r="F1538" s="8">
        <f t="shared" si="46"/>
        <v>11.976563000003807</v>
      </c>
      <c r="G1538" s="8">
        <f t="shared" si="47"/>
        <v>1.1976563000003807E-2</v>
      </c>
    </row>
    <row r="1539" spans="1:7" x14ac:dyDescent="0.25">
      <c r="A1539" s="8">
        <v>20</v>
      </c>
      <c r="B1539" s="8">
        <v>21</v>
      </c>
      <c r="C1539" s="8">
        <v>515.89154099999996</v>
      </c>
      <c r="D1539" s="8">
        <v>81130.078125</v>
      </c>
      <c r="E1539" s="8">
        <v>81151.9375</v>
      </c>
      <c r="F1539" s="8">
        <f t="shared" si="46"/>
        <v>21.859375</v>
      </c>
      <c r="G1539" s="8">
        <f t="shared" si="47"/>
        <v>2.1859375E-2</v>
      </c>
    </row>
    <row r="1540" spans="1:7" x14ac:dyDescent="0.25">
      <c r="A1540" s="8">
        <v>20</v>
      </c>
      <c r="B1540" s="8">
        <v>22</v>
      </c>
      <c r="C1540" s="8">
        <v>1163.4030760000001</v>
      </c>
      <c r="D1540" s="8">
        <v>81677.03125</v>
      </c>
      <c r="E1540" s="8">
        <v>81725.445313000004</v>
      </c>
      <c r="F1540" s="8">
        <f t="shared" si="46"/>
        <v>48.414063000003807</v>
      </c>
      <c r="G1540" s="8">
        <f t="shared" si="47"/>
        <v>4.841406300000381E-2</v>
      </c>
    </row>
    <row r="1541" spans="1:7" x14ac:dyDescent="0.25">
      <c r="A1541" s="8">
        <v>20</v>
      </c>
      <c r="B1541" s="8">
        <v>23</v>
      </c>
      <c r="C1541" s="8">
        <v>1839.735596</v>
      </c>
      <c r="D1541" s="8">
        <v>82901.867188000004</v>
      </c>
      <c r="E1541" s="8">
        <v>82927.164063000004</v>
      </c>
      <c r="F1541" s="8">
        <f t="shared" si="46"/>
        <v>25.296875</v>
      </c>
      <c r="G1541" s="8">
        <f t="shared" si="47"/>
        <v>2.5296875E-2</v>
      </c>
    </row>
    <row r="1542" spans="1:7" x14ac:dyDescent="0.25">
      <c r="A1542" s="8">
        <v>20</v>
      </c>
      <c r="B1542" s="8">
        <v>24</v>
      </c>
      <c r="C1542" s="8">
        <v>548.54608199999996</v>
      </c>
      <c r="D1542" s="8">
        <v>84766.632813000004</v>
      </c>
      <c r="E1542" s="8">
        <v>84788.734375</v>
      </c>
      <c r="F1542" s="8">
        <f t="shared" si="46"/>
        <v>22.101561999996193</v>
      </c>
      <c r="G1542" s="8">
        <f t="shared" si="47"/>
        <v>2.2101561999996192E-2</v>
      </c>
    </row>
    <row r="1543" spans="1:7" x14ac:dyDescent="0.25">
      <c r="A1543" s="8">
        <v>20</v>
      </c>
      <c r="B1543" s="8">
        <v>25</v>
      </c>
      <c r="C1543" s="8">
        <v>4487.0791019999997</v>
      </c>
      <c r="D1543" s="8">
        <v>85344.890625</v>
      </c>
      <c r="E1543" s="8">
        <v>85362.585938000004</v>
      </c>
      <c r="F1543" s="8">
        <f t="shared" si="46"/>
        <v>17.695313000003807</v>
      </c>
      <c r="G1543" s="8">
        <f t="shared" si="47"/>
        <v>1.7695313000003807E-2</v>
      </c>
    </row>
    <row r="1544" spans="1:7" x14ac:dyDescent="0.25">
      <c r="A1544" s="8">
        <v>20</v>
      </c>
      <c r="B1544" s="8">
        <v>26</v>
      </c>
      <c r="C1544" s="8">
        <v>5594.5507809999999</v>
      </c>
      <c r="D1544" s="8">
        <v>89854.742188000004</v>
      </c>
      <c r="E1544" s="8">
        <v>89869.117188000004</v>
      </c>
      <c r="F1544" s="8">
        <f t="shared" si="46"/>
        <v>14.375</v>
      </c>
      <c r="G1544" s="8">
        <f t="shared" si="47"/>
        <v>1.4375000000000001E-2</v>
      </c>
    </row>
    <row r="1545" spans="1:7" x14ac:dyDescent="0.25">
      <c r="A1545" s="8">
        <v>20</v>
      </c>
      <c r="B1545" s="8">
        <v>27</v>
      </c>
      <c r="C1545" s="8">
        <v>292.696259</v>
      </c>
      <c r="D1545" s="8">
        <v>95475.210938000004</v>
      </c>
      <c r="E1545" s="8">
        <v>95488.539063000004</v>
      </c>
      <c r="F1545" s="8">
        <f t="shared" si="46"/>
        <v>13.328125</v>
      </c>
      <c r="G1545" s="8">
        <f t="shared" si="47"/>
        <v>1.3328125E-2</v>
      </c>
    </row>
    <row r="1546" spans="1:7" x14ac:dyDescent="0.25">
      <c r="A1546" s="8">
        <v>20</v>
      </c>
      <c r="B1546" s="8">
        <v>28</v>
      </c>
      <c r="C1546" s="8">
        <v>8434.3212889999995</v>
      </c>
      <c r="D1546" s="8">
        <v>95787.734375</v>
      </c>
      <c r="E1546" s="8">
        <v>95807.609375</v>
      </c>
      <c r="F1546" s="8">
        <f t="shared" si="46"/>
        <v>19.875</v>
      </c>
      <c r="G1546" s="8">
        <f t="shared" si="47"/>
        <v>1.9875E-2</v>
      </c>
    </row>
    <row r="1547" spans="1:7" x14ac:dyDescent="0.25">
      <c r="A1547" s="8">
        <v>20</v>
      </c>
      <c r="B1547" s="8">
        <v>29</v>
      </c>
      <c r="C1547" s="8">
        <v>720.15405299999998</v>
      </c>
      <c r="D1547" s="8">
        <v>104253.382813</v>
      </c>
      <c r="E1547" s="8">
        <v>104273.273438</v>
      </c>
      <c r="F1547" s="8">
        <f t="shared" ref="F1547:F1610" si="48">E1547-D1547</f>
        <v>19.890625</v>
      </c>
      <c r="G1547" s="8">
        <f t="shared" ref="G1547:G1610" si="49">F1547/1000</f>
        <v>1.9890624999999999E-2</v>
      </c>
    </row>
    <row r="1548" spans="1:7" x14ac:dyDescent="0.25">
      <c r="A1548" s="8">
        <v>20</v>
      </c>
      <c r="B1548" s="8">
        <v>30</v>
      </c>
      <c r="C1548" s="8">
        <v>2405.7290039999998</v>
      </c>
      <c r="D1548" s="8">
        <v>105003.328125</v>
      </c>
      <c r="E1548" s="8">
        <v>105014.335938</v>
      </c>
      <c r="F1548" s="8">
        <f t="shared" si="48"/>
        <v>11.007813000003807</v>
      </c>
      <c r="G1548" s="8">
        <f t="shared" si="49"/>
        <v>1.1007813000003808E-2</v>
      </c>
    </row>
    <row r="1549" spans="1:7" x14ac:dyDescent="0.25">
      <c r="A1549" s="8">
        <v>20</v>
      </c>
      <c r="B1549" s="8">
        <v>31</v>
      </c>
      <c r="C1549" s="8">
        <v>292.696259</v>
      </c>
      <c r="D1549" s="8">
        <v>107422.945313</v>
      </c>
      <c r="E1549" s="8">
        <v>107437.382813</v>
      </c>
      <c r="F1549" s="8">
        <f t="shared" si="48"/>
        <v>14.4375</v>
      </c>
      <c r="G1549" s="8">
        <f t="shared" si="49"/>
        <v>1.4437500000000001E-2</v>
      </c>
    </row>
    <row r="1550" spans="1:7" x14ac:dyDescent="0.25">
      <c r="A1550" s="8">
        <v>20</v>
      </c>
      <c r="B1550" s="8">
        <v>32</v>
      </c>
      <c r="C1550" s="8">
        <v>1085.3396</v>
      </c>
      <c r="D1550" s="8">
        <v>107735.28125</v>
      </c>
      <c r="E1550" s="8">
        <v>107756.960938</v>
      </c>
      <c r="F1550" s="8">
        <f t="shared" si="48"/>
        <v>21.679688000003807</v>
      </c>
      <c r="G1550" s="8">
        <f t="shared" si="49"/>
        <v>2.1679688000003808E-2</v>
      </c>
    </row>
    <row r="1551" spans="1:7" x14ac:dyDescent="0.25">
      <c r="A1551" s="8">
        <v>20</v>
      </c>
      <c r="B1551" s="8">
        <v>33</v>
      </c>
      <c r="C1551" s="8">
        <v>3979.5979000000002</v>
      </c>
      <c r="D1551" s="8">
        <v>108844.96875</v>
      </c>
      <c r="E1551" s="8">
        <v>108862.742188</v>
      </c>
      <c r="F1551" s="8">
        <f t="shared" si="48"/>
        <v>17.773438000003807</v>
      </c>
      <c r="G1551" s="8">
        <f t="shared" si="49"/>
        <v>1.7773438000003808E-2</v>
      </c>
    </row>
    <row r="1552" spans="1:7" x14ac:dyDescent="0.25">
      <c r="A1552" s="8">
        <v>20</v>
      </c>
      <c r="B1552" s="8">
        <v>34</v>
      </c>
      <c r="C1552" s="8">
        <v>5848.2158200000003</v>
      </c>
      <c r="D1552" s="8">
        <v>112853.609375</v>
      </c>
      <c r="E1552" s="8">
        <v>112871.648438</v>
      </c>
      <c r="F1552" s="8">
        <f t="shared" si="48"/>
        <v>18.039063000003807</v>
      </c>
      <c r="G1552" s="8">
        <f t="shared" si="49"/>
        <v>1.8039063000003807E-2</v>
      </c>
    </row>
    <row r="1553" spans="1:7" x14ac:dyDescent="0.25">
      <c r="A1553" s="8">
        <v>20</v>
      </c>
      <c r="B1553" s="8">
        <v>35</v>
      </c>
      <c r="C1553" s="8">
        <v>140.17996199999999</v>
      </c>
      <c r="D1553" s="8">
        <v>118728.804688</v>
      </c>
      <c r="E1553" s="8">
        <v>118746.679688</v>
      </c>
      <c r="F1553" s="8">
        <f t="shared" si="48"/>
        <v>17.875</v>
      </c>
      <c r="G1553" s="8">
        <f t="shared" si="49"/>
        <v>1.7874999999999999E-2</v>
      </c>
    </row>
    <row r="1554" spans="1:7" x14ac:dyDescent="0.25">
      <c r="A1554" s="8">
        <v>20</v>
      </c>
      <c r="B1554" s="8">
        <v>36</v>
      </c>
      <c r="C1554" s="8">
        <v>530.48034700000005</v>
      </c>
      <c r="D1554" s="8">
        <v>118900.640625</v>
      </c>
      <c r="E1554" s="8">
        <v>119016.429688</v>
      </c>
      <c r="F1554" s="8">
        <f t="shared" si="48"/>
        <v>115.78906300000381</v>
      </c>
      <c r="G1554" s="8">
        <f t="shared" si="49"/>
        <v>0.11578906300000381</v>
      </c>
    </row>
    <row r="1555" spans="1:7" x14ac:dyDescent="0.25">
      <c r="A1555" s="8">
        <v>20</v>
      </c>
      <c r="B1555" s="8">
        <v>37</v>
      </c>
      <c r="C1555" s="8">
        <v>2583.2839359999998</v>
      </c>
      <c r="D1555" s="8">
        <v>119548.789063</v>
      </c>
      <c r="E1555" s="8">
        <v>119563.414063</v>
      </c>
      <c r="F1555" s="8">
        <f t="shared" si="48"/>
        <v>14.625</v>
      </c>
      <c r="G1555" s="8">
        <f t="shared" si="49"/>
        <v>1.4625000000000001E-2</v>
      </c>
    </row>
    <row r="1556" spans="1:7" x14ac:dyDescent="0.25">
      <c r="A1556" s="8">
        <v>20</v>
      </c>
      <c r="B1556" s="8">
        <v>38</v>
      </c>
      <c r="C1556" s="8">
        <v>112.22472399999999</v>
      </c>
      <c r="D1556" s="8">
        <v>122158.234375</v>
      </c>
      <c r="E1556" s="8">
        <v>122165.960938</v>
      </c>
      <c r="F1556" s="8">
        <f t="shared" si="48"/>
        <v>7.7265630000038072</v>
      </c>
      <c r="G1556" s="8">
        <f t="shared" si="49"/>
        <v>7.7265630000038074E-3</v>
      </c>
    </row>
    <row r="1557" spans="1:7" x14ac:dyDescent="0.25">
      <c r="A1557" s="8">
        <v>20</v>
      </c>
      <c r="B1557" s="8">
        <v>39</v>
      </c>
      <c r="C1557" s="8">
        <v>3645.6958009999998</v>
      </c>
      <c r="D1557" s="8">
        <v>122283.335938</v>
      </c>
      <c r="E1557" s="8">
        <v>122316.5625</v>
      </c>
      <c r="F1557" s="8">
        <f t="shared" si="48"/>
        <v>33.226561999996193</v>
      </c>
      <c r="G1557" s="8">
        <f t="shared" si="49"/>
        <v>3.3226561999996192E-2</v>
      </c>
    </row>
    <row r="1558" spans="1:7" x14ac:dyDescent="0.25">
      <c r="A1558" s="8">
        <v>20</v>
      </c>
      <c r="B1558" s="8">
        <v>40</v>
      </c>
      <c r="C1558" s="8">
        <v>212.77705399999999</v>
      </c>
      <c r="D1558" s="8">
        <v>125971.601563</v>
      </c>
      <c r="E1558" s="8">
        <v>125988.859375</v>
      </c>
      <c r="F1558" s="8">
        <f t="shared" si="48"/>
        <v>17.257811999996193</v>
      </c>
      <c r="G1558" s="8">
        <f t="shared" si="49"/>
        <v>1.7257811999996191E-2</v>
      </c>
    </row>
    <row r="1559" spans="1:7" x14ac:dyDescent="0.25">
      <c r="A1559" s="8">
        <v>20</v>
      </c>
      <c r="B1559" s="8">
        <v>41</v>
      </c>
      <c r="C1559" s="8">
        <v>398.75921599999998</v>
      </c>
      <c r="D1559" s="8">
        <v>126205.960938</v>
      </c>
      <c r="E1559" s="8">
        <v>126220.078125</v>
      </c>
      <c r="F1559" s="8">
        <f t="shared" si="48"/>
        <v>14.117186999996193</v>
      </c>
      <c r="G1559" s="8">
        <f t="shared" si="49"/>
        <v>1.4117186999996192E-2</v>
      </c>
    </row>
    <row r="1560" spans="1:7" x14ac:dyDescent="0.25">
      <c r="A1560" s="8">
        <v>20</v>
      </c>
      <c r="B1560" s="8">
        <v>42</v>
      </c>
      <c r="C1560" s="8">
        <v>2480.4750979999999</v>
      </c>
      <c r="D1560" s="8">
        <v>126627.929688</v>
      </c>
      <c r="E1560" s="8">
        <v>126659.210938</v>
      </c>
      <c r="F1560" s="8">
        <f t="shared" si="48"/>
        <v>31.28125</v>
      </c>
      <c r="G1560" s="8">
        <f t="shared" si="49"/>
        <v>3.1281249999999997E-2</v>
      </c>
    </row>
    <row r="1561" spans="1:7" x14ac:dyDescent="0.25">
      <c r="A1561" s="8">
        <v>20</v>
      </c>
      <c r="B1561" s="8">
        <v>43</v>
      </c>
      <c r="C1561" s="8">
        <v>441.22738600000002</v>
      </c>
      <c r="D1561" s="8">
        <v>129145.117188</v>
      </c>
      <c r="E1561" s="8">
        <v>129168.007813</v>
      </c>
      <c r="F1561" s="8">
        <f t="shared" si="48"/>
        <v>22.890625</v>
      </c>
      <c r="G1561" s="8">
        <f t="shared" si="49"/>
        <v>2.2890625000000001E-2</v>
      </c>
    </row>
    <row r="1562" spans="1:7" x14ac:dyDescent="0.25">
      <c r="A1562" s="8">
        <v>20</v>
      </c>
      <c r="B1562" s="8">
        <v>44</v>
      </c>
      <c r="C1562" s="8">
        <v>3783.3034670000002</v>
      </c>
      <c r="D1562" s="8">
        <v>129613.742188</v>
      </c>
      <c r="E1562" s="8">
        <v>129639.15625</v>
      </c>
      <c r="F1562" s="8">
        <f t="shared" si="48"/>
        <v>25.414061999996193</v>
      </c>
      <c r="G1562" s="8">
        <f t="shared" si="49"/>
        <v>2.5414061999996192E-2</v>
      </c>
    </row>
    <row r="1563" spans="1:7" x14ac:dyDescent="0.25">
      <c r="A1563" s="8">
        <v>20</v>
      </c>
      <c r="B1563" s="8">
        <v>45</v>
      </c>
      <c r="C1563" s="8">
        <v>47.309520999999997</v>
      </c>
      <c r="D1563" s="8">
        <v>133425.546875</v>
      </c>
      <c r="E1563" s="8">
        <v>133437.984375</v>
      </c>
      <c r="F1563" s="8">
        <f t="shared" si="48"/>
        <v>12.4375</v>
      </c>
      <c r="G1563" s="8">
        <f t="shared" si="49"/>
        <v>1.2437500000000001E-2</v>
      </c>
    </row>
    <row r="1564" spans="1:7" x14ac:dyDescent="0.25">
      <c r="A1564" s="8">
        <v>20</v>
      </c>
      <c r="B1564" s="8">
        <v>46</v>
      </c>
      <c r="C1564" s="8">
        <v>485.861786</v>
      </c>
      <c r="D1564" s="8">
        <v>133487.921875</v>
      </c>
      <c r="E1564" s="8">
        <v>133501.890625</v>
      </c>
      <c r="F1564" s="8">
        <f t="shared" si="48"/>
        <v>13.96875</v>
      </c>
      <c r="G1564" s="8">
        <f t="shared" si="49"/>
        <v>1.396875E-2</v>
      </c>
    </row>
    <row r="1565" spans="1:7" x14ac:dyDescent="0.25">
      <c r="A1565" s="8">
        <v>20</v>
      </c>
      <c r="B1565" s="8">
        <v>47</v>
      </c>
      <c r="C1565" s="8">
        <v>2405.119385</v>
      </c>
      <c r="D1565" s="8">
        <v>133988.140625</v>
      </c>
      <c r="E1565" s="8">
        <v>134002.171875</v>
      </c>
      <c r="F1565" s="8">
        <f t="shared" si="48"/>
        <v>14.03125</v>
      </c>
      <c r="G1565" s="8">
        <f t="shared" si="49"/>
        <v>1.403125E-2</v>
      </c>
    </row>
    <row r="1566" spans="1:7" x14ac:dyDescent="0.25">
      <c r="A1566" s="8">
        <v>20</v>
      </c>
      <c r="B1566" s="8">
        <v>48</v>
      </c>
      <c r="C1566" s="8">
        <v>5942.4472660000001</v>
      </c>
      <c r="D1566" s="8">
        <v>136414.71875</v>
      </c>
      <c r="E1566" s="8">
        <v>136430.328125</v>
      </c>
      <c r="F1566" s="8">
        <f t="shared" si="48"/>
        <v>15.609375</v>
      </c>
      <c r="G1566" s="8">
        <f t="shared" si="49"/>
        <v>1.5609375E-2</v>
      </c>
    </row>
    <row r="1567" spans="1:7" x14ac:dyDescent="0.25">
      <c r="A1567" s="8">
        <v>20</v>
      </c>
      <c r="B1567" s="8">
        <v>49</v>
      </c>
      <c r="C1567" s="8">
        <v>5944.8310549999997</v>
      </c>
      <c r="D1567" s="8">
        <v>142374.546875</v>
      </c>
      <c r="E1567" s="8">
        <v>142385.9375</v>
      </c>
      <c r="F1567" s="8">
        <f t="shared" si="48"/>
        <v>11.390625</v>
      </c>
      <c r="G1567" s="8">
        <f t="shared" si="49"/>
        <v>1.1390625E-2</v>
      </c>
    </row>
    <row r="1568" spans="1:7" x14ac:dyDescent="0.25">
      <c r="A1568" s="8">
        <v>20</v>
      </c>
      <c r="B1568" s="8">
        <v>50</v>
      </c>
      <c r="C1568" s="8">
        <v>2132.0722660000001</v>
      </c>
      <c r="D1568" s="8">
        <v>148337.78125</v>
      </c>
      <c r="E1568" s="8">
        <v>148350.015625</v>
      </c>
      <c r="F1568" s="8">
        <f t="shared" si="48"/>
        <v>12.234375</v>
      </c>
      <c r="G1568" s="8">
        <f t="shared" si="49"/>
        <v>1.2234375E-2</v>
      </c>
    </row>
    <row r="1569" spans="1:7" x14ac:dyDescent="0.25">
      <c r="A1569" s="8">
        <v>20</v>
      </c>
      <c r="B1569" s="8">
        <v>51</v>
      </c>
      <c r="C1569" s="8">
        <v>134.949219</v>
      </c>
      <c r="D1569" s="8">
        <v>150483.25</v>
      </c>
      <c r="E1569" s="8">
        <v>150512.09375</v>
      </c>
      <c r="F1569" s="8">
        <f t="shared" si="48"/>
        <v>28.84375</v>
      </c>
      <c r="G1569" s="8">
        <f t="shared" si="49"/>
        <v>2.8843750000000001E-2</v>
      </c>
    </row>
    <row r="1570" spans="1:7" x14ac:dyDescent="0.25">
      <c r="A1570" s="8">
        <v>20</v>
      </c>
      <c r="B1570" s="8">
        <v>52</v>
      </c>
      <c r="C1570" s="8">
        <v>3154.1372070000002</v>
      </c>
      <c r="D1570" s="8">
        <v>150655.0625</v>
      </c>
      <c r="E1570" s="8">
        <v>150667.9375</v>
      </c>
      <c r="F1570" s="8">
        <f t="shared" si="48"/>
        <v>12.875</v>
      </c>
      <c r="G1570" s="8">
        <f t="shared" si="49"/>
        <v>1.2874999999999999E-2</v>
      </c>
    </row>
    <row r="1571" spans="1:7" x14ac:dyDescent="0.25">
      <c r="A1571" s="8">
        <v>20</v>
      </c>
      <c r="B1571" s="8">
        <v>53</v>
      </c>
      <c r="C1571" s="8">
        <v>1811.150635</v>
      </c>
      <c r="D1571" s="8">
        <v>153828.40625</v>
      </c>
      <c r="E1571" s="8">
        <v>153842.359375</v>
      </c>
      <c r="F1571" s="8">
        <f t="shared" si="48"/>
        <v>13.953125</v>
      </c>
      <c r="G1571" s="8">
        <f t="shared" si="49"/>
        <v>1.3953125E-2</v>
      </c>
    </row>
    <row r="1572" spans="1:7" x14ac:dyDescent="0.25">
      <c r="A1572" s="8">
        <v>20</v>
      </c>
      <c r="B1572" s="8">
        <v>54</v>
      </c>
      <c r="C1572" s="8">
        <v>336.773346</v>
      </c>
      <c r="D1572" s="8">
        <v>155656.734375</v>
      </c>
      <c r="E1572" s="8">
        <v>155682.640625</v>
      </c>
      <c r="F1572" s="8">
        <f t="shared" si="48"/>
        <v>25.90625</v>
      </c>
      <c r="G1572" s="8">
        <f t="shared" si="49"/>
        <v>2.5906249999999999E-2</v>
      </c>
    </row>
    <row r="1573" spans="1:7" x14ac:dyDescent="0.25">
      <c r="A1573" s="8">
        <v>20</v>
      </c>
      <c r="B1573" s="8">
        <v>55</v>
      </c>
      <c r="C1573" s="8">
        <v>712.73083499999996</v>
      </c>
      <c r="D1573" s="8">
        <v>156031.734375</v>
      </c>
      <c r="E1573" s="8">
        <v>156060.21875</v>
      </c>
      <c r="F1573" s="8">
        <f t="shared" si="48"/>
        <v>28.484375</v>
      </c>
      <c r="G1573" s="8">
        <f t="shared" si="49"/>
        <v>2.8484374999999999E-2</v>
      </c>
    </row>
    <row r="1574" spans="1:7" x14ac:dyDescent="0.25">
      <c r="A1574" s="8">
        <v>20</v>
      </c>
      <c r="B1574" s="8">
        <v>56</v>
      </c>
      <c r="C1574" s="8">
        <v>2645.3129880000001</v>
      </c>
      <c r="D1574" s="8">
        <v>156781.796875</v>
      </c>
      <c r="E1574" s="8">
        <v>156802.90625</v>
      </c>
      <c r="F1574" s="8">
        <f t="shared" si="48"/>
        <v>21.109375</v>
      </c>
      <c r="G1574" s="8">
        <f t="shared" si="49"/>
        <v>2.1109375E-2</v>
      </c>
    </row>
    <row r="1575" spans="1:7" x14ac:dyDescent="0.25">
      <c r="A1575" s="8">
        <v>20</v>
      </c>
      <c r="B1575" s="8">
        <v>57</v>
      </c>
      <c r="C1575" s="8">
        <v>766.53393600000004</v>
      </c>
      <c r="D1575" s="8">
        <v>159454.953125</v>
      </c>
      <c r="E1575" s="8">
        <v>159463.8125</v>
      </c>
      <c r="F1575" s="8">
        <f t="shared" si="48"/>
        <v>8.859375</v>
      </c>
      <c r="G1575" s="8">
        <f t="shared" si="49"/>
        <v>8.8593749999999992E-3</v>
      </c>
    </row>
    <row r="1576" spans="1:7" x14ac:dyDescent="0.25">
      <c r="A1576" s="8">
        <v>20</v>
      </c>
      <c r="B1576" s="8">
        <v>58</v>
      </c>
      <c r="C1576" s="8">
        <v>5421.1118159999996</v>
      </c>
      <c r="D1576" s="8">
        <v>160236.28125</v>
      </c>
      <c r="E1576" s="8">
        <v>160257.09375</v>
      </c>
      <c r="F1576" s="8">
        <f t="shared" si="48"/>
        <v>20.8125</v>
      </c>
      <c r="G1576" s="8">
        <f t="shared" si="49"/>
        <v>2.0812500000000001E-2</v>
      </c>
    </row>
    <row r="1577" spans="1:7" x14ac:dyDescent="0.25">
      <c r="A1577" s="8">
        <v>20</v>
      </c>
      <c r="B1577" s="8">
        <v>59</v>
      </c>
      <c r="C1577" s="8">
        <v>1008.5914310000001</v>
      </c>
      <c r="D1577" s="8">
        <v>165686.609375</v>
      </c>
      <c r="E1577" s="8">
        <v>165694.125</v>
      </c>
      <c r="F1577" s="8">
        <f t="shared" si="48"/>
        <v>7.515625</v>
      </c>
      <c r="G1577" s="8">
        <f t="shared" si="49"/>
        <v>7.5156249999999997E-3</v>
      </c>
    </row>
    <row r="1578" spans="1:7" x14ac:dyDescent="0.25">
      <c r="A1578" s="8">
        <v>20</v>
      </c>
      <c r="B1578" s="8">
        <v>60</v>
      </c>
      <c r="C1578" s="8">
        <v>816.40057400000001</v>
      </c>
      <c r="D1578" s="8">
        <v>166708.15625</v>
      </c>
      <c r="E1578" s="8">
        <v>166718.9375</v>
      </c>
      <c r="F1578" s="8">
        <f t="shared" si="48"/>
        <v>10.78125</v>
      </c>
      <c r="G1578" s="8">
        <f t="shared" si="49"/>
        <v>1.0781249999999999E-2</v>
      </c>
    </row>
    <row r="1579" spans="1:7" x14ac:dyDescent="0.25">
      <c r="A1579" s="8">
        <v>20</v>
      </c>
      <c r="B1579" s="8">
        <v>61</v>
      </c>
      <c r="C1579" s="8">
        <v>673.54266399999995</v>
      </c>
      <c r="D1579" s="8">
        <v>167541.078125</v>
      </c>
      <c r="E1579" s="8">
        <v>167559.8125</v>
      </c>
      <c r="F1579" s="8">
        <f t="shared" si="48"/>
        <v>18.734375</v>
      </c>
      <c r="G1579" s="8">
        <f t="shared" si="49"/>
        <v>1.8734375000000001E-2</v>
      </c>
    </row>
    <row r="1580" spans="1:7" x14ac:dyDescent="0.25">
      <c r="A1580" s="8">
        <v>20</v>
      </c>
      <c r="B1580" s="8">
        <v>62</v>
      </c>
      <c r="C1580" s="8">
        <v>968.56811500000003</v>
      </c>
      <c r="D1580" s="8">
        <v>168244.8125</v>
      </c>
      <c r="E1580" s="8">
        <v>168280.21875</v>
      </c>
      <c r="F1580" s="8">
        <f t="shared" si="48"/>
        <v>35.40625</v>
      </c>
      <c r="G1580" s="8">
        <f t="shared" si="49"/>
        <v>3.540625E-2</v>
      </c>
    </row>
    <row r="1581" spans="1:7" x14ac:dyDescent="0.25">
      <c r="A1581" s="8">
        <v>20</v>
      </c>
      <c r="B1581" s="8">
        <v>63</v>
      </c>
      <c r="C1581" s="8">
        <v>7457.8974609999996</v>
      </c>
      <c r="D1581" s="8">
        <v>169251.609375</v>
      </c>
      <c r="E1581" s="8">
        <v>169281.21875</v>
      </c>
      <c r="F1581" s="8">
        <f t="shared" si="48"/>
        <v>29.609375</v>
      </c>
      <c r="G1581" s="8">
        <f t="shared" si="49"/>
        <v>2.9609375E-2</v>
      </c>
    </row>
    <row r="1582" spans="1:7" x14ac:dyDescent="0.25">
      <c r="A1582" s="8">
        <v>21</v>
      </c>
      <c r="B1582" s="8">
        <v>0</v>
      </c>
      <c r="C1582" s="8">
        <v>998.20849599999997</v>
      </c>
      <c r="D1582" s="8">
        <v>21656.890625</v>
      </c>
      <c r="E1582" s="8">
        <v>21675.974609000001</v>
      </c>
      <c r="F1582" s="8">
        <f t="shared" si="48"/>
        <v>19.083984000000783</v>
      </c>
      <c r="G1582" s="8">
        <f t="shared" si="49"/>
        <v>1.9083984000000782E-2</v>
      </c>
    </row>
    <row r="1583" spans="1:7" x14ac:dyDescent="0.25">
      <c r="A1583" s="8">
        <v>21</v>
      </c>
      <c r="B1583" s="8">
        <v>1</v>
      </c>
      <c r="C1583" s="8">
        <v>5990.6713870000003</v>
      </c>
      <c r="D1583" s="8">
        <v>22688.015625</v>
      </c>
      <c r="E1583" s="8">
        <v>22708.4375</v>
      </c>
      <c r="F1583" s="8">
        <f t="shared" si="48"/>
        <v>20.421875</v>
      </c>
      <c r="G1583" s="8">
        <f t="shared" si="49"/>
        <v>2.0421874999999999E-2</v>
      </c>
    </row>
    <row r="1584" spans="1:7" x14ac:dyDescent="0.25">
      <c r="A1584" s="8">
        <v>21</v>
      </c>
      <c r="B1584" s="8">
        <v>2</v>
      </c>
      <c r="C1584" s="8">
        <v>337.71267699999999</v>
      </c>
      <c r="D1584" s="8">
        <v>28699.558593999998</v>
      </c>
      <c r="E1584" s="8">
        <v>28720.474609000001</v>
      </c>
      <c r="F1584" s="8">
        <f t="shared" si="48"/>
        <v>20.916015000002517</v>
      </c>
      <c r="G1584" s="8">
        <f t="shared" si="49"/>
        <v>2.0916015000002518E-2</v>
      </c>
    </row>
    <row r="1585" spans="1:7" x14ac:dyDescent="0.25">
      <c r="A1585" s="8">
        <v>21</v>
      </c>
      <c r="B1585" s="8">
        <v>3</v>
      </c>
      <c r="C1585" s="8">
        <v>87.777434999999997</v>
      </c>
      <c r="D1585" s="8">
        <v>29058.998047000001</v>
      </c>
      <c r="E1585" s="8">
        <v>29066.486327999999</v>
      </c>
      <c r="F1585" s="8">
        <f t="shared" si="48"/>
        <v>7.4882809999980964</v>
      </c>
      <c r="G1585" s="8">
        <f t="shared" si="49"/>
        <v>7.4882809999980964E-3</v>
      </c>
    </row>
    <row r="1586" spans="1:7" x14ac:dyDescent="0.25">
      <c r="A1586" s="8">
        <v>21</v>
      </c>
      <c r="B1586" s="8">
        <v>4</v>
      </c>
      <c r="C1586" s="8">
        <v>6941.2001950000003</v>
      </c>
      <c r="D1586" s="8">
        <v>29168.376952999999</v>
      </c>
      <c r="E1586" s="8">
        <v>29185.617188</v>
      </c>
      <c r="F1586" s="8">
        <f t="shared" si="48"/>
        <v>17.240235000001121</v>
      </c>
      <c r="G1586" s="8">
        <f t="shared" si="49"/>
        <v>1.724023500000112E-2</v>
      </c>
    </row>
    <row r="1587" spans="1:7" x14ac:dyDescent="0.25">
      <c r="A1587" s="8">
        <v>21</v>
      </c>
      <c r="B1587" s="8">
        <v>5</v>
      </c>
      <c r="C1587" s="8">
        <v>1960.783813</v>
      </c>
      <c r="D1587" s="8">
        <v>36139.539062999997</v>
      </c>
      <c r="E1587" s="8">
        <v>36157.261719000002</v>
      </c>
      <c r="F1587" s="8">
        <f t="shared" si="48"/>
        <v>17.722656000005372</v>
      </c>
      <c r="G1587" s="8">
        <f t="shared" si="49"/>
        <v>1.7722656000005374E-2</v>
      </c>
    </row>
    <row r="1588" spans="1:7" x14ac:dyDescent="0.25">
      <c r="A1588" s="8">
        <v>21</v>
      </c>
      <c r="B1588" s="8">
        <v>6</v>
      </c>
      <c r="C1588" s="8">
        <v>593.20519999999999</v>
      </c>
      <c r="D1588" s="8">
        <v>38120.675780999998</v>
      </c>
      <c r="E1588" s="8">
        <v>38137.488280999998</v>
      </c>
      <c r="F1588" s="8">
        <f t="shared" si="48"/>
        <v>16.8125</v>
      </c>
      <c r="G1588" s="8">
        <f t="shared" si="49"/>
        <v>1.6812500000000001E-2</v>
      </c>
    </row>
    <row r="1589" spans="1:7" x14ac:dyDescent="0.25">
      <c r="A1589" s="8">
        <v>21</v>
      </c>
      <c r="B1589" s="8">
        <v>7</v>
      </c>
      <c r="C1589" s="8">
        <v>891.03741500000001</v>
      </c>
      <c r="D1589" s="8">
        <v>38745.960937999997</v>
      </c>
      <c r="E1589" s="8">
        <v>38762.296875</v>
      </c>
      <c r="F1589" s="8">
        <f t="shared" si="48"/>
        <v>16.335937000003469</v>
      </c>
      <c r="G1589" s="8">
        <f t="shared" si="49"/>
        <v>1.6335937000003468E-2</v>
      </c>
    </row>
    <row r="1590" spans="1:7" x14ac:dyDescent="0.25">
      <c r="A1590" s="8">
        <v>21</v>
      </c>
      <c r="B1590" s="8">
        <v>8</v>
      </c>
      <c r="C1590" s="8">
        <v>358.04980499999999</v>
      </c>
      <c r="D1590" s="8">
        <v>39667.960937999997</v>
      </c>
      <c r="E1590" s="8">
        <v>39687.136719000002</v>
      </c>
      <c r="F1590" s="8">
        <f t="shared" si="48"/>
        <v>19.175781000005372</v>
      </c>
      <c r="G1590" s="8">
        <f t="shared" si="49"/>
        <v>1.9175781000005374E-2</v>
      </c>
    </row>
    <row r="1591" spans="1:7" x14ac:dyDescent="0.25">
      <c r="A1591" s="8">
        <v>21</v>
      </c>
      <c r="B1591" s="8">
        <v>9</v>
      </c>
      <c r="C1591" s="8">
        <v>1774.205322</v>
      </c>
      <c r="D1591" s="8">
        <v>40058.597655999998</v>
      </c>
      <c r="E1591" s="8">
        <v>40066.652344000002</v>
      </c>
      <c r="F1591" s="8">
        <f t="shared" si="48"/>
        <v>8.0546880000038072</v>
      </c>
      <c r="G1591" s="8">
        <f t="shared" si="49"/>
        <v>8.0546880000038068E-3</v>
      </c>
    </row>
    <row r="1592" spans="1:7" x14ac:dyDescent="0.25">
      <c r="A1592" s="8">
        <v>21</v>
      </c>
      <c r="B1592" s="8">
        <v>10</v>
      </c>
      <c r="C1592" s="8">
        <v>2976.4245609999998</v>
      </c>
      <c r="D1592" s="8">
        <v>41856.496094000002</v>
      </c>
      <c r="E1592" s="8">
        <v>41870.238280999998</v>
      </c>
      <c r="F1592" s="8">
        <f t="shared" si="48"/>
        <v>13.742186999996193</v>
      </c>
      <c r="G1592" s="8">
        <f t="shared" si="49"/>
        <v>1.3742186999996193E-2</v>
      </c>
    </row>
    <row r="1593" spans="1:7" x14ac:dyDescent="0.25">
      <c r="A1593" s="8">
        <v>21</v>
      </c>
      <c r="B1593" s="8">
        <v>11</v>
      </c>
      <c r="C1593" s="8">
        <v>1111.023682</v>
      </c>
      <c r="D1593" s="8">
        <v>44849.988280999998</v>
      </c>
      <c r="E1593" s="8">
        <v>44862.46875</v>
      </c>
      <c r="F1593" s="8">
        <f t="shared" si="48"/>
        <v>12.480469000001904</v>
      </c>
      <c r="G1593" s="8">
        <f t="shared" si="49"/>
        <v>1.2480469000001904E-2</v>
      </c>
    </row>
    <row r="1594" spans="1:7" x14ac:dyDescent="0.25">
      <c r="A1594" s="8">
        <v>21</v>
      </c>
      <c r="B1594" s="8">
        <v>12</v>
      </c>
      <c r="C1594" s="8">
        <v>1736.0390629999999</v>
      </c>
      <c r="D1594" s="8">
        <v>45976.105469000002</v>
      </c>
      <c r="E1594" s="8">
        <v>45987.90625</v>
      </c>
      <c r="F1594" s="8">
        <f t="shared" si="48"/>
        <v>11.800780999998096</v>
      </c>
      <c r="G1594" s="8">
        <f t="shared" si="49"/>
        <v>1.1800780999998097E-2</v>
      </c>
    </row>
    <row r="1595" spans="1:7" x14ac:dyDescent="0.25">
      <c r="A1595" s="8">
        <v>21</v>
      </c>
      <c r="B1595" s="8">
        <v>13</v>
      </c>
      <c r="C1595" s="8">
        <v>136.84381099999999</v>
      </c>
      <c r="D1595" s="8">
        <v>47735.441405999998</v>
      </c>
      <c r="E1595" s="8">
        <v>47821.960937999997</v>
      </c>
      <c r="F1595" s="8">
        <f t="shared" si="48"/>
        <v>86.519531999998435</v>
      </c>
      <c r="G1595" s="8">
        <f t="shared" si="49"/>
        <v>8.6519531999998428E-2</v>
      </c>
    </row>
    <row r="1596" spans="1:7" x14ac:dyDescent="0.25">
      <c r="A1596" s="8">
        <v>21</v>
      </c>
      <c r="B1596" s="8">
        <v>14</v>
      </c>
      <c r="C1596" s="8">
        <v>1128.2242429999999</v>
      </c>
      <c r="D1596" s="8">
        <v>47970.429687999997</v>
      </c>
      <c r="E1596" s="8">
        <v>48072.476562999997</v>
      </c>
      <c r="F1596" s="8">
        <f t="shared" si="48"/>
        <v>102.046875</v>
      </c>
      <c r="G1596" s="8">
        <f t="shared" si="49"/>
        <v>0.102046875</v>
      </c>
    </row>
    <row r="1597" spans="1:7" x14ac:dyDescent="0.25">
      <c r="A1597" s="8">
        <v>21</v>
      </c>
      <c r="B1597" s="8">
        <v>15</v>
      </c>
      <c r="C1597" s="8">
        <v>918.76971400000002</v>
      </c>
      <c r="D1597" s="8">
        <v>49201.558594000002</v>
      </c>
      <c r="E1597" s="8">
        <v>49211.476562999997</v>
      </c>
      <c r="F1597" s="8">
        <f t="shared" si="48"/>
        <v>9.9179689999946277</v>
      </c>
      <c r="G1597" s="8">
        <f t="shared" si="49"/>
        <v>9.917968999994628E-3</v>
      </c>
    </row>
    <row r="1598" spans="1:7" x14ac:dyDescent="0.25">
      <c r="A1598" s="8">
        <v>21</v>
      </c>
      <c r="B1598" s="8">
        <v>16</v>
      </c>
      <c r="C1598" s="8">
        <v>1227.8764650000001</v>
      </c>
      <c r="D1598" s="8">
        <v>50143.457030999998</v>
      </c>
      <c r="E1598" s="8">
        <v>50156.523437999997</v>
      </c>
      <c r="F1598" s="8">
        <f t="shared" si="48"/>
        <v>13.066406999998435</v>
      </c>
      <c r="G1598" s="8">
        <f t="shared" si="49"/>
        <v>1.3066406999998436E-2</v>
      </c>
    </row>
    <row r="1599" spans="1:7" x14ac:dyDescent="0.25">
      <c r="A1599" s="8">
        <v>21</v>
      </c>
      <c r="B1599" s="8">
        <v>17</v>
      </c>
      <c r="C1599" s="8">
        <v>8476.1640630000002</v>
      </c>
      <c r="D1599" s="8">
        <v>51397.210937999997</v>
      </c>
      <c r="E1599" s="8">
        <v>51414.503905999998</v>
      </c>
      <c r="F1599" s="8">
        <f t="shared" si="48"/>
        <v>17.292968000001565</v>
      </c>
      <c r="G1599" s="8">
        <f t="shared" si="49"/>
        <v>1.7292968000001564E-2</v>
      </c>
    </row>
    <row r="1600" spans="1:7" x14ac:dyDescent="0.25">
      <c r="A1600" s="8">
        <v>21</v>
      </c>
      <c r="B1600" s="8">
        <v>18</v>
      </c>
      <c r="C1600" s="8">
        <v>12005.456055000001</v>
      </c>
      <c r="D1600" s="8">
        <v>59903.675780999998</v>
      </c>
      <c r="E1600" s="8">
        <v>59911.269530999998</v>
      </c>
      <c r="F1600" s="8">
        <f t="shared" si="48"/>
        <v>7.59375</v>
      </c>
      <c r="G1600" s="8">
        <f t="shared" si="49"/>
        <v>7.5937499999999998E-3</v>
      </c>
    </row>
    <row r="1601" spans="1:7" x14ac:dyDescent="0.25">
      <c r="A1601" s="8">
        <v>21</v>
      </c>
      <c r="B1601" s="8">
        <v>19</v>
      </c>
      <c r="C1601" s="8">
        <v>2578.8469239999999</v>
      </c>
      <c r="D1601" s="8">
        <v>71917.03125</v>
      </c>
      <c r="E1601" s="8">
        <v>71938.960938000004</v>
      </c>
      <c r="F1601" s="8">
        <f t="shared" si="48"/>
        <v>21.929688000003807</v>
      </c>
      <c r="G1601" s="8">
        <f t="shared" si="49"/>
        <v>2.1929688000003809E-2</v>
      </c>
    </row>
    <row r="1602" spans="1:7" x14ac:dyDescent="0.25">
      <c r="A1602" s="8">
        <v>21</v>
      </c>
      <c r="B1602" s="8">
        <v>20</v>
      </c>
      <c r="C1602" s="8">
        <v>292.55496199999999</v>
      </c>
      <c r="D1602" s="8">
        <v>74523.960938000004</v>
      </c>
      <c r="E1602" s="8">
        <v>74538.226563000004</v>
      </c>
      <c r="F1602" s="8">
        <f t="shared" si="48"/>
        <v>14.265625</v>
      </c>
      <c r="G1602" s="8">
        <f t="shared" si="49"/>
        <v>1.4265625000000001E-2</v>
      </c>
    </row>
    <row r="1603" spans="1:7" x14ac:dyDescent="0.25">
      <c r="A1603" s="8">
        <v>21</v>
      </c>
      <c r="B1603" s="8">
        <v>21</v>
      </c>
      <c r="C1603" s="8">
        <v>7759.0117190000001</v>
      </c>
      <c r="D1603" s="8">
        <v>74836.429688000004</v>
      </c>
      <c r="E1603" s="8">
        <v>74857.375</v>
      </c>
      <c r="F1603" s="8">
        <f t="shared" si="48"/>
        <v>20.945311999996193</v>
      </c>
      <c r="G1603" s="8">
        <f t="shared" si="49"/>
        <v>2.0945311999996191E-2</v>
      </c>
    </row>
    <row r="1604" spans="1:7" x14ac:dyDescent="0.25">
      <c r="A1604" s="8">
        <v>21</v>
      </c>
      <c r="B1604" s="8">
        <v>22</v>
      </c>
      <c r="C1604" s="8">
        <v>321.01705900000002</v>
      </c>
      <c r="D1604" s="8">
        <v>82620.445313000004</v>
      </c>
      <c r="E1604" s="8">
        <v>82633.773438000004</v>
      </c>
      <c r="F1604" s="8">
        <f t="shared" si="48"/>
        <v>13.328125</v>
      </c>
      <c r="G1604" s="8">
        <f t="shared" si="49"/>
        <v>1.3328125E-2</v>
      </c>
    </row>
    <row r="1605" spans="1:7" x14ac:dyDescent="0.25">
      <c r="A1605" s="8">
        <v>21</v>
      </c>
      <c r="B1605" s="8">
        <v>23</v>
      </c>
      <c r="C1605" s="8">
        <v>572.29425000000003</v>
      </c>
      <c r="D1605" s="8">
        <v>82964.351563000004</v>
      </c>
      <c r="E1605" s="8">
        <v>82974.5</v>
      </c>
      <c r="F1605" s="8">
        <f t="shared" si="48"/>
        <v>10.148436999996193</v>
      </c>
      <c r="G1605" s="8">
        <f t="shared" si="49"/>
        <v>1.0148436999996192E-2</v>
      </c>
    </row>
    <row r="1606" spans="1:7" x14ac:dyDescent="0.25">
      <c r="A1606" s="8">
        <v>21</v>
      </c>
      <c r="B1606" s="8">
        <v>24</v>
      </c>
      <c r="C1606" s="8">
        <v>1442.5611570000001</v>
      </c>
      <c r="D1606" s="8">
        <v>83562.265625</v>
      </c>
      <c r="E1606" s="8">
        <v>83581.25</v>
      </c>
      <c r="F1606" s="8">
        <f t="shared" si="48"/>
        <v>18.984375</v>
      </c>
      <c r="G1606" s="8">
        <f t="shared" si="49"/>
        <v>1.8984375000000001E-2</v>
      </c>
    </row>
    <row r="1607" spans="1:7" x14ac:dyDescent="0.25">
      <c r="A1607" s="8">
        <v>21</v>
      </c>
      <c r="B1607" s="8">
        <v>25</v>
      </c>
      <c r="C1607" s="8">
        <v>865.47137499999997</v>
      </c>
      <c r="D1607" s="8">
        <v>85032.28125</v>
      </c>
      <c r="E1607" s="8">
        <v>85055.007813000004</v>
      </c>
      <c r="F1607" s="8">
        <f t="shared" si="48"/>
        <v>22.726563000003807</v>
      </c>
      <c r="G1607" s="8">
        <f t="shared" si="49"/>
        <v>2.2726563000003808E-2</v>
      </c>
    </row>
    <row r="1608" spans="1:7" x14ac:dyDescent="0.25">
      <c r="A1608" s="8">
        <v>21</v>
      </c>
      <c r="B1608" s="8">
        <v>26</v>
      </c>
      <c r="C1608" s="8">
        <v>1174.57251</v>
      </c>
      <c r="D1608" s="8">
        <v>85924.546875</v>
      </c>
      <c r="E1608" s="8">
        <v>85991.960938000004</v>
      </c>
      <c r="F1608" s="8">
        <f t="shared" si="48"/>
        <v>67.414063000003807</v>
      </c>
      <c r="G1608" s="8">
        <f t="shared" si="49"/>
        <v>6.7414063000003813E-2</v>
      </c>
    </row>
    <row r="1609" spans="1:7" x14ac:dyDescent="0.25">
      <c r="A1609" s="8">
        <v>21</v>
      </c>
      <c r="B1609" s="8">
        <v>27</v>
      </c>
      <c r="C1609" s="8">
        <v>839.57775900000001</v>
      </c>
      <c r="D1609" s="8">
        <v>87174.703125</v>
      </c>
      <c r="E1609" s="8">
        <v>87185.25</v>
      </c>
      <c r="F1609" s="8">
        <f t="shared" si="48"/>
        <v>10.546875</v>
      </c>
      <c r="G1609" s="8">
        <f t="shared" si="49"/>
        <v>1.0546875000000001E-2</v>
      </c>
    </row>
    <row r="1610" spans="1:7" x14ac:dyDescent="0.25">
      <c r="A1610" s="8">
        <v>21</v>
      </c>
      <c r="B1610" s="8">
        <v>28</v>
      </c>
      <c r="C1610" s="8">
        <v>2026.271362</v>
      </c>
      <c r="D1610" s="8">
        <v>88037.265625</v>
      </c>
      <c r="E1610" s="8">
        <v>88052.546875</v>
      </c>
      <c r="F1610" s="8">
        <f t="shared" si="48"/>
        <v>15.28125</v>
      </c>
      <c r="G1610" s="8">
        <f t="shared" si="49"/>
        <v>1.528125E-2</v>
      </c>
    </row>
    <row r="1611" spans="1:7" x14ac:dyDescent="0.25">
      <c r="A1611" s="8">
        <v>21</v>
      </c>
      <c r="B1611" s="8">
        <v>29</v>
      </c>
      <c r="C1611" s="8">
        <v>2536.3107909999999</v>
      </c>
      <c r="D1611" s="8">
        <v>90089.203125</v>
      </c>
      <c r="E1611" s="8">
        <v>90099.835938000004</v>
      </c>
      <c r="F1611" s="8">
        <f t="shared" ref="F1611:F1674" si="50">E1611-D1611</f>
        <v>10.632813000003807</v>
      </c>
      <c r="G1611" s="8">
        <f t="shared" ref="G1611:G1674" si="51">F1611/1000</f>
        <v>1.0632813000003807E-2</v>
      </c>
    </row>
    <row r="1612" spans="1:7" x14ac:dyDescent="0.25">
      <c r="A1612" s="8">
        <v>21</v>
      </c>
      <c r="B1612" s="8">
        <v>30</v>
      </c>
      <c r="C1612" s="8">
        <v>654.40222200000005</v>
      </c>
      <c r="D1612" s="8">
        <v>92638.4375</v>
      </c>
      <c r="E1612" s="8">
        <v>92645.867188000004</v>
      </c>
      <c r="F1612" s="8">
        <f t="shared" si="50"/>
        <v>7.4296880000038072</v>
      </c>
      <c r="G1612" s="8">
        <f t="shared" si="51"/>
        <v>7.4296880000038071E-3</v>
      </c>
    </row>
    <row r="1613" spans="1:7" x14ac:dyDescent="0.25">
      <c r="A1613" s="8">
        <v>21</v>
      </c>
      <c r="B1613" s="8">
        <v>31</v>
      </c>
      <c r="C1613" s="8">
        <v>1772.279663</v>
      </c>
      <c r="D1613" s="8">
        <v>93310.375</v>
      </c>
      <c r="E1613" s="8">
        <v>93321.148438000004</v>
      </c>
      <c r="F1613" s="8">
        <f t="shared" si="50"/>
        <v>10.773438000003807</v>
      </c>
      <c r="G1613" s="8">
        <f t="shared" si="51"/>
        <v>1.0773438000003807E-2</v>
      </c>
    </row>
    <row r="1614" spans="1:7" x14ac:dyDescent="0.25">
      <c r="A1614" s="8">
        <v>21</v>
      </c>
      <c r="B1614" s="8">
        <v>32</v>
      </c>
      <c r="C1614" s="8">
        <v>7123.9853519999997</v>
      </c>
      <c r="D1614" s="8">
        <v>95102.6875</v>
      </c>
      <c r="E1614" s="8">
        <v>95113.273438000004</v>
      </c>
      <c r="F1614" s="8">
        <f t="shared" si="50"/>
        <v>10.585938000003807</v>
      </c>
      <c r="G1614" s="8">
        <f t="shared" si="51"/>
        <v>1.0585938000003807E-2</v>
      </c>
    </row>
    <row r="1615" spans="1:7" x14ac:dyDescent="0.25">
      <c r="A1615" s="8">
        <v>21</v>
      </c>
      <c r="B1615" s="8">
        <v>33</v>
      </c>
      <c r="C1615" s="8">
        <v>1601.2448730000001</v>
      </c>
      <c r="D1615" s="8">
        <v>102245.023438</v>
      </c>
      <c r="E1615" s="8">
        <v>102258.382813</v>
      </c>
      <c r="F1615" s="8">
        <f t="shared" si="50"/>
        <v>13.359375</v>
      </c>
      <c r="G1615" s="8">
        <f t="shared" si="51"/>
        <v>1.3359375E-2</v>
      </c>
    </row>
    <row r="1616" spans="1:7" x14ac:dyDescent="0.25">
      <c r="A1616" s="8">
        <v>21</v>
      </c>
      <c r="B1616" s="8">
        <v>34</v>
      </c>
      <c r="C1616" s="8">
        <v>297.86084</v>
      </c>
      <c r="D1616" s="8">
        <v>103862.703125</v>
      </c>
      <c r="E1616" s="8">
        <v>103873.960938</v>
      </c>
      <c r="F1616" s="8">
        <f t="shared" si="50"/>
        <v>11.257813000003807</v>
      </c>
      <c r="G1616" s="8">
        <f t="shared" si="51"/>
        <v>1.1257813000003808E-2</v>
      </c>
    </row>
    <row r="1617" spans="1:7" x14ac:dyDescent="0.25">
      <c r="A1617" s="8">
        <v>21</v>
      </c>
      <c r="B1617" s="8">
        <v>35</v>
      </c>
      <c r="C1617" s="8">
        <v>847.20806900000002</v>
      </c>
      <c r="D1617" s="8">
        <v>104175.21875</v>
      </c>
      <c r="E1617" s="8">
        <v>104214.914063</v>
      </c>
      <c r="F1617" s="8">
        <f t="shared" si="50"/>
        <v>39.695313000003807</v>
      </c>
      <c r="G1617" s="8">
        <f t="shared" si="51"/>
        <v>3.9695313000003805E-2</v>
      </c>
    </row>
    <row r="1618" spans="1:7" x14ac:dyDescent="0.25">
      <c r="A1618" s="8">
        <v>21</v>
      </c>
      <c r="B1618" s="8">
        <v>36</v>
      </c>
      <c r="C1618" s="8">
        <v>1305.8396</v>
      </c>
      <c r="D1618" s="8">
        <v>105065.921875</v>
      </c>
      <c r="E1618" s="8">
        <v>105080.539063</v>
      </c>
      <c r="F1618" s="8">
        <f t="shared" si="50"/>
        <v>14.617188000003807</v>
      </c>
      <c r="G1618" s="8">
        <f t="shared" si="51"/>
        <v>1.4617188000003807E-2</v>
      </c>
    </row>
    <row r="1619" spans="1:7" x14ac:dyDescent="0.25">
      <c r="A1619" s="8">
        <v>21</v>
      </c>
      <c r="B1619" s="8">
        <v>37</v>
      </c>
      <c r="C1619" s="8">
        <v>783.89129600000001</v>
      </c>
      <c r="D1619" s="8">
        <v>106391</v>
      </c>
      <c r="E1619" s="8">
        <v>106398.515625</v>
      </c>
      <c r="F1619" s="8">
        <f t="shared" si="50"/>
        <v>7.515625</v>
      </c>
      <c r="G1619" s="8">
        <f t="shared" si="51"/>
        <v>7.5156249999999997E-3</v>
      </c>
    </row>
    <row r="1620" spans="1:7" x14ac:dyDescent="0.25">
      <c r="A1620" s="8">
        <v>21</v>
      </c>
      <c r="B1620" s="8">
        <v>38</v>
      </c>
      <c r="C1620" s="8">
        <v>23.144369000000001</v>
      </c>
      <c r="D1620" s="8">
        <v>107187.851563</v>
      </c>
      <c r="E1620" s="8">
        <v>107210.960938</v>
      </c>
      <c r="F1620" s="8">
        <f t="shared" si="50"/>
        <v>23.109375</v>
      </c>
      <c r="G1620" s="8">
        <f t="shared" si="51"/>
        <v>2.3109375000000001E-2</v>
      </c>
    </row>
    <row r="1621" spans="1:7" x14ac:dyDescent="0.25">
      <c r="A1621" s="8">
        <v>21</v>
      </c>
      <c r="B1621" s="8">
        <v>39</v>
      </c>
      <c r="C1621" s="8">
        <v>4505.5766599999997</v>
      </c>
      <c r="D1621" s="8">
        <v>107234.796875</v>
      </c>
      <c r="E1621" s="8">
        <v>107249.203125</v>
      </c>
      <c r="F1621" s="8">
        <f t="shared" si="50"/>
        <v>14.40625</v>
      </c>
      <c r="G1621" s="8">
        <f t="shared" si="51"/>
        <v>1.4406250000000001E-2</v>
      </c>
    </row>
    <row r="1622" spans="1:7" x14ac:dyDescent="0.25">
      <c r="A1622" s="8">
        <v>21</v>
      </c>
      <c r="B1622" s="8">
        <v>40</v>
      </c>
      <c r="C1622" s="8">
        <v>166.14236500000001</v>
      </c>
      <c r="D1622" s="8">
        <v>111767.859375</v>
      </c>
      <c r="E1622" s="8">
        <v>111790.640625</v>
      </c>
      <c r="F1622" s="8">
        <f t="shared" si="50"/>
        <v>22.78125</v>
      </c>
      <c r="G1622" s="8">
        <f t="shared" si="51"/>
        <v>2.2781249999999999E-2</v>
      </c>
    </row>
    <row r="1623" spans="1:7" x14ac:dyDescent="0.25">
      <c r="A1623" s="8">
        <v>21</v>
      </c>
      <c r="B1623" s="8">
        <v>41</v>
      </c>
      <c r="C1623" s="8">
        <v>1423.442505</v>
      </c>
      <c r="D1623" s="8">
        <v>111958.03125</v>
      </c>
      <c r="E1623" s="8">
        <v>111974.46875</v>
      </c>
      <c r="F1623" s="8">
        <f t="shared" si="50"/>
        <v>16.4375</v>
      </c>
      <c r="G1623" s="8">
        <f t="shared" si="51"/>
        <v>1.6437500000000001E-2</v>
      </c>
    </row>
    <row r="1624" spans="1:7" x14ac:dyDescent="0.25">
      <c r="A1624" s="8">
        <v>21</v>
      </c>
      <c r="B1624" s="8">
        <v>42</v>
      </c>
      <c r="C1624" s="8">
        <v>720.06652799999995</v>
      </c>
      <c r="D1624" s="8">
        <v>113409.34375</v>
      </c>
      <c r="E1624" s="8">
        <v>113453.328125</v>
      </c>
      <c r="F1624" s="8">
        <f t="shared" si="50"/>
        <v>43.984375</v>
      </c>
      <c r="G1624" s="8">
        <f t="shared" si="51"/>
        <v>4.3984374999999999E-2</v>
      </c>
    </row>
    <row r="1625" spans="1:7" x14ac:dyDescent="0.25">
      <c r="A1625" s="8">
        <v>21</v>
      </c>
      <c r="B1625" s="8">
        <v>43</v>
      </c>
      <c r="C1625" s="8">
        <v>160.38038599999999</v>
      </c>
      <c r="D1625" s="8">
        <v>114175.085938</v>
      </c>
      <c r="E1625" s="8">
        <v>114186.132813</v>
      </c>
      <c r="F1625" s="8">
        <f t="shared" si="50"/>
        <v>11.046875</v>
      </c>
      <c r="G1625" s="8">
        <f t="shared" si="51"/>
        <v>1.1046874999999999E-2</v>
      </c>
    </row>
    <row r="1626" spans="1:7" x14ac:dyDescent="0.25">
      <c r="A1626" s="8">
        <v>21</v>
      </c>
      <c r="B1626" s="8">
        <v>44</v>
      </c>
      <c r="C1626" s="8">
        <v>1801.0614009999999</v>
      </c>
      <c r="D1626" s="8">
        <v>114346.984375</v>
      </c>
      <c r="E1626" s="8">
        <v>114358.320313</v>
      </c>
      <c r="F1626" s="8">
        <f t="shared" si="50"/>
        <v>11.335938000003807</v>
      </c>
      <c r="G1626" s="8">
        <f t="shared" si="51"/>
        <v>1.1335938000003808E-2</v>
      </c>
    </row>
    <row r="1627" spans="1:7" x14ac:dyDescent="0.25">
      <c r="A1627" s="8">
        <v>21</v>
      </c>
      <c r="B1627" s="8">
        <v>45</v>
      </c>
      <c r="C1627" s="8">
        <v>237.711105</v>
      </c>
      <c r="D1627" s="8">
        <v>116161.296875</v>
      </c>
      <c r="E1627" s="8">
        <v>116175.8125</v>
      </c>
      <c r="F1627" s="8">
        <f t="shared" si="50"/>
        <v>14.515625</v>
      </c>
      <c r="G1627" s="8">
        <f t="shared" si="51"/>
        <v>1.4515625000000001E-2</v>
      </c>
    </row>
    <row r="1628" spans="1:7" x14ac:dyDescent="0.25">
      <c r="A1628" s="8">
        <v>21</v>
      </c>
      <c r="B1628" s="8">
        <v>46</v>
      </c>
      <c r="C1628" s="8">
        <v>170.05931100000001</v>
      </c>
      <c r="D1628" s="8">
        <v>116427.039063</v>
      </c>
      <c r="E1628" s="8">
        <v>116440.914063</v>
      </c>
      <c r="F1628" s="8">
        <f t="shared" si="50"/>
        <v>13.875</v>
      </c>
      <c r="G1628" s="8">
        <f t="shared" si="51"/>
        <v>1.3875E-2</v>
      </c>
    </row>
    <row r="1629" spans="1:7" x14ac:dyDescent="0.25">
      <c r="A1629" s="8">
        <v>21</v>
      </c>
      <c r="B1629" s="8">
        <v>47</v>
      </c>
      <c r="C1629" s="8">
        <v>4858.408203</v>
      </c>
      <c r="D1629" s="8">
        <v>116614.335938</v>
      </c>
      <c r="E1629" s="8">
        <v>116620.8125</v>
      </c>
      <c r="F1629" s="8">
        <f t="shared" si="50"/>
        <v>6.4765619999961928</v>
      </c>
      <c r="G1629" s="8">
        <f t="shared" si="51"/>
        <v>6.4765619999961931E-3</v>
      </c>
    </row>
    <row r="1630" spans="1:7" x14ac:dyDescent="0.25">
      <c r="A1630" s="8">
        <v>21</v>
      </c>
      <c r="B1630" s="8">
        <v>48</v>
      </c>
      <c r="C1630" s="8">
        <v>2901.8652339999999</v>
      </c>
      <c r="D1630" s="8">
        <v>121486.398438</v>
      </c>
      <c r="E1630" s="8">
        <v>121506.398438</v>
      </c>
      <c r="F1630" s="8">
        <f t="shared" si="50"/>
        <v>20</v>
      </c>
      <c r="G1630" s="8">
        <f t="shared" si="51"/>
        <v>0.02</v>
      </c>
    </row>
    <row r="1631" spans="1:7" x14ac:dyDescent="0.25">
      <c r="A1631" s="8">
        <v>21</v>
      </c>
      <c r="B1631" s="8">
        <v>49</v>
      </c>
      <c r="C1631" s="8">
        <v>8680.7861329999996</v>
      </c>
      <c r="D1631" s="8">
        <v>124408.335938</v>
      </c>
      <c r="E1631" s="8">
        <v>124415.820313</v>
      </c>
      <c r="F1631" s="8">
        <f t="shared" si="50"/>
        <v>7.484375</v>
      </c>
      <c r="G1631" s="8">
        <f t="shared" si="51"/>
        <v>7.4843749999999997E-3</v>
      </c>
    </row>
    <row r="1632" spans="1:7" x14ac:dyDescent="0.25">
      <c r="A1632" s="8">
        <v>21</v>
      </c>
      <c r="B1632" s="8">
        <v>50</v>
      </c>
      <c r="C1632" s="8">
        <v>49.435642000000001</v>
      </c>
      <c r="D1632" s="8">
        <v>133097.390625</v>
      </c>
      <c r="E1632" s="8">
        <v>133121.578125</v>
      </c>
      <c r="F1632" s="8">
        <f t="shared" si="50"/>
        <v>24.1875</v>
      </c>
      <c r="G1632" s="8">
        <f t="shared" si="51"/>
        <v>2.4187500000000001E-2</v>
      </c>
    </row>
    <row r="1633" spans="1:7" x14ac:dyDescent="0.25">
      <c r="A1633" s="8">
        <v>21</v>
      </c>
      <c r="B1633" s="8">
        <v>51</v>
      </c>
      <c r="C1633" s="8">
        <v>348.29122899999999</v>
      </c>
      <c r="D1633" s="8">
        <v>133175.46875</v>
      </c>
      <c r="E1633" s="8">
        <v>133182.75</v>
      </c>
      <c r="F1633" s="8">
        <f t="shared" si="50"/>
        <v>7.28125</v>
      </c>
      <c r="G1633" s="8">
        <f t="shared" si="51"/>
        <v>7.2812500000000004E-3</v>
      </c>
    </row>
    <row r="1634" spans="1:7" x14ac:dyDescent="0.25">
      <c r="A1634" s="8">
        <v>21</v>
      </c>
      <c r="B1634" s="8">
        <v>52</v>
      </c>
      <c r="C1634" s="8">
        <v>1210.3599850000001</v>
      </c>
      <c r="D1634" s="8">
        <v>133534.984375</v>
      </c>
      <c r="E1634" s="8">
        <v>133558.609375</v>
      </c>
      <c r="F1634" s="8">
        <f t="shared" si="50"/>
        <v>23.625</v>
      </c>
      <c r="G1634" s="8">
        <f t="shared" si="51"/>
        <v>2.3625E-2</v>
      </c>
    </row>
    <row r="1635" spans="1:7" x14ac:dyDescent="0.25">
      <c r="A1635" s="8">
        <v>21</v>
      </c>
      <c r="B1635" s="8">
        <v>53</v>
      </c>
      <c r="C1635" s="8">
        <v>2035.5386960000001</v>
      </c>
      <c r="D1635" s="8">
        <v>134769.46875</v>
      </c>
      <c r="E1635" s="8">
        <v>134800.78125</v>
      </c>
      <c r="F1635" s="8">
        <f t="shared" si="50"/>
        <v>31.3125</v>
      </c>
      <c r="G1635" s="8">
        <f t="shared" si="51"/>
        <v>3.13125E-2</v>
      </c>
    </row>
    <row r="1636" spans="1:7" x14ac:dyDescent="0.25">
      <c r="A1636" s="8">
        <v>21</v>
      </c>
      <c r="B1636" s="8">
        <v>54</v>
      </c>
      <c r="C1636" s="8">
        <v>4210.2587890000004</v>
      </c>
      <c r="D1636" s="8">
        <v>136841.09375</v>
      </c>
      <c r="E1636" s="8">
        <v>136854.703125</v>
      </c>
      <c r="F1636" s="8">
        <f t="shared" si="50"/>
        <v>13.609375</v>
      </c>
      <c r="G1636" s="8">
        <f t="shared" si="51"/>
        <v>1.3609375E-2</v>
      </c>
    </row>
    <row r="1637" spans="1:7" x14ac:dyDescent="0.25">
      <c r="A1637" s="8">
        <v>21</v>
      </c>
      <c r="B1637" s="8">
        <v>55</v>
      </c>
      <c r="C1637" s="8">
        <v>701.34417699999995</v>
      </c>
      <c r="D1637" s="8">
        <v>141076.625</v>
      </c>
      <c r="E1637" s="8">
        <v>141089.625</v>
      </c>
      <c r="F1637" s="8">
        <f t="shared" si="50"/>
        <v>13</v>
      </c>
      <c r="G1637" s="8">
        <f t="shared" si="51"/>
        <v>1.2999999999999999E-2</v>
      </c>
    </row>
    <row r="1638" spans="1:7" x14ac:dyDescent="0.25">
      <c r="A1638" s="8">
        <v>21</v>
      </c>
      <c r="B1638" s="8">
        <v>56</v>
      </c>
      <c r="C1638" s="8">
        <v>1761.205933</v>
      </c>
      <c r="D1638" s="8">
        <v>141791.015625</v>
      </c>
      <c r="E1638" s="8">
        <v>141807.75</v>
      </c>
      <c r="F1638" s="8">
        <f t="shared" si="50"/>
        <v>16.734375</v>
      </c>
      <c r="G1638" s="8">
        <f t="shared" si="51"/>
        <v>1.6734374999999999E-2</v>
      </c>
    </row>
    <row r="1639" spans="1:7" x14ac:dyDescent="0.25">
      <c r="A1639" s="8">
        <v>21</v>
      </c>
      <c r="B1639" s="8">
        <v>57</v>
      </c>
      <c r="C1639" s="8">
        <v>2646.9172359999998</v>
      </c>
      <c r="D1639" s="8">
        <v>143572.375</v>
      </c>
      <c r="E1639" s="8">
        <v>143586.25</v>
      </c>
      <c r="F1639" s="8">
        <f t="shared" si="50"/>
        <v>13.875</v>
      </c>
      <c r="G1639" s="8">
        <f t="shared" si="51"/>
        <v>1.3875E-2</v>
      </c>
    </row>
    <row r="1640" spans="1:7" x14ac:dyDescent="0.25">
      <c r="A1640" s="8">
        <v>21</v>
      </c>
      <c r="B1640" s="8">
        <v>58</v>
      </c>
      <c r="C1640" s="8">
        <v>3238.626953</v>
      </c>
      <c r="D1640" s="8">
        <v>146240.328125</v>
      </c>
      <c r="E1640" s="8">
        <v>146274.09375</v>
      </c>
      <c r="F1640" s="8">
        <f t="shared" si="50"/>
        <v>33.765625</v>
      </c>
      <c r="G1640" s="8">
        <f t="shared" si="51"/>
        <v>3.3765625E-2</v>
      </c>
    </row>
    <row r="1641" spans="1:7" x14ac:dyDescent="0.25">
      <c r="A1641" s="8">
        <v>21</v>
      </c>
      <c r="B1641" s="8">
        <v>59</v>
      </c>
      <c r="C1641" s="8">
        <v>3977.8127439999998</v>
      </c>
      <c r="D1641" s="8">
        <v>149525.484375</v>
      </c>
      <c r="E1641" s="8">
        <v>149536.5</v>
      </c>
      <c r="F1641" s="8">
        <f t="shared" si="50"/>
        <v>11.015625</v>
      </c>
      <c r="G1641" s="8">
        <f t="shared" si="51"/>
        <v>1.1015624999999999E-2</v>
      </c>
    </row>
    <row r="1642" spans="1:7" x14ac:dyDescent="0.25">
      <c r="A1642" s="8">
        <v>21</v>
      </c>
      <c r="B1642" s="8">
        <v>60</v>
      </c>
      <c r="C1642" s="8">
        <v>6812.0009769999997</v>
      </c>
      <c r="D1642" s="8">
        <v>153515.796875</v>
      </c>
      <c r="E1642" s="8">
        <v>153538.1875</v>
      </c>
      <c r="F1642" s="8">
        <f t="shared" si="50"/>
        <v>22.390625</v>
      </c>
      <c r="G1642" s="8">
        <f t="shared" si="51"/>
        <v>2.2390625000000001E-2</v>
      </c>
    </row>
    <row r="1643" spans="1:7" x14ac:dyDescent="0.25">
      <c r="A1643" s="8">
        <v>21</v>
      </c>
      <c r="B1643" s="8">
        <v>61</v>
      </c>
      <c r="C1643" s="8">
        <v>83.254501000000005</v>
      </c>
      <c r="D1643" s="8">
        <v>160361.203125</v>
      </c>
      <c r="E1643" s="8">
        <v>160368.671875</v>
      </c>
      <c r="F1643" s="8">
        <f t="shared" si="50"/>
        <v>7.46875</v>
      </c>
      <c r="G1643" s="8">
        <f t="shared" si="51"/>
        <v>7.4687499999999997E-3</v>
      </c>
    </row>
    <row r="1644" spans="1:7" x14ac:dyDescent="0.25">
      <c r="A1644" s="8">
        <v>21</v>
      </c>
      <c r="B1644" s="8">
        <v>62</v>
      </c>
      <c r="C1644" s="8">
        <v>1103.591064</v>
      </c>
      <c r="D1644" s="8">
        <v>160455.0625</v>
      </c>
      <c r="E1644" s="8">
        <v>160479.421875</v>
      </c>
      <c r="F1644" s="8">
        <f t="shared" si="50"/>
        <v>24.359375</v>
      </c>
      <c r="G1644" s="8">
        <f t="shared" si="51"/>
        <v>2.4359374999999999E-2</v>
      </c>
    </row>
    <row r="1645" spans="1:7" x14ac:dyDescent="0.25">
      <c r="A1645" s="8">
        <v>21</v>
      </c>
      <c r="B1645" s="8">
        <v>63</v>
      </c>
      <c r="C1645" s="8">
        <v>2264.8867190000001</v>
      </c>
      <c r="D1645" s="8">
        <v>161595.671875</v>
      </c>
      <c r="E1645" s="8">
        <v>161614.390625</v>
      </c>
      <c r="F1645" s="8">
        <f t="shared" si="50"/>
        <v>18.71875</v>
      </c>
      <c r="G1645" s="8">
        <f t="shared" si="51"/>
        <v>1.8718749999999999E-2</v>
      </c>
    </row>
    <row r="1646" spans="1:7" x14ac:dyDescent="0.25">
      <c r="A1646" s="8">
        <v>21</v>
      </c>
      <c r="B1646" s="8">
        <v>64</v>
      </c>
      <c r="C1646" s="8">
        <v>1589.454346</v>
      </c>
      <c r="D1646" s="8">
        <v>163893.515625</v>
      </c>
      <c r="E1646" s="8">
        <v>163909.5</v>
      </c>
      <c r="F1646" s="8">
        <f t="shared" si="50"/>
        <v>15.984375</v>
      </c>
      <c r="G1646" s="8">
        <f t="shared" si="51"/>
        <v>1.5984374999999999E-2</v>
      </c>
    </row>
    <row r="1647" spans="1:7" x14ac:dyDescent="0.25">
      <c r="A1647" s="8">
        <v>21</v>
      </c>
      <c r="B1647" s="8">
        <v>65</v>
      </c>
      <c r="C1647" s="8">
        <v>30.629816000000002</v>
      </c>
      <c r="D1647" s="8">
        <v>165498.96875</v>
      </c>
      <c r="E1647" s="8">
        <v>165512.640625</v>
      </c>
      <c r="F1647" s="8">
        <f t="shared" si="50"/>
        <v>13.671875</v>
      </c>
      <c r="G1647" s="8">
        <f t="shared" si="51"/>
        <v>1.3671875E-2</v>
      </c>
    </row>
    <row r="1648" spans="1:7" x14ac:dyDescent="0.25">
      <c r="A1648" s="8">
        <v>21</v>
      </c>
      <c r="B1648" s="8">
        <v>66</v>
      </c>
      <c r="C1648" s="8">
        <v>6408.4858400000003</v>
      </c>
      <c r="D1648" s="8">
        <v>165546.015625</v>
      </c>
      <c r="E1648" s="8">
        <v>165555.8125</v>
      </c>
      <c r="F1648" s="8">
        <f t="shared" si="50"/>
        <v>9.796875</v>
      </c>
      <c r="G1648" s="8">
        <f t="shared" si="51"/>
        <v>9.796875E-3</v>
      </c>
    </row>
    <row r="1649" spans="1:7" x14ac:dyDescent="0.25">
      <c r="A1649" s="8">
        <v>22</v>
      </c>
      <c r="B1649" s="8">
        <v>0</v>
      </c>
      <c r="C1649" s="8">
        <v>4397.6254879999997</v>
      </c>
      <c r="D1649" s="8">
        <v>22344.457031000002</v>
      </c>
      <c r="E1649" s="8">
        <v>22365.216797000001</v>
      </c>
      <c r="F1649" s="8">
        <f t="shared" si="50"/>
        <v>20.759765999999217</v>
      </c>
      <c r="G1649" s="8">
        <f t="shared" si="51"/>
        <v>2.0759765999999218E-2</v>
      </c>
    </row>
    <row r="1650" spans="1:7" x14ac:dyDescent="0.25">
      <c r="A1650" s="8">
        <v>22</v>
      </c>
      <c r="B1650" s="8">
        <v>1</v>
      </c>
      <c r="C1650" s="8">
        <v>296.01980600000002</v>
      </c>
      <c r="D1650" s="8">
        <v>26774.400390999999</v>
      </c>
      <c r="E1650" s="8">
        <v>26797.640625</v>
      </c>
      <c r="F1650" s="8">
        <f t="shared" si="50"/>
        <v>23.240234000000783</v>
      </c>
      <c r="G1650" s="8">
        <f t="shared" si="51"/>
        <v>2.3240234000000783E-2</v>
      </c>
    </row>
    <row r="1651" spans="1:7" x14ac:dyDescent="0.25">
      <c r="A1651" s="8">
        <v>22</v>
      </c>
      <c r="B1651" s="8">
        <v>2</v>
      </c>
      <c r="C1651" s="8">
        <v>348.43649299999998</v>
      </c>
      <c r="D1651" s="8">
        <v>27102.537109000001</v>
      </c>
      <c r="E1651" s="8">
        <v>27120.367188</v>
      </c>
      <c r="F1651" s="8">
        <f t="shared" si="50"/>
        <v>17.830078999999387</v>
      </c>
      <c r="G1651" s="8">
        <f t="shared" si="51"/>
        <v>1.7830078999999388E-2</v>
      </c>
    </row>
    <row r="1652" spans="1:7" x14ac:dyDescent="0.25">
      <c r="A1652" s="8">
        <v>22</v>
      </c>
      <c r="B1652" s="8">
        <v>3</v>
      </c>
      <c r="C1652" s="8">
        <v>84.973236</v>
      </c>
      <c r="D1652" s="8">
        <v>27477.611327999999</v>
      </c>
      <c r="E1652" s="8">
        <v>27499.347656000002</v>
      </c>
      <c r="F1652" s="8">
        <f t="shared" si="50"/>
        <v>21.736328000002686</v>
      </c>
      <c r="G1652" s="8">
        <f t="shared" si="51"/>
        <v>2.1736328000002685E-2</v>
      </c>
    </row>
    <row r="1653" spans="1:7" x14ac:dyDescent="0.25">
      <c r="A1653" s="8">
        <v>22</v>
      </c>
      <c r="B1653" s="8">
        <v>4</v>
      </c>
      <c r="C1653" s="8">
        <v>694.16320800000005</v>
      </c>
      <c r="D1653" s="8">
        <v>27587.822265999999</v>
      </c>
      <c r="E1653" s="8">
        <v>27611.166015999999</v>
      </c>
      <c r="F1653" s="8">
        <f t="shared" si="50"/>
        <v>23.34375</v>
      </c>
      <c r="G1653" s="8">
        <f t="shared" si="51"/>
        <v>2.334375E-2</v>
      </c>
    </row>
    <row r="1654" spans="1:7" x14ac:dyDescent="0.25">
      <c r="A1654" s="8">
        <v>22</v>
      </c>
      <c r="B1654" s="8">
        <v>5</v>
      </c>
      <c r="C1654" s="8">
        <v>255.386505</v>
      </c>
      <c r="D1654" s="8">
        <v>28308.675781000002</v>
      </c>
      <c r="E1654" s="8">
        <v>28316.423827999999</v>
      </c>
      <c r="F1654" s="8">
        <f t="shared" si="50"/>
        <v>7.7480469999973138</v>
      </c>
      <c r="G1654" s="8">
        <f t="shared" si="51"/>
        <v>7.7480469999973139E-3</v>
      </c>
    </row>
    <row r="1655" spans="1:7" x14ac:dyDescent="0.25">
      <c r="A1655" s="8">
        <v>22</v>
      </c>
      <c r="B1655" s="8">
        <v>6</v>
      </c>
      <c r="C1655" s="8">
        <v>1732.2620850000001</v>
      </c>
      <c r="D1655" s="8">
        <v>28574.335938</v>
      </c>
      <c r="E1655" s="8">
        <v>28587.966797000001</v>
      </c>
      <c r="F1655" s="8">
        <f t="shared" si="50"/>
        <v>13.630859000000783</v>
      </c>
      <c r="G1655" s="8">
        <f t="shared" si="51"/>
        <v>1.3630859000000783E-2</v>
      </c>
    </row>
    <row r="1656" spans="1:7" x14ac:dyDescent="0.25">
      <c r="A1656" s="8">
        <v>22</v>
      </c>
      <c r="B1656" s="8">
        <v>7</v>
      </c>
      <c r="C1656" s="8">
        <v>3548.3671880000002</v>
      </c>
      <c r="D1656" s="8">
        <v>30327.894531000002</v>
      </c>
      <c r="E1656" s="8">
        <v>30351.832031000002</v>
      </c>
      <c r="F1656" s="8">
        <f t="shared" si="50"/>
        <v>23.9375</v>
      </c>
      <c r="G1656" s="8">
        <f t="shared" si="51"/>
        <v>2.39375E-2</v>
      </c>
    </row>
    <row r="1657" spans="1:7" x14ac:dyDescent="0.25">
      <c r="A1657" s="8">
        <v>22</v>
      </c>
      <c r="B1657" s="8">
        <v>8</v>
      </c>
      <c r="C1657" s="8">
        <v>847.767517</v>
      </c>
      <c r="D1657" s="8">
        <v>33900.085937999997</v>
      </c>
      <c r="E1657" s="8">
        <v>33922.746094000002</v>
      </c>
      <c r="F1657" s="8">
        <f t="shared" si="50"/>
        <v>22.660156000005372</v>
      </c>
      <c r="G1657" s="8">
        <f t="shared" si="51"/>
        <v>2.2660156000005371E-2</v>
      </c>
    </row>
    <row r="1658" spans="1:7" x14ac:dyDescent="0.25">
      <c r="A1658" s="8">
        <v>22</v>
      </c>
      <c r="B1658" s="8">
        <v>9</v>
      </c>
      <c r="C1658" s="8">
        <v>52.315598000000001</v>
      </c>
      <c r="D1658" s="8">
        <v>34780.101562999997</v>
      </c>
      <c r="E1658" s="8">
        <v>34791.6875</v>
      </c>
      <c r="F1658" s="8">
        <f t="shared" si="50"/>
        <v>11.585937000003469</v>
      </c>
      <c r="G1658" s="8">
        <f t="shared" si="51"/>
        <v>1.1585937000003469E-2</v>
      </c>
    </row>
    <row r="1659" spans="1:7" x14ac:dyDescent="0.25">
      <c r="A1659" s="8">
        <v>22</v>
      </c>
      <c r="B1659" s="8">
        <v>10</v>
      </c>
      <c r="C1659" s="8">
        <v>2534.142578</v>
      </c>
      <c r="D1659" s="8">
        <v>34858.1875</v>
      </c>
      <c r="E1659" s="8">
        <v>34876.863280999998</v>
      </c>
      <c r="F1659" s="8">
        <f t="shared" si="50"/>
        <v>18.675780999998096</v>
      </c>
      <c r="G1659" s="8">
        <f t="shared" si="51"/>
        <v>1.8675780999998098E-2</v>
      </c>
    </row>
    <row r="1660" spans="1:7" x14ac:dyDescent="0.25">
      <c r="A1660" s="8">
        <v>22</v>
      </c>
      <c r="B1660" s="8">
        <v>11</v>
      </c>
      <c r="C1660" s="8">
        <v>2464.0866700000001</v>
      </c>
      <c r="D1660" s="8">
        <v>37425.289062999997</v>
      </c>
      <c r="E1660" s="8">
        <v>37438.976562999997</v>
      </c>
      <c r="F1660" s="8">
        <f t="shared" si="50"/>
        <v>13.6875</v>
      </c>
      <c r="G1660" s="8">
        <f t="shared" si="51"/>
        <v>1.36875E-2</v>
      </c>
    </row>
    <row r="1661" spans="1:7" x14ac:dyDescent="0.25">
      <c r="A1661" s="8">
        <v>22</v>
      </c>
      <c r="B1661" s="8">
        <v>12</v>
      </c>
      <c r="C1661" s="8">
        <v>527.45880099999999</v>
      </c>
      <c r="D1661" s="8">
        <v>39917.980469000002</v>
      </c>
      <c r="E1661" s="8">
        <v>39942.835937999997</v>
      </c>
      <c r="F1661" s="8">
        <f t="shared" si="50"/>
        <v>24.855468999994628</v>
      </c>
      <c r="G1661" s="8">
        <f t="shared" si="51"/>
        <v>2.4855468999994627E-2</v>
      </c>
    </row>
    <row r="1662" spans="1:7" x14ac:dyDescent="0.25">
      <c r="A1662" s="8">
        <v>22</v>
      </c>
      <c r="B1662" s="8">
        <v>13</v>
      </c>
      <c r="C1662" s="8">
        <v>1801.3618160000001</v>
      </c>
      <c r="D1662" s="8">
        <v>40481.355469000002</v>
      </c>
      <c r="E1662" s="8">
        <v>40488.867187999997</v>
      </c>
      <c r="F1662" s="8">
        <f t="shared" si="50"/>
        <v>7.5117189999946277</v>
      </c>
      <c r="G1662" s="8">
        <f t="shared" si="51"/>
        <v>7.5117189999946276E-3</v>
      </c>
    </row>
    <row r="1663" spans="1:7" x14ac:dyDescent="0.25">
      <c r="A1663" s="8">
        <v>22</v>
      </c>
      <c r="B1663" s="8">
        <v>14</v>
      </c>
      <c r="C1663" s="8">
        <v>7218.6640630000002</v>
      </c>
      <c r="D1663" s="8">
        <v>42294.054687999997</v>
      </c>
      <c r="E1663" s="8">
        <v>42313</v>
      </c>
      <c r="F1663" s="8">
        <f t="shared" si="50"/>
        <v>18.945312000003469</v>
      </c>
      <c r="G1663" s="8">
        <f t="shared" si="51"/>
        <v>1.8945312000003468E-2</v>
      </c>
    </row>
    <row r="1664" spans="1:7" x14ac:dyDescent="0.25">
      <c r="A1664" s="8">
        <v>22</v>
      </c>
      <c r="B1664" s="8">
        <v>15</v>
      </c>
      <c r="C1664" s="8">
        <v>335.04058800000001</v>
      </c>
      <c r="D1664" s="8">
        <v>49545.566405999998</v>
      </c>
      <c r="E1664" s="8">
        <v>49564.667969000002</v>
      </c>
      <c r="F1664" s="8">
        <f t="shared" si="50"/>
        <v>19.101563000003807</v>
      </c>
      <c r="G1664" s="8">
        <f t="shared" si="51"/>
        <v>1.9101563000003808E-2</v>
      </c>
    </row>
    <row r="1665" spans="1:7" x14ac:dyDescent="0.25">
      <c r="A1665" s="8">
        <v>22</v>
      </c>
      <c r="B1665" s="8">
        <v>16</v>
      </c>
      <c r="C1665" s="8">
        <v>26.419685000000001</v>
      </c>
      <c r="D1665" s="8">
        <v>49909.050780999998</v>
      </c>
      <c r="E1665" s="8">
        <v>49924.636719000002</v>
      </c>
      <c r="F1665" s="8">
        <f t="shared" si="50"/>
        <v>15.585938000003807</v>
      </c>
      <c r="G1665" s="8">
        <f t="shared" si="51"/>
        <v>1.5585938000003807E-2</v>
      </c>
    </row>
    <row r="1666" spans="1:7" x14ac:dyDescent="0.25">
      <c r="A1666" s="8">
        <v>22</v>
      </c>
      <c r="B1666" s="8">
        <v>17</v>
      </c>
      <c r="C1666" s="8">
        <v>2088.7658689999998</v>
      </c>
      <c r="D1666" s="8">
        <v>49955.722655999998</v>
      </c>
      <c r="E1666" s="8">
        <v>49973.066405999998</v>
      </c>
      <c r="F1666" s="8">
        <f t="shared" si="50"/>
        <v>17.34375</v>
      </c>
      <c r="G1666" s="8">
        <f t="shared" si="51"/>
        <v>1.7343750000000002E-2</v>
      </c>
    </row>
    <row r="1667" spans="1:7" x14ac:dyDescent="0.25">
      <c r="A1667" s="8">
        <v>22</v>
      </c>
      <c r="B1667" s="8">
        <v>18</v>
      </c>
      <c r="C1667" s="8">
        <v>852.99682600000006</v>
      </c>
      <c r="D1667" s="8">
        <v>52076.402344000002</v>
      </c>
      <c r="E1667" s="8">
        <v>52100.558594000002</v>
      </c>
      <c r="F1667" s="8">
        <f t="shared" si="50"/>
        <v>24.15625</v>
      </c>
      <c r="G1667" s="8">
        <f t="shared" si="51"/>
        <v>2.4156250000000001E-2</v>
      </c>
    </row>
    <row r="1668" spans="1:7" x14ac:dyDescent="0.25">
      <c r="A1668" s="8">
        <v>22</v>
      </c>
      <c r="B1668" s="8">
        <v>19</v>
      </c>
      <c r="C1668" s="8">
        <v>501.408569</v>
      </c>
      <c r="D1668" s="8">
        <v>52967.203125</v>
      </c>
      <c r="E1668" s="8">
        <v>52988.304687999997</v>
      </c>
      <c r="F1668" s="8">
        <f t="shared" si="50"/>
        <v>21.101562999996531</v>
      </c>
      <c r="G1668" s="8">
        <f t="shared" si="51"/>
        <v>2.1101562999996531E-2</v>
      </c>
    </row>
    <row r="1669" spans="1:7" x14ac:dyDescent="0.25">
      <c r="A1669" s="8">
        <v>22</v>
      </c>
      <c r="B1669" s="8">
        <v>20</v>
      </c>
      <c r="C1669" s="8">
        <v>3557.3835450000001</v>
      </c>
      <c r="D1669" s="8">
        <v>53499.390625</v>
      </c>
      <c r="E1669" s="8">
        <v>53574.1875</v>
      </c>
      <c r="F1669" s="8">
        <f t="shared" si="50"/>
        <v>74.796875</v>
      </c>
      <c r="G1669" s="8">
        <f t="shared" si="51"/>
        <v>7.4796874999999999E-2</v>
      </c>
    </row>
    <row r="1670" spans="1:7" x14ac:dyDescent="0.25">
      <c r="A1670" s="8">
        <v>22</v>
      </c>
      <c r="B1670" s="8">
        <v>21</v>
      </c>
      <c r="C1670" s="8">
        <v>883.90289299999995</v>
      </c>
      <c r="D1670" s="8">
        <v>57145.105469000002</v>
      </c>
      <c r="E1670" s="8">
        <v>57157.054687999997</v>
      </c>
      <c r="F1670" s="8">
        <f t="shared" si="50"/>
        <v>11.949218999994628</v>
      </c>
      <c r="G1670" s="8">
        <f t="shared" si="51"/>
        <v>1.1949218999994628E-2</v>
      </c>
    </row>
    <row r="1671" spans="1:7" x14ac:dyDescent="0.25">
      <c r="A1671" s="8">
        <v>22</v>
      </c>
      <c r="B1671" s="8">
        <v>22</v>
      </c>
      <c r="C1671" s="8">
        <v>116.749008</v>
      </c>
      <c r="D1671" s="8">
        <v>58054.582030999998</v>
      </c>
      <c r="E1671" s="8">
        <v>58068.425780999998</v>
      </c>
      <c r="F1671" s="8">
        <f t="shared" si="50"/>
        <v>13.84375</v>
      </c>
      <c r="G1671" s="8">
        <f t="shared" si="51"/>
        <v>1.384375E-2</v>
      </c>
    </row>
    <row r="1672" spans="1:7" x14ac:dyDescent="0.25">
      <c r="A1672" s="8">
        <v>22</v>
      </c>
      <c r="B1672" s="8">
        <v>23</v>
      </c>
      <c r="C1672" s="8">
        <v>1851.8702390000001</v>
      </c>
      <c r="D1672" s="8">
        <v>58195.3125</v>
      </c>
      <c r="E1672" s="8">
        <v>58205.898437999997</v>
      </c>
      <c r="F1672" s="8">
        <f t="shared" si="50"/>
        <v>10.585937999996531</v>
      </c>
      <c r="G1672" s="8">
        <f t="shared" si="51"/>
        <v>1.0585937999996532E-2</v>
      </c>
    </row>
    <row r="1673" spans="1:7" x14ac:dyDescent="0.25">
      <c r="A1673" s="8">
        <v>22</v>
      </c>
      <c r="B1673" s="8">
        <v>24</v>
      </c>
      <c r="C1673" s="8">
        <v>185.80418399999999</v>
      </c>
      <c r="D1673" s="8">
        <v>60059.902344000002</v>
      </c>
      <c r="E1673" s="8">
        <v>60071.136719000002</v>
      </c>
      <c r="F1673" s="8">
        <f t="shared" si="50"/>
        <v>11.234375</v>
      </c>
      <c r="G1673" s="8">
        <f t="shared" si="51"/>
        <v>1.1234375E-2</v>
      </c>
    </row>
    <row r="1674" spans="1:7" x14ac:dyDescent="0.25">
      <c r="A1674" s="8">
        <v>22</v>
      </c>
      <c r="B1674" s="8">
        <v>25</v>
      </c>
      <c r="C1674" s="8">
        <v>1671.2333980000001</v>
      </c>
      <c r="D1674" s="8">
        <v>60263.09375</v>
      </c>
      <c r="E1674" s="8">
        <v>60276.960937999997</v>
      </c>
      <c r="F1674" s="8">
        <f t="shared" si="50"/>
        <v>13.867187999996531</v>
      </c>
      <c r="G1674" s="8">
        <f t="shared" si="51"/>
        <v>1.3867187999996531E-2</v>
      </c>
    </row>
    <row r="1675" spans="1:7" x14ac:dyDescent="0.25">
      <c r="A1675" s="8">
        <v>22</v>
      </c>
      <c r="B1675" s="8">
        <v>26</v>
      </c>
      <c r="C1675" s="8">
        <v>4668.2285160000001</v>
      </c>
      <c r="D1675" s="8">
        <v>61950.832030999998</v>
      </c>
      <c r="E1675" s="8">
        <v>61974.199219000002</v>
      </c>
      <c r="F1675" s="8">
        <f t="shared" ref="F1675:F1738" si="52">E1675-D1675</f>
        <v>23.367188000003807</v>
      </c>
      <c r="G1675" s="8">
        <f t="shared" ref="G1675:G1738" si="53">F1675/1000</f>
        <v>2.3367188000003807E-2</v>
      </c>
    </row>
    <row r="1676" spans="1:7" x14ac:dyDescent="0.25">
      <c r="A1676" s="8">
        <v>22</v>
      </c>
      <c r="B1676" s="8">
        <v>27</v>
      </c>
      <c r="C1676" s="8">
        <v>966.48870799999997</v>
      </c>
      <c r="D1676" s="8">
        <v>66653.023438000004</v>
      </c>
      <c r="E1676" s="8">
        <v>66671.109375</v>
      </c>
      <c r="F1676" s="8">
        <f t="shared" si="52"/>
        <v>18.085936999996193</v>
      </c>
      <c r="G1676" s="8">
        <f t="shared" si="53"/>
        <v>1.8085936999996194E-2</v>
      </c>
    </row>
    <row r="1677" spans="1:7" x14ac:dyDescent="0.25">
      <c r="A1677" s="8">
        <v>22</v>
      </c>
      <c r="B1677" s="8">
        <v>28</v>
      </c>
      <c r="C1677" s="8">
        <v>1707.4548339999999</v>
      </c>
      <c r="D1677" s="8">
        <v>67639.046875</v>
      </c>
      <c r="E1677" s="8">
        <v>67654.585938000004</v>
      </c>
      <c r="F1677" s="8">
        <f t="shared" si="52"/>
        <v>15.539063000003807</v>
      </c>
      <c r="G1677" s="8">
        <f t="shared" si="53"/>
        <v>1.5539063000003807E-2</v>
      </c>
    </row>
    <row r="1678" spans="1:7" x14ac:dyDescent="0.25">
      <c r="A1678" s="8">
        <v>22</v>
      </c>
      <c r="B1678" s="8">
        <v>29</v>
      </c>
      <c r="C1678" s="8">
        <v>716.56994599999996</v>
      </c>
      <c r="D1678" s="8">
        <v>69373.960938000004</v>
      </c>
      <c r="E1678" s="8">
        <v>69393</v>
      </c>
      <c r="F1678" s="8">
        <f t="shared" si="52"/>
        <v>19.039061999996193</v>
      </c>
      <c r="G1678" s="8">
        <f t="shared" si="53"/>
        <v>1.9039061999996193E-2</v>
      </c>
    </row>
    <row r="1679" spans="1:7" x14ac:dyDescent="0.25">
      <c r="A1679" s="8">
        <v>22</v>
      </c>
      <c r="B1679" s="8">
        <v>30</v>
      </c>
      <c r="C1679" s="8">
        <v>300.05798299999998</v>
      </c>
      <c r="D1679" s="8">
        <v>70124.039063000004</v>
      </c>
      <c r="E1679" s="8">
        <v>70137.53125</v>
      </c>
      <c r="F1679" s="8">
        <f t="shared" si="52"/>
        <v>13.492186999996193</v>
      </c>
      <c r="G1679" s="8">
        <f t="shared" si="53"/>
        <v>1.3492186999996193E-2</v>
      </c>
    </row>
    <row r="1680" spans="1:7" x14ac:dyDescent="0.25">
      <c r="A1680" s="8">
        <v>22</v>
      </c>
      <c r="B1680" s="8">
        <v>31</v>
      </c>
      <c r="C1680" s="8">
        <v>748.70452899999998</v>
      </c>
      <c r="D1680" s="8">
        <v>70444.929688000004</v>
      </c>
      <c r="E1680" s="8">
        <v>70456.421875</v>
      </c>
      <c r="F1680" s="8">
        <f t="shared" si="52"/>
        <v>11.492186999996193</v>
      </c>
      <c r="G1680" s="8">
        <f t="shared" si="53"/>
        <v>1.1492186999996193E-2</v>
      </c>
    </row>
    <row r="1681" spans="1:7" x14ac:dyDescent="0.25">
      <c r="A1681" s="8">
        <v>22</v>
      </c>
      <c r="B1681" s="8">
        <v>32</v>
      </c>
      <c r="C1681" s="8">
        <v>11564.113281</v>
      </c>
      <c r="D1681" s="8">
        <v>71212.546875</v>
      </c>
      <c r="E1681" s="8">
        <v>71226.359375</v>
      </c>
      <c r="F1681" s="8">
        <f t="shared" si="52"/>
        <v>13.8125</v>
      </c>
      <c r="G1681" s="8">
        <f t="shared" si="53"/>
        <v>1.38125E-2</v>
      </c>
    </row>
    <row r="1682" spans="1:7" x14ac:dyDescent="0.25">
      <c r="A1682" s="8">
        <v>22</v>
      </c>
      <c r="B1682" s="8">
        <v>33</v>
      </c>
      <c r="C1682" s="8">
        <v>69.620361000000003</v>
      </c>
      <c r="D1682" s="8">
        <v>82792.507813000004</v>
      </c>
      <c r="E1682" s="8">
        <v>82800.226563000004</v>
      </c>
      <c r="F1682" s="8">
        <f t="shared" si="52"/>
        <v>7.71875</v>
      </c>
      <c r="G1682" s="8">
        <f t="shared" si="53"/>
        <v>7.7187499999999999E-3</v>
      </c>
    </row>
    <row r="1683" spans="1:7" x14ac:dyDescent="0.25">
      <c r="A1683" s="8">
        <v>22</v>
      </c>
      <c r="B1683" s="8">
        <v>34</v>
      </c>
      <c r="C1683" s="8">
        <v>89.500061000000002</v>
      </c>
      <c r="D1683" s="8">
        <v>82870.617188000004</v>
      </c>
      <c r="E1683" s="8">
        <v>82894.679688000004</v>
      </c>
      <c r="F1683" s="8">
        <f t="shared" si="52"/>
        <v>24.0625</v>
      </c>
      <c r="G1683" s="8">
        <f t="shared" si="53"/>
        <v>2.4062500000000001E-2</v>
      </c>
    </row>
    <row r="1684" spans="1:7" x14ac:dyDescent="0.25">
      <c r="A1684" s="8">
        <v>22</v>
      </c>
      <c r="B1684" s="8">
        <v>35</v>
      </c>
      <c r="C1684" s="8">
        <v>6732.6391599999997</v>
      </c>
      <c r="D1684" s="8">
        <v>82995.609375</v>
      </c>
      <c r="E1684" s="8">
        <v>83018.34375</v>
      </c>
      <c r="F1684" s="8">
        <f t="shared" si="52"/>
        <v>22.734375</v>
      </c>
      <c r="G1684" s="8">
        <f t="shared" si="53"/>
        <v>2.2734375000000001E-2</v>
      </c>
    </row>
    <row r="1685" spans="1:7" x14ac:dyDescent="0.25">
      <c r="A1685" s="8">
        <v>22</v>
      </c>
      <c r="B1685" s="8">
        <v>36</v>
      </c>
      <c r="C1685" s="8">
        <v>4695.5004879999997</v>
      </c>
      <c r="D1685" s="8">
        <v>89756.257813000004</v>
      </c>
      <c r="E1685" s="8">
        <v>89779.710938000004</v>
      </c>
      <c r="F1685" s="8">
        <f t="shared" si="52"/>
        <v>23.453125</v>
      </c>
      <c r="G1685" s="8">
        <f t="shared" si="53"/>
        <v>2.3453124999999998E-2</v>
      </c>
    </row>
    <row r="1686" spans="1:7" x14ac:dyDescent="0.25">
      <c r="A1686" s="8">
        <v>22</v>
      </c>
      <c r="B1686" s="8">
        <v>37</v>
      </c>
      <c r="C1686" s="8">
        <v>3322.6608890000002</v>
      </c>
      <c r="D1686" s="8">
        <v>94483.289063000004</v>
      </c>
      <c r="E1686" s="8">
        <v>94500.078125</v>
      </c>
      <c r="F1686" s="8">
        <f t="shared" si="52"/>
        <v>16.789061999996193</v>
      </c>
      <c r="G1686" s="8">
        <f t="shared" si="53"/>
        <v>1.6789061999996194E-2</v>
      </c>
    </row>
    <row r="1687" spans="1:7" x14ac:dyDescent="0.25">
      <c r="A1687" s="8">
        <v>22</v>
      </c>
      <c r="B1687" s="8">
        <v>38</v>
      </c>
      <c r="C1687" s="8">
        <v>5105.873047</v>
      </c>
      <c r="D1687" s="8">
        <v>97828.96875</v>
      </c>
      <c r="E1687" s="8">
        <v>97857.335938000004</v>
      </c>
      <c r="F1687" s="8">
        <f t="shared" si="52"/>
        <v>28.367188000003807</v>
      </c>
      <c r="G1687" s="8">
        <f t="shared" si="53"/>
        <v>2.8367188000003807E-2</v>
      </c>
    </row>
    <row r="1688" spans="1:7" x14ac:dyDescent="0.25">
      <c r="A1688" s="8">
        <v>22</v>
      </c>
      <c r="B1688" s="8">
        <v>39</v>
      </c>
      <c r="C1688" s="8">
        <v>1878.0794679999999</v>
      </c>
      <c r="D1688" s="8">
        <v>102977.070313</v>
      </c>
      <c r="E1688" s="8">
        <v>102984.953125</v>
      </c>
      <c r="F1688" s="8">
        <f t="shared" si="52"/>
        <v>7.8828119999961928</v>
      </c>
      <c r="G1688" s="8">
        <f t="shared" si="53"/>
        <v>7.8828119999961935E-3</v>
      </c>
    </row>
    <row r="1689" spans="1:7" x14ac:dyDescent="0.25">
      <c r="A1689" s="8">
        <v>22</v>
      </c>
      <c r="B1689" s="8">
        <v>40</v>
      </c>
      <c r="C1689" s="8">
        <v>1191.3339840000001</v>
      </c>
      <c r="D1689" s="8">
        <v>104878.351563</v>
      </c>
      <c r="E1689" s="8">
        <v>104886.226563</v>
      </c>
      <c r="F1689" s="8">
        <f t="shared" si="52"/>
        <v>7.875</v>
      </c>
      <c r="G1689" s="8">
        <f t="shared" si="53"/>
        <v>7.8750000000000001E-3</v>
      </c>
    </row>
    <row r="1690" spans="1:7" x14ac:dyDescent="0.25">
      <c r="A1690" s="8">
        <v>22</v>
      </c>
      <c r="B1690" s="8">
        <v>41</v>
      </c>
      <c r="C1690" s="8">
        <v>3434.3703609999998</v>
      </c>
      <c r="D1690" s="8">
        <v>106078.203125</v>
      </c>
      <c r="E1690" s="8">
        <v>106099.796875</v>
      </c>
      <c r="F1690" s="8">
        <f t="shared" si="52"/>
        <v>21.59375</v>
      </c>
      <c r="G1690" s="8">
        <f t="shared" si="53"/>
        <v>2.1593749999999998E-2</v>
      </c>
    </row>
    <row r="1691" spans="1:7" x14ac:dyDescent="0.25">
      <c r="A1691" s="8">
        <v>22</v>
      </c>
      <c r="B1691" s="8">
        <v>42</v>
      </c>
      <c r="C1691" s="8">
        <v>2817.4621579999998</v>
      </c>
      <c r="D1691" s="8">
        <v>109548.945313</v>
      </c>
      <c r="E1691" s="8">
        <v>109566.976563</v>
      </c>
      <c r="F1691" s="8">
        <f t="shared" si="52"/>
        <v>18.03125</v>
      </c>
      <c r="G1691" s="8">
        <f t="shared" si="53"/>
        <v>1.8031249999999999E-2</v>
      </c>
    </row>
    <row r="1692" spans="1:7" x14ac:dyDescent="0.25">
      <c r="A1692" s="8">
        <v>22</v>
      </c>
      <c r="B1692" s="8">
        <v>43</v>
      </c>
      <c r="C1692" s="8">
        <v>280.29922499999998</v>
      </c>
      <c r="D1692" s="8">
        <v>112397.03125</v>
      </c>
      <c r="E1692" s="8">
        <v>112411.179688</v>
      </c>
      <c r="F1692" s="8">
        <f t="shared" si="52"/>
        <v>14.148438000003807</v>
      </c>
      <c r="G1692" s="8">
        <f t="shared" si="53"/>
        <v>1.4148438000003807E-2</v>
      </c>
    </row>
    <row r="1693" spans="1:7" x14ac:dyDescent="0.25">
      <c r="A1693" s="8">
        <v>22</v>
      </c>
      <c r="B1693" s="8">
        <v>44</v>
      </c>
      <c r="C1693" s="8">
        <v>7123.9853519999997</v>
      </c>
      <c r="D1693" s="8">
        <v>112696.554688</v>
      </c>
      <c r="E1693" s="8">
        <v>112713.695313</v>
      </c>
      <c r="F1693" s="8">
        <f t="shared" si="52"/>
        <v>17.140625</v>
      </c>
      <c r="G1693" s="8">
        <f t="shared" si="53"/>
        <v>1.7140625E-2</v>
      </c>
    </row>
    <row r="1694" spans="1:7" x14ac:dyDescent="0.25">
      <c r="A1694" s="8">
        <v>22</v>
      </c>
      <c r="B1694" s="8">
        <v>45</v>
      </c>
      <c r="C1694" s="8">
        <v>1486.9960940000001</v>
      </c>
      <c r="D1694" s="8">
        <v>119843.515625</v>
      </c>
      <c r="E1694" s="8">
        <v>119857.914063</v>
      </c>
      <c r="F1694" s="8">
        <f t="shared" si="52"/>
        <v>14.398438000003807</v>
      </c>
      <c r="G1694" s="8">
        <f t="shared" si="53"/>
        <v>1.4398438000003807E-2</v>
      </c>
    </row>
    <row r="1695" spans="1:7" x14ac:dyDescent="0.25">
      <c r="A1695" s="8">
        <v>22</v>
      </c>
      <c r="B1695" s="8">
        <v>46</v>
      </c>
      <c r="C1695" s="8">
        <v>482.362976</v>
      </c>
      <c r="D1695" s="8">
        <v>121345.617188</v>
      </c>
      <c r="E1695" s="8">
        <v>121361.445313</v>
      </c>
      <c r="F1695" s="8">
        <f t="shared" si="52"/>
        <v>15.828125</v>
      </c>
      <c r="G1695" s="8">
        <f t="shared" si="53"/>
        <v>1.5828124999999998E-2</v>
      </c>
    </row>
    <row r="1696" spans="1:7" x14ac:dyDescent="0.25">
      <c r="A1696" s="8">
        <v>22</v>
      </c>
      <c r="B1696" s="8">
        <v>47</v>
      </c>
      <c r="C1696" s="8">
        <v>4158.3339839999999</v>
      </c>
      <c r="D1696" s="8">
        <v>121845.804688</v>
      </c>
      <c r="E1696" s="8">
        <v>121861.179688</v>
      </c>
      <c r="F1696" s="8">
        <f t="shared" si="52"/>
        <v>15.375</v>
      </c>
      <c r="G1696" s="8">
        <f t="shared" si="53"/>
        <v>1.5375E-2</v>
      </c>
    </row>
    <row r="1697" spans="1:7" x14ac:dyDescent="0.25">
      <c r="A1697" s="8">
        <v>22</v>
      </c>
      <c r="B1697" s="8">
        <v>48</v>
      </c>
      <c r="C1697" s="8">
        <v>4169.5932620000003</v>
      </c>
      <c r="D1697" s="8">
        <v>126034.132813</v>
      </c>
      <c r="E1697" s="8">
        <v>126050.960938</v>
      </c>
      <c r="F1697" s="8">
        <f t="shared" si="52"/>
        <v>16.828125</v>
      </c>
      <c r="G1697" s="8">
        <f t="shared" si="53"/>
        <v>1.6828124999999999E-2</v>
      </c>
    </row>
    <row r="1698" spans="1:7" x14ac:dyDescent="0.25">
      <c r="A1698" s="8">
        <v>22</v>
      </c>
      <c r="B1698" s="8">
        <v>49</v>
      </c>
      <c r="C1698" s="8">
        <v>4786.9594729999999</v>
      </c>
      <c r="D1698" s="8">
        <v>130223.375</v>
      </c>
      <c r="E1698" s="8">
        <v>130243.335938</v>
      </c>
      <c r="F1698" s="8">
        <f t="shared" si="52"/>
        <v>19.960938000003807</v>
      </c>
      <c r="G1698" s="8">
        <f t="shared" si="53"/>
        <v>1.9960938000003807E-2</v>
      </c>
    </row>
    <row r="1699" spans="1:7" x14ac:dyDescent="0.25">
      <c r="A1699" s="8">
        <v>22</v>
      </c>
      <c r="B1699" s="8">
        <v>50</v>
      </c>
      <c r="C1699" s="8">
        <v>589.92352300000005</v>
      </c>
      <c r="D1699" s="8">
        <v>135037.296875</v>
      </c>
      <c r="E1699" s="8">
        <v>135050.890625</v>
      </c>
      <c r="F1699" s="8">
        <f t="shared" si="52"/>
        <v>13.59375</v>
      </c>
      <c r="G1699" s="8">
        <f t="shared" si="53"/>
        <v>1.359375E-2</v>
      </c>
    </row>
    <row r="1700" spans="1:7" x14ac:dyDescent="0.25">
      <c r="A1700" s="8">
        <v>22</v>
      </c>
      <c r="B1700" s="8">
        <v>51</v>
      </c>
      <c r="C1700" s="8">
        <v>2574.6408689999998</v>
      </c>
      <c r="D1700" s="8">
        <v>135647.734375</v>
      </c>
      <c r="E1700" s="8">
        <v>135670.609375</v>
      </c>
      <c r="F1700" s="8">
        <f t="shared" si="52"/>
        <v>22.875</v>
      </c>
      <c r="G1700" s="8">
        <f t="shared" si="53"/>
        <v>2.2875E-2</v>
      </c>
    </row>
    <row r="1701" spans="1:7" x14ac:dyDescent="0.25">
      <c r="A1701" s="8">
        <v>22</v>
      </c>
      <c r="B1701" s="8">
        <v>52</v>
      </c>
      <c r="C1701" s="8">
        <v>2797.3391109999998</v>
      </c>
      <c r="D1701" s="8">
        <v>138249.984375</v>
      </c>
      <c r="E1701" s="8">
        <v>138265.46875</v>
      </c>
      <c r="F1701" s="8">
        <f t="shared" si="52"/>
        <v>15.484375</v>
      </c>
      <c r="G1701" s="8">
        <f t="shared" si="53"/>
        <v>1.5484375E-2</v>
      </c>
    </row>
    <row r="1702" spans="1:7" x14ac:dyDescent="0.25">
      <c r="A1702" s="8">
        <v>22</v>
      </c>
      <c r="B1702" s="8">
        <v>53</v>
      </c>
      <c r="C1702" s="8">
        <v>7578.3530270000001</v>
      </c>
      <c r="D1702" s="8">
        <v>141076.59375</v>
      </c>
      <c r="E1702" s="8">
        <v>141093.359375</v>
      </c>
      <c r="F1702" s="8">
        <f t="shared" si="52"/>
        <v>16.765625</v>
      </c>
      <c r="G1702" s="8">
        <f t="shared" si="53"/>
        <v>1.6765624999999999E-2</v>
      </c>
    </row>
    <row r="1703" spans="1:7" x14ac:dyDescent="0.25">
      <c r="A1703" s="8">
        <v>22</v>
      </c>
      <c r="B1703" s="8">
        <v>54</v>
      </c>
      <c r="C1703" s="8">
        <v>45.997535999999997</v>
      </c>
      <c r="D1703" s="8">
        <v>148681.609375</v>
      </c>
      <c r="E1703" s="8">
        <v>148698.59375</v>
      </c>
      <c r="F1703" s="8">
        <f t="shared" si="52"/>
        <v>16.984375</v>
      </c>
      <c r="G1703" s="8">
        <f t="shared" si="53"/>
        <v>1.6984374999999999E-2</v>
      </c>
    </row>
    <row r="1704" spans="1:7" x14ac:dyDescent="0.25">
      <c r="A1704" s="8">
        <v>22</v>
      </c>
      <c r="B1704" s="8">
        <v>55</v>
      </c>
      <c r="C1704" s="8">
        <v>638.29656999999997</v>
      </c>
      <c r="D1704" s="8">
        <v>148744.109375</v>
      </c>
      <c r="E1704" s="8">
        <v>148764.515625</v>
      </c>
      <c r="F1704" s="8">
        <f t="shared" si="52"/>
        <v>20.40625</v>
      </c>
      <c r="G1704" s="8">
        <f t="shared" si="53"/>
        <v>2.0406250000000001E-2</v>
      </c>
    </row>
    <row r="1705" spans="1:7" x14ac:dyDescent="0.25">
      <c r="A1705" s="8">
        <v>22</v>
      </c>
      <c r="B1705" s="8">
        <v>56</v>
      </c>
      <c r="C1705" s="8">
        <v>542.13250700000003</v>
      </c>
      <c r="D1705" s="8">
        <v>149416.078125</v>
      </c>
      <c r="E1705" s="8">
        <v>149428.5625</v>
      </c>
      <c r="F1705" s="8">
        <f t="shared" si="52"/>
        <v>12.484375</v>
      </c>
      <c r="G1705" s="8">
        <f t="shared" si="53"/>
        <v>1.2484375000000001E-2</v>
      </c>
    </row>
    <row r="1706" spans="1:7" x14ac:dyDescent="0.25">
      <c r="A1706" s="8">
        <v>22</v>
      </c>
      <c r="B1706" s="8">
        <v>57</v>
      </c>
      <c r="C1706" s="8">
        <v>148.31459000000001</v>
      </c>
      <c r="D1706" s="8">
        <v>149983.203125</v>
      </c>
      <c r="E1706" s="8">
        <v>150000.71875</v>
      </c>
      <c r="F1706" s="8">
        <f t="shared" si="52"/>
        <v>17.515625</v>
      </c>
      <c r="G1706" s="8">
        <f t="shared" si="53"/>
        <v>1.7515625E-2</v>
      </c>
    </row>
    <row r="1707" spans="1:7" x14ac:dyDescent="0.25">
      <c r="A1707" s="8">
        <v>22</v>
      </c>
      <c r="B1707" s="8">
        <v>58</v>
      </c>
      <c r="C1707" s="8">
        <v>626.07232699999997</v>
      </c>
      <c r="D1707" s="8">
        <v>150155.140625</v>
      </c>
      <c r="E1707" s="8">
        <v>150175.9375</v>
      </c>
      <c r="F1707" s="8">
        <f t="shared" si="52"/>
        <v>20.796875</v>
      </c>
      <c r="G1707" s="8">
        <f t="shared" si="53"/>
        <v>2.0796874999999999E-2</v>
      </c>
    </row>
    <row r="1708" spans="1:7" x14ac:dyDescent="0.25">
      <c r="A1708" s="8">
        <v>22</v>
      </c>
      <c r="B1708" s="8">
        <v>59</v>
      </c>
      <c r="C1708" s="8">
        <v>1160.8929439999999</v>
      </c>
      <c r="D1708" s="8">
        <v>150811.421875</v>
      </c>
      <c r="E1708" s="8">
        <v>150825.65625</v>
      </c>
      <c r="F1708" s="8">
        <f t="shared" si="52"/>
        <v>14.234375</v>
      </c>
      <c r="G1708" s="8">
        <f t="shared" si="53"/>
        <v>1.4234375E-2</v>
      </c>
    </row>
    <row r="1709" spans="1:7" x14ac:dyDescent="0.25">
      <c r="A1709" s="8">
        <v>22</v>
      </c>
      <c r="B1709" s="8">
        <v>60</v>
      </c>
      <c r="C1709" s="8">
        <v>1595.950928</v>
      </c>
      <c r="D1709" s="8">
        <v>151999.03125</v>
      </c>
      <c r="E1709" s="8">
        <v>152014.484375</v>
      </c>
      <c r="F1709" s="8">
        <f t="shared" si="52"/>
        <v>15.453125</v>
      </c>
      <c r="G1709" s="8">
        <f t="shared" si="53"/>
        <v>1.5453125E-2</v>
      </c>
    </row>
    <row r="1710" spans="1:7" x14ac:dyDescent="0.25">
      <c r="A1710" s="8">
        <v>22</v>
      </c>
      <c r="B1710" s="8">
        <v>61</v>
      </c>
      <c r="C1710" s="8">
        <v>223.191025</v>
      </c>
      <c r="D1710" s="8">
        <v>153625.109375</v>
      </c>
      <c r="E1710" s="8">
        <v>153640.875</v>
      </c>
      <c r="F1710" s="8">
        <f t="shared" si="52"/>
        <v>15.765625</v>
      </c>
      <c r="G1710" s="8">
        <f t="shared" si="53"/>
        <v>1.5765624999999998E-2</v>
      </c>
    </row>
    <row r="1711" spans="1:7" x14ac:dyDescent="0.25">
      <c r="A1711" s="8">
        <v>22</v>
      </c>
      <c r="B1711" s="8">
        <v>62</v>
      </c>
      <c r="C1711" s="8">
        <v>33.669120999999997</v>
      </c>
      <c r="D1711" s="8">
        <v>153875.046875</v>
      </c>
      <c r="E1711" s="8">
        <v>153899.109375</v>
      </c>
      <c r="F1711" s="8">
        <f t="shared" si="52"/>
        <v>24.0625</v>
      </c>
      <c r="G1711" s="8">
        <f t="shared" si="53"/>
        <v>2.4062500000000001E-2</v>
      </c>
    </row>
    <row r="1712" spans="1:7" x14ac:dyDescent="0.25">
      <c r="A1712" s="8">
        <v>22</v>
      </c>
      <c r="B1712" s="8">
        <v>63</v>
      </c>
      <c r="C1712" s="8">
        <v>875.46954300000004</v>
      </c>
      <c r="D1712" s="8">
        <v>153937.75</v>
      </c>
      <c r="E1712" s="8">
        <v>153954.734375</v>
      </c>
      <c r="F1712" s="8">
        <f t="shared" si="52"/>
        <v>16.984375</v>
      </c>
      <c r="G1712" s="8">
        <f t="shared" si="53"/>
        <v>1.6984374999999999E-2</v>
      </c>
    </row>
    <row r="1713" spans="1:7" x14ac:dyDescent="0.25">
      <c r="A1713" s="8">
        <v>22</v>
      </c>
      <c r="B1713" s="8">
        <v>64</v>
      </c>
      <c r="C1713" s="8">
        <v>462.03549199999998</v>
      </c>
      <c r="D1713" s="8">
        <v>154843.9375</v>
      </c>
      <c r="E1713" s="8">
        <v>154865.25</v>
      </c>
      <c r="F1713" s="8">
        <f t="shared" si="52"/>
        <v>21.3125</v>
      </c>
      <c r="G1713" s="8">
        <f t="shared" si="53"/>
        <v>2.1312500000000002E-2</v>
      </c>
    </row>
    <row r="1714" spans="1:7" x14ac:dyDescent="0.25">
      <c r="A1714" s="8">
        <v>22</v>
      </c>
      <c r="B1714" s="8">
        <v>65</v>
      </c>
      <c r="C1714" s="8">
        <v>770.11901899999998</v>
      </c>
      <c r="D1714" s="8">
        <v>155328.515625</v>
      </c>
      <c r="E1714" s="8">
        <v>155339.59375</v>
      </c>
      <c r="F1714" s="8">
        <f t="shared" si="52"/>
        <v>11.078125</v>
      </c>
      <c r="G1714" s="8">
        <f t="shared" si="53"/>
        <v>1.1078124999999999E-2</v>
      </c>
    </row>
    <row r="1715" spans="1:7" x14ac:dyDescent="0.25">
      <c r="A1715" s="8">
        <v>22</v>
      </c>
      <c r="B1715" s="8">
        <v>66</v>
      </c>
      <c r="C1715" s="8">
        <v>2287.3630370000001</v>
      </c>
      <c r="D1715" s="8">
        <v>156109.8125</v>
      </c>
      <c r="E1715" s="8">
        <v>156117.515625</v>
      </c>
      <c r="F1715" s="8">
        <f t="shared" si="52"/>
        <v>7.703125</v>
      </c>
      <c r="G1715" s="8">
        <f t="shared" si="53"/>
        <v>7.7031249999999999E-3</v>
      </c>
    </row>
    <row r="1716" spans="1:7" x14ac:dyDescent="0.25">
      <c r="A1716" s="8">
        <v>22</v>
      </c>
      <c r="B1716" s="8">
        <v>67</v>
      </c>
      <c r="C1716" s="8">
        <v>4057.89624</v>
      </c>
      <c r="D1716" s="8">
        <v>158406.96875</v>
      </c>
      <c r="E1716" s="8">
        <v>158427.25</v>
      </c>
      <c r="F1716" s="8">
        <f t="shared" si="52"/>
        <v>20.28125</v>
      </c>
      <c r="G1716" s="8">
        <f t="shared" si="53"/>
        <v>2.0281250000000001E-2</v>
      </c>
    </row>
    <row r="1717" spans="1:7" x14ac:dyDescent="0.25">
      <c r="A1717" s="8">
        <v>22</v>
      </c>
      <c r="B1717" s="8">
        <v>68</v>
      </c>
      <c r="C1717" s="8">
        <v>3893.9577640000002</v>
      </c>
      <c r="D1717" s="8">
        <v>162487.078125</v>
      </c>
      <c r="E1717" s="8">
        <v>162513.3125</v>
      </c>
      <c r="F1717" s="8">
        <f t="shared" si="52"/>
        <v>26.234375</v>
      </c>
      <c r="G1717" s="8">
        <f t="shared" si="53"/>
        <v>2.6234375000000001E-2</v>
      </c>
    </row>
    <row r="1718" spans="1:7" x14ac:dyDescent="0.25">
      <c r="A1718" s="8">
        <v>22</v>
      </c>
      <c r="B1718" s="8">
        <v>69</v>
      </c>
      <c r="C1718" s="8">
        <v>2027.7847899999999</v>
      </c>
      <c r="D1718" s="8">
        <v>166411.34375</v>
      </c>
      <c r="E1718" s="8">
        <v>166428</v>
      </c>
      <c r="F1718" s="8">
        <f t="shared" si="52"/>
        <v>16.65625</v>
      </c>
      <c r="G1718" s="8">
        <f t="shared" si="53"/>
        <v>1.6656250000000001E-2</v>
      </c>
    </row>
    <row r="1719" spans="1:7" x14ac:dyDescent="0.25">
      <c r="A1719" s="8">
        <v>22</v>
      </c>
      <c r="B1719" s="8">
        <v>70</v>
      </c>
      <c r="C1719" s="8">
        <v>917.22418200000004</v>
      </c>
      <c r="D1719" s="8">
        <v>168466.1875</v>
      </c>
      <c r="E1719" s="8">
        <v>168480.890625</v>
      </c>
      <c r="F1719" s="8">
        <f t="shared" si="52"/>
        <v>14.703125</v>
      </c>
      <c r="G1719" s="8">
        <f t="shared" si="53"/>
        <v>1.4703124999999999E-2</v>
      </c>
    </row>
    <row r="1720" spans="1:7" x14ac:dyDescent="0.25">
      <c r="A1720" s="8">
        <v>22</v>
      </c>
      <c r="B1720" s="8">
        <v>71</v>
      </c>
      <c r="C1720" s="8">
        <v>1542.3148189999999</v>
      </c>
      <c r="D1720" s="8">
        <v>169407.875</v>
      </c>
      <c r="E1720" s="8">
        <v>169432.8125</v>
      </c>
      <c r="F1720" s="8">
        <f t="shared" si="52"/>
        <v>24.9375</v>
      </c>
      <c r="G1720" s="8">
        <f t="shared" si="53"/>
        <v>2.4937500000000001E-2</v>
      </c>
    </row>
    <row r="1721" spans="1:7" x14ac:dyDescent="0.25">
      <c r="A1721" s="8">
        <v>23</v>
      </c>
      <c r="B1721" s="8">
        <v>0</v>
      </c>
      <c r="C1721" s="8">
        <v>1521.0477289999999</v>
      </c>
      <c r="D1721" s="8">
        <v>22188.232422000001</v>
      </c>
      <c r="E1721" s="8">
        <v>22206.951172000001</v>
      </c>
      <c r="F1721" s="8">
        <f t="shared" si="52"/>
        <v>18.71875</v>
      </c>
      <c r="G1721" s="8">
        <f t="shared" si="53"/>
        <v>1.8718749999999999E-2</v>
      </c>
    </row>
    <row r="1722" spans="1:7" x14ac:dyDescent="0.25">
      <c r="A1722" s="8">
        <v>23</v>
      </c>
      <c r="B1722" s="8">
        <v>1</v>
      </c>
      <c r="C1722" s="8">
        <v>1492.652832</v>
      </c>
      <c r="D1722" s="8">
        <v>23740.505859000001</v>
      </c>
      <c r="E1722" s="8">
        <v>23756.695313</v>
      </c>
      <c r="F1722" s="8">
        <f t="shared" si="52"/>
        <v>16.189453999999387</v>
      </c>
      <c r="G1722" s="8">
        <f t="shared" si="53"/>
        <v>1.6189453999999388E-2</v>
      </c>
    </row>
    <row r="1723" spans="1:7" x14ac:dyDescent="0.25">
      <c r="A1723" s="8">
        <v>23</v>
      </c>
      <c r="B1723" s="8">
        <v>2</v>
      </c>
      <c r="C1723" s="8">
        <v>3260.007568</v>
      </c>
      <c r="D1723" s="8">
        <v>25256.273438</v>
      </c>
      <c r="E1723" s="8">
        <v>25263.96875</v>
      </c>
      <c r="F1723" s="8">
        <f t="shared" si="52"/>
        <v>7.6953119999998307</v>
      </c>
      <c r="G1723" s="8">
        <f t="shared" si="53"/>
        <v>7.695311999999831E-3</v>
      </c>
    </row>
    <row r="1724" spans="1:7" x14ac:dyDescent="0.25">
      <c r="A1724" s="8">
        <v>23</v>
      </c>
      <c r="B1724" s="8">
        <v>3</v>
      </c>
      <c r="C1724" s="8">
        <v>972.73303199999998</v>
      </c>
      <c r="D1724" s="8">
        <v>28527.644531000002</v>
      </c>
      <c r="E1724" s="8">
        <v>28545.115234000001</v>
      </c>
      <c r="F1724" s="8">
        <f t="shared" si="52"/>
        <v>17.470702999999048</v>
      </c>
      <c r="G1724" s="8">
        <f t="shared" si="53"/>
        <v>1.7470702999999047E-2</v>
      </c>
    </row>
    <row r="1725" spans="1:7" x14ac:dyDescent="0.25">
      <c r="A1725" s="8">
        <v>23</v>
      </c>
      <c r="B1725" s="8">
        <v>4</v>
      </c>
      <c r="C1725" s="8">
        <v>786.69348100000002</v>
      </c>
      <c r="D1725" s="8">
        <v>29527.767577999999</v>
      </c>
      <c r="E1725" s="8">
        <v>29550.154297000001</v>
      </c>
      <c r="F1725" s="8">
        <f t="shared" si="52"/>
        <v>22.386719000001904</v>
      </c>
      <c r="G1725" s="8">
        <f t="shared" si="53"/>
        <v>2.2386719000001904E-2</v>
      </c>
    </row>
    <row r="1726" spans="1:7" x14ac:dyDescent="0.25">
      <c r="A1726" s="8">
        <v>23</v>
      </c>
      <c r="B1726" s="8">
        <v>5</v>
      </c>
      <c r="C1726" s="8">
        <v>359.21814000000001</v>
      </c>
      <c r="D1726" s="8">
        <v>30343.544922000001</v>
      </c>
      <c r="E1726" s="8">
        <v>30356.107422000001</v>
      </c>
      <c r="F1726" s="8">
        <f t="shared" si="52"/>
        <v>12.5625</v>
      </c>
      <c r="G1726" s="8">
        <f t="shared" si="53"/>
        <v>1.2562500000000001E-2</v>
      </c>
    </row>
    <row r="1727" spans="1:7" x14ac:dyDescent="0.25">
      <c r="A1727" s="8">
        <v>23</v>
      </c>
      <c r="B1727" s="8">
        <v>6</v>
      </c>
      <c r="C1727" s="8">
        <v>82.173096000000001</v>
      </c>
      <c r="D1727" s="8">
        <v>30720.167968999998</v>
      </c>
      <c r="E1727" s="8">
        <v>30731.251952999999</v>
      </c>
      <c r="F1727" s="8">
        <f t="shared" si="52"/>
        <v>11.083984000000783</v>
      </c>
      <c r="G1727" s="8">
        <f t="shared" si="53"/>
        <v>1.1083984000000782E-2</v>
      </c>
    </row>
    <row r="1728" spans="1:7" x14ac:dyDescent="0.25">
      <c r="A1728" s="8">
        <v>23</v>
      </c>
      <c r="B1728" s="8">
        <v>7</v>
      </c>
      <c r="C1728" s="8">
        <v>1922.751831</v>
      </c>
      <c r="D1728" s="8">
        <v>30813.898438</v>
      </c>
      <c r="E1728" s="8">
        <v>30826.435547000001</v>
      </c>
      <c r="F1728" s="8">
        <f t="shared" si="52"/>
        <v>12.537109000000783</v>
      </c>
      <c r="G1728" s="8">
        <f t="shared" si="53"/>
        <v>1.2537109000000782E-2</v>
      </c>
    </row>
    <row r="1729" spans="1:7" x14ac:dyDescent="0.25">
      <c r="A1729" s="8">
        <v>23</v>
      </c>
      <c r="B1729" s="8">
        <v>8</v>
      </c>
      <c r="C1729" s="8">
        <v>1908.5950929999999</v>
      </c>
      <c r="D1729" s="8">
        <v>32754.480468999998</v>
      </c>
      <c r="E1729" s="8">
        <v>32780.230469000002</v>
      </c>
      <c r="F1729" s="8">
        <f t="shared" si="52"/>
        <v>25.750000000003638</v>
      </c>
      <c r="G1729" s="8">
        <f t="shared" si="53"/>
        <v>2.5750000000003638E-2</v>
      </c>
    </row>
    <row r="1730" spans="1:7" x14ac:dyDescent="0.25">
      <c r="A1730" s="8">
        <v>23</v>
      </c>
      <c r="B1730" s="8">
        <v>9</v>
      </c>
      <c r="C1730" s="8">
        <v>4649.419922</v>
      </c>
      <c r="D1730" s="8">
        <v>34701.871094000002</v>
      </c>
      <c r="E1730" s="8">
        <v>34713.734375</v>
      </c>
      <c r="F1730" s="8">
        <f t="shared" si="52"/>
        <v>11.863280999998096</v>
      </c>
      <c r="G1730" s="8">
        <f t="shared" si="53"/>
        <v>1.1863280999998097E-2</v>
      </c>
    </row>
    <row r="1731" spans="1:7" x14ac:dyDescent="0.25">
      <c r="A1731" s="8">
        <v>23</v>
      </c>
      <c r="B1731" s="8">
        <v>10</v>
      </c>
      <c r="C1731" s="8">
        <v>716.91937299999995</v>
      </c>
      <c r="D1731" s="8">
        <v>39371.09375</v>
      </c>
      <c r="E1731" s="8">
        <v>39392.078125</v>
      </c>
      <c r="F1731" s="8">
        <f t="shared" si="52"/>
        <v>20.984375</v>
      </c>
      <c r="G1731" s="8">
        <f t="shared" si="53"/>
        <v>2.0984375E-2</v>
      </c>
    </row>
    <row r="1732" spans="1:7" x14ac:dyDescent="0.25">
      <c r="A1732" s="8">
        <v>23</v>
      </c>
      <c r="B1732" s="8">
        <v>11</v>
      </c>
      <c r="C1732" s="8">
        <v>1497.679932</v>
      </c>
      <c r="D1732" s="8">
        <v>40121.125</v>
      </c>
      <c r="E1732" s="8">
        <v>40142.984375</v>
      </c>
      <c r="F1732" s="8">
        <f t="shared" si="52"/>
        <v>21.859375</v>
      </c>
      <c r="G1732" s="8">
        <f t="shared" si="53"/>
        <v>2.1859375E-2</v>
      </c>
    </row>
    <row r="1733" spans="1:7" x14ac:dyDescent="0.25">
      <c r="A1733" s="8">
        <v>23</v>
      </c>
      <c r="B1733" s="8">
        <v>12</v>
      </c>
      <c r="C1733" s="8">
        <v>1245.5474850000001</v>
      </c>
      <c r="D1733" s="8">
        <v>41653.359375</v>
      </c>
      <c r="E1733" s="8">
        <v>41670.230469000002</v>
      </c>
      <c r="F1733" s="8">
        <f t="shared" si="52"/>
        <v>16.871094000001904</v>
      </c>
      <c r="G1733" s="8">
        <f t="shared" si="53"/>
        <v>1.6871094000001904E-2</v>
      </c>
    </row>
    <row r="1734" spans="1:7" x14ac:dyDescent="0.25">
      <c r="A1734" s="8">
        <v>23</v>
      </c>
      <c r="B1734" s="8">
        <v>13</v>
      </c>
      <c r="C1734" s="8">
        <v>2172.3547359999998</v>
      </c>
      <c r="D1734" s="8">
        <v>42923.980469000002</v>
      </c>
      <c r="E1734" s="8">
        <v>42942.625</v>
      </c>
      <c r="F1734" s="8">
        <f t="shared" si="52"/>
        <v>18.644530999998096</v>
      </c>
      <c r="G1734" s="8">
        <f t="shared" si="53"/>
        <v>1.8644530999998098E-2</v>
      </c>
    </row>
    <row r="1735" spans="1:7" x14ac:dyDescent="0.25">
      <c r="A1735" s="8">
        <v>23</v>
      </c>
      <c r="B1735" s="8">
        <v>14</v>
      </c>
      <c r="C1735" s="8">
        <v>9289.2089840000008</v>
      </c>
      <c r="D1735" s="8">
        <v>45115.683594000002</v>
      </c>
      <c r="E1735" s="8">
        <v>45127.289062999997</v>
      </c>
      <c r="F1735" s="8">
        <f t="shared" si="52"/>
        <v>11.605468999994628</v>
      </c>
      <c r="G1735" s="8">
        <f t="shared" si="53"/>
        <v>1.1605468999994628E-2</v>
      </c>
    </row>
    <row r="1736" spans="1:7" x14ac:dyDescent="0.25">
      <c r="A1736" s="8">
        <v>23</v>
      </c>
      <c r="B1736" s="8">
        <v>15</v>
      </c>
      <c r="C1736" s="8">
        <v>4299.3901370000003</v>
      </c>
      <c r="D1736" s="8">
        <v>54425.40625</v>
      </c>
      <c r="E1736" s="8">
        <v>54452.566405999998</v>
      </c>
      <c r="F1736" s="8">
        <f t="shared" si="52"/>
        <v>27.160155999998096</v>
      </c>
      <c r="G1736" s="8">
        <f t="shared" si="53"/>
        <v>2.7160155999998097E-2</v>
      </c>
    </row>
    <row r="1737" spans="1:7" x14ac:dyDescent="0.25">
      <c r="A1737" s="8">
        <v>23</v>
      </c>
      <c r="B1737" s="8">
        <v>16</v>
      </c>
      <c r="C1737" s="8">
        <v>258.50976600000001</v>
      </c>
      <c r="D1737" s="8">
        <v>58762.902344000002</v>
      </c>
      <c r="E1737" s="8">
        <v>58780.277344000002</v>
      </c>
      <c r="F1737" s="8">
        <f t="shared" si="52"/>
        <v>17.375</v>
      </c>
      <c r="G1737" s="8">
        <f t="shared" si="53"/>
        <v>1.7375000000000002E-2</v>
      </c>
    </row>
    <row r="1738" spans="1:7" x14ac:dyDescent="0.25">
      <c r="A1738" s="8">
        <v>23</v>
      </c>
      <c r="B1738" s="8">
        <v>17</v>
      </c>
      <c r="C1738" s="8">
        <v>1445.9541019999999</v>
      </c>
      <c r="D1738" s="8">
        <v>59044.214844000002</v>
      </c>
      <c r="E1738" s="8">
        <v>59179.492187999997</v>
      </c>
      <c r="F1738" s="8">
        <f t="shared" si="52"/>
        <v>135.27734399999463</v>
      </c>
      <c r="G1738" s="8">
        <f t="shared" si="53"/>
        <v>0.13527734399999464</v>
      </c>
    </row>
    <row r="1739" spans="1:7" x14ac:dyDescent="0.25">
      <c r="A1739" s="8">
        <v>23</v>
      </c>
      <c r="B1739" s="8">
        <v>18</v>
      </c>
      <c r="C1739" s="8">
        <v>5632.955078</v>
      </c>
      <c r="D1739" s="8">
        <v>60638.167969000002</v>
      </c>
      <c r="E1739" s="8">
        <v>60652.082030999998</v>
      </c>
      <c r="F1739" s="8">
        <f t="shared" ref="F1739:F1802" si="54">E1739-D1739</f>
        <v>13.914061999996193</v>
      </c>
      <c r="G1739" s="8">
        <f t="shared" ref="G1739:G1802" si="55">F1739/1000</f>
        <v>1.3914061999996192E-2</v>
      </c>
    </row>
    <row r="1740" spans="1:7" x14ac:dyDescent="0.25">
      <c r="A1740" s="8">
        <v>23</v>
      </c>
      <c r="B1740" s="8">
        <v>19</v>
      </c>
      <c r="C1740" s="8">
        <v>1676.307495</v>
      </c>
      <c r="D1740" s="8">
        <v>66293.625</v>
      </c>
      <c r="E1740" s="8">
        <v>66311.234375</v>
      </c>
      <c r="F1740" s="8">
        <f t="shared" si="54"/>
        <v>17.609375</v>
      </c>
      <c r="G1740" s="8">
        <f t="shared" si="55"/>
        <v>1.7609375E-2</v>
      </c>
    </row>
    <row r="1741" spans="1:7" x14ac:dyDescent="0.25">
      <c r="A1741" s="8">
        <v>23</v>
      </c>
      <c r="B1741" s="8">
        <v>20</v>
      </c>
      <c r="C1741" s="8">
        <v>743.82910200000003</v>
      </c>
      <c r="D1741" s="8">
        <v>67998.445313000004</v>
      </c>
      <c r="E1741" s="8">
        <v>68010.164063000004</v>
      </c>
      <c r="F1741" s="8">
        <f t="shared" si="54"/>
        <v>11.71875</v>
      </c>
      <c r="G1741" s="8">
        <f t="shared" si="55"/>
        <v>1.171875E-2</v>
      </c>
    </row>
    <row r="1742" spans="1:7" x14ac:dyDescent="0.25">
      <c r="A1742" s="8">
        <v>23</v>
      </c>
      <c r="B1742" s="8">
        <v>21</v>
      </c>
      <c r="C1742" s="8">
        <v>2387.5214839999999</v>
      </c>
      <c r="D1742" s="8">
        <v>68764.148438000004</v>
      </c>
      <c r="E1742" s="8">
        <v>68775.523438000004</v>
      </c>
      <c r="F1742" s="8">
        <f t="shared" si="54"/>
        <v>11.375</v>
      </c>
      <c r="G1742" s="8">
        <f t="shared" si="55"/>
        <v>1.1375E-2</v>
      </c>
    </row>
    <row r="1743" spans="1:7" x14ac:dyDescent="0.25">
      <c r="A1743" s="8">
        <v>23</v>
      </c>
      <c r="B1743" s="8">
        <v>22</v>
      </c>
      <c r="C1743" s="8">
        <v>2538.6984859999998</v>
      </c>
      <c r="D1743" s="8">
        <v>71165.664063000004</v>
      </c>
      <c r="E1743" s="8">
        <v>71188.742188000004</v>
      </c>
      <c r="F1743" s="8">
        <f t="shared" si="54"/>
        <v>23.078125</v>
      </c>
      <c r="G1743" s="8">
        <f t="shared" si="55"/>
        <v>2.3078125000000001E-2</v>
      </c>
    </row>
    <row r="1744" spans="1:7" x14ac:dyDescent="0.25">
      <c r="A1744" s="8">
        <v>23</v>
      </c>
      <c r="B1744" s="8">
        <v>23</v>
      </c>
      <c r="C1744" s="8">
        <v>1493.811768</v>
      </c>
      <c r="D1744" s="8">
        <v>73732.257813000004</v>
      </c>
      <c r="E1744" s="8">
        <v>73742.445313000004</v>
      </c>
      <c r="F1744" s="8">
        <f t="shared" si="54"/>
        <v>10.1875</v>
      </c>
      <c r="G1744" s="8">
        <f t="shared" si="55"/>
        <v>1.01875E-2</v>
      </c>
    </row>
    <row r="1745" spans="1:7" x14ac:dyDescent="0.25">
      <c r="A1745" s="8">
        <v>23</v>
      </c>
      <c r="B1745" s="8">
        <v>24</v>
      </c>
      <c r="C1745" s="8">
        <v>2657.03125</v>
      </c>
      <c r="D1745" s="8">
        <v>75237.054688000004</v>
      </c>
      <c r="E1745" s="8">
        <v>75368.179688000004</v>
      </c>
      <c r="F1745" s="8">
        <f t="shared" si="54"/>
        <v>131.125</v>
      </c>
      <c r="G1745" s="8">
        <f t="shared" si="55"/>
        <v>0.13112499999999999</v>
      </c>
    </row>
    <row r="1746" spans="1:7" x14ac:dyDescent="0.25">
      <c r="A1746" s="8">
        <v>23</v>
      </c>
      <c r="B1746" s="8">
        <v>25</v>
      </c>
      <c r="C1746" s="8">
        <v>6713.2817379999997</v>
      </c>
      <c r="D1746" s="8">
        <v>78026.015625</v>
      </c>
      <c r="E1746" s="8">
        <v>78049.578125</v>
      </c>
      <c r="F1746" s="8">
        <f t="shared" si="54"/>
        <v>23.5625</v>
      </c>
      <c r="G1746" s="8">
        <f t="shared" si="55"/>
        <v>2.35625E-2</v>
      </c>
    </row>
    <row r="1747" spans="1:7" x14ac:dyDescent="0.25">
      <c r="A1747" s="8">
        <v>23</v>
      </c>
      <c r="B1747" s="8">
        <v>26</v>
      </c>
      <c r="C1747" s="8">
        <v>6378.6342770000001</v>
      </c>
      <c r="D1747" s="8">
        <v>84766.632813000004</v>
      </c>
      <c r="E1747" s="8">
        <v>84788.726563000004</v>
      </c>
      <c r="F1747" s="8">
        <f t="shared" si="54"/>
        <v>22.09375</v>
      </c>
      <c r="G1747" s="8">
        <f t="shared" si="55"/>
        <v>2.2093749999999999E-2</v>
      </c>
    </row>
    <row r="1748" spans="1:7" x14ac:dyDescent="0.25">
      <c r="A1748" s="8">
        <v>23</v>
      </c>
      <c r="B1748" s="8">
        <v>27</v>
      </c>
      <c r="C1748" s="8">
        <v>2178.8759770000001</v>
      </c>
      <c r="D1748" s="8">
        <v>91167.390625</v>
      </c>
      <c r="E1748" s="8">
        <v>91178.5625</v>
      </c>
      <c r="F1748" s="8">
        <f t="shared" si="54"/>
        <v>11.171875</v>
      </c>
      <c r="G1748" s="8">
        <f t="shared" si="55"/>
        <v>1.1171875E-2</v>
      </c>
    </row>
    <row r="1749" spans="1:7" x14ac:dyDescent="0.25">
      <c r="A1749" s="8">
        <v>23</v>
      </c>
      <c r="B1749" s="8">
        <v>28</v>
      </c>
      <c r="C1749" s="8">
        <v>3042.1032709999999</v>
      </c>
      <c r="D1749" s="8">
        <v>93357.078125</v>
      </c>
      <c r="E1749" s="8">
        <v>93374.289063000004</v>
      </c>
      <c r="F1749" s="8">
        <f t="shared" si="54"/>
        <v>17.210938000003807</v>
      </c>
      <c r="G1749" s="8">
        <f t="shared" si="55"/>
        <v>1.7210938000003808E-2</v>
      </c>
    </row>
    <row r="1750" spans="1:7" x14ac:dyDescent="0.25">
      <c r="A1750" s="8">
        <v>23</v>
      </c>
      <c r="B1750" s="8">
        <v>29</v>
      </c>
      <c r="C1750" s="8">
        <v>898.86700399999995</v>
      </c>
      <c r="D1750" s="8">
        <v>96428.445313000004</v>
      </c>
      <c r="E1750" s="8">
        <v>96443.84375</v>
      </c>
      <c r="F1750" s="8">
        <f t="shared" si="54"/>
        <v>15.398436999996193</v>
      </c>
      <c r="G1750" s="8">
        <f t="shared" si="55"/>
        <v>1.5398436999996193E-2</v>
      </c>
    </row>
    <row r="1751" spans="1:7" x14ac:dyDescent="0.25">
      <c r="A1751" s="8">
        <v>23</v>
      </c>
      <c r="B1751" s="8">
        <v>30</v>
      </c>
      <c r="C1751" s="8">
        <v>1102.1079099999999</v>
      </c>
      <c r="D1751" s="8">
        <v>97356.578125</v>
      </c>
      <c r="E1751" s="8">
        <v>97388.679688000004</v>
      </c>
      <c r="F1751" s="8">
        <f t="shared" si="54"/>
        <v>32.101563000003807</v>
      </c>
      <c r="G1751" s="8">
        <f t="shared" si="55"/>
        <v>3.2101563000003809E-2</v>
      </c>
    </row>
    <row r="1752" spans="1:7" x14ac:dyDescent="0.25">
      <c r="A1752" s="8">
        <v>23</v>
      </c>
      <c r="B1752" s="8">
        <v>31</v>
      </c>
      <c r="C1752" s="8">
        <v>1432.666626</v>
      </c>
      <c r="D1752" s="8">
        <v>98503.953125</v>
      </c>
      <c r="E1752" s="8">
        <v>98527.085938000004</v>
      </c>
      <c r="F1752" s="8">
        <f t="shared" si="54"/>
        <v>23.132813000003807</v>
      </c>
      <c r="G1752" s="8">
        <f t="shared" si="55"/>
        <v>2.3132813000003808E-2</v>
      </c>
    </row>
    <row r="1753" spans="1:7" x14ac:dyDescent="0.25">
      <c r="A1753" s="8">
        <v>23</v>
      </c>
      <c r="B1753" s="8">
        <v>32</v>
      </c>
      <c r="C1753" s="8">
        <v>4302.0112300000001</v>
      </c>
      <c r="D1753" s="8">
        <v>99963.851563000004</v>
      </c>
      <c r="E1753" s="8">
        <v>99980.84375</v>
      </c>
      <c r="F1753" s="8">
        <f t="shared" si="54"/>
        <v>16.992186999996193</v>
      </c>
      <c r="G1753" s="8">
        <f t="shared" si="55"/>
        <v>1.6992186999996193E-2</v>
      </c>
    </row>
    <row r="1754" spans="1:7" x14ac:dyDescent="0.25">
      <c r="A1754" s="8">
        <v>23</v>
      </c>
      <c r="B1754" s="8">
        <v>33</v>
      </c>
      <c r="C1754" s="8">
        <v>15664.455078000001</v>
      </c>
      <c r="D1754" s="8">
        <v>104284.585938</v>
      </c>
      <c r="E1754" s="8">
        <v>104313.75</v>
      </c>
      <c r="F1754" s="8">
        <f t="shared" si="54"/>
        <v>29.164061999996193</v>
      </c>
      <c r="G1754" s="8">
        <f t="shared" si="55"/>
        <v>2.9164061999996192E-2</v>
      </c>
    </row>
    <row r="1755" spans="1:7" x14ac:dyDescent="0.25">
      <c r="A1755" s="8">
        <v>23</v>
      </c>
      <c r="B1755" s="8">
        <v>34</v>
      </c>
      <c r="C1755" s="8">
        <v>74.936110999999997</v>
      </c>
      <c r="D1755" s="8">
        <v>119984.109375</v>
      </c>
      <c r="E1755" s="8">
        <v>120007.203125</v>
      </c>
      <c r="F1755" s="8">
        <f t="shared" si="54"/>
        <v>23.09375</v>
      </c>
      <c r="G1755" s="8">
        <f t="shared" si="55"/>
        <v>2.309375E-2</v>
      </c>
    </row>
    <row r="1756" spans="1:7" x14ac:dyDescent="0.25">
      <c r="A1756" s="8">
        <v>23</v>
      </c>
      <c r="B1756" s="8">
        <v>35</v>
      </c>
      <c r="C1756" s="8">
        <v>44.873534999999997</v>
      </c>
      <c r="D1756" s="8">
        <v>120093.5</v>
      </c>
      <c r="E1756" s="8">
        <v>120113.734375</v>
      </c>
      <c r="F1756" s="8">
        <f t="shared" si="54"/>
        <v>20.234375</v>
      </c>
      <c r="G1756" s="8">
        <f t="shared" si="55"/>
        <v>2.0234374999999999E-2</v>
      </c>
    </row>
    <row r="1757" spans="1:7" x14ac:dyDescent="0.25">
      <c r="A1757" s="8">
        <v>23</v>
      </c>
      <c r="B1757" s="8">
        <v>36</v>
      </c>
      <c r="C1757" s="8">
        <v>1457.4320070000001</v>
      </c>
      <c r="D1757" s="8">
        <v>120171.648438</v>
      </c>
      <c r="E1757" s="8">
        <v>120183</v>
      </c>
      <c r="F1757" s="8">
        <f t="shared" si="54"/>
        <v>11.351561999996193</v>
      </c>
      <c r="G1757" s="8">
        <f t="shared" si="55"/>
        <v>1.1351561999996193E-2</v>
      </c>
    </row>
    <row r="1758" spans="1:7" x14ac:dyDescent="0.25">
      <c r="A1758" s="8">
        <v>23</v>
      </c>
      <c r="B1758" s="8">
        <v>37</v>
      </c>
      <c r="C1758" s="8">
        <v>5959.1938479999999</v>
      </c>
      <c r="D1758" s="8">
        <v>121642.75</v>
      </c>
      <c r="E1758" s="8">
        <v>121654.203125</v>
      </c>
      <c r="F1758" s="8">
        <f t="shared" si="54"/>
        <v>11.453125</v>
      </c>
      <c r="G1758" s="8">
        <f t="shared" si="55"/>
        <v>1.1453125E-2</v>
      </c>
    </row>
    <row r="1759" spans="1:7" x14ac:dyDescent="0.25">
      <c r="A1759" s="8">
        <v>23</v>
      </c>
      <c r="B1759" s="8">
        <v>38</v>
      </c>
      <c r="C1759" s="8">
        <v>1761.942139</v>
      </c>
      <c r="D1759" s="8">
        <v>127628.0625</v>
      </c>
      <c r="E1759" s="8">
        <v>127641.945313</v>
      </c>
      <c r="F1759" s="8">
        <f t="shared" si="54"/>
        <v>13.882813000003807</v>
      </c>
      <c r="G1759" s="8">
        <f t="shared" si="55"/>
        <v>1.3882813000003807E-2</v>
      </c>
    </row>
    <row r="1760" spans="1:7" x14ac:dyDescent="0.25">
      <c r="A1760" s="8">
        <v>23</v>
      </c>
      <c r="B1760" s="8">
        <v>39</v>
      </c>
      <c r="C1760" s="8">
        <v>798.941956</v>
      </c>
      <c r="D1760" s="8">
        <v>129410.734375</v>
      </c>
      <c r="E1760" s="8">
        <v>129424.945313</v>
      </c>
      <c r="F1760" s="8">
        <f t="shared" si="54"/>
        <v>14.210938000003807</v>
      </c>
      <c r="G1760" s="8">
        <f t="shared" si="55"/>
        <v>1.4210938000003807E-2</v>
      </c>
    </row>
    <row r="1761" spans="1:7" x14ac:dyDescent="0.25">
      <c r="A1761" s="8">
        <v>23</v>
      </c>
      <c r="B1761" s="8">
        <v>40</v>
      </c>
      <c r="C1761" s="8">
        <v>701.77777100000003</v>
      </c>
      <c r="D1761" s="8">
        <v>130223.335938</v>
      </c>
      <c r="E1761" s="8">
        <v>130240.539063</v>
      </c>
      <c r="F1761" s="8">
        <f t="shared" si="54"/>
        <v>17.203125</v>
      </c>
      <c r="G1761" s="8">
        <f t="shared" si="55"/>
        <v>1.7203125E-2</v>
      </c>
    </row>
    <row r="1762" spans="1:7" x14ac:dyDescent="0.25">
      <c r="A1762" s="8">
        <v>23</v>
      </c>
      <c r="B1762" s="8">
        <v>41</v>
      </c>
      <c r="C1762" s="8">
        <v>3576.2685550000001</v>
      </c>
      <c r="D1762" s="8">
        <v>130942.007813</v>
      </c>
      <c r="E1762" s="8">
        <v>130965.523438</v>
      </c>
      <c r="F1762" s="8">
        <f t="shared" si="54"/>
        <v>23.515625</v>
      </c>
      <c r="G1762" s="8">
        <f t="shared" si="55"/>
        <v>2.3515624999999998E-2</v>
      </c>
    </row>
    <row r="1763" spans="1:7" x14ac:dyDescent="0.25">
      <c r="A1763" s="8">
        <v>23</v>
      </c>
      <c r="B1763" s="8">
        <v>42</v>
      </c>
      <c r="C1763" s="8">
        <v>780.46179199999995</v>
      </c>
      <c r="D1763" s="8">
        <v>134550.671875</v>
      </c>
      <c r="E1763" s="8">
        <v>134560.3125</v>
      </c>
      <c r="F1763" s="8">
        <f t="shared" si="54"/>
        <v>9.640625</v>
      </c>
      <c r="G1763" s="8">
        <f t="shared" si="55"/>
        <v>9.6406249999999999E-3</v>
      </c>
    </row>
    <row r="1764" spans="1:7" x14ac:dyDescent="0.25">
      <c r="A1764" s="8">
        <v>23</v>
      </c>
      <c r="B1764" s="8">
        <v>43</v>
      </c>
      <c r="C1764" s="8">
        <v>3406.0202640000002</v>
      </c>
      <c r="D1764" s="8">
        <v>135350.8125</v>
      </c>
      <c r="E1764" s="8">
        <v>135371.25</v>
      </c>
      <c r="F1764" s="8">
        <f t="shared" si="54"/>
        <v>20.4375</v>
      </c>
      <c r="G1764" s="8">
        <f t="shared" si="55"/>
        <v>2.0437500000000001E-2</v>
      </c>
    </row>
    <row r="1765" spans="1:7" x14ac:dyDescent="0.25">
      <c r="A1765" s="8">
        <v>23</v>
      </c>
      <c r="B1765" s="8">
        <v>44</v>
      </c>
      <c r="C1765" s="8">
        <v>282.26626599999997</v>
      </c>
      <c r="D1765" s="8">
        <v>138781.328125</v>
      </c>
      <c r="E1765" s="8">
        <v>138789.171875</v>
      </c>
      <c r="F1765" s="8">
        <f t="shared" si="54"/>
        <v>7.84375</v>
      </c>
      <c r="G1765" s="8">
        <f t="shared" si="55"/>
        <v>7.84375E-3</v>
      </c>
    </row>
    <row r="1766" spans="1:7" x14ac:dyDescent="0.25">
      <c r="A1766" s="8">
        <v>23</v>
      </c>
      <c r="B1766" s="8">
        <v>45</v>
      </c>
      <c r="C1766" s="8">
        <v>468.19689899999997</v>
      </c>
      <c r="D1766" s="8">
        <v>139084.421875</v>
      </c>
      <c r="E1766" s="8">
        <v>139095.390625</v>
      </c>
      <c r="F1766" s="8">
        <f t="shared" si="54"/>
        <v>10.96875</v>
      </c>
      <c r="G1766" s="8">
        <f t="shared" si="55"/>
        <v>1.0968749999999999E-2</v>
      </c>
    </row>
    <row r="1767" spans="1:7" x14ac:dyDescent="0.25">
      <c r="A1767" s="8">
        <v>23</v>
      </c>
      <c r="B1767" s="8">
        <v>46</v>
      </c>
      <c r="C1767" s="8">
        <v>407.86935399999999</v>
      </c>
      <c r="D1767" s="8">
        <v>139569.03125</v>
      </c>
      <c r="E1767" s="8">
        <v>139655.53125</v>
      </c>
      <c r="F1767" s="8">
        <f t="shared" si="54"/>
        <v>86.5</v>
      </c>
      <c r="G1767" s="8">
        <f t="shared" si="55"/>
        <v>8.6499999999999994E-2</v>
      </c>
    </row>
    <row r="1768" spans="1:7" x14ac:dyDescent="0.25">
      <c r="A1768" s="8">
        <v>23</v>
      </c>
      <c r="B1768" s="8">
        <v>47</v>
      </c>
      <c r="C1768" s="8">
        <v>860.11560099999997</v>
      </c>
      <c r="D1768" s="8">
        <v>140069.125</v>
      </c>
      <c r="E1768" s="8">
        <v>140081.1875</v>
      </c>
      <c r="F1768" s="8">
        <f t="shared" si="54"/>
        <v>12.0625</v>
      </c>
      <c r="G1768" s="8">
        <f t="shared" si="55"/>
        <v>1.20625E-2</v>
      </c>
    </row>
    <row r="1769" spans="1:7" x14ac:dyDescent="0.25">
      <c r="A1769" s="8">
        <v>23</v>
      </c>
      <c r="B1769" s="8">
        <v>48</v>
      </c>
      <c r="C1769" s="8">
        <v>5531.4907229999999</v>
      </c>
      <c r="D1769" s="8">
        <v>140951.640625</v>
      </c>
      <c r="E1769" s="8">
        <v>140968.890625</v>
      </c>
      <c r="F1769" s="8">
        <f t="shared" si="54"/>
        <v>17.25</v>
      </c>
      <c r="G1769" s="8">
        <f t="shared" si="55"/>
        <v>1.7250000000000001E-2</v>
      </c>
    </row>
    <row r="1770" spans="1:7" x14ac:dyDescent="0.25">
      <c r="A1770" s="8">
        <v>23</v>
      </c>
      <c r="B1770" s="8">
        <v>49</v>
      </c>
      <c r="C1770" s="8">
        <v>852.62286400000005</v>
      </c>
      <c r="D1770" s="8">
        <v>146506</v>
      </c>
      <c r="E1770" s="8">
        <v>146526.390625</v>
      </c>
      <c r="F1770" s="8">
        <f t="shared" si="54"/>
        <v>20.390625</v>
      </c>
      <c r="G1770" s="8">
        <f t="shared" si="55"/>
        <v>2.0390624999999999E-2</v>
      </c>
    </row>
    <row r="1771" spans="1:7" x14ac:dyDescent="0.25">
      <c r="A1771" s="8">
        <v>23</v>
      </c>
      <c r="B1771" s="8">
        <v>50</v>
      </c>
      <c r="C1771" s="8">
        <v>3640.7905270000001</v>
      </c>
      <c r="D1771" s="8">
        <v>147381.078125</v>
      </c>
      <c r="E1771" s="8">
        <v>147401.5625</v>
      </c>
      <c r="F1771" s="8">
        <f t="shared" si="54"/>
        <v>20.484375</v>
      </c>
      <c r="G1771" s="8">
        <f t="shared" si="55"/>
        <v>2.0484374999999999E-2</v>
      </c>
    </row>
    <row r="1772" spans="1:7" x14ac:dyDescent="0.25">
      <c r="A1772" s="8">
        <v>23</v>
      </c>
      <c r="B1772" s="8">
        <v>51</v>
      </c>
      <c r="C1772" s="8">
        <v>8497.4169920000004</v>
      </c>
      <c r="D1772" s="8">
        <v>151045.8125</v>
      </c>
      <c r="E1772" s="8">
        <v>151071.671875</v>
      </c>
      <c r="F1772" s="8">
        <f t="shared" si="54"/>
        <v>25.859375</v>
      </c>
      <c r="G1772" s="8">
        <f t="shared" si="55"/>
        <v>2.5859375E-2</v>
      </c>
    </row>
    <row r="1773" spans="1:7" x14ac:dyDescent="0.25">
      <c r="A1773" s="8">
        <v>23</v>
      </c>
      <c r="B1773" s="8">
        <v>52</v>
      </c>
      <c r="C1773" s="8">
        <v>3548.3671880000002</v>
      </c>
      <c r="D1773" s="8">
        <v>159579.96875</v>
      </c>
      <c r="E1773" s="8">
        <v>159588.25</v>
      </c>
      <c r="F1773" s="8">
        <f t="shared" si="54"/>
        <v>8.28125</v>
      </c>
      <c r="G1773" s="8">
        <f t="shared" si="55"/>
        <v>8.2812500000000004E-3</v>
      </c>
    </row>
    <row r="1774" spans="1:7" x14ac:dyDescent="0.25">
      <c r="A1774" s="8">
        <v>23</v>
      </c>
      <c r="B1774" s="8">
        <v>53</v>
      </c>
      <c r="C1774" s="8">
        <v>1332.874268</v>
      </c>
      <c r="D1774" s="8">
        <v>163143.40625</v>
      </c>
      <c r="E1774" s="8">
        <v>163229.796875</v>
      </c>
      <c r="F1774" s="8">
        <f t="shared" si="54"/>
        <v>86.390625</v>
      </c>
      <c r="G1774" s="8">
        <f t="shared" si="55"/>
        <v>8.6390624999999999E-2</v>
      </c>
    </row>
    <row r="1775" spans="1:7" x14ac:dyDescent="0.25">
      <c r="A1775" s="8">
        <v>23</v>
      </c>
      <c r="B1775" s="8">
        <v>54</v>
      </c>
      <c r="C1775" s="8">
        <v>679.792419</v>
      </c>
      <c r="D1775" s="8">
        <v>164576.328125</v>
      </c>
      <c r="E1775" s="8">
        <v>164599.0625</v>
      </c>
      <c r="F1775" s="8">
        <f t="shared" si="54"/>
        <v>22.734375</v>
      </c>
      <c r="G1775" s="8">
        <f t="shared" si="55"/>
        <v>2.2734375000000001E-2</v>
      </c>
    </row>
    <row r="1776" spans="1:7" x14ac:dyDescent="0.25">
      <c r="A1776" s="8">
        <v>23</v>
      </c>
      <c r="B1776" s="8">
        <v>55</v>
      </c>
      <c r="C1776" s="8">
        <v>107.002228</v>
      </c>
      <c r="D1776" s="8">
        <v>165280.375</v>
      </c>
      <c r="E1776" s="8">
        <v>165294.25</v>
      </c>
      <c r="F1776" s="8">
        <f t="shared" si="54"/>
        <v>13.875</v>
      </c>
      <c r="G1776" s="8">
        <f t="shared" si="55"/>
        <v>1.3875E-2</v>
      </c>
    </row>
    <row r="1777" spans="1:7" x14ac:dyDescent="0.25">
      <c r="A1777" s="8">
        <v>23</v>
      </c>
      <c r="B1777" s="8">
        <v>56</v>
      </c>
      <c r="C1777" s="8">
        <v>760.00781300000006</v>
      </c>
      <c r="D1777" s="8">
        <v>165405.296875</v>
      </c>
      <c r="E1777" s="8">
        <v>165413.078125</v>
      </c>
      <c r="F1777" s="8">
        <f t="shared" si="54"/>
        <v>7.78125</v>
      </c>
      <c r="G1777" s="8">
        <f t="shared" si="55"/>
        <v>7.78125E-3</v>
      </c>
    </row>
    <row r="1778" spans="1:7" x14ac:dyDescent="0.25">
      <c r="A1778" s="8">
        <v>23</v>
      </c>
      <c r="B1778" s="8">
        <v>57</v>
      </c>
      <c r="C1778" s="8">
        <v>366.24298099999999</v>
      </c>
      <c r="D1778" s="8">
        <v>166176.96875</v>
      </c>
      <c r="E1778" s="8">
        <v>166184.359375</v>
      </c>
      <c r="F1778" s="8">
        <f t="shared" si="54"/>
        <v>7.390625</v>
      </c>
      <c r="G1778" s="8">
        <f t="shared" si="55"/>
        <v>7.3906249999999996E-3</v>
      </c>
    </row>
    <row r="1779" spans="1:7" x14ac:dyDescent="0.25">
      <c r="A1779" s="8">
        <v>23</v>
      </c>
      <c r="B1779" s="8">
        <v>58</v>
      </c>
      <c r="C1779" s="8">
        <v>577.09417699999995</v>
      </c>
      <c r="D1779" s="8">
        <v>166551.984375</v>
      </c>
      <c r="E1779" s="8">
        <v>166566.234375</v>
      </c>
      <c r="F1779" s="8">
        <f t="shared" si="54"/>
        <v>14.25</v>
      </c>
      <c r="G1779" s="8">
        <f t="shared" si="55"/>
        <v>1.4250000000000001E-2</v>
      </c>
    </row>
    <row r="1780" spans="1:7" x14ac:dyDescent="0.25">
      <c r="A1780" s="8">
        <v>23</v>
      </c>
      <c r="B1780" s="8">
        <v>59</v>
      </c>
      <c r="C1780" s="8">
        <v>4404.2392579999996</v>
      </c>
      <c r="D1780" s="8">
        <v>167150.4375</v>
      </c>
      <c r="E1780" s="8">
        <v>167161.375</v>
      </c>
      <c r="F1780" s="8">
        <f t="shared" si="54"/>
        <v>10.9375</v>
      </c>
      <c r="G1780" s="8">
        <f t="shared" si="55"/>
        <v>1.0937499999999999E-2</v>
      </c>
    </row>
    <row r="1781" spans="1:7" x14ac:dyDescent="0.25">
      <c r="A1781" s="8">
        <v>24</v>
      </c>
      <c r="B1781" s="8">
        <v>0</v>
      </c>
      <c r="C1781" s="8">
        <v>4262.0253910000001</v>
      </c>
      <c r="D1781" s="8">
        <v>21094.287109000001</v>
      </c>
      <c r="E1781" s="8">
        <v>21108.582031000002</v>
      </c>
      <c r="F1781" s="8">
        <f t="shared" si="54"/>
        <v>14.294922000000952</v>
      </c>
      <c r="G1781" s="8">
        <f t="shared" si="55"/>
        <v>1.4294922000000952E-2</v>
      </c>
    </row>
    <row r="1782" spans="1:7" x14ac:dyDescent="0.25">
      <c r="A1782" s="8">
        <v>24</v>
      </c>
      <c r="B1782" s="8">
        <v>1</v>
      </c>
      <c r="C1782" s="8">
        <v>1438.2966309999999</v>
      </c>
      <c r="D1782" s="8">
        <v>25381.222656000002</v>
      </c>
      <c r="E1782" s="8">
        <v>25406.742188</v>
      </c>
      <c r="F1782" s="8">
        <f t="shared" si="54"/>
        <v>25.519531999998435</v>
      </c>
      <c r="G1782" s="8">
        <f t="shared" si="55"/>
        <v>2.5519531999998436E-2</v>
      </c>
    </row>
    <row r="1783" spans="1:7" x14ac:dyDescent="0.25">
      <c r="A1783" s="8">
        <v>24</v>
      </c>
      <c r="B1783" s="8">
        <v>2</v>
      </c>
      <c r="C1783" s="8">
        <v>370.05822799999999</v>
      </c>
      <c r="D1783" s="8">
        <v>26852.521484000001</v>
      </c>
      <c r="E1783" s="8">
        <v>26865.167968999998</v>
      </c>
      <c r="F1783" s="8">
        <f t="shared" si="54"/>
        <v>12.646484999997483</v>
      </c>
      <c r="G1783" s="8">
        <f t="shared" si="55"/>
        <v>1.2646484999997484E-2</v>
      </c>
    </row>
    <row r="1784" spans="1:7" x14ac:dyDescent="0.25">
      <c r="A1784" s="8">
        <v>24</v>
      </c>
      <c r="B1784" s="8">
        <v>3</v>
      </c>
      <c r="C1784" s="8">
        <v>79.376739999999998</v>
      </c>
      <c r="D1784" s="8">
        <v>27243.164063</v>
      </c>
      <c r="E1784" s="8">
        <v>27257.230468999998</v>
      </c>
      <c r="F1784" s="8">
        <f t="shared" si="54"/>
        <v>14.066405999998096</v>
      </c>
      <c r="G1784" s="8">
        <f t="shared" si="55"/>
        <v>1.4066405999998097E-2</v>
      </c>
    </row>
    <row r="1785" spans="1:7" x14ac:dyDescent="0.25">
      <c r="A1785" s="8">
        <v>24</v>
      </c>
      <c r="B1785" s="8">
        <v>4</v>
      </c>
      <c r="C1785" s="8">
        <v>5695.1362300000001</v>
      </c>
      <c r="D1785" s="8">
        <v>27336.923827999999</v>
      </c>
      <c r="E1785" s="8">
        <v>27348.222656000002</v>
      </c>
      <c r="F1785" s="8">
        <f t="shared" si="54"/>
        <v>11.298828000002686</v>
      </c>
      <c r="G1785" s="8">
        <f t="shared" si="55"/>
        <v>1.1298828000002686E-2</v>
      </c>
    </row>
    <row r="1786" spans="1:7" x14ac:dyDescent="0.25">
      <c r="A1786" s="8">
        <v>24</v>
      </c>
      <c r="B1786" s="8">
        <v>5</v>
      </c>
      <c r="C1786" s="8">
        <v>232.97363300000001</v>
      </c>
      <c r="D1786" s="8">
        <v>33051.460937999997</v>
      </c>
      <c r="E1786" s="8">
        <v>33074.457030999998</v>
      </c>
      <c r="F1786" s="8">
        <f t="shared" si="54"/>
        <v>22.996093000001565</v>
      </c>
      <c r="G1786" s="8">
        <f t="shared" si="55"/>
        <v>2.2996093000001563E-2</v>
      </c>
    </row>
    <row r="1787" spans="1:7" x14ac:dyDescent="0.25">
      <c r="A1787" s="8">
        <v>24</v>
      </c>
      <c r="B1787" s="8">
        <v>6</v>
      </c>
      <c r="C1787" s="8">
        <v>509.50295999999997</v>
      </c>
      <c r="D1787" s="8">
        <v>33317.03125</v>
      </c>
      <c r="E1787" s="8">
        <v>33335.660155999998</v>
      </c>
      <c r="F1787" s="8">
        <f t="shared" si="54"/>
        <v>18.628905999998096</v>
      </c>
      <c r="G1787" s="8">
        <f t="shared" si="55"/>
        <v>1.8628905999998096E-2</v>
      </c>
    </row>
    <row r="1788" spans="1:7" x14ac:dyDescent="0.25">
      <c r="A1788" s="8">
        <v>24</v>
      </c>
      <c r="B1788" s="8">
        <v>7</v>
      </c>
      <c r="C1788" s="8">
        <v>2958.125</v>
      </c>
      <c r="D1788" s="8">
        <v>33853.21875</v>
      </c>
      <c r="E1788" s="8">
        <v>33877.765625</v>
      </c>
      <c r="F1788" s="8">
        <f t="shared" si="54"/>
        <v>24.546875</v>
      </c>
      <c r="G1788" s="8">
        <f t="shared" si="55"/>
        <v>2.4546874999999999E-2</v>
      </c>
    </row>
    <row r="1789" spans="1:7" x14ac:dyDescent="0.25">
      <c r="A1789" s="8">
        <v>24</v>
      </c>
      <c r="B1789" s="8">
        <v>8</v>
      </c>
      <c r="C1789" s="8">
        <v>2466.599365</v>
      </c>
      <c r="D1789" s="8">
        <v>36847.195312999997</v>
      </c>
      <c r="E1789" s="8">
        <v>36864.816405999998</v>
      </c>
      <c r="F1789" s="8">
        <f t="shared" si="54"/>
        <v>17.621093000001565</v>
      </c>
      <c r="G1789" s="8">
        <f t="shared" si="55"/>
        <v>1.7621093000001566E-2</v>
      </c>
    </row>
    <row r="1790" spans="1:7" x14ac:dyDescent="0.25">
      <c r="A1790" s="8">
        <v>24</v>
      </c>
      <c r="B1790" s="8">
        <v>9</v>
      </c>
      <c r="C1790" s="8">
        <v>4630.7861329999996</v>
      </c>
      <c r="D1790" s="8">
        <v>39339.742187999997</v>
      </c>
      <c r="E1790" s="8">
        <v>39347.292969000002</v>
      </c>
      <c r="F1790" s="8">
        <f t="shared" si="54"/>
        <v>7.5507810000053723</v>
      </c>
      <c r="G1790" s="8">
        <f t="shared" si="55"/>
        <v>7.5507810000053719E-3</v>
      </c>
    </row>
    <row r="1791" spans="1:7" x14ac:dyDescent="0.25">
      <c r="A1791" s="8">
        <v>24</v>
      </c>
      <c r="B1791" s="8">
        <v>10</v>
      </c>
      <c r="C1791" s="8">
        <v>1865.940186</v>
      </c>
      <c r="D1791" s="8">
        <v>43990.515625</v>
      </c>
      <c r="E1791" s="8">
        <v>44017.085937999997</v>
      </c>
      <c r="F1791" s="8">
        <f t="shared" si="54"/>
        <v>26.570312999996531</v>
      </c>
      <c r="G1791" s="8">
        <f t="shared" si="55"/>
        <v>2.6570312999996532E-2</v>
      </c>
    </row>
    <row r="1792" spans="1:7" x14ac:dyDescent="0.25">
      <c r="A1792" s="8">
        <v>24</v>
      </c>
      <c r="B1792" s="8">
        <v>11</v>
      </c>
      <c r="C1792" s="8">
        <v>636.19812000000002</v>
      </c>
      <c r="D1792" s="8">
        <v>45897.59375</v>
      </c>
      <c r="E1792" s="8">
        <v>45915.574219000002</v>
      </c>
      <c r="F1792" s="8">
        <f t="shared" si="54"/>
        <v>17.980469000001904</v>
      </c>
      <c r="G1792" s="8">
        <f t="shared" si="55"/>
        <v>1.7980469000001904E-2</v>
      </c>
    </row>
    <row r="1793" spans="1:7" x14ac:dyDescent="0.25">
      <c r="A1793" s="8">
        <v>24</v>
      </c>
      <c r="B1793" s="8">
        <v>12</v>
      </c>
      <c r="C1793" s="8">
        <v>1531.784302</v>
      </c>
      <c r="D1793" s="8">
        <v>46563.160155999998</v>
      </c>
      <c r="E1793" s="8">
        <v>46579.820312999997</v>
      </c>
      <c r="F1793" s="8">
        <f t="shared" si="54"/>
        <v>16.660156999998435</v>
      </c>
      <c r="G1793" s="8">
        <f t="shared" si="55"/>
        <v>1.6660156999998434E-2</v>
      </c>
    </row>
    <row r="1794" spans="1:7" x14ac:dyDescent="0.25">
      <c r="A1794" s="8">
        <v>24</v>
      </c>
      <c r="B1794" s="8">
        <v>13</v>
      </c>
      <c r="C1794" s="8">
        <v>2092.9326169999999</v>
      </c>
      <c r="D1794" s="8">
        <v>48111.222655999998</v>
      </c>
      <c r="E1794" s="8">
        <v>48138.109375</v>
      </c>
      <c r="F1794" s="8">
        <f t="shared" si="54"/>
        <v>26.886719000001904</v>
      </c>
      <c r="G1794" s="8">
        <f t="shared" si="55"/>
        <v>2.6886719000001905E-2</v>
      </c>
    </row>
    <row r="1795" spans="1:7" x14ac:dyDescent="0.25">
      <c r="A1795" s="8">
        <v>24</v>
      </c>
      <c r="B1795" s="8">
        <v>14</v>
      </c>
      <c r="C1795" s="8">
        <v>116.23144499999999</v>
      </c>
      <c r="D1795" s="8">
        <v>50237.1875</v>
      </c>
      <c r="E1795" s="8">
        <v>50250.199219000002</v>
      </c>
      <c r="F1795" s="8">
        <f t="shared" si="54"/>
        <v>13.011719000001904</v>
      </c>
      <c r="G1795" s="8">
        <f t="shared" si="55"/>
        <v>1.3011719000001904E-2</v>
      </c>
    </row>
    <row r="1796" spans="1:7" x14ac:dyDescent="0.25">
      <c r="A1796" s="8">
        <v>24</v>
      </c>
      <c r="B1796" s="8">
        <v>15</v>
      </c>
      <c r="C1796" s="8">
        <v>2590.1809079999998</v>
      </c>
      <c r="D1796" s="8">
        <v>50377.824219000002</v>
      </c>
      <c r="E1796" s="8">
        <v>50402.921875</v>
      </c>
      <c r="F1796" s="8">
        <f t="shared" si="54"/>
        <v>25.097655999998096</v>
      </c>
      <c r="G1796" s="8">
        <f t="shared" si="55"/>
        <v>2.5097655999998095E-2</v>
      </c>
    </row>
    <row r="1797" spans="1:7" x14ac:dyDescent="0.25">
      <c r="A1797" s="8">
        <v>24</v>
      </c>
      <c r="B1797" s="8">
        <v>16</v>
      </c>
      <c r="C1797" s="8">
        <v>259.899384</v>
      </c>
      <c r="D1797" s="8">
        <v>52998.457030999998</v>
      </c>
      <c r="E1797" s="8">
        <v>53013.0625</v>
      </c>
      <c r="F1797" s="8">
        <f t="shared" si="54"/>
        <v>14.605469000001904</v>
      </c>
      <c r="G1797" s="8">
        <f t="shared" si="55"/>
        <v>1.4605469000001904E-2</v>
      </c>
    </row>
    <row r="1798" spans="1:7" x14ac:dyDescent="0.25">
      <c r="A1798" s="8">
        <v>24</v>
      </c>
      <c r="B1798" s="8">
        <v>17</v>
      </c>
      <c r="C1798" s="8">
        <v>7232.2392579999996</v>
      </c>
      <c r="D1798" s="8">
        <v>53280.527344000002</v>
      </c>
      <c r="E1798" s="8">
        <v>53301.628905999998</v>
      </c>
      <c r="F1798" s="8">
        <f t="shared" si="54"/>
        <v>21.101561999996193</v>
      </c>
      <c r="G1798" s="8">
        <f t="shared" si="55"/>
        <v>2.1101561999996191E-2</v>
      </c>
    </row>
    <row r="1799" spans="1:7" x14ac:dyDescent="0.25">
      <c r="A1799" s="8">
        <v>24</v>
      </c>
      <c r="B1799" s="8">
        <v>18</v>
      </c>
      <c r="C1799" s="8">
        <v>95.509208999999998</v>
      </c>
      <c r="D1799" s="8">
        <v>60544.328125</v>
      </c>
      <c r="E1799" s="8">
        <v>60567.320312999997</v>
      </c>
      <c r="F1799" s="8">
        <f t="shared" si="54"/>
        <v>22.992187999996531</v>
      </c>
      <c r="G1799" s="8">
        <f t="shared" si="55"/>
        <v>2.2992187999996531E-2</v>
      </c>
    </row>
    <row r="1800" spans="1:7" x14ac:dyDescent="0.25">
      <c r="A1800" s="8">
        <v>24</v>
      </c>
      <c r="B1800" s="8">
        <v>19</v>
      </c>
      <c r="C1800" s="8">
        <v>487.10742199999999</v>
      </c>
      <c r="D1800" s="8">
        <v>60669.363280999998</v>
      </c>
      <c r="E1800" s="8">
        <v>60689.953125</v>
      </c>
      <c r="F1800" s="8">
        <f t="shared" si="54"/>
        <v>20.589844000001904</v>
      </c>
      <c r="G1800" s="8">
        <f t="shared" si="55"/>
        <v>2.0589844000001904E-2</v>
      </c>
    </row>
    <row r="1801" spans="1:7" x14ac:dyDescent="0.25">
      <c r="A1801" s="8">
        <v>24</v>
      </c>
      <c r="B1801" s="8">
        <v>20</v>
      </c>
      <c r="C1801" s="8">
        <v>499.99722300000002</v>
      </c>
      <c r="D1801" s="8">
        <v>61185.039062999997</v>
      </c>
      <c r="E1801" s="8">
        <v>61197.015625</v>
      </c>
      <c r="F1801" s="8">
        <f t="shared" si="54"/>
        <v>11.976562000003469</v>
      </c>
      <c r="G1801" s="8">
        <f t="shared" si="55"/>
        <v>1.1976562000003469E-2</v>
      </c>
    </row>
    <row r="1802" spans="1:7" x14ac:dyDescent="0.25">
      <c r="A1802" s="8">
        <v>24</v>
      </c>
      <c r="B1802" s="8">
        <v>21</v>
      </c>
      <c r="C1802" s="8">
        <v>239.84324599999999</v>
      </c>
      <c r="D1802" s="8">
        <v>61700.632812999997</v>
      </c>
      <c r="E1802" s="8">
        <v>61714.949219000002</v>
      </c>
      <c r="F1802" s="8">
        <f t="shared" si="54"/>
        <v>14.316406000005372</v>
      </c>
      <c r="G1802" s="8">
        <f t="shared" si="55"/>
        <v>1.4316406000005373E-2</v>
      </c>
    </row>
    <row r="1803" spans="1:7" x14ac:dyDescent="0.25">
      <c r="A1803" s="8">
        <v>24</v>
      </c>
      <c r="B1803" s="8">
        <v>22</v>
      </c>
      <c r="C1803" s="8">
        <v>4136.0034180000002</v>
      </c>
      <c r="D1803" s="8">
        <v>61966.304687999997</v>
      </c>
      <c r="E1803" s="8">
        <v>61975.925780999998</v>
      </c>
      <c r="F1803" s="8">
        <f t="shared" ref="F1803:F1866" si="56">E1803-D1803</f>
        <v>9.6210930000015651</v>
      </c>
      <c r="G1803" s="8">
        <f t="shared" ref="G1803:G1866" si="57">F1803/1000</f>
        <v>9.6210930000015654E-3</v>
      </c>
    </row>
    <row r="1804" spans="1:7" x14ac:dyDescent="0.25">
      <c r="A1804" s="8">
        <v>24</v>
      </c>
      <c r="B1804" s="8">
        <v>23</v>
      </c>
      <c r="C1804" s="8">
        <v>752.96911599999999</v>
      </c>
      <c r="D1804" s="8">
        <v>66121.765625</v>
      </c>
      <c r="E1804" s="8">
        <v>66144.0625</v>
      </c>
      <c r="F1804" s="8">
        <f t="shared" si="56"/>
        <v>22.296875</v>
      </c>
      <c r="G1804" s="8">
        <f t="shared" si="57"/>
        <v>2.2296875000000001E-2</v>
      </c>
    </row>
    <row r="1805" spans="1:7" x14ac:dyDescent="0.25">
      <c r="A1805" s="8">
        <v>24</v>
      </c>
      <c r="B1805" s="8">
        <v>24</v>
      </c>
      <c r="C1805" s="8">
        <v>544.77557400000001</v>
      </c>
      <c r="D1805" s="8">
        <v>66903.773438000004</v>
      </c>
      <c r="E1805" s="8">
        <v>66920.9375</v>
      </c>
      <c r="F1805" s="8">
        <f t="shared" si="56"/>
        <v>17.164061999996193</v>
      </c>
      <c r="G1805" s="8">
        <f t="shared" si="57"/>
        <v>1.7164061999996191E-2</v>
      </c>
    </row>
    <row r="1806" spans="1:7" x14ac:dyDescent="0.25">
      <c r="A1806" s="8">
        <v>24</v>
      </c>
      <c r="B1806" s="8">
        <v>25</v>
      </c>
      <c r="C1806" s="8">
        <v>11393.393555000001</v>
      </c>
      <c r="D1806" s="8">
        <v>67467.101563000004</v>
      </c>
      <c r="E1806" s="8">
        <v>67485.992188000004</v>
      </c>
      <c r="F1806" s="8">
        <f t="shared" si="56"/>
        <v>18.890625</v>
      </c>
      <c r="G1806" s="8">
        <f t="shared" si="57"/>
        <v>1.8890625000000001E-2</v>
      </c>
    </row>
    <row r="1807" spans="1:7" x14ac:dyDescent="0.25">
      <c r="A1807" s="8">
        <v>24</v>
      </c>
      <c r="B1807" s="8">
        <v>26</v>
      </c>
      <c r="C1807" s="8">
        <v>3440.156982</v>
      </c>
      <c r="D1807" s="8">
        <v>78888.414063000004</v>
      </c>
      <c r="E1807" s="8">
        <v>78909.234375</v>
      </c>
      <c r="F1807" s="8">
        <f t="shared" si="56"/>
        <v>20.820311999996193</v>
      </c>
      <c r="G1807" s="8">
        <f t="shared" si="57"/>
        <v>2.0820311999996191E-2</v>
      </c>
    </row>
    <row r="1808" spans="1:7" x14ac:dyDescent="0.25">
      <c r="A1808" s="8">
        <v>24</v>
      </c>
      <c r="B1808" s="8">
        <v>27</v>
      </c>
      <c r="C1808" s="8">
        <v>1247.4829099999999</v>
      </c>
      <c r="D1808" s="8">
        <v>82354.945313000004</v>
      </c>
      <c r="E1808" s="8">
        <v>82370.132813000004</v>
      </c>
      <c r="F1808" s="8">
        <f t="shared" si="56"/>
        <v>15.1875</v>
      </c>
      <c r="G1808" s="8">
        <f t="shared" si="57"/>
        <v>1.51875E-2</v>
      </c>
    </row>
    <row r="1809" spans="1:7" x14ac:dyDescent="0.25">
      <c r="A1809" s="8">
        <v>24</v>
      </c>
      <c r="B1809" s="8">
        <v>28</v>
      </c>
      <c r="C1809" s="8">
        <v>1191.001953</v>
      </c>
      <c r="D1809" s="8">
        <v>83624.625</v>
      </c>
      <c r="E1809" s="8">
        <v>83638.59375</v>
      </c>
      <c r="F1809" s="8">
        <f t="shared" si="56"/>
        <v>13.96875</v>
      </c>
      <c r="G1809" s="8">
        <f t="shared" si="57"/>
        <v>1.396875E-2</v>
      </c>
    </row>
    <row r="1810" spans="1:7" x14ac:dyDescent="0.25">
      <c r="A1810" s="8">
        <v>24</v>
      </c>
      <c r="B1810" s="8">
        <v>29</v>
      </c>
      <c r="C1810" s="8">
        <v>1255.128052</v>
      </c>
      <c r="D1810" s="8">
        <v>84844.78125</v>
      </c>
      <c r="E1810" s="8">
        <v>84869.835938000004</v>
      </c>
      <c r="F1810" s="8">
        <f t="shared" si="56"/>
        <v>25.054688000003807</v>
      </c>
      <c r="G1810" s="8">
        <f t="shared" si="57"/>
        <v>2.5054688000003808E-2</v>
      </c>
    </row>
    <row r="1811" spans="1:7" x14ac:dyDescent="0.25">
      <c r="A1811" s="8">
        <v>24</v>
      </c>
      <c r="B1811" s="8">
        <v>30</v>
      </c>
      <c r="C1811" s="8">
        <v>3930.2124020000001</v>
      </c>
      <c r="D1811" s="8">
        <v>86127.671875</v>
      </c>
      <c r="E1811" s="8">
        <v>86141.78125</v>
      </c>
      <c r="F1811" s="8">
        <f t="shared" si="56"/>
        <v>14.109375</v>
      </c>
      <c r="G1811" s="8">
        <f t="shared" si="57"/>
        <v>1.4109375E-2</v>
      </c>
    </row>
    <row r="1812" spans="1:7" x14ac:dyDescent="0.25">
      <c r="A1812" s="8">
        <v>24</v>
      </c>
      <c r="B1812" s="8">
        <v>31</v>
      </c>
      <c r="C1812" s="8">
        <v>2865.2189939999998</v>
      </c>
      <c r="D1812" s="8">
        <v>90073.523438000004</v>
      </c>
      <c r="E1812" s="8">
        <v>90082.773438000004</v>
      </c>
      <c r="F1812" s="8">
        <f t="shared" si="56"/>
        <v>9.25</v>
      </c>
      <c r="G1812" s="8">
        <f t="shared" si="57"/>
        <v>9.2499999999999995E-3</v>
      </c>
    </row>
    <row r="1813" spans="1:7" x14ac:dyDescent="0.25">
      <c r="A1813" s="8">
        <v>24</v>
      </c>
      <c r="B1813" s="8">
        <v>32</v>
      </c>
      <c r="C1813" s="8">
        <v>97.366669000000002</v>
      </c>
      <c r="D1813" s="8">
        <v>92950.929688000004</v>
      </c>
      <c r="E1813" s="8">
        <v>92965.742188000004</v>
      </c>
      <c r="F1813" s="8">
        <f t="shared" si="56"/>
        <v>14.8125</v>
      </c>
      <c r="G1813" s="8">
        <f t="shared" si="57"/>
        <v>1.4812499999999999E-2</v>
      </c>
    </row>
    <row r="1814" spans="1:7" x14ac:dyDescent="0.25">
      <c r="A1814" s="8">
        <v>24</v>
      </c>
      <c r="B1814" s="8">
        <v>33</v>
      </c>
      <c r="C1814" s="8">
        <v>1.4043019999999999</v>
      </c>
      <c r="D1814" s="8">
        <v>93075.90625</v>
      </c>
      <c r="E1814" s="8">
        <v>93094.3125</v>
      </c>
      <c r="F1814" s="8">
        <f t="shared" si="56"/>
        <v>18.40625</v>
      </c>
      <c r="G1814" s="8">
        <f t="shared" si="57"/>
        <v>1.8406249999999999E-2</v>
      </c>
    </row>
    <row r="1815" spans="1:7" x14ac:dyDescent="0.25">
      <c r="A1815" s="8">
        <v>24</v>
      </c>
      <c r="B1815" s="8">
        <v>34</v>
      </c>
      <c r="C1815" s="8">
        <v>3856.6684570000002</v>
      </c>
      <c r="D1815" s="8">
        <v>93107.21875</v>
      </c>
      <c r="E1815" s="8">
        <v>93130.757813000004</v>
      </c>
      <c r="F1815" s="8">
        <f t="shared" si="56"/>
        <v>23.539063000003807</v>
      </c>
      <c r="G1815" s="8">
        <f t="shared" si="57"/>
        <v>2.3539063000003808E-2</v>
      </c>
    </row>
    <row r="1816" spans="1:7" x14ac:dyDescent="0.25">
      <c r="A1816" s="8">
        <v>24</v>
      </c>
      <c r="B1816" s="8">
        <v>35</v>
      </c>
      <c r="C1816" s="8">
        <v>460.72854599999999</v>
      </c>
      <c r="D1816" s="8">
        <v>96993.570313000004</v>
      </c>
      <c r="E1816" s="8">
        <v>97008.351563000004</v>
      </c>
      <c r="F1816" s="8">
        <f t="shared" si="56"/>
        <v>14.78125</v>
      </c>
      <c r="G1816" s="8">
        <f t="shared" si="57"/>
        <v>1.4781249999999999E-2</v>
      </c>
    </row>
    <row r="1817" spans="1:7" x14ac:dyDescent="0.25">
      <c r="A1817" s="8">
        <v>24</v>
      </c>
      <c r="B1817" s="8">
        <v>36</v>
      </c>
      <c r="C1817" s="8">
        <v>2806.7546390000002</v>
      </c>
      <c r="D1817" s="8">
        <v>97481.5625</v>
      </c>
      <c r="E1817" s="8">
        <v>97503.59375</v>
      </c>
      <c r="F1817" s="8">
        <f t="shared" si="56"/>
        <v>22.03125</v>
      </c>
      <c r="G1817" s="8">
        <f t="shared" si="57"/>
        <v>2.2031249999999999E-2</v>
      </c>
    </row>
    <row r="1818" spans="1:7" x14ac:dyDescent="0.25">
      <c r="A1818" s="8">
        <v>24</v>
      </c>
      <c r="B1818" s="8">
        <v>37</v>
      </c>
      <c r="C1818" s="8">
        <v>3044.6191410000001</v>
      </c>
      <c r="D1818" s="8">
        <v>100323.304688</v>
      </c>
      <c r="E1818" s="8">
        <v>100349</v>
      </c>
      <c r="F1818" s="8">
        <f t="shared" si="56"/>
        <v>25.695311999996193</v>
      </c>
      <c r="G1818" s="8">
        <f t="shared" si="57"/>
        <v>2.5695311999996192E-2</v>
      </c>
    </row>
    <row r="1819" spans="1:7" x14ac:dyDescent="0.25">
      <c r="A1819" s="8">
        <v>24</v>
      </c>
      <c r="B1819" s="8">
        <v>38</v>
      </c>
      <c r="C1819" s="8">
        <v>2720.000732</v>
      </c>
      <c r="D1819" s="8">
        <v>103400.773438</v>
      </c>
      <c r="E1819" s="8">
        <v>103415.3125</v>
      </c>
      <c r="F1819" s="8">
        <f t="shared" si="56"/>
        <v>14.539061999996193</v>
      </c>
      <c r="G1819" s="8">
        <f t="shared" si="57"/>
        <v>1.4539061999996192E-2</v>
      </c>
    </row>
    <row r="1820" spans="1:7" x14ac:dyDescent="0.25">
      <c r="A1820" s="8">
        <v>24</v>
      </c>
      <c r="B1820" s="8">
        <v>39</v>
      </c>
      <c r="C1820" s="8">
        <v>75.823425</v>
      </c>
      <c r="D1820" s="8">
        <v>106140.929688</v>
      </c>
      <c r="E1820" s="8">
        <v>106152.273438</v>
      </c>
      <c r="F1820" s="8">
        <f t="shared" si="56"/>
        <v>11.34375</v>
      </c>
      <c r="G1820" s="8">
        <f t="shared" si="57"/>
        <v>1.134375E-2</v>
      </c>
    </row>
    <row r="1821" spans="1:7" x14ac:dyDescent="0.25">
      <c r="A1821" s="8">
        <v>24</v>
      </c>
      <c r="B1821" s="8">
        <v>40</v>
      </c>
      <c r="C1821" s="8">
        <v>413.86602800000003</v>
      </c>
      <c r="D1821" s="8">
        <v>106234.679688</v>
      </c>
      <c r="E1821" s="8">
        <v>106253.414063</v>
      </c>
      <c r="F1821" s="8">
        <f t="shared" si="56"/>
        <v>18.734375</v>
      </c>
      <c r="G1821" s="8">
        <f t="shared" si="57"/>
        <v>1.8734375000000001E-2</v>
      </c>
    </row>
    <row r="1822" spans="1:7" x14ac:dyDescent="0.25">
      <c r="A1822" s="8">
        <v>24</v>
      </c>
      <c r="B1822" s="8">
        <v>41</v>
      </c>
      <c r="C1822" s="8">
        <v>1169.856323</v>
      </c>
      <c r="D1822" s="8">
        <v>106672.257813</v>
      </c>
      <c r="E1822" s="8">
        <v>106684.476563</v>
      </c>
      <c r="F1822" s="8">
        <f t="shared" si="56"/>
        <v>12.21875</v>
      </c>
      <c r="G1822" s="8">
        <f t="shared" si="57"/>
        <v>1.221875E-2</v>
      </c>
    </row>
    <row r="1823" spans="1:7" x14ac:dyDescent="0.25">
      <c r="A1823" s="8">
        <v>24</v>
      </c>
      <c r="B1823" s="8">
        <v>42</v>
      </c>
      <c r="C1823" s="8">
        <v>2168.7409670000002</v>
      </c>
      <c r="D1823" s="8">
        <v>107860.492188</v>
      </c>
      <c r="E1823" s="8">
        <v>107868.664063</v>
      </c>
      <c r="F1823" s="8">
        <f t="shared" si="56"/>
        <v>8.171875</v>
      </c>
      <c r="G1823" s="8">
        <f t="shared" si="57"/>
        <v>8.1718750000000003E-3</v>
      </c>
    </row>
    <row r="1824" spans="1:7" x14ac:dyDescent="0.25">
      <c r="A1824" s="8">
        <v>24</v>
      </c>
      <c r="B1824" s="8">
        <v>43</v>
      </c>
      <c r="C1824" s="8">
        <v>544.13452099999995</v>
      </c>
      <c r="D1824" s="8">
        <v>110048.90625</v>
      </c>
      <c r="E1824" s="8">
        <v>110066.484375</v>
      </c>
      <c r="F1824" s="8">
        <f t="shared" si="56"/>
        <v>17.578125</v>
      </c>
      <c r="G1824" s="8">
        <f t="shared" si="57"/>
        <v>1.7578125E-2</v>
      </c>
    </row>
    <row r="1825" spans="1:7" x14ac:dyDescent="0.25">
      <c r="A1825" s="8">
        <v>24</v>
      </c>
      <c r="B1825" s="8">
        <v>44</v>
      </c>
      <c r="C1825" s="8">
        <v>2600.2348630000001</v>
      </c>
      <c r="D1825" s="8">
        <v>110611.515625</v>
      </c>
      <c r="E1825" s="8">
        <v>110633.609375</v>
      </c>
      <c r="F1825" s="8">
        <f t="shared" si="56"/>
        <v>22.09375</v>
      </c>
      <c r="G1825" s="8">
        <f t="shared" si="57"/>
        <v>2.2093749999999999E-2</v>
      </c>
    </row>
    <row r="1826" spans="1:7" x14ac:dyDescent="0.25">
      <c r="A1826" s="8">
        <v>24</v>
      </c>
      <c r="B1826" s="8">
        <v>45</v>
      </c>
      <c r="C1826" s="8">
        <v>860.11560099999997</v>
      </c>
      <c r="D1826" s="8">
        <v>113237.492188</v>
      </c>
      <c r="E1826" s="8">
        <v>113263.539063</v>
      </c>
      <c r="F1826" s="8">
        <f t="shared" si="56"/>
        <v>26.046875</v>
      </c>
      <c r="G1826" s="8">
        <f t="shared" si="57"/>
        <v>2.6046875000000001E-2</v>
      </c>
    </row>
    <row r="1827" spans="1:7" x14ac:dyDescent="0.25">
      <c r="A1827" s="8">
        <v>24</v>
      </c>
      <c r="B1827" s="8">
        <v>46</v>
      </c>
      <c r="C1827" s="8">
        <v>1307.3648679999999</v>
      </c>
      <c r="D1827" s="8">
        <v>114128.1875</v>
      </c>
      <c r="E1827" s="8">
        <v>114142.242188</v>
      </c>
      <c r="F1827" s="8">
        <f t="shared" si="56"/>
        <v>14.054688000003807</v>
      </c>
      <c r="G1827" s="8">
        <f t="shared" si="57"/>
        <v>1.4054688000003807E-2</v>
      </c>
    </row>
    <row r="1828" spans="1:7" x14ac:dyDescent="0.25">
      <c r="A1828" s="8">
        <v>24</v>
      </c>
      <c r="B1828" s="8">
        <v>47</v>
      </c>
      <c r="C1828" s="8">
        <v>3230.015625</v>
      </c>
      <c r="D1828" s="8">
        <v>115458.109375</v>
      </c>
      <c r="E1828" s="8">
        <v>115472.210938</v>
      </c>
      <c r="F1828" s="8">
        <f t="shared" si="56"/>
        <v>14.101563000003807</v>
      </c>
      <c r="G1828" s="8">
        <f t="shared" si="57"/>
        <v>1.4101563000003807E-2</v>
      </c>
    </row>
    <row r="1829" spans="1:7" x14ac:dyDescent="0.25">
      <c r="A1829" s="8">
        <v>24</v>
      </c>
      <c r="B1829" s="8">
        <v>48</v>
      </c>
      <c r="C1829" s="8">
        <v>201.20159899999999</v>
      </c>
      <c r="D1829" s="8">
        <v>118713.039063</v>
      </c>
      <c r="E1829" s="8">
        <v>118729.460938</v>
      </c>
      <c r="F1829" s="8">
        <f t="shared" si="56"/>
        <v>16.421875</v>
      </c>
      <c r="G1829" s="8">
        <f t="shared" si="57"/>
        <v>1.6421874999999999E-2</v>
      </c>
    </row>
    <row r="1830" spans="1:7" x14ac:dyDescent="0.25">
      <c r="A1830" s="8">
        <v>24</v>
      </c>
      <c r="B1830" s="8">
        <v>49</v>
      </c>
      <c r="C1830" s="8">
        <v>2789.1984859999998</v>
      </c>
      <c r="D1830" s="8">
        <v>118931.976563</v>
      </c>
      <c r="E1830" s="8">
        <v>119022.34375</v>
      </c>
      <c r="F1830" s="8">
        <f t="shared" si="56"/>
        <v>90.367186999996193</v>
      </c>
      <c r="G1830" s="8">
        <f t="shared" si="57"/>
        <v>9.0367186999996199E-2</v>
      </c>
    </row>
    <row r="1831" spans="1:7" x14ac:dyDescent="0.25">
      <c r="A1831" s="8">
        <v>24</v>
      </c>
      <c r="B1831" s="8">
        <v>50</v>
      </c>
      <c r="C1831" s="8">
        <v>2528.08374</v>
      </c>
      <c r="D1831" s="8">
        <v>121814.554688</v>
      </c>
      <c r="E1831" s="8">
        <v>121840.6875</v>
      </c>
      <c r="F1831" s="8">
        <f t="shared" si="56"/>
        <v>26.132811999996193</v>
      </c>
      <c r="G1831" s="8">
        <f t="shared" si="57"/>
        <v>2.6132811999996192E-2</v>
      </c>
    </row>
    <row r="1832" spans="1:7" x14ac:dyDescent="0.25">
      <c r="A1832" s="8">
        <v>24</v>
      </c>
      <c r="B1832" s="8">
        <v>51</v>
      </c>
      <c r="C1832" s="8">
        <v>3825.4277339999999</v>
      </c>
      <c r="D1832" s="8">
        <v>124377.039063</v>
      </c>
      <c r="E1832" s="8">
        <v>124394.914063</v>
      </c>
      <c r="F1832" s="8">
        <f t="shared" si="56"/>
        <v>17.875</v>
      </c>
      <c r="G1832" s="8">
        <f t="shared" si="57"/>
        <v>1.7874999999999999E-2</v>
      </c>
    </row>
    <row r="1833" spans="1:7" x14ac:dyDescent="0.25">
      <c r="A1833" s="8">
        <v>24</v>
      </c>
      <c r="B1833" s="8">
        <v>52</v>
      </c>
      <c r="C1833" s="8">
        <v>865.09503199999995</v>
      </c>
      <c r="D1833" s="8">
        <v>128223.140625</v>
      </c>
      <c r="E1833" s="8">
        <v>128241.40625</v>
      </c>
      <c r="F1833" s="8">
        <f t="shared" si="56"/>
        <v>18.265625</v>
      </c>
      <c r="G1833" s="8">
        <f t="shared" si="57"/>
        <v>1.8265625000000001E-2</v>
      </c>
    </row>
    <row r="1834" spans="1:7" x14ac:dyDescent="0.25">
      <c r="A1834" s="8">
        <v>24</v>
      </c>
      <c r="B1834" s="8">
        <v>53</v>
      </c>
      <c r="C1834" s="8">
        <v>2128.1767580000001</v>
      </c>
      <c r="D1834" s="8">
        <v>129113.914063</v>
      </c>
      <c r="E1834" s="8">
        <v>129139.796875</v>
      </c>
      <c r="F1834" s="8">
        <f t="shared" si="56"/>
        <v>25.882811999996193</v>
      </c>
      <c r="G1834" s="8">
        <f t="shared" si="57"/>
        <v>2.5882811999996192E-2</v>
      </c>
    </row>
    <row r="1835" spans="1:7" x14ac:dyDescent="0.25">
      <c r="A1835" s="8">
        <v>24</v>
      </c>
      <c r="B1835" s="8">
        <v>54</v>
      </c>
      <c r="C1835" s="8">
        <v>747.72851600000001</v>
      </c>
      <c r="D1835" s="8">
        <v>131270.359375</v>
      </c>
      <c r="E1835" s="8">
        <v>131283.515625</v>
      </c>
      <c r="F1835" s="8">
        <f t="shared" si="56"/>
        <v>13.15625</v>
      </c>
      <c r="G1835" s="8">
        <f t="shared" si="57"/>
        <v>1.315625E-2</v>
      </c>
    </row>
    <row r="1836" spans="1:7" x14ac:dyDescent="0.25">
      <c r="A1836" s="8">
        <v>24</v>
      </c>
      <c r="B1836" s="8">
        <v>55</v>
      </c>
      <c r="C1836" s="8">
        <v>517.70941200000004</v>
      </c>
      <c r="D1836" s="8">
        <v>132045.765625</v>
      </c>
      <c r="E1836" s="8">
        <v>132063.609375</v>
      </c>
      <c r="F1836" s="8">
        <f t="shared" si="56"/>
        <v>17.84375</v>
      </c>
      <c r="G1836" s="8">
        <f t="shared" si="57"/>
        <v>1.7843749999999999E-2</v>
      </c>
    </row>
    <row r="1837" spans="1:7" x14ac:dyDescent="0.25">
      <c r="A1837" s="8">
        <v>24</v>
      </c>
      <c r="B1837" s="8">
        <v>56</v>
      </c>
      <c r="C1837" s="8">
        <v>1559.013428</v>
      </c>
      <c r="D1837" s="8">
        <v>132592.671875</v>
      </c>
      <c r="E1837" s="8">
        <v>132604.515625</v>
      </c>
      <c r="F1837" s="8">
        <f t="shared" si="56"/>
        <v>11.84375</v>
      </c>
      <c r="G1837" s="8">
        <f t="shared" si="57"/>
        <v>1.184375E-2</v>
      </c>
    </row>
    <row r="1838" spans="1:7" x14ac:dyDescent="0.25">
      <c r="A1838" s="8">
        <v>24</v>
      </c>
      <c r="B1838" s="8">
        <v>57</v>
      </c>
      <c r="C1838" s="8">
        <v>2747.7790530000002</v>
      </c>
      <c r="D1838" s="8">
        <v>134175.5625</v>
      </c>
      <c r="E1838" s="8">
        <v>134188.40625</v>
      </c>
      <c r="F1838" s="8">
        <f t="shared" si="56"/>
        <v>12.84375</v>
      </c>
      <c r="G1838" s="8">
        <f t="shared" si="57"/>
        <v>1.2843749999999999E-2</v>
      </c>
    </row>
    <row r="1839" spans="1:7" x14ac:dyDescent="0.25">
      <c r="A1839" s="8">
        <v>24</v>
      </c>
      <c r="B1839" s="8">
        <v>58</v>
      </c>
      <c r="C1839" s="8">
        <v>452.36956800000002</v>
      </c>
      <c r="D1839" s="8">
        <v>136950.4375</v>
      </c>
      <c r="E1839" s="8">
        <v>136978.921875</v>
      </c>
      <c r="F1839" s="8">
        <f t="shared" si="56"/>
        <v>28.484375</v>
      </c>
      <c r="G1839" s="8">
        <f t="shared" si="57"/>
        <v>2.8484374999999999E-2</v>
      </c>
    </row>
    <row r="1840" spans="1:7" x14ac:dyDescent="0.25">
      <c r="A1840" s="8">
        <v>24</v>
      </c>
      <c r="B1840" s="8">
        <v>59</v>
      </c>
      <c r="C1840" s="8">
        <v>1806.4760739999999</v>
      </c>
      <c r="D1840" s="8">
        <v>137437.4375</v>
      </c>
      <c r="E1840" s="8">
        <v>137454.75</v>
      </c>
      <c r="F1840" s="8">
        <f t="shared" si="56"/>
        <v>17.3125</v>
      </c>
      <c r="G1840" s="8">
        <f t="shared" si="57"/>
        <v>1.7312500000000001E-2</v>
      </c>
    </row>
    <row r="1841" spans="1:7" x14ac:dyDescent="0.25">
      <c r="A1841" s="8">
        <v>24</v>
      </c>
      <c r="B1841" s="8">
        <v>60</v>
      </c>
      <c r="C1841" s="8">
        <v>2515.1623540000001</v>
      </c>
      <c r="D1841" s="8">
        <v>139271.96875</v>
      </c>
      <c r="E1841" s="8">
        <v>139285.578125</v>
      </c>
      <c r="F1841" s="8">
        <f t="shared" si="56"/>
        <v>13.609375</v>
      </c>
      <c r="G1841" s="8">
        <f t="shared" si="57"/>
        <v>1.3609375E-2</v>
      </c>
    </row>
    <row r="1842" spans="1:7" x14ac:dyDescent="0.25">
      <c r="A1842" s="8">
        <v>24</v>
      </c>
      <c r="B1842" s="8">
        <v>61</v>
      </c>
      <c r="C1842" s="8">
        <v>536.37768600000004</v>
      </c>
      <c r="D1842" s="8">
        <v>141806.53125</v>
      </c>
      <c r="E1842" s="8">
        <v>141820.078125</v>
      </c>
      <c r="F1842" s="8">
        <f t="shared" si="56"/>
        <v>13.546875</v>
      </c>
      <c r="G1842" s="8">
        <f t="shared" si="57"/>
        <v>1.3546875E-2</v>
      </c>
    </row>
    <row r="1843" spans="1:7" x14ac:dyDescent="0.25">
      <c r="A1843" s="8">
        <v>24</v>
      </c>
      <c r="B1843" s="8">
        <v>62</v>
      </c>
      <c r="C1843" s="8">
        <v>451.22186299999998</v>
      </c>
      <c r="D1843" s="8">
        <v>142358.90625</v>
      </c>
      <c r="E1843" s="8">
        <v>142382.0625</v>
      </c>
      <c r="F1843" s="8">
        <f t="shared" si="56"/>
        <v>23.15625</v>
      </c>
      <c r="G1843" s="8">
        <f t="shared" si="57"/>
        <v>2.315625E-2</v>
      </c>
    </row>
    <row r="1844" spans="1:7" x14ac:dyDescent="0.25">
      <c r="A1844" s="8">
        <v>24</v>
      </c>
      <c r="B1844" s="8">
        <v>63</v>
      </c>
      <c r="C1844" s="8">
        <v>2462.4135740000002</v>
      </c>
      <c r="D1844" s="8">
        <v>142843.34375</v>
      </c>
      <c r="E1844" s="8">
        <v>142851.078125</v>
      </c>
      <c r="F1844" s="8">
        <f t="shared" si="56"/>
        <v>7.734375</v>
      </c>
      <c r="G1844" s="8">
        <f t="shared" si="57"/>
        <v>7.7343749999999999E-3</v>
      </c>
    </row>
    <row r="1845" spans="1:7" x14ac:dyDescent="0.25">
      <c r="A1845" s="8">
        <v>24</v>
      </c>
      <c r="B1845" s="8">
        <v>64</v>
      </c>
      <c r="C1845" s="8">
        <v>1477.3908690000001</v>
      </c>
      <c r="D1845" s="8">
        <v>145318.3125</v>
      </c>
      <c r="E1845" s="8">
        <v>145339.9375</v>
      </c>
      <c r="F1845" s="8">
        <f t="shared" si="56"/>
        <v>21.625</v>
      </c>
      <c r="G1845" s="8">
        <f t="shared" si="57"/>
        <v>2.1624999999999998E-2</v>
      </c>
    </row>
    <row r="1846" spans="1:7" x14ac:dyDescent="0.25">
      <c r="A1846" s="8">
        <v>24</v>
      </c>
      <c r="B1846" s="8">
        <v>65</v>
      </c>
      <c r="C1846" s="8">
        <v>5272.5683589999999</v>
      </c>
      <c r="D1846" s="8">
        <v>146818.484375</v>
      </c>
      <c r="E1846" s="8">
        <v>146842.484375</v>
      </c>
      <c r="F1846" s="8">
        <f t="shared" si="56"/>
        <v>24</v>
      </c>
      <c r="G1846" s="8">
        <f t="shared" si="57"/>
        <v>2.4E-2</v>
      </c>
    </row>
    <row r="1847" spans="1:7" x14ac:dyDescent="0.25">
      <c r="A1847" s="8">
        <v>24</v>
      </c>
      <c r="B1847" s="8">
        <v>66</v>
      </c>
      <c r="C1847" s="8">
        <v>267.69940200000002</v>
      </c>
      <c r="D1847" s="8">
        <v>152124.046875</v>
      </c>
      <c r="E1847" s="8">
        <v>152147.578125</v>
      </c>
      <c r="F1847" s="8">
        <f t="shared" si="56"/>
        <v>23.53125</v>
      </c>
      <c r="G1847" s="8">
        <f t="shared" si="57"/>
        <v>2.353125E-2</v>
      </c>
    </row>
    <row r="1848" spans="1:7" x14ac:dyDescent="0.25">
      <c r="A1848" s="8">
        <v>24</v>
      </c>
      <c r="B1848" s="8">
        <v>67</v>
      </c>
      <c r="C1848" s="8">
        <v>4700.6152339999999</v>
      </c>
      <c r="D1848" s="8">
        <v>152421.953125</v>
      </c>
      <c r="E1848" s="8">
        <v>152429.8125</v>
      </c>
      <c r="F1848" s="8">
        <f t="shared" si="56"/>
        <v>7.859375</v>
      </c>
      <c r="G1848" s="8">
        <f t="shared" si="57"/>
        <v>7.859375E-3</v>
      </c>
    </row>
    <row r="1849" spans="1:7" x14ac:dyDescent="0.25">
      <c r="A1849" s="8">
        <v>24</v>
      </c>
      <c r="B1849" s="8">
        <v>68</v>
      </c>
      <c r="C1849" s="8">
        <v>230.917419</v>
      </c>
      <c r="D1849" s="8">
        <v>157141.21875</v>
      </c>
      <c r="E1849" s="8">
        <v>157161.6875</v>
      </c>
      <c r="F1849" s="8">
        <f t="shared" si="56"/>
        <v>20.46875</v>
      </c>
      <c r="G1849" s="8">
        <f t="shared" si="57"/>
        <v>2.0468750000000001E-2</v>
      </c>
    </row>
    <row r="1850" spans="1:7" x14ac:dyDescent="0.25">
      <c r="A1850" s="8">
        <v>24</v>
      </c>
      <c r="B1850" s="8">
        <v>69</v>
      </c>
      <c r="C1850" s="8">
        <v>1054.596313</v>
      </c>
      <c r="D1850" s="8">
        <v>157406.875</v>
      </c>
      <c r="E1850" s="8">
        <v>157427.046875</v>
      </c>
      <c r="F1850" s="8">
        <f t="shared" si="56"/>
        <v>20.171875</v>
      </c>
      <c r="G1850" s="8">
        <f t="shared" si="57"/>
        <v>2.0171874999999999E-2</v>
      </c>
    </row>
    <row r="1851" spans="1:7" x14ac:dyDescent="0.25">
      <c r="A1851" s="8">
        <v>24</v>
      </c>
      <c r="B1851" s="8">
        <v>70</v>
      </c>
      <c r="C1851" s="8">
        <v>2049.7761230000001</v>
      </c>
      <c r="D1851" s="8">
        <v>158485.90625</v>
      </c>
      <c r="E1851" s="8">
        <v>158504.59375</v>
      </c>
      <c r="F1851" s="8">
        <f t="shared" si="56"/>
        <v>18.6875</v>
      </c>
      <c r="G1851" s="8">
        <f t="shared" si="57"/>
        <v>1.8687499999999999E-2</v>
      </c>
    </row>
    <row r="1852" spans="1:7" x14ac:dyDescent="0.25">
      <c r="A1852" s="8">
        <v>24</v>
      </c>
      <c r="B1852" s="8">
        <v>71</v>
      </c>
      <c r="C1852" s="8">
        <v>1088.9135739999999</v>
      </c>
      <c r="D1852" s="8">
        <v>160564.5</v>
      </c>
      <c r="E1852" s="8">
        <v>160577.25</v>
      </c>
      <c r="F1852" s="8">
        <f t="shared" si="56"/>
        <v>12.75</v>
      </c>
      <c r="G1852" s="8">
        <f t="shared" si="57"/>
        <v>1.2749999999999999E-2</v>
      </c>
    </row>
    <row r="1853" spans="1:7" x14ac:dyDescent="0.25">
      <c r="A1853" s="8">
        <v>24</v>
      </c>
      <c r="B1853" s="8">
        <v>72</v>
      </c>
      <c r="C1853" s="8">
        <v>1574.6453859999999</v>
      </c>
      <c r="D1853" s="8">
        <v>161673.984375</v>
      </c>
      <c r="E1853" s="8">
        <v>161696.34375</v>
      </c>
      <c r="F1853" s="8">
        <f t="shared" si="56"/>
        <v>22.359375</v>
      </c>
      <c r="G1853" s="8">
        <f t="shared" si="57"/>
        <v>2.2359375000000001E-2</v>
      </c>
    </row>
    <row r="1854" spans="1:7" x14ac:dyDescent="0.25">
      <c r="A1854" s="8">
        <v>24</v>
      </c>
      <c r="B1854" s="8">
        <v>73</v>
      </c>
      <c r="C1854" s="8">
        <v>2088.5922850000002</v>
      </c>
      <c r="D1854" s="8">
        <v>163284</v>
      </c>
      <c r="E1854" s="8">
        <v>163390.484375</v>
      </c>
      <c r="F1854" s="8">
        <f t="shared" si="56"/>
        <v>106.484375</v>
      </c>
      <c r="G1854" s="8">
        <f t="shared" si="57"/>
        <v>0.10648437500000001</v>
      </c>
    </row>
    <row r="1855" spans="1:7" x14ac:dyDescent="0.25">
      <c r="A1855" s="8">
        <v>24</v>
      </c>
      <c r="B1855" s="8">
        <v>74</v>
      </c>
      <c r="C1855" s="8">
        <v>3410.3815920000002</v>
      </c>
      <c r="D1855" s="8">
        <v>165483.5</v>
      </c>
      <c r="E1855" s="8">
        <v>165498.421875</v>
      </c>
      <c r="F1855" s="8">
        <f t="shared" si="56"/>
        <v>14.921875</v>
      </c>
      <c r="G1855" s="8">
        <f t="shared" si="57"/>
        <v>1.4921874999999999E-2</v>
      </c>
    </row>
    <row r="1856" spans="1:7" x14ac:dyDescent="0.25">
      <c r="A1856" s="8">
        <v>24</v>
      </c>
      <c r="B1856" s="8">
        <v>75</v>
      </c>
      <c r="C1856" s="8">
        <v>1963.3885499999999</v>
      </c>
      <c r="D1856" s="8">
        <v>168919.359375</v>
      </c>
      <c r="E1856" s="8">
        <v>168936.203125</v>
      </c>
      <c r="F1856" s="8">
        <f t="shared" si="56"/>
        <v>16.84375</v>
      </c>
      <c r="G1856" s="8">
        <f t="shared" si="57"/>
        <v>1.6843750000000001E-2</v>
      </c>
    </row>
    <row r="1857" spans="1:7" x14ac:dyDescent="0.25">
      <c r="A1857" s="8">
        <v>25</v>
      </c>
      <c r="B1857" s="8">
        <v>0</v>
      </c>
      <c r="C1857" s="8">
        <v>947.57788100000005</v>
      </c>
      <c r="D1857" s="8">
        <v>25943.791015999999</v>
      </c>
      <c r="E1857" s="8">
        <v>25960.939452999999</v>
      </c>
      <c r="F1857" s="8">
        <f t="shared" si="56"/>
        <v>17.148436999999831</v>
      </c>
      <c r="G1857" s="8">
        <f t="shared" si="57"/>
        <v>1.7148436999999829E-2</v>
      </c>
    </row>
    <row r="1858" spans="1:7" x14ac:dyDescent="0.25">
      <c r="A1858" s="8">
        <v>25</v>
      </c>
      <c r="B1858" s="8">
        <v>1</v>
      </c>
      <c r="C1858" s="8">
        <v>2411.0200199999999</v>
      </c>
      <c r="D1858" s="8">
        <v>26915.033202999999</v>
      </c>
      <c r="E1858" s="8">
        <v>26927.636718999998</v>
      </c>
      <c r="F1858" s="8">
        <f t="shared" si="56"/>
        <v>12.603515999999217</v>
      </c>
      <c r="G1858" s="8">
        <f t="shared" si="57"/>
        <v>1.2603515999999218E-2</v>
      </c>
    </row>
    <row r="1859" spans="1:7" x14ac:dyDescent="0.25">
      <c r="A1859" s="8">
        <v>25</v>
      </c>
      <c r="B1859" s="8">
        <v>2</v>
      </c>
      <c r="C1859" s="8">
        <v>380.95755000000003</v>
      </c>
      <c r="D1859" s="8">
        <v>29340.251952999999</v>
      </c>
      <c r="E1859" s="8">
        <v>29357.564452999999</v>
      </c>
      <c r="F1859" s="8">
        <f t="shared" si="56"/>
        <v>17.3125</v>
      </c>
      <c r="G1859" s="8">
        <f t="shared" si="57"/>
        <v>1.7312500000000001E-2</v>
      </c>
    </row>
    <row r="1860" spans="1:7" x14ac:dyDescent="0.25">
      <c r="A1860" s="8">
        <v>25</v>
      </c>
      <c r="B1860" s="8">
        <v>3</v>
      </c>
      <c r="C1860" s="8">
        <v>76.584297000000007</v>
      </c>
      <c r="D1860" s="8">
        <v>29746.537109000001</v>
      </c>
      <c r="E1860" s="8">
        <v>29764.130859000001</v>
      </c>
      <c r="F1860" s="8">
        <f t="shared" si="56"/>
        <v>17.59375</v>
      </c>
      <c r="G1860" s="8">
        <f t="shared" si="57"/>
        <v>1.7593749999999998E-2</v>
      </c>
    </row>
    <row r="1861" spans="1:7" x14ac:dyDescent="0.25">
      <c r="A1861" s="8">
        <v>25</v>
      </c>
      <c r="B1861" s="8">
        <v>4</v>
      </c>
      <c r="C1861" s="8">
        <v>619.48870799999997</v>
      </c>
      <c r="D1861" s="8">
        <v>29855.896484000001</v>
      </c>
      <c r="E1861" s="8">
        <v>29865.734375</v>
      </c>
      <c r="F1861" s="8">
        <f t="shared" si="56"/>
        <v>9.8378909999992175</v>
      </c>
      <c r="G1861" s="8">
        <f t="shared" si="57"/>
        <v>9.8378909999992173E-3</v>
      </c>
    </row>
    <row r="1862" spans="1:7" x14ac:dyDescent="0.25">
      <c r="A1862" s="8">
        <v>25</v>
      </c>
      <c r="B1862" s="8">
        <v>5</v>
      </c>
      <c r="C1862" s="8">
        <v>1857.8881839999999</v>
      </c>
      <c r="D1862" s="8">
        <v>30499.783202999999</v>
      </c>
      <c r="E1862" s="8">
        <v>30518.904297000001</v>
      </c>
      <c r="F1862" s="8">
        <f t="shared" si="56"/>
        <v>19.121094000001904</v>
      </c>
      <c r="G1862" s="8">
        <f t="shared" si="57"/>
        <v>1.9121094000001903E-2</v>
      </c>
    </row>
    <row r="1863" spans="1:7" x14ac:dyDescent="0.25">
      <c r="A1863" s="8">
        <v>25</v>
      </c>
      <c r="B1863" s="8">
        <v>6</v>
      </c>
      <c r="C1863" s="8">
        <v>1586.618774</v>
      </c>
      <c r="D1863" s="8">
        <v>32379.464843999998</v>
      </c>
      <c r="E1863" s="8">
        <v>32391.175781000002</v>
      </c>
      <c r="F1863" s="8">
        <f t="shared" si="56"/>
        <v>11.710937000003469</v>
      </c>
      <c r="G1863" s="8">
        <f t="shared" si="57"/>
        <v>1.1710937000003469E-2</v>
      </c>
    </row>
    <row r="1864" spans="1:7" x14ac:dyDescent="0.25">
      <c r="A1864" s="8">
        <v>25</v>
      </c>
      <c r="B1864" s="8">
        <v>7</v>
      </c>
      <c r="C1864" s="8">
        <v>556.83392300000003</v>
      </c>
      <c r="D1864" s="8">
        <v>33978.238280999998</v>
      </c>
      <c r="E1864" s="8">
        <v>33996.988280999998</v>
      </c>
      <c r="F1864" s="8">
        <f t="shared" si="56"/>
        <v>18.75</v>
      </c>
      <c r="G1864" s="8">
        <f t="shared" si="57"/>
        <v>1.8749999999999999E-2</v>
      </c>
    </row>
    <row r="1865" spans="1:7" x14ac:dyDescent="0.25">
      <c r="A1865" s="8">
        <v>25</v>
      </c>
      <c r="B1865" s="8">
        <v>8</v>
      </c>
      <c r="C1865" s="8">
        <v>4419.1997069999998</v>
      </c>
      <c r="D1865" s="8">
        <v>34561.269530999998</v>
      </c>
      <c r="E1865" s="8">
        <v>34587.40625</v>
      </c>
      <c r="F1865" s="8">
        <f t="shared" si="56"/>
        <v>26.136719000001904</v>
      </c>
      <c r="G1865" s="8">
        <f t="shared" si="57"/>
        <v>2.6136719000001904E-2</v>
      </c>
    </row>
    <row r="1866" spans="1:7" x14ac:dyDescent="0.25">
      <c r="A1866" s="8">
        <v>25</v>
      </c>
      <c r="B1866" s="8">
        <v>9</v>
      </c>
      <c r="C1866" s="8">
        <v>827.90942399999994</v>
      </c>
      <c r="D1866" s="8">
        <v>39011.632812999997</v>
      </c>
      <c r="E1866" s="8">
        <v>39029.066405999998</v>
      </c>
      <c r="F1866" s="8">
        <f t="shared" si="56"/>
        <v>17.433593000001565</v>
      </c>
      <c r="G1866" s="8">
        <f t="shared" si="57"/>
        <v>1.7433593000001565E-2</v>
      </c>
    </row>
    <row r="1867" spans="1:7" x14ac:dyDescent="0.25">
      <c r="A1867" s="8">
        <v>25</v>
      </c>
      <c r="B1867" s="8">
        <v>10</v>
      </c>
      <c r="C1867" s="8">
        <v>1600.2937010000001</v>
      </c>
      <c r="D1867" s="8">
        <v>39871.078125</v>
      </c>
      <c r="E1867" s="8">
        <v>39879.125</v>
      </c>
      <c r="F1867" s="8">
        <f t="shared" ref="F1867:F1930" si="58">E1867-D1867</f>
        <v>8.046875</v>
      </c>
      <c r="G1867" s="8">
        <f t="shared" ref="G1867:G1930" si="59">F1867/1000</f>
        <v>8.0468750000000002E-3</v>
      </c>
    </row>
    <row r="1868" spans="1:7" x14ac:dyDescent="0.25">
      <c r="A1868" s="8">
        <v>25</v>
      </c>
      <c r="B1868" s="8">
        <v>11</v>
      </c>
      <c r="C1868" s="8">
        <v>1617.348755</v>
      </c>
      <c r="D1868" s="8">
        <v>41481.433594000002</v>
      </c>
      <c r="E1868" s="8">
        <v>41492.71875</v>
      </c>
      <c r="F1868" s="8">
        <f t="shared" si="58"/>
        <v>11.285155999998096</v>
      </c>
      <c r="G1868" s="8">
        <f t="shared" si="59"/>
        <v>1.1285155999998096E-2</v>
      </c>
    </row>
    <row r="1869" spans="1:7" x14ac:dyDescent="0.25">
      <c r="A1869" s="8">
        <v>25</v>
      </c>
      <c r="B1869" s="8">
        <v>12</v>
      </c>
      <c r="C1869" s="8">
        <v>413.34063700000002</v>
      </c>
      <c r="D1869" s="8">
        <v>43115.492187999997</v>
      </c>
      <c r="E1869" s="8">
        <v>43126.285155999998</v>
      </c>
      <c r="F1869" s="8">
        <f t="shared" si="58"/>
        <v>10.792968000001565</v>
      </c>
      <c r="G1869" s="8">
        <f t="shared" si="59"/>
        <v>1.0792968000001565E-2</v>
      </c>
    </row>
    <row r="1870" spans="1:7" x14ac:dyDescent="0.25">
      <c r="A1870" s="8">
        <v>25</v>
      </c>
      <c r="B1870" s="8">
        <v>13</v>
      </c>
      <c r="C1870" s="8">
        <v>388.05914300000001</v>
      </c>
      <c r="D1870" s="8">
        <v>43553.007812999997</v>
      </c>
      <c r="E1870" s="8">
        <v>43563.503905999998</v>
      </c>
      <c r="F1870" s="8">
        <f t="shared" si="58"/>
        <v>10.496093000001565</v>
      </c>
      <c r="G1870" s="8">
        <f t="shared" si="59"/>
        <v>1.0496093000001564E-2</v>
      </c>
    </row>
    <row r="1871" spans="1:7" x14ac:dyDescent="0.25">
      <c r="A1871" s="8">
        <v>25</v>
      </c>
      <c r="B1871" s="8">
        <v>14</v>
      </c>
      <c r="C1871" s="8">
        <v>1823.872192</v>
      </c>
      <c r="D1871" s="8">
        <v>43959.3125</v>
      </c>
      <c r="E1871" s="8">
        <v>43971.996094000002</v>
      </c>
      <c r="F1871" s="8">
        <f t="shared" si="58"/>
        <v>12.683594000001904</v>
      </c>
      <c r="G1871" s="8">
        <f t="shared" si="59"/>
        <v>1.2683594000001904E-2</v>
      </c>
    </row>
    <row r="1872" spans="1:7" x14ac:dyDescent="0.25">
      <c r="A1872" s="8">
        <v>25</v>
      </c>
      <c r="B1872" s="8">
        <v>15</v>
      </c>
      <c r="C1872" s="8">
        <v>1435.0417480000001</v>
      </c>
      <c r="D1872" s="8">
        <v>45803.9375</v>
      </c>
      <c r="E1872" s="8">
        <v>45811.296875</v>
      </c>
      <c r="F1872" s="8">
        <f t="shared" si="58"/>
        <v>7.359375</v>
      </c>
      <c r="G1872" s="8">
        <f t="shared" si="59"/>
        <v>7.3593749999999996E-3</v>
      </c>
    </row>
    <row r="1873" spans="1:7" x14ac:dyDescent="0.25">
      <c r="A1873" s="8">
        <v>25</v>
      </c>
      <c r="B1873" s="8">
        <v>16</v>
      </c>
      <c r="C1873" s="8">
        <v>2255.438232</v>
      </c>
      <c r="D1873" s="8">
        <v>47251.015625</v>
      </c>
      <c r="E1873" s="8">
        <v>47262.050780999998</v>
      </c>
      <c r="F1873" s="8">
        <f t="shared" si="58"/>
        <v>11.035155999998096</v>
      </c>
      <c r="G1873" s="8">
        <f t="shared" si="59"/>
        <v>1.1035155999998096E-2</v>
      </c>
    </row>
    <row r="1874" spans="1:7" x14ac:dyDescent="0.25">
      <c r="A1874" s="8">
        <v>25</v>
      </c>
      <c r="B1874" s="8">
        <v>17</v>
      </c>
      <c r="C1874" s="8">
        <v>2019.055664</v>
      </c>
      <c r="D1874" s="8">
        <v>49529.769530999998</v>
      </c>
      <c r="E1874" s="8">
        <v>49537.171875</v>
      </c>
      <c r="F1874" s="8">
        <f t="shared" si="58"/>
        <v>7.4023440000019036</v>
      </c>
      <c r="G1874" s="8">
        <f t="shared" si="59"/>
        <v>7.4023440000019038E-3</v>
      </c>
    </row>
    <row r="1875" spans="1:7" x14ac:dyDescent="0.25">
      <c r="A1875" s="8">
        <v>25</v>
      </c>
      <c r="B1875" s="8">
        <v>18</v>
      </c>
      <c r="C1875" s="8">
        <v>1009.501221</v>
      </c>
      <c r="D1875" s="8">
        <v>51560.484375</v>
      </c>
      <c r="E1875" s="8">
        <v>51569.902344000002</v>
      </c>
      <c r="F1875" s="8">
        <f t="shared" si="58"/>
        <v>9.4179690000019036</v>
      </c>
      <c r="G1875" s="8">
        <f t="shared" si="59"/>
        <v>9.417969000001903E-3</v>
      </c>
    </row>
    <row r="1876" spans="1:7" x14ac:dyDescent="0.25">
      <c r="A1876" s="8">
        <v>25</v>
      </c>
      <c r="B1876" s="8">
        <v>19</v>
      </c>
      <c r="C1876" s="8">
        <v>2499.1271969999998</v>
      </c>
      <c r="D1876" s="8">
        <v>52592.140625</v>
      </c>
      <c r="E1876" s="8">
        <v>52607.535155999998</v>
      </c>
      <c r="F1876" s="8">
        <f t="shared" si="58"/>
        <v>15.394530999998096</v>
      </c>
      <c r="G1876" s="8">
        <f t="shared" si="59"/>
        <v>1.5394530999998097E-2</v>
      </c>
    </row>
    <row r="1877" spans="1:7" x14ac:dyDescent="0.25">
      <c r="A1877" s="8">
        <v>25</v>
      </c>
      <c r="B1877" s="8">
        <v>20</v>
      </c>
      <c r="C1877" s="8">
        <v>4960.0107420000004</v>
      </c>
      <c r="D1877" s="8">
        <v>55112.921875</v>
      </c>
      <c r="E1877" s="8">
        <v>55126.101562999997</v>
      </c>
      <c r="F1877" s="8">
        <f t="shared" si="58"/>
        <v>13.179687999996531</v>
      </c>
      <c r="G1877" s="8">
        <f t="shared" si="59"/>
        <v>1.3179687999996531E-2</v>
      </c>
    </row>
    <row r="1878" spans="1:7" x14ac:dyDescent="0.25">
      <c r="A1878" s="8">
        <v>25</v>
      </c>
      <c r="B1878" s="8">
        <v>21</v>
      </c>
      <c r="C1878" s="8">
        <v>1350.303101</v>
      </c>
      <c r="D1878" s="8">
        <v>60091.238280999998</v>
      </c>
      <c r="E1878" s="8">
        <v>60098.574219000002</v>
      </c>
      <c r="F1878" s="8">
        <f t="shared" si="58"/>
        <v>7.3359380000038072</v>
      </c>
      <c r="G1878" s="8">
        <f t="shared" si="59"/>
        <v>7.335938000003807E-3</v>
      </c>
    </row>
    <row r="1879" spans="1:7" x14ac:dyDescent="0.25">
      <c r="A1879" s="8">
        <v>25</v>
      </c>
      <c r="B1879" s="8">
        <v>22</v>
      </c>
      <c r="C1879" s="8">
        <v>3046.298096</v>
      </c>
      <c r="D1879" s="8">
        <v>61450.710937999997</v>
      </c>
      <c r="E1879" s="8">
        <v>61470.375</v>
      </c>
      <c r="F1879" s="8">
        <f t="shared" si="58"/>
        <v>19.664062000003469</v>
      </c>
      <c r="G1879" s="8">
        <f t="shared" si="59"/>
        <v>1.9664062000003469E-2</v>
      </c>
    </row>
    <row r="1880" spans="1:7" x14ac:dyDescent="0.25">
      <c r="A1880" s="8">
        <v>25</v>
      </c>
      <c r="B1880" s="8">
        <v>23</v>
      </c>
      <c r="C1880" s="8">
        <v>2209.4079590000001</v>
      </c>
      <c r="D1880" s="8">
        <v>64527.789062999997</v>
      </c>
      <c r="E1880" s="8">
        <v>64541.773437999997</v>
      </c>
      <c r="F1880" s="8">
        <f t="shared" si="58"/>
        <v>13.984375</v>
      </c>
      <c r="G1880" s="8">
        <f t="shared" si="59"/>
        <v>1.3984375E-2</v>
      </c>
    </row>
    <row r="1881" spans="1:7" x14ac:dyDescent="0.25">
      <c r="A1881" s="8">
        <v>25</v>
      </c>
      <c r="B1881" s="8">
        <v>24</v>
      </c>
      <c r="C1881" s="8">
        <v>3356.7004390000002</v>
      </c>
      <c r="D1881" s="8">
        <v>66762.421875</v>
      </c>
      <c r="E1881" s="8">
        <v>66780.085938000004</v>
      </c>
      <c r="F1881" s="8">
        <f t="shared" si="58"/>
        <v>17.664063000003807</v>
      </c>
      <c r="G1881" s="8">
        <f t="shared" si="59"/>
        <v>1.7664063000003807E-2</v>
      </c>
    </row>
    <row r="1882" spans="1:7" x14ac:dyDescent="0.25">
      <c r="A1882" s="8">
        <v>25</v>
      </c>
      <c r="B1882" s="8">
        <v>25</v>
      </c>
      <c r="C1882" s="8">
        <v>475.84799199999998</v>
      </c>
      <c r="D1882" s="8">
        <v>70139.546875</v>
      </c>
      <c r="E1882" s="8">
        <v>70164.71875</v>
      </c>
      <c r="F1882" s="8">
        <f t="shared" si="58"/>
        <v>25.171875</v>
      </c>
      <c r="G1882" s="8">
        <f t="shared" si="59"/>
        <v>2.5171875E-2</v>
      </c>
    </row>
    <row r="1883" spans="1:7" x14ac:dyDescent="0.25">
      <c r="A1883" s="8">
        <v>25</v>
      </c>
      <c r="B1883" s="8">
        <v>26</v>
      </c>
      <c r="C1883" s="8">
        <v>656.60461399999997</v>
      </c>
      <c r="D1883" s="8">
        <v>70647.992188000004</v>
      </c>
      <c r="E1883" s="8">
        <v>70661.414063000004</v>
      </c>
      <c r="F1883" s="8">
        <f t="shared" si="58"/>
        <v>13.421875</v>
      </c>
      <c r="G1883" s="8">
        <f t="shared" si="59"/>
        <v>1.3421875E-2</v>
      </c>
    </row>
    <row r="1884" spans="1:7" x14ac:dyDescent="0.25">
      <c r="A1884" s="8">
        <v>25</v>
      </c>
      <c r="B1884" s="8">
        <v>27</v>
      </c>
      <c r="C1884" s="8">
        <v>1404.258789</v>
      </c>
      <c r="D1884" s="8">
        <v>71321.859375</v>
      </c>
      <c r="E1884" s="8">
        <v>71339.742188000004</v>
      </c>
      <c r="F1884" s="8">
        <f t="shared" si="58"/>
        <v>17.882813000003807</v>
      </c>
      <c r="G1884" s="8">
        <f t="shared" si="59"/>
        <v>1.7882813000003807E-2</v>
      </c>
    </row>
    <row r="1885" spans="1:7" x14ac:dyDescent="0.25">
      <c r="A1885" s="8">
        <v>25</v>
      </c>
      <c r="B1885" s="8">
        <v>28</v>
      </c>
      <c r="C1885" s="8">
        <v>975.41522199999997</v>
      </c>
      <c r="D1885" s="8">
        <v>72747.851563000004</v>
      </c>
      <c r="E1885" s="8">
        <v>72765.070313000004</v>
      </c>
      <c r="F1885" s="8">
        <f t="shared" si="58"/>
        <v>17.21875</v>
      </c>
      <c r="G1885" s="8">
        <f t="shared" si="59"/>
        <v>1.7218750000000001E-2</v>
      </c>
    </row>
    <row r="1886" spans="1:7" x14ac:dyDescent="0.25">
      <c r="A1886" s="8">
        <v>25</v>
      </c>
      <c r="B1886" s="8">
        <v>29</v>
      </c>
      <c r="C1886" s="8">
        <v>99.546700000000001</v>
      </c>
      <c r="D1886" s="8">
        <v>73747.882813000004</v>
      </c>
      <c r="E1886" s="8">
        <v>73759.367188000004</v>
      </c>
      <c r="F1886" s="8">
        <f t="shared" si="58"/>
        <v>11.484375</v>
      </c>
      <c r="G1886" s="8">
        <f t="shared" si="59"/>
        <v>1.1484375E-2</v>
      </c>
    </row>
    <row r="1887" spans="1:7" x14ac:dyDescent="0.25">
      <c r="A1887" s="8">
        <v>25</v>
      </c>
      <c r="B1887" s="8">
        <v>30</v>
      </c>
      <c r="C1887" s="8">
        <v>2546.7509770000001</v>
      </c>
      <c r="D1887" s="8">
        <v>73873.140625</v>
      </c>
      <c r="E1887" s="8">
        <v>73888.835938000004</v>
      </c>
      <c r="F1887" s="8">
        <f t="shared" si="58"/>
        <v>15.695313000003807</v>
      </c>
      <c r="G1887" s="8">
        <f t="shared" si="59"/>
        <v>1.5695313000003808E-2</v>
      </c>
    </row>
    <row r="1888" spans="1:7" x14ac:dyDescent="0.25">
      <c r="A1888" s="8">
        <v>25</v>
      </c>
      <c r="B1888" s="8">
        <v>31</v>
      </c>
      <c r="C1888" s="8">
        <v>1330.380005</v>
      </c>
      <c r="D1888" s="8">
        <v>76444.492188000004</v>
      </c>
      <c r="E1888" s="8">
        <v>76465.765625</v>
      </c>
      <c r="F1888" s="8">
        <f t="shared" si="58"/>
        <v>21.273436999996193</v>
      </c>
      <c r="G1888" s="8">
        <f t="shared" si="59"/>
        <v>2.1273436999996193E-2</v>
      </c>
    </row>
    <row r="1889" spans="1:7" x14ac:dyDescent="0.25">
      <c r="A1889" s="8">
        <v>25</v>
      </c>
      <c r="B1889" s="8">
        <v>32</v>
      </c>
      <c r="C1889" s="8">
        <v>151.208969</v>
      </c>
      <c r="D1889" s="8">
        <v>77804.507813000004</v>
      </c>
      <c r="E1889" s="8">
        <v>77818.25</v>
      </c>
      <c r="F1889" s="8">
        <f t="shared" si="58"/>
        <v>13.742186999996193</v>
      </c>
      <c r="G1889" s="8">
        <f t="shared" si="59"/>
        <v>1.3742186999996193E-2</v>
      </c>
    </row>
    <row r="1890" spans="1:7" x14ac:dyDescent="0.25">
      <c r="A1890" s="8">
        <v>25</v>
      </c>
      <c r="B1890" s="8">
        <v>33</v>
      </c>
      <c r="C1890" s="8">
        <v>1323.2701420000001</v>
      </c>
      <c r="D1890" s="8">
        <v>77979.117188000004</v>
      </c>
      <c r="E1890" s="8">
        <v>77993.875</v>
      </c>
      <c r="F1890" s="8">
        <f t="shared" si="58"/>
        <v>14.757811999996193</v>
      </c>
      <c r="G1890" s="8">
        <f t="shared" si="59"/>
        <v>1.4757811999996193E-2</v>
      </c>
    </row>
    <row r="1891" spans="1:7" x14ac:dyDescent="0.25">
      <c r="A1891" s="8">
        <v>25</v>
      </c>
      <c r="B1891" s="8">
        <v>34</v>
      </c>
      <c r="C1891" s="8">
        <v>2854.2531739999999</v>
      </c>
      <c r="D1891" s="8">
        <v>79332.195313000004</v>
      </c>
      <c r="E1891" s="8">
        <v>79348.0625</v>
      </c>
      <c r="F1891" s="8">
        <f t="shared" si="58"/>
        <v>15.867186999996193</v>
      </c>
      <c r="G1891" s="8">
        <f t="shared" si="59"/>
        <v>1.5867186999996192E-2</v>
      </c>
    </row>
    <row r="1892" spans="1:7" x14ac:dyDescent="0.25">
      <c r="A1892" s="8">
        <v>25</v>
      </c>
      <c r="B1892" s="8">
        <v>35</v>
      </c>
      <c r="C1892" s="8">
        <v>3496.5083009999998</v>
      </c>
      <c r="D1892" s="8">
        <v>82214.085938000004</v>
      </c>
      <c r="E1892" s="8">
        <v>82223.070313000004</v>
      </c>
      <c r="F1892" s="8">
        <f t="shared" si="58"/>
        <v>8.984375</v>
      </c>
      <c r="G1892" s="8">
        <f t="shared" si="59"/>
        <v>8.9843749999999993E-3</v>
      </c>
    </row>
    <row r="1893" spans="1:7" x14ac:dyDescent="0.25">
      <c r="A1893" s="8">
        <v>25</v>
      </c>
      <c r="B1893" s="8">
        <v>36</v>
      </c>
      <c r="C1893" s="8">
        <v>394.81433099999998</v>
      </c>
      <c r="D1893" s="8">
        <v>85721.421875</v>
      </c>
      <c r="E1893" s="8">
        <v>85738.226563000004</v>
      </c>
      <c r="F1893" s="8">
        <f t="shared" si="58"/>
        <v>16.804688000003807</v>
      </c>
      <c r="G1893" s="8">
        <f t="shared" si="59"/>
        <v>1.6804688000003808E-2</v>
      </c>
    </row>
    <row r="1894" spans="1:7" x14ac:dyDescent="0.25">
      <c r="A1894" s="8">
        <v>25</v>
      </c>
      <c r="B1894" s="8">
        <v>37</v>
      </c>
      <c r="C1894" s="8">
        <v>622.90283199999999</v>
      </c>
      <c r="D1894" s="8">
        <v>86143.3125</v>
      </c>
      <c r="E1894" s="8">
        <v>86171.96875</v>
      </c>
      <c r="F1894" s="8">
        <f t="shared" si="58"/>
        <v>28.65625</v>
      </c>
      <c r="G1894" s="8">
        <f t="shared" si="59"/>
        <v>2.8656250000000001E-2</v>
      </c>
    </row>
    <row r="1895" spans="1:7" x14ac:dyDescent="0.25">
      <c r="A1895" s="8">
        <v>25</v>
      </c>
      <c r="B1895" s="8">
        <v>38</v>
      </c>
      <c r="C1895" s="8">
        <v>2122.1713869999999</v>
      </c>
      <c r="D1895" s="8">
        <v>86799.65625</v>
      </c>
      <c r="E1895" s="8">
        <v>86818.8125</v>
      </c>
      <c r="F1895" s="8">
        <f t="shared" si="58"/>
        <v>19.15625</v>
      </c>
      <c r="G1895" s="8">
        <f t="shared" si="59"/>
        <v>1.915625E-2</v>
      </c>
    </row>
    <row r="1896" spans="1:7" x14ac:dyDescent="0.25">
      <c r="A1896" s="8">
        <v>25</v>
      </c>
      <c r="B1896" s="8">
        <v>39</v>
      </c>
      <c r="C1896" s="8">
        <v>2783.2990719999998</v>
      </c>
      <c r="D1896" s="8">
        <v>88943.4375</v>
      </c>
      <c r="E1896" s="8">
        <v>88966.632813000004</v>
      </c>
      <c r="F1896" s="8">
        <f t="shared" si="58"/>
        <v>23.195313000003807</v>
      </c>
      <c r="G1896" s="8">
        <f t="shared" si="59"/>
        <v>2.3195313000003808E-2</v>
      </c>
    </row>
    <row r="1897" spans="1:7" x14ac:dyDescent="0.25">
      <c r="A1897" s="8">
        <v>25</v>
      </c>
      <c r="B1897" s="8">
        <v>40</v>
      </c>
      <c r="C1897" s="8">
        <v>1623.936768</v>
      </c>
      <c r="D1897" s="8">
        <v>91761.203125</v>
      </c>
      <c r="E1897" s="8">
        <v>91804.140625</v>
      </c>
      <c r="F1897" s="8">
        <f t="shared" si="58"/>
        <v>42.9375</v>
      </c>
      <c r="G1897" s="8">
        <f t="shared" si="59"/>
        <v>4.2937500000000003E-2</v>
      </c>
    </row>
    <row r="1898" spans="1:7" x14ac:dyDescent="0.25">
      <c r="A1898" s="8">
        <v>25</v>
      </c>
      <c r="B1898" s="8">
        <v>41</v>
      </c>
      <c r="C1898" s="8">
        <v>2805.5129390000002</v>
      </c>
      <c r="D1898" s="8">
        <v>93435.585938000004</v>
      </c>
      <c r="E1898" s="8">
        <v>93452.953125</v>
      </c>
      <c r="F1898" s="8">
        <f t="shared" si="58"/>
        <v>17.367186999996193</v>
      </c>
      <c r="G1898" s="8">
        <f t="shared" si="59"/>
        <v>1.7367186999996193E-2</v>
      </c>
    </row>
    <row r="1899" spans="1:7" x14ac:dyDescent="0.25">
      <c r="A1899" s="8">
        <v>25</v>
      </c>
      <c r="B1899" s="8">
        <v>42</v>
      </c>
      <c r="C1899" s="8">
        <v>244.45907600000001</v>
      </c>
      <c r="D1899" s="8">
        <v>96272.226563000004</v>
      </c>
      <c r="E1899" s="8">
        <v>96289.726563000004</v>
      </c>
      <c r="F1899" s="8">
        <f t="shared" si="58"/>
        <v>17.5</v>
      </c>
      <c r="G1899" s="8">
        <f t="shared" si="59"/>
        <v>1.7500000000000002E-2</v>
      </c>
    </row>
    <row r="1900" spans="1:7" x14ac:dyDescent="0.25">
      <c r="A1900" s="8">
        <v>25</v>
      </c>
      <c r="B1900" s="8">
        <v>43</v>
      </c>
      <c r="C1900" s="8">
        <v>690.36682099999996</v>
      </c>
      <c r="D1900" s="8">
        <v>96538.460938000004</v>
      </c>
      <c r="E1900" s="8">
        <v>96545.851563000004</v>
      </c>
      <c r="F1900" s="8">
        <f t="shared" si="58"/>
        <v>7.390625</v>
      </c>
      <c r="G1900" s="8">
        <f t="shared" si="59"/>
        <v>7.3906249999999996E-3</v>
      </c>
    </row>
    <row r="1901" spans="1:7" x14ac:dyDescent="0.25">
      <c r="A1901" s="8">
        <v>25</v>
      </c>
      <c r="B1901" s="8">
        <v>44</v>
      </c>
      <c r="C1901" s="8">
        <v>222.84985399999999</v>
      </c>
      <c r="D1901" s="8">
        <v>97247.070313000004</v>
      </c>
      <c r="E1901" s="8">
        <v>97271.3125</v>
      </c>
      <c r="F1901" s="8">
        <f t="shared" si="58"/>
        <v>24.242186999996193</v>
      </c>
      <c r="G1901" s="8">
        <f t="shared" si="59"/>
        <v>2.4242186999996192E-2</v>
      </c>
    </row>
    <row r="1902" spans="1:7" x14ac:dyDescent="0.25">
      <c r="A1902" s="8">
        <v>25</v>
      </c>
      <c r="B1902" s="8">
        <v>45</v>
      </c>
      <c r="C1902" s="8">
        <v>2871.1091310000002</v>
      </c>
      <c r="D1902" s="8">
        <v>97497.234375</v>
      </c>
      <c r="E1902" s="8">
        <v>97512.828125</v>
      </c>
      <c r="F1902" s="8">
        <f t="shared" si="58"/>
        <v>15.59375</v>
      </c>
      <c r="G1902" s="8">
        <f t="shared" si="59"/>
        <v>1.559375E-2</v>
      </c>
    </row>
    <row r="1903" spans="1:7" x14ac:dyDescent="0.25">
      <c r="A1903" s="8">
        <v>25</v>
      </c>
      <c r="B1903" s="8">
        <v>46</v>
      </c>
      <c r="C1903" s="8">
        <v>1896.900024</v>
      </c>
      <c r="D1903" s="8">
        <v>100385.789063</v>
      </c>
      <c r="E1903" s="8">
        <v>100393.859375</v>
      </c>
      <c r="F1903" s="8">
        <f t="shared" si="58"/>
        <v>8.0703119999961928</v>
      </c>
      <c r="G1903" s="8">
        <f t="shared" si="59"/>
        <v>8.0703119999961919E-3</v>
      </c>
    </row>
    <row r="1904" spans="1:7" x14ac:dyDescent="0.25">
      <c r="A1904" s="8">
        <v>25</v>
      </c>
      <c r="B1904" s="8">
        <v>47</v>
      </c>
      <c r="C1904" s="8">
        <v>2889.1437989999999</v>
      </c>
      <c r="D1904" s="8">
        <v>102297.234375</v>
      </c>
      <c r="E1904" s="8">
        <v>102319.625</v>
      </c>
      <c r="F1904" s="8">
        <f t="shared" si="58"/>
        <v>22.390625</v>
      </c>
      <c r="G1904" s="8">
        <f t="shared" si="59"/>
        <v>2.2390625000000001E-2</v>
      </c>
    </row>
    <row r="1905" spans="1:7" x14ac:dyDescent="0.25">
      <c r="A1905" s="8">
        <v>25</v>
      </c>
      <c r="B1905" s="8">
        <v>48</v>
      </c>
      <c r="C1905" s="8">
        <v>460.651703</v>
      </c>
      <c r="D1905" s="8">
        <v>105222.210938</v>
      </c>
      <c r="E1905" s="8">
        <v>105236.25</v>
      </c>
      <c r="F1905" s="8">
        <f t="shared" si="58"/>
        <v>14.039061999996193</v>
      </c>
      <c r="G1905" s="8">
        <f t="shared" si="59"/>
        <v>1.4039061999996192E-2</v>
      </c>
    </row>
    <row r="1906" spans="1:7" x14ac:dyDescent="0.25">
      <c r="A1906" s="8">
        <v>25</v>
      </c>
      <c r="B1906" s="8">
        <v>49</v>
      </c>
      <c r="C1906" s="8">
        <v>2240.4133299999999</v>
      </c>
      <c r="D1906" s="8">
        <v>105703.429688</v>
      </c>
      <c r="E1906" s="8">
        <v>105710.914063</v>
      </c>
      <c r="F1906" s="8">
        <f t="shared" si="58"/>
        <v>7.484375</v>
      </c>
      <c r="G1906" s="8">
        <f t="shared" si="59"/>
        <v>7.4843749999999997E-3</v>
      </c>
    </row>
    <row r="1907" spans="1:7" x14ac:dyDescent="0.25">
      <c r="A1907" s="8">
        <v>25</v>
      </c>
      <c r="B1907" s="8">
        <v>50</v>
      </c>
      <c r="C1907" s="8">
        <v>5932.9399409999996</v>
      </c>
      <c r="D1907" s="8">
        <v>107954.28125</v>
      </c>
      <c r="E1907" s="8">
        <v>107978.851563</v>
      </c>
      <c r="F1907" s="8">
        <f t="shared" si="58"/>
        <v>24.570313000003807</v>
      </c>
      <c r="G1907" s="8">
        <f t="shared" si="59"/>
        <v>2.4570313000003806E-2</v>
      </c>
    </row>
    <row r="1908" spans="1:7" x14ac:dyDescent="0.25">
      <c r="A1908" s="8">
        <v>25</v>
      </c>
      <c r="B1908" s="8">
        <v>51</v>
      </c>
      <c r="C1908" s="8">
        <v>1077.2692870000001</v>
      </c>
      <c r="D1908" s="8">
        <v>113924.875</v>
      </c>
      <c r="E1908" s="8">
        <v>113954.304688</v>
      </c>
      <c r="F1908" s="8">
        <f t="shared" si="58"/>
        <v>29.429688000003807</v>
      </c>
      <c r="G1908" s="8">
        <f t="shared" si="59"/>
        <v>2.9429688000003808E-2</v>
      </c>
    </row>
    <row r="1909" spans="1:7" x14ac:dyDescent="0.25">
      <c r="A1909" s="8">
        <v>25</v>
      </c>
      <c r="B1909" s="8">
        <v>52</v>
      </c>
      <c r="C1909" s="8">
        <v>2100.7695309999999</v>
      </c>
      <c r="D1909" s="8">
        <v>115036.179688</v>
      </c>
      <c r="E1909" s="8">
        <v>115070.195313</v>
      </c>
      <c r="F1909" s="8">
        <f t="shared" si="58"/>
        <v>34.015625</v>
      </c>
      <c r="G1909" s="8">
        <f t="shared" si="59"/>
        <v>3.4015625000000001E-2</v>
      </c>
    </row>
    <row r="1910" spans="1:7" x14ac:dyDescent="0.25">
      <c r="A1910" s="8">
        <v>25</v>
      </c>
      <c r="B1910" s="8">
        <v>53</v>
      </c>
      <c r="C1910" s="8">
        <v>10148.334961</v>
      </c>
      <c r="D1910" s="8">
        <v>117184.734375</v>
      </c>
      <c r="E1910" s="8">
        <v>117207.546875</v>
      </c>
      <c r="F1910" s="8">
        <f t="shared" si="58"/>
        <v>22.8125</v>
      </c>
      <c r="G1910" s="8">
        <f t="shared" si="59"/>
        <v>2.2812499999999999E-2</v>
      </c>
    </row>
    <row r="1911" spans="1:7" x14ac:dyDescent="0.25">
      <c r="A1911" s="8">
        <v>25</v>
      </c>
      <c r="B1911" s="8">
        <v>54</v>
      </c>
      <c r="C1911" s="8">
        <v>1219.5483400000001</v>
      </c>
      <c r="D1911" s="8">
        <v>127362.203125</v>
      </c>
      <c r="E1911" s="8">
        <v>127386.421875</v>
      </c>
      <c r="F1911" s="8">
        <f t="shared" si="58"/>
        <v>24.21875</v>
      </c>
      <c r="G1911" s="8">
        <f t="shared" si="59"/>
        <v>2.4218750000000001E-2</v>
      </c>
    </row>
    <row r="1912" spans="1:7" x14ac:dyDescent="0.25">
      <c r="A1912" s="8">
        <v>25</v>
      </c>
      <c r="B1912" s="8">
        <v>55</v>
      </c>
      <c r="C1912" s="8">
        <v>460.03704800000003</v>
      </c>
      <c r="D1912" s="8">
        <v>128613.820313</v>
      </c>
      <c r="E1912" s="8">
        <v>128635.226563</v>
      </c>
      <c r="F1912" s="8">
        <f t="shared" si="58"/>
        <v>21.40625</v>
      </c>
      <c r="G1912" s="8">
        <f t="shared" si="59"/>
        <v>2.1406250000000002E-2</v>
      </c>
    </row>
    <row r="1913" spans="1:7" x14ac:dyDescent="0.25">
      <c r="A1913" s="8">
        <v>25</v>
      </c>
      <c r="B1913" s="8">
        <v>56</v>
      </c>
      <c r="C1913" s="8">
        <v>429.69305400000002</v>
      </c>
      <c r="D1913" s="8">
        <v>129098.226563</v>
      </c>
      <c r="E1913" s="8">
        <v>129115.554688</v>
      </c>
      <c r="F1913" s="8">
        <f t="shared" si="58"/>
        <v>17.328125</v>
      </c>
      <c r="G1913" s="8">
        <f t="shared" si="59"/>
        <v>1.7328125E-2</v>
      </c>
    </row>
    <row r="1914" spans="1:7" x14ac:dyDescent="0.25">
      <c r="A1914" s="8">
        <v>25</v>
      </c>
      <c r="B1914" s="8">
        <v>57</v>
      </c>
      <c r="C1914" s="8">
        <v>176.715698</v>
      </c>
      <c r="D1914" s="8">
        <v>129551.421875</v>
      </c>
      <c r="E1914" s="8">
        <v>129614.210938</v>
      </c>
      <c r="F1914" s="8">
        <f t="shared" si="58"/>
        <v>62.789063000003807</v>
      </c>
      <c r="G1914" s="8">
        <f t="shared" si="59"/>
        <v>6.2789063000003809E-2</v>
      </c>
    </row>
    <row r="1915" spans="1:7" x14ac:dyDescent="0.25">
      <c r="A1915" s="8">
        <v>25</v>
      </c>
      <c r="B1915" s="8">
        <v>58</v>
      </c>
      <c r="C1915" s="8">
        <v>2212.726807</v>
      </c>
      <c r="D1915" s="8">
        <v>129801.476563</v>
      </c>
      <c r="E1915" s="8">
        <v>129808.734375</v>
      </c>
      <c r="F1915" s="8">
        <f t="shared" si="58"/>
        <v>7.2578119999961928</v>
      </c>
      <c r="G1915" s="8">
        <f t="shared" si="59"/>
        <v>7.2578119999961929E-3</v>
      </c>
    </row>
    <row r="1916" spans="1:7" x14ac:dyDescent="0.25">
      <c r="A1916" s="8">
        <v>25</v>
      </c>
      <c r="B1916" s="8">
        <v>59</v>
      </c>
      <c r="C1916" s="8">
        <v>377.34243800000002</v>
      </c>
      <c r="D1916" s="8">
        <v>132030.203125</v>
      </c>
      <c r="E1916" s="8">
        <v>132048.640625</v>
      </c>
      <c r="F1916" s="8">
        <f t="shared" si="58"/>
        <v>18.4375</v>
      </c>
      <c r="G1916" s="8">
        <f t="shared" si="59"/>
        <v>1.8437499999999999E-2</v>
      </c>
    </row>
    <row r="1917" spans="1:7" x14ac:dyDescent="0.25">
      <c r="A1917" s="8">
        <v>25</v>
      </c>
      <c r="B1917" s="8">
        <v>60</v>
      </c>
      <c r="C1917" s="8">
        <v>709.247253</v>
      </c>
      <c r="D1917" s="8">
        <v>132436.4375</v>
      </c>
      <c r="E1917" s="8">
        <v>132477.890625</v>
      </c>
      <c r="F1917" s="8">
        <f t="shared" si="58"/>
        <v>41.453125</v>
      </c>
      <c r="G1917" s="8">
        <f t="shared" si="59"/>
        <v>4.1453125E-2</v>
      </c>
    </row>
    <row r="1918" spans="1:7" x14ac:dyDescent="0.25">
      <c r="A1918" s="8">
        <v>25</v>
      </c>
      <c r="B1918" s="8">
        <v>61</v>
      </c>
      <c r="C1918" s="8">
        <v>713.515625</v>
      </c>
      <c r="D1918" s="8">
        <v>133191.1875</v>
      </c>
      <c r="E1918" s="8">
        <v>133205.40625</v>
      </c>
      <c r="F1918" s="8">
        <f t="shared" si="58"/>
        <v>14.21875</v>
      </c>
      <c r="G1918" s="8">
        <f t="shared" si="59"/>
        <v>1.421875E-2</v>
      </c>
    </row>
    <row r="1919" spans="1:7" x14ac:dyDescent="0.25">
      <c r="A1919" s="8">
        <v>25</v>
      </c>
      <c r="B1919" s="8">
        <v>62</v>
      </c>
      <c r="C1919" s="8">
        <v>3165.6936040000001</v>
      </c>
      <c r="D1919" s="8">
        <v>133925.640625</v>
      </c>
      <c r="E1919" s="8">
        <v>133951.953125</v>
      </c>
      <c r="F1919" s="8">
        <f t="shared" si="58"/>
        <v>26.3125</v>
      </c>
      <c r="G1919" s="8">
        <f t="shared" si="59"/>
        <v>2.6312499999999999E-2</v>
      </c>
    </row>
    <row r="1920" spans="1:7" x14ac:dyDescent="0.25">
      <c r="A1920" s="8">
        <v>25</v>
      </c>
      <c r="B1920" s="8">
        <v>63</v>
      </c>
      <c r="C1920" s="8">
        <v>971.74054000000001</v>
      </c>
      <c r="D1920" s="8">
        <v>137124.640625</v>
      </c>
      <c r="E1920" s="8">
        <v>137149.84375</v>
      </c>
      <c r="F1920" s="8">
        <f t="shared" si="58"/>
        <v>25.203125</v>
      </c>
      <c r="G1920" s="8">
        <f t="shared" si="59"/>
        <v>2.5203125E-2</v>
      </c>
    </row>
    <row r="1921" spans="1:7" x14ac:dyDescent="0.25">
      <c r="A1921" s="8">
        <v>25</v>
      </c>
      <c r="B1921" s="8">
        <v>64</v>
      </c>
      <c r="C1921" s="8">
        <v>397.49295000000001</v>
      </c>
      <c r="D1921" s="8">
        <v>138124.9375</v>
      </c>
      <c r="E1921" s="8">
        <v>138141.765625</v>
      </c>
      <c r="F1921" s="8">
        <f t="shared" si="58"/>
        <v>16.828125</v>
      </c>
      <c r="G1921" s="8">
        <f t="shared" si="59"/>
        <v>1.6828124999999999E-2</v>
      </c>
    </row>
    <row r="1922" spans="1:7" x14ac:dyDescent="0.25">
      <c r="A1922" s="8">
        <v>25</v>
      </c>
      <c r="B1922" s="8">
        <v>65</v>
      </c>
      <c r="C1922" s="8">
        <v>529.92340100000001</v>
      </c>
      <c r="D1922" s="8">
        <v>138546.828125</v>
      </c>
      <c r="E1922" s="8">
        <v>138563.421875</v>
      </c>
      <c r="F1922" s="8">
        <f t="shared" si="58"/>
        <v>16.59375</v>
      </c>
      <c r="G1922" s="8">
        <f t="shared" si="59"/>
        <v>1.6593750000000001E-2</v>
      </c>
    </row>
    <row r="1923" spans="1:7" x14ac:dyDescent="0.25">
      <c r="A1923" s="8">
        <v>25</v>
      </c>
      <c r="B1923" s="8">
        <v>66</v>
      </c>
      <c r="C1923" s="8">
        <v>3757.9689939999998</v>
      </c>
      <c r="D1923" s="8">
        <v>139100.046875</v>
      </c>
      <c r="E1923" s="8">
        <v>139118.75</v>
      </c>
      <c r="F1923" s="8">
        <f t="shared" si="58"/>
        <v>18.703125</v>
      </c>
      <c r="G1923" s="8">
        <f t="shared" si="59"/>
        <v>1.8703125000000001E-2</v>
      </c>
    </row>
    <row r="1924" spans="1:7" x14ac:dyDescent="0.25">
      <c r="A1924" s="8">
        <v>25</v>
      </c>
      <c r="B1924" s="8">
        <v>67</v>
      </c>
      <c r="C1924" s="8">
        <v>5120.8247069999998</v>
      </c>
      <c r="D1924" s="8">
        <v>142890.234375</v>
      </c>
      <c r="E1924" s="8">
        <v>142912.203125</v>
      </c>
      <c r="F1924" s="8">
        <f t="shared" si="58"/>
        <v>21.96875</v>
      </c>
      <c r="G1924" s="8">
        <f t="shared" si="59"/>
        <v>2.1968749999999999E-2</v>
      </c>
    </row>
    <row r="1925" spans="1:7" x14ac:dyDescent="0.25">
      <c r="A1925" s="8">
        <v>25</v>
      </c>
      <c r="B1925" s="8">
        <v>68</v>
      </c>
      <c r="C1925" s="8">
        <v>2655.6491700000001</v>
      </c>
      <c r="D1925" s="8">
        <v>148040.140625</v>
      </c>
      <c r="E1925" s="8">
        <v>148051.9375</v>
      </c>
      <c r="F1925" s="8">
        <f t="shared" si="58"/>
        <v>11.796875</v>
      </c>
      <c r="G1925" s="8">
        <f t="shared" si="59"/>
        <v>1.1796875E-2</v>
      </c>
    </row>
    <row r="1926" spans="1:7" x14ac:dyDescent="0.25">
      <c r="A1926" s="8">
        <v>25</v>
      </c>
      <c r="B1926" s="8">
        <v>69</v>
      </c>
      <c r="C1926" s="8">
        <v>702.21124299999997</v>
      </c>
      <c r="D1926" s="8">
        <v>150717.53125</v>
      </c>
      <c r="E1926" s="8">
        <v>150732.578125</v>
      </c>
      <c r="F1926" s="8">
        <f t="shared" si="58"/>
        <v>15.046875</v>
      </c>
      <c r="G1926" s="8">
        <f t="shared" si="59"/>
        <v>1.5046874999999999E-2</v>
      </c>
    </row>
    <row r="1927" spans="1:7" x14ac:dyDescent="0.25">
      <c r="A1927" s="8">
        <v>25</v>
      </c>
      <c r="B1927" s="8">
        <v>70</v>
      </c>
      <c r="C1927" s="8">
        <v>3008.5820309999999</v>
      </c>
      <c r="D1927" s="8">
        <v>151436.453125</v>
      </c>
      <c r="E1927" s="8">
        <v>151449.6875</v>
      </c>
      <c r="F1927" s="8">
        <f t="shared" si="58"/>
        <v>13.234375</v>
      </c>
      <c r="G1927" s="8">
        <f t="shared" si="59"/>
        <v>1.3234375E-2</v>
      </c>
    </row>
    <row r="1928" spans="1:7" x14ac:dyDescent="0.25">
      <c r="A1928" s="8">
        <v>25</v>
      </c>
      <c r="B1928" s="8">
        <v>71</v>
      </c>
      <c r="C1928" s="8">
        <v>3946.8317870000001</v>
      </c>
      <c r="D1928" s="8">
        <v>154469.03125</v>
      </c>
      <c r="E1928" s="8">
        <v>154489.09375</v>
      </c>
      <c r="F1928" s="8">
        <f t="shared" si="58"/>
        <v>20.0625</v>
      </c>
      <c r="G1928" s="8">
        <f t="shared" si="59"/>
        <v>2.00625E-2</v>
      </c>
    </row>
    <row r="1929" spans="1:7" x14ac:dyDescent="0.25">
      <c r="A1929" s="8">
        <v>25</v>
      </c>
      <c r="B1929" s="8">
        <v>72</v>
      </c>
      <c r="C1929" s="8">
        <v>1212.9329829999999</v>
      </c>
      <c r="D1929" s="8">
        <v>158438.203125</v>
      </c>
      <c r="E1929" s="8">
        <v>158460.359375</v>
      </c>
      <c r="F1929" s="8">
        <f t="shared" si="58"/>
        <v>22.15625</v>
      </c>
      <c r="G1929" s="8">
        <f t="shared" si="59"/>
        <v>2.2156249999999999E-2</v>
      </c>
    </row>
    <row r="1930" spans="1:7" x14ac:dyDescent="0.25">
      <c r="A1930" s="8">
        <v>25</v>
      </c>
      <c r="B1930" s="8">
        <v>73</v>
      </c>
      <c r="C1930" s="8">
        <v>889.418091</v>
      </c>
      <c r="D1930" s="8">
        <v>159673.71875</v>
      </c>
      <c r="E1930" s="8">
        <v>159696.25</v>
      </c>
      <c r="F1930" s="8">
        <f t="shared" si="58"/>
        <v>22.53125</v>
      </c>
      <c r="G1930" s="8">
        <f t="shared" si="59"/>
        <v>2.2531249999999999E-2</v>
      </c>
    </row>
    <row r="1931" spans="1:7" x14ac:dyDescent="0.25">
      <c r="A1931" s="8">
        <v>25</v>
      </c>
      <c r="B1931" s="8">
        <v>74</v>
      </c>
      <c r="C1931" s="8">
        <v>1173.8039550000001</v>
      </c>
      <c r="D1931" s="8">
        <v>160595.671875</v>
      </c>
      <c r="E1931" s="8">
        <v>160621.546875</v>
      </c>
      <c r="F1931" s="8">
        <f t="shared" ref="F1931:F1994" si="60">E1931-D1931</f>
        <v>25.875</v>
      </c>
      <c r="G1931" s="8">
        <f t="shared" ref="G1931:G1994" si="61">F1931/1000</f>
        <v>2.5874999999999999E-2</v>
      </c>
    </row>
    <row r="1932" spans="1:7" x14ac:dyDescent="0.25">
      <c r="A1932" s="8">
        <v>25</v>
      </c>
      <c r="B1932" s="8">
        <v>75</v>
      </c>
      <c r="C1932" s="8">
        <v>2646.2294919999999</v>
      </c>
      <c r="D1932" s="8">
        <v>161798.9375</v>
      </c>
      <c r="E1932" s="8">
        <v>161817.203125</v>
      </c>
      <c r="F1932" s="8">
        <f t="shared" si="60"/>
        <v>18.265625</v>
      </c>
      <c r="G1932" s="8">
        <f t="shared" si="61"/>
        <v>1.8265625000000001E-2</v>
      </c>
    </row>
    <row r="1933" spans="1:7" x14ac:dyDescent="0.25">
      <c r="A1933" s="8">
        <v>25</v>
      </c>
      <c r="B1933" s="8">
        <v>76</v>
      </c>
      <c r="C1933" s="8">
        <v>4975.3754879999997</v>
      </c>
      <c r="D1933" s="8">
        <v>164465.90625</v>
      </c>
      <c r="E1933" s="8">
        <v>164479.75</v>
      </c>
      <c r="F1933" s="8">
        <f t="shared" si="60"/>
        <v>13.84375</v>
      </c>
      <c r="G1933" s="8">
        <f t="shared" si="61"/>
        <v>1.384375E-2</v>
      </c>
    </row>
    <row r="1934" spans="1:7" x14ac:dyDescent="0.25">
      <c r="A1934" s="8">
        <v>25</v>
      </c>
      <c r="B1934" s="8">
        <v>77</v>
      </c>
      <c r="C1934" s="8">
        <v>2110.9157709999999</v>
      </c>
      <c r="D1934" s="8">
        <v>169470.375</v>
      </c>
      <c r="E1934" s="8">
        <v>169487.984375</v>
      </c>
      <c r="F1934" s="8">
        <f t="shared" si="60"/>
        <v>17.609375</v>
      </c>
      <c r="G1934" s="8">
        <f t="shared" si="61"/>
        <v>1.7609375E-2</v>
      </c>
    </row>
    <row r="1935" spans="1:7" x14ac:dyDescent="0.25">
      <c r="A1935" s="8">
        <v>26</v>
      </c>
      <c r="B1935" s="8">
        <v>0</v>
      </c>
      <c r="C1935" s="8">
        <v>380.07165500000002</v>
      </c>
      <c r="D1935" s="8">
        <v>23237.925781000002</v>
      </c>
      <c r="E1935" s="8">
        <v>23255.289063</v>
      </c>
      <c r="F1935" s="8">
        <f t="shared" si="60"/>
        <v>17.363281999998435</v>
      </c>
      <c r="G1935" s="8">
        <f t="shared" si="61"/>
        <v>1.7363281999998436E-2</v>
      </c>
    </row>
    <row r="1936" spans="1:7" x14ac:dyDescent="0.25">
      <c r="A1936" s="8">
        <v>26</v>
      </c>
      <c r="B1936" s="8">
        <v>1</v>
      </c>
      <c r="C1936" s="8">
        <v>551.27801499999998</v>
      </c>
      <c r="D1936" s="8">
        <v>23646.724609000001</v>
      </c>
      <c r="E1936" s="8">
        <v>23654.298827999999</v>
      </c>
      <c r="F1936" s="8">
        <f t="shared" si="60"/>
        <v>7.5742189999982656</v>
      </c>
      <c r="G1936" s="8">
        <f t="shared" si="61"/>
        <v>7.5742189999982654E-3</v>
      </c>
    </row>
    <row r="1937" spans="1:7" x14ac:dyDescent="0.25">
      <c r="A1937" s="8">
        <v>26</v>
      </c>
      <c r="B1937" s="8">
        <v>2</v>
      </c>
      <c r="C1937" s="8">
        <v>149.498154</v>
      </c>
      <c r="D1937" s="8">
        <v>24209.259765999999</v>
      </c>
      <c r="E1937" s="8">
        <v>24233.271484000001</v>
      </c>
      <c r="F1937" s="8">
        <f t="shared" si="60"/>
        <v>24.011718000001565</v>
      </c>
      <c r="G1937" s="8">
        <f t="shared" si="61"/>
        <v>2.4011718000001566E-2</v>
      </c>
    </row>
    <row r="1938" spans="1:7" x14ac:dyDescent="0.25">
      <c r="A1938" s="8">
        <v>26</v>
      </c>
      <c r="B1938" s="8">
        <v>3</v>
      </c>
      <c r="C1938" s="8">
        <v>4134.5556640000004</v>
      </c>
      <c r="D1938" s="8">
        <v>24396.767577999999</v>
      </c>
      <c r="E1938" s="8">
        <v>24423.837890999999</v>
      </c>
      <c r="F1938" s="8">
        <f t="shared" si="60"/>
        <v>27.070313000000169</v>
      </c>
      <c r="G1938" s="8">
        <f t="shared" si="61"/>
        <v>2.7070313000000169E-2</v>
      </c>
    </row>
    <row r="1939" spans="1:7" x14ac:dyDescent="0.25">
      <c r="A1939" s="8">
        <v>26</v>
      </c>
      <c r="B1939" s="8">
        <v>4</v>
      </c>
      <c r="C1939" s="8">
        <v>4380.0961909999996</v>
      </c>
      <c r="D1939" s="8">
        <v>28558.927734000001</v>
      </c>
      <c r="E1939" s="8">
        <v>28574.294922000001</v>
      </c>
      <c r="F1939" s="8">
        <f t="shared" si="60"/>
        <v>15.367188000000169</v>
      </c>
      <c r="G1939" s="8">
        <f t="shared" si="61"/>
        <v>1.5367188000000169E-2</v>
      </c>
    </row>
    <row r="1940" spans="1:7" x14ac:dyDescent="0.25">
      <c r="A1940" s="8">
        <v>26</v>
      </c>
      <c r="B1940" s="8">
        <v>5</v>
      </c>
      <c r="C1940" s="8">
        <v>391.84219400000001</v>
      </c>
      <c r="D1940" s="8">
        <v>32957.660155999998</v>
      </c>
      <c r="E1940" s="8">
        <v>32971.628905999998</v>
      </c>
      <c r="F1940" s="8">
        <f t="shared" si="60"/>
        <v>13.96875</v>
      </c>
      <c r="G1940" s="8">
        <f t="shared" si="61"/>
        <v>1.396875E-2</v>
      </c>
    </row>
    <row r="1941" spans="1:7" x14ac:dyDescent="0.25">
      <c r="A1941" s="8">
        <v>26</v>
      </c>
      <c r="B1941" s="8">
        <v>6</v>
      </c>
      <c r="C1941" s="8">
        <v>73.795860000000005</v>
      </c>
      <c r="D1941" s="8">
        <v>33363.964844000002</v>
      </c>
      <c r="E1941" s="8">
        <v>33375.007812999997</v>
      </c>
      <c r="F1941" s="8">
        <f t="shared" si="60"/>
        <v>11.042968999994628</v>
      </c>
      <c r="G1941" s="8">
        <f t="shared" si="61"/>
        <v>1.1042968999994627E-2</v>
      </c>
    </row>
    <row r="1942" spans="1:7" x14ac:dyDescent="0.25">
      <c r="A1942" s="8">
        <v>26</v>
      </c>
      <c r="B1942" s="8">
        <v>7</v>
      </c>
      <c r="C1942" s="8">
        <v>1786.8424070000001</v>
      </c>
      <c r="D1942" s="8">
        <v>33462.582030999998</v>
      </c>
      <c r="E1942" s="8">
        <v>33473.914062999997</v>
      </c>
      <c r="F1942" s="8">
        <f t="shared" si="60"/>
        <v>11.332031999998435</v>
      </c>
      <c r="G1942" s="8">
        <f t="shared" si="61"/>
        <v>1.1332031999998434E-2</v>
      </c>
    </row>
    <row r="1943" spans="1:7" x14ac:dyDescent="0.25">
      <c r="A1943" s="8">
        <v>26</v>
      </c>
      <c r="B1943" s="8">
        <v>8</v>
      </c>
      <c r="C1943" s="8">
        <v>210.80917400000001</v>
      </c>
      <c r="D1943" s="8">
        <v>35264.457030999998</v>
      </c>
      <c r="E1943" s="8">
        <v>35273.296875</v>
      </c>
      <c r="F1943" s="8">
        <f t="shared" si="60"/>
        <v>8.8398440000019036</v>
      </c>
      <c r="G1943" s="8">
        <f t="shared" si="61"/>
        <v>8.8398440000019042E-3</v>
      </c>
    </row>
    <row r="1944" spans="1:7" x14ac:dyDescent="0.25">
      <c r="A1944" s="8">
        <v>26</v>
      </c>
      <c r="B1944" s="8">
        <v>9</v>
      </c>
      <c r="C1944" s="8">
        <v>4086.8891600000002</v>
      </c>
      <c r="D1944" s="8">
        <v>35498.84375</v>
      </c>
      <c r="E1944" s="8">
        <v>35519.140625</v>
      </c>
      <c r="F1944" s="8">
        <f t="shared" si="60"/>
        <v>20.296875</v>
      </c>
      <c r="G1944" s="8">
        <f t="shared" si="61"/>
        <v>2.0296874999999999E-2</v>
      </c>
    </row>
    <row r="1945" spans="1:7" x14ac:dyDescent="0.25">
      <c r="A1945" s="8">
        <v>26</v>
      </c>
      <c r="B1945" s="8">
        <v>10</v>
      </c>
      <c r="C1945" s="8">
        <v>2502.9641109999998</v>
      </c>
      <c r="D1945" s="8">
        <v>39605.480469000002</v>
      </c>
      <c r="E1945" s="8">
        <v>39616.136719000002</v>
      </c>
      <c r="F1945" s="8">
        <f t="shared" si="60"/>
        <v>10.65625</v>
      </c>
      <c r="G1945" s="8">
        <f t="shared" si="61"/>
        <v>1.0656250000000001E-2</v>
      </c>
    </row>
    <row r="1946" spans="1:7" x14ac:dyDescent="0.25">
      <c r="A1946" s="8">
        <v>26</v>
      </c>
      <c r="B1946" s="8">
        <v>11</v>
      </c>
      <c r="C1946" s="8">
        <v>149.03779599999999</v>
      </c>
      <c r="D1946" s="8">
        <v>42122.171875</v>
      </c>
      <c r="E1946" s="8">
        <v>42143.019530999998</v>
      </c>
      <c r="F1946" s="8">
        <f t="shared" si="60"/>
        <v>20.847655999998096</v>
      </c>
      <c r="G1946" s="8">
        <f t="shared" si="61"/>
        <v>2.0847655999998098E-2</v>
      </c>
    </row>
    <row r="1947" spans="1:7" x14ac:dyDescent="0.25">
      <c r="A1947" s="8">
        <v>26</v>
      </c>
      <c r="B1947" s="8">
        <v>12</v>
      </c>
      <c r="C1947" s="8">
        <v>2998.1696780000002</v>
      </c>
      <c r="D1947" s="8">
        <v>42294.054687999997</v>
      </c>
      <c r="E1947" s="8">
        <v>42304.835937999997</v>
      </c>
      <c r="F1947" s="8">
        <f t="shared" si="60"/>
        <v>10.78125</v>
      </c>
      <c r="G1947" s="8">
        <f t="shared" si="61"/>
        <v>1.0781249999999999E-2</v>
      </c>
    </row>
    <row r="1948" spans="1:7" x14ac:dyDescent="0.25">
      <c r="A1948" s="8">
        <v>26</v>
      </c>
      <c r="B1948" s="8">
        <v>13</v>
      </c>
      <c r="C1948" s="8">
        <v>1365.9506839999999</v>
      </c>
      <c r="D1948" s="8">
        <v>45303.105469000002</v>
      </c>
      <c r="E1948" s="8">
        <v>45312.648437999997</v>
      </c>
      <c r="F1948" s="8">
        <f t="shared" si="60"/>
        <v>9.5429689999946277</v>
      </c>
      <c r="G1948" s="8">
        <f t="shared" si="61"/>
        <v>9.5429689999946277E-3</v>
      </c>
    </row>
    <row r="1949" spans="1:7" x14ac:dyDescent="0.25">
      <c r="A1949" s="8">
        <v>26</v>
      </c>
      <c r="B1949" s="8">
        <v>14</v>
      </c>
      <c r="C1949" s="8">
        <v>3623.5295409999999</v>
      </c>
      <c r="D1949" s="8">
        <v>46688.457030999998</v>
      </c>
      <c r="E1949" s="8">
        <v>46696.3125</v>
      </c>
      <c r="F1949" s="8">
        <f t="shared" si="60"/>
        <v>7.8554690000019036</v>
      </c>
      <c r="G1949" s="8">
        <f t="shared" si="61"/>
        <v>7.8554690000019033E-3</v>
      </c>
    </row>
    <row r="1950" spans="1:7" x14ac:dyDescent="0.25">
      <c r="A1950" s="8">
        <v>26</v>
      </c>
      <c r="B1950" s="8">
        <v>15</v>
      </c>
      <c r="C1950" s="8">
        <v>3644.5625</v>
      </c>
      <c r="D1950" s="8">
        <v>50330.972655999998</v>
      </c>
      <c r="E1950" s="8">
        <v>50338.488280999998</v>
      </c>
      <c r="F1950" s="8">
        <f t="shared" si="60"/>
        <v>7.515625</v>
      </c>
      <c r="G1950" s="8">
        <f t="shared" si="61"/>
        <v>7.5156249999999997E-3</v>
      </c>
    </row>
    <row r="1951" spans="1:7" x14ac:dyDescent="0.25">
      <c r="A1951" s="8">
        <v>26</v>
      </c>
      <c r="B1951" s="8">
        <v>16</v>
      </c>
      <c r="C1951" s="8">
        <v>2434.3859859999998</v>
      </c>
      <c r="D1951" s="8">
        <v>53987.351562999997</v>
      </c>
      <c r="E1951" s="8">
        <v>54000.457030999998</v>
      </c>
      <c r="F1951" s="8">
        <f t="shared" si="60"/>
        <v>13.105468000001565</v>
      </c>
      <c r="G1951" s="8">
        <f t="shared" si="61"/>
        <v>1.3105468000001565E-2</v>
      </c>
    </row>
    <row r="1952" spans="1:7" x14ac:dyDescent="0.25">
      <c r="A1952" s="8">
        <v>26</v>
      </c>
      <c r="B1952" s="8">
        <v>17</v>
      </c>
      <c r="C1952" s="8">
        <v>301.689819</v>
      </c>
      <c r="D1952" s="8">
        <v>56441.183594000002</v>
      </c>
      <c r="E1952" s="8">
        <v>56448.789062999997</v>
      </c>
      <c r="F1952" s="8">
        <f t="shared" si="60"/>
        <v>7.6054689999946277</v>
      </c>
      <c r="G1952" s="8">
        <f t="shared" si="61"/>
        <v>7.6054689999946277E-3</v>
      </c>
    </row>
    <row r="1953" spans="1:7" x14ac:dyDescent="0.25">
      <c r="A1953" s="8">
        <v>26</v>
      </c>
      <c r="B1953" s="8">
        <v>18</v>
      </c>
      <c r="C1953" s="8">
        <v>707.594604</v>
      </c>
      <c r="D1953" s="8">
        <v>56753.742187999997</v>
      </c>
      <c r="E1953" s="8">
        <v>56772.492187999997</v>
      </c>
      <c r="F1953" s="8">
        <f t="shared" si="60"/>
        <v>18.75</v>
      </c>
      <c r="G1953" s="8">
        <f t="shared" si="61"/>
        <v>1.8749999999999999E-2</v>
      </c>
    </row>
    <row r="1954" spans="1:7" x14ac:dyDescent="0.25">
      <c r="A1954" s="8">
        <v>26</v>
      </c>
      <c r="B1954" s="8">
        <v>19</v>
      </c>
      <c r="C1954" s="8">
        <v>524.20367399999998</v>
      </c>
      <c r="D1954" s="8">
        <v>57488.878905999998</v>
      </c>
      <c r="E1954" s="8">
        <v>57511.382812999997</v>
      </c>
      <c r="F1954" s="8">
        <f t="shared" si="60"/>
        <v>22.503906999998435</v>
      </c>
      <c r="G1954" s="8">
        <f t="shared" si="61"/>
        <v>2.2503906999998435E-2</v>
      </c>
    </row>
    <row r="1955" spans="1:7" x14ac:dyDescent="0.25">
      <c r="A1955" s="8">
        <v>26</v>
      </c>
      <c r="B1955" s="8">
        <v>20</v>
      </c>
      <c r="C1955" s="8">
        <v>707.94244400000002</v>
      </c>
      <c r="D1955" s="8">
        <v>58039.0625</v>
      </c>
      <c r="E1955" s="8">
        <v>58053.164062999997</v>
      </c>
      <c r="F1955" s="8">
        <f t="shared" si="60"/>
        <v>14.101562999996531</v>
      </c>
      <c r="G1955" s="8">
        <f t="shared" si="61"/>
        <v>1.4101562999996532E-2</v>
      </c>
    </row>
    <row r="1956" spans="1:7" x14ac:dyDescent="0.25">
      <c r="A1956" s="8">
        <v>26</v>
      </c>
      <c r="B1956" s="8">
        <v>21</v>
      </c>
      <c r="C1956" s="8">
        <v>2741.5192870000001</v>
      </c>
      <c r="D1956" s="8">
        <v>58762.90625</v>
      </c>
      <c r="E1956" s="8">
        <v>58779.839844000002</v>
      </c>
      <c r="F1956" s="8">
        <f t="shared" si="60"/>
        <v>16.933594000001904</v>
      </c>
      <c r="G1956" s="8">
        <f t="shared" si="61"/>
        <v>1.6933594000001904E-2</v>
      </c>
    </row>
    <row r="1957" spans="1:7" x14ac:dyDescent="0.25">
      <c r="A1957" s="8">
        <v>26</v>
      </c>
      <c r="B1957" s="8">
        <v>22</v>
      </c>
      <c r="C1957" s="8">
        <v>472.90780599999999</v>
      </c>
      <c r="D1957" s="8">
        <v>61528.875</v>
      </c>
      <c r="E1957" s="8">
        <v>61538.40625</v>
      </c>
      <c r="F1957" s="8">
        <f t="shared" si="60"/>
        <v>9.53125</v>
      </c>
      <c r="G1957" s="8">
        <f t="shared" si="61"/>
        <v>9.5312499999999998E-3</v>
      </c>
    </row>
    <row r="1958" spans="1:7" x14ac:dyDescent="0.25">
      <c r="A1958" s="8">
        <v>26</v>
      </c>
      <c r="B1958" s="8">
        <v>23</v>
      </c>
      <c r="C1958" s="8">
        <v>1889.821533</v>
      </c>
      <c r="D1958" s="8">
        <v>62013.257812999997</v>
      </c>
      <c r="E1958" s="8">
        <v>62027.722655999998</v>
      </c>
      <c r="F1958" s="8">
        <f t="shared" si="60"/>
        <v>14.464843000001565</v>
      </c>
      <c r="G1958" s="8">
        <f t="shared" si="61"/>
        <v>1.4464843000001565E-2</v>
      </c>
    </row>
    <row r="1959" spans="1:7" x14ac:dyDescent="0.25">
      <c r="A1959" s="8">
        <v>26</v>
      </c>
      <c r="B1959" s="8">
        <v>24</v>
      </c>
      <c r="C1959" s="8">
        <v>4062.5444339999999</v>
      </c>
      <c r="D1959" s="8">
        <v>63917.632812999997</v>
      </c>
      <c r="E1959" s="8">
        <v>63934.839844000002</v>
      </c>
      <c r="F1959" s="8">
        <f t="shared" si="60"/>
        <v>17.207031000005372</v>
      </c>
      <c r="G1959" s="8">
        <f t="shared" si="61"/>
        <v>1.7207031000005372E-2</v>
      </c>
    </row>
    <row r="1960" spans="1:7" x14ac:dyDescent="0.25">
      <c r="A1960" s="8">
        <v>26</v>
      </c>
      <c r="B1960" s="8">
        <v>25</v>
      </c>
      <c r="C1960" s="8">
        <v>2344.881836</v>
      </c>
      <c r="D1960" s="8">
        <v>67998.4375</v>
      </c>
      <c r="E1960" s="8">
        <v>68013.554688000004</v>
      </c>
      <c r="F1960" s="8">
        <f t="shared" si="60"/>
        <v>15.117188000003807</v>
      </c>
      <c r="G1960" s="8">
        <f t="shared" si="61"/>
        <v>1.5117188000003808E-2</v>
      </c>
    </row>
    <row r="1961" spans="1:7" x14ac:dyDescent="0.25">
      <c r="A1961" s="8">
        <v>26</v>
      </c>
      <c r="B1961" s="8">
        <v>26</v>
      </c>
      <c r="C1961" s="8">
        <v>47.872065999999997</v>
      </c>
      <c r="D1961" s="8">
        <v>70366.914063000004</v>
      </c>
      <c r="E1961" s="8">
        <v>70374.859375</v>
      </c>
      <c r="F1961" s="8">
        <f t="shared" si="60"/>
        <v>7.9453119999961928</v>
      </c>
      <c r="G1961" s="8">
        <f t="shared" si="61"/>
        <v>7.9453119999961935E-3</v>
      </c>
    </row>
    <row r="1962" spans="1:7" x14ac:dyDescent="0.25">
      <c r="A1962" s="8">
        <v>26</v>
      </c>
      <c r="B1962" s="8">
        <v>27</v>
      </c>
      <c r="C1962" s="8">
        <v>982.58508300000005</v>
      </c>
      <c r="D1962" s="8">
        <v>70429.4375</v>
      </c>
      <c r="E1962" s="8">
        <v>70443.210938000004</v>
      </c>
      <c r="F1962" s="8">
        <f t="shared" si="60"/>
        <v>13.773438000003807</v>
      </c>
      <c r="G1962" s="8">
        <f t="shared" si="61"/>
        <v>1.3773438000003807E-2</v>
      </c>
    </row>
    <row r="1963" spans="1:7" x14ac:dyDescent="0.25">
      <c r="A1963" s="8">
        <v>26</v>
      </c>
      <c r="B1963" s="8">
        <v>28</v>
      </c>
      <c r="C1963" s="8">
        <v>1113.2589109999999</v>
      </c>
      <c r="D1963" s="8">
        <v>71431.335938000004</v>
      </c>
      <c r="E1963" s="8">
        <v>71447.898438000004</v>
      </c>
      <c r="F1963" s="8">
        <f t="shared" si="60"/>
        <v>16.5625</v>
      </c>
      <c r="G1963" s="8">
        <f t="shared" si="61"/>
        <v>1.6562500000000001E-2</v>
      </c>
    </row>
    <row r="1964" spans="1:7" x14ac:dyDescent="0.25">
      <c r="A1964" s="8">
        <v>26</v>
      </c>
      <c r="B1964" s="8">
        <v>29</v>
      </c>
      <c r="C1964" s="8">
        <v>2684.8771969999998</v>
      </c>
      <c r="D1964" s="8">
        <v>72576.023438000004</v>
      </c>
      <c r="E1964" s="8">
        <v>72592.953125</v>
      </c>
      <c r="F1964" s="8">
        <f t="shared" si="60"/>
        <v>16.929686999996193</v>
      </c>
      <c r="G1964" s="8">
        <f t="shared" si="61"/>
        <v>1.6929686999996193E-2</v>
      </c>
    </row>
    <row r="1965" spans="1:7" x14ac:dyDescent="0.25">
      <c r="A1965" s="8">
        <v>26</v>
      </c>
      <c r="B1965" s="8">
        <v>30</v>
      </c>
      <c r="C1965" s="8">
        <v>1574.5112300000001</v>
      </c>
      <c r="D1965" s="8">
        <v>75283.90625</v>
      </c>
      <c r="E1965" s="8">
        <v>75368.5625</v>
      </c>
      <c r="F1965" s="8">
        <f t="shared" si="60"/>
        <v>84.65625</v>
      </c>
      <c r="G1965" s="8">
        <f t="shared" si="61"/>
        <v>8.4656250000000002E-2</v>
      </c>
    </row>
    <row r="1966" spans="1:7" x14ac:dyDescent="0.25">
      <c r="A1966" s="8">
        <v>26</v>
      </c>
      <c r="B1966" s="8">
        <v>31</v>
      </c>
      <c r="C1966" s="8">
        <v>780.82250999999997</v>
      </c>
      <c r="D1966" s="8">
        <v>76944.507813000004</v>
      </c>
      <c r="E1966" s="8">
        <v>76952.796875</v>
      </c>
      <c r="F1966" s="8">
        <f t="shared" si="60"/>
        <v>8.2890619999961928</v>
      </c>
      <c r="G1966" s="8">
        <f t="shared" si="61"/>
        <v>8.2890619999961921E-3</v>
      </c>
    </row>
    <row r="1967" spans="1:7" x14ac:dyDescent="0.25">
      <c r="A1967" s="8">
        <v>26</v>
      </c>
      <c r="B1967" s="8">
        <v>32</v>
      </c>
      <c r="C1967" s="8">
        <v>1994.251831</v>
      </c>
      <c r="D1967" s="8">
        <v>77742.078125</v>
      </c>
      <c r="E1967" s="8">
        <v>77764.75</v>
      </c>
      <c r="F1967" s="8">
        <f t="shared" si="60"/>
        <v>22.671875</v>
      </c>
      <c r="G1967" s="8">
        <f t="shared" si="61"/>
        <v>2.2671875000000001E-2</v>
      </c>
    </row>
    <row r="1968" spans="1:7" x14ac:dyDescent="0.25">
      <c r="A1968" s="8">
        <v>26</v>
      </c>
      <c r="B1968" s="8">
        <v>33</v>
      </c>
      <c r="C1968" s="8">
        <v>1736.7661129999999</v>
      </c>
      <c r="D1968" s="8">
        <v>79769.726563000004</v>
      </c>
      <c r="E1968" s="8">
        <v>79790.21875</v>
      </c>
      <c r="F1968" s="8">
        <f t="shared" si="60"/>
        <v>20.492186999996193</v>
      </c>
      <c r="G1968" s="8">
        <f t="shared" si="61"/>
        <v>2.0492186999996193E-2</v>
      </c>
    </row>
    <row r="1969" spans="1:7" x14ac:dyDescent="0.25">
      <c r="A1969" s="8">
        <v>26</v>
      </c>
      <c r="B1969" s="8">
        <v>34</v>
      </c>
      <c r="C1969" s="8">
        <v>472.28936800000002</v>
      </c>
      <c r="D1969" s="8">
        <v>81536.34375</v>
      </c>
      <c r="E1969" s="8">
        <v>81553.445313000004</v>
      </c>
      <c r="F1969" s="8">
        <f t="shared" si="60"/>
        <v>17.101563000003807</v>
      </c>
      <c r="G1969" s="8">
        <f t="shared" si="61"/>
        <v>1.7101563000003806E-2</v>
      </c>
    </row>
    <row r="1970" spans="1:7" x14ac:dyDescent="0.25">
      <c r="A1970" s="8">
        <v>26</v>
      </c>
      <c r="B1970" s="8">
        <v>35</v>
      </c>
      <c r="C1970" s="8">
        <v>206.54093900000001</v>
      </c>
      <c r="D1970" s="8">
        <v>82041.226563000004</v>
      </c>
      <c r="E1970" s="8">
        <v>82055.546875</v>
      </c>
      <c r="F1970" s="8">
        <f t="shared" si="60"/>
        <v>14.320311999996193</v>
      </c>
      <c r="G1970" s="8">
        <f t="shared" si="61"/>
        <v>1.4320311999996192E-2</v>
      </c>
    </row>
    <row r="1971" spans="1:7" x14ac:dyDescent="0.25">
      <c r="A1971" s="8">
        <v>26</v>
      </c>
      <c r="B1971" s="8">
        <v>36</v>
      </c>
      <c r="C1971" s="8">
        <v>6837.9267579999996</v>
      </c>
      <c r="D1971" s="8">
        <v>82276.703125</v>
      </c>
      <c r="E1971" s="8">
        <v>82291.570313000004</v>
      </c>
      <c r="F1971" s="8">
        <f t="shared" si="60"/>
        <v>14.867188000003807</v>
      </c>
      <c r="G1971" s="8">
        <f t="shared" si="61"/>
        <v>1.4867188000003808E-2</v>
      </c>
    </row>
    <row r="1972" spans="1:7" x14ac:dyDescent="0.25">
      <c r="A1972" s="8">
        <v>26</v>
      </c>
      <c r="B1972" s="8">
        <v>37</v>
      </c>
      <c r="C1972" s="8">
        <v>2189.609375</v>
      </c>
      <c r="D1972" s="8">
        <v>89131.195313000004</v>
      </c>
      <c r="E1972" s="8">
        <v>89158.3125</v>
      </c>
      <c r="F1972" s="8">
        <f t="shared" si="60"/>
        <v>27.117186999996193</v>
      </c>
      <c r="G1972" s="8">
        <f t="shared" si="61"/>
        <v>2.7117186999996191E-2</v>
      </c>
    </row>
    <row r="1973" spans="1:7" x14ac:dyDescent="0.25">
      <c r="A1973" s="8">
        <v>26</v>
      </c>
      <c r="B1973" s="8">
        <v>38</v>
      </c>
      <c r="C1973" s="8">
        <v>1181.502563</v>
      </c>
      <c r="D1973" s="8">
        <v>91355.039063000004</v>
      </c>
      <c r="E1973" s="8">
        <v>91366.367188000004</v>
      </c>
      <c r="F1973" s="8">
        <f t="shared" si="60"/>
        <v>11.328125</v>
      </c>
      <c r="G1973" s="8">
        <f t="shared" si="61"/>
        <v>1.1328125E-2</v>
      </c>
    </row>
    <row r="1974" spans="1:7" x14ac:dyDescent="0.25">
      <c r="A1974" s="8">
        <v>26</v>
      </c>
      <c r="B1974" s="8">
        <v>39</v>
      </c>
      <c r="C1974" s="8">
        <v>1853.1032709999999</v>
      </c>
      <c r="D1974" s="8">
        <v>92560.09375</v>
      </c>
      <c r="E1974" s="8">
        <v>92568.007813000004</v>
      </c>
      <c r="F1974" s="8">
        <f t="shared" si="60"/>
        <v>7.9140630000038072</v>
      </c>
      <c r="G1974" s="8">
        <f t="shared" si="61"/>
        <v>7.9140630000038067E-3</v>
      </c>
    </row>
    <row r="1975" spans="1:7" x14ac:dyDescent="0.25">
      <c r="A1975" s="8">
        <v>26</v>
      </c>
      <c r="B1975" s="8">
        <v>40</v>
      </c>
      <c r="C1975" s="8">
        <v>2800.5551759999998</v>
      </c>
      <c r="D1975" s="8">
        <v>94436.4375</v>
      </c>
      <c r="E1975" s="8">
        <v>94444.117188000004</v>
      </c>
      <c r="F1975" s="8">
        <f t="shared" si="60"/>
        <v>7.6796880000038072</v>
      </c>
      <c r="G1975" s="8">
        <f t="shared" si="61"/>
        <v>7.6796880000038073E-3</v>
      </c>
    </row>
    <row r="1976" spans="1:7" x14ac:dyDescent="0.25">
      <c r="A1976" s="8">
        <v>26</v>
      </c>
      <c r="B1976" s="8">
        <v>41</v>
      </c>
      <c r="C1976" s="8">
        <v>1662.6651609999999</v>
      </c>
      <c r="D1976" s="8">
        <v>97247.03125</v>
      </c>
      <c r="E1976" s="8">
        <v>97260.195313000004</v>
      </c>
      <c r="F1976" s="8">
        <f t="shared" si="60"/>
        <v>13.164063000003807</v>
      </c>
      <c r="G1976" s="8">
        <f t="shared" si="61"/>
        <v>1.3164063000003808E-2</v>
      </c>
    </row>
    <row r="1977" spans="1:7" x14ac:dyDescent="0.25">
      <c r="A1977" s="8">
        <v>26</v>
      </c>
      <c r="B1977" s="8">
        <v>42</v>
      </c>
      <c r="C1977" s="8">
        <v>1252.6142580000001</v>
      </c>
      <c r="D1977" s="8">
        <v>98925.898438000004</v>
      </c>
      <c r="E1977" s="8">
        <v>98946.726563000004</v>
      </c>
      <c r="F1977" s="8">
        <f t="shared" si="60"/>
        <v>20.828125</v>
      </c>
      <c r="G1977" s="8">
        <f t="shared" si="61"/>
        <v>2.0828124999999999E-2</v>
      </c>
    </row>
    <row r="1978" spans="1:7" x14ac:dyDescent="0.25">
      <c r="A1978" s="8">
        <v>26</v>
      </c>
      <c r="B1978" s="8">
        <v>43</v>
      </c>
      <c r="C1978" s="8">
        <v>5182.5903319999998</v>
      </c>
      <c r="D1978" s="8">
        <v>100213.960938</v>
      </c>
      <c r="E1978" s="8">
        <v>100233.070313</v>
      </c>
      <c r="F1978" s="8">
        <f t="shared" si="60"/>
        <v>19.109375</v>
      </c>
      <c r="G1978" s="8">
        <f t="shared" si="61"/>
        <v>1.9109375000000001E-2</v>
      </c>
    </row>
    <row r="1979" spans="1:7" x14ac:dyDescent="0.25">
      <c r="A1979" s="8">
        <v>26</v>
      </c>
      <c r="B1979" s="8">
        <v>44</v>
      </c>
      <c r="C1979" s="8">
        <v>135.01452599999999</v>
      </c>
      <c r="D1979" s="8">
        <v>105415.507813</v>
      </c>
      <c r="E1979" s="8">
        <v>105429.484375</v>
      </c>
      <c r="F1979" s="8">
        <f t="shared" si="60"/>
        <v>13.976561999996193</v>
      </c>
      <c r="G1979" s="8">
        <f t="shared" si="61"/>
        <v>1.3976561999996192E-2</v>
      </c>
    </row>
    <row r="1980" spans="1:7" x14ac:dyDescent="0.25">
      <c r="A1980" s="8">
        <v>26</v>
      </c>
      <c r="B1980" s="8">
        <v>45</v>
      </c>
      <c r="C1980" s="8">
        <v>1679.8386230000001</v>
      </c>
      <c r="D1980" s="8">
        <v>105578.234375</v>
      </c>
      <c r="E1980" s="8">
        <v>105592.1875</v>
      </c>
      <c r="F1980" s="8">
        <f t="shared" si="60"/>
        <v>13.953125</v>
      </c>
      <c r="G1980" s="8">
        <f t="shared" si="61"/>
        <v>1.3953125E-2</v>
      </c>
    </row>
    <row r="1981" spans="1:7" x14ac:dyDescent="0.25">
      <c r="A1981" s="8">
        <v>26</v>
      </c>
      <c r="B1981" s="8">
        <v>46</v>
      </c>
      <c r="C1981" s="8">
        <v>848.140625</v>
      </c>
      <c r="D1981" s="8">
        <v>107282.265625</v>
      </c>
      <c r="E1981" s="8">
        <v>107289.953125</v>
      </c>
      <c r="F1981" s="8">
        <f t="shared" si="60"/>
        <v>7.6875</v>
      </c>
      <c r="G1981" s="8">
        <f t="shared" si="61"/>
        <v>7.6874999999999999E-3</v>
      </c>
    </row>
    <row r="1982" spans="1:7" x14ac:dyDescent="0.25">
      <c r="A1982" s="8">
        <v>26</v>
      </c>
      <c r="B1982" s="8">
        <v>47</v>
      </c>
      <c r="C1982" s="8">
        <v>1320.905518</v>
      </c>
      <c r="D1982" s="8">
        <v>108141.609375</v>
      </c>
      <c r="E1982" s="8">
        <v>108154.835938</v>
      </c>
      <c r="F1982" s="8">
        <f t="shared" si="60"/>
        <v>13.226563000003807</v>
      </c>
      <c r="G1982" s="8">
        <f t="shared" si="61"/>
        <v>1.3226563000003808E-2</v>
      </c>
    </row>
    <row r="1983" spans="1:7" x14ac:dyDescent="0.25">
      <c r="A1983" s="8">
        <v>26</v>
      </c>
      <c r="B1983" s="8">
        <v>48</v>
      </c>
      <c r="C1983" s="8">
        <v>383.543701</v>
      </c>
      <c r="D1983" s="8">
        <v>109485.484375</v>
      </c>
      <c r="E1983" s="8">
        <v>109498.203125</v>
      </c>
      <c r="F1983" s="8">
        <f t="shared" si="60"/>
        <v>12.71875</v>
      </c>
      <c r="G1983" s="8">
        <f t="shared" si="61"/>
        <v>1.2718749999999999E-2</v>
      </c>
    </row>
    <row r="1984" spans="1:7" x14ac:dyDescent="0.25">
      <c r="A1984" s="8">
        <v>26</v>
      </c>
      <c r="B1984" s="8">
        <v>49</v>
      </c>
      <c r="C1984" s="8">
        <v>2736.477539</v>
      </c>
      <c r="D1984" s="8">
        <v>109892.695313</v>
      </c>
      <c r="E1984" s="8">
        <v>109952.476563</v>
      </c>
      <c r="F1984" s="8">
        <f t="shared" si="60"/>
        <v>59.78125</v>
      </c>
      <c r="G1984" s="8">
        <f t="shared" si="61"/>
        <v>5.9781250000000001E-2</v>
      </c>
    </row>
    <row r="1985" spans="1:7" x14ac:dyDescent="0.25">
      <c r="A1985" s="8">
        <v>26</v>
      </c>
      <c r="B1985" s="8">
        <v>50</v>
      </c>
      <c r="C1985" s="8">
        <v>2598.2202149999998</v>
      </c>
      <c r="D1985" s="8">
        <v>112696.554688</v>
      </c>
      <c r="E1985" s="8">
        <v>112720.75</v>
      </c>
      <c r="F1985" s="8">
        <f t="shared" si="60"/>
        <v>24.195311999996193</v>
      </c>
      <c r="G1985" s="8">
        <f t="shared" si="61"/>
        <v>2.4195311999996194E-2</v>
      </c>
    </row>
    <row r="1986" spans="1:7" x14ac:dyDescent="0.25">
      <c r="A1986" s="8">
        <v>26</v>
      </c>
      <c r="B1986" s="8">
        <v>51</v>
      </c>
      <c r="C1986" s="8">
        <v>758.93707300000005</v>
      </c>
      <c r="D1986" s="8">
        <v>115333.109375</v>
      </c>
      <c r="E1986" s="8">
        <v>115344.296875</v>
      </c>
      <c r="F1986" s="8">
        <f t="shared" si="60"/>
        <v>11.1875</v>
      </c>
      <c r="G1986" s="8">
        <f t="shared" si="61"/>
        <v>1.11875E-2</v>
      </c>
    </row>
    <row r="1987" spans="1:7" x14ac:dyDescent="0.25">
      <c r="A1987" s="8">
        <v>26</v>
      </c>
      <c r="B1987" s="8">
        <v>52</v>
      </c>
      <c r="C1987" s="8">
        <v>1810.094116</v>
      </c>
      <c r="D1987" s="8">
        <v>116114.4375</v>
      </c>
      <c r="E1987" s="8">
        <v>116135.25</v>
      </c>
      <c r="F1987" s="8">
        <f t="shared" si="60"/>
        <v>20.8125</v>
      </c>
      <c r="G1987" s="8">
        <f t="shared" si="61"/>
        <v>2.0812500000000001E-2</v>
      </c>
    </row>
    <row r="1988" spans="1:7" x14ac:dyDescent="0.25">
      <c r="A1988" s="8">
        <v>26</v>
      </c>
      <c r="B1988" s="8">
        <v>53</v>
      </c>
      <c r="C1988" s="8">
        <v>395.706818</v>
      </c>
      <c r="D1988" s="8">
        <v>117947.476563</v>
      </c>
      <c r="E1988" s="8">
        <v>117976.445313</v>
      </c>
      <c r="F1988" s="8">
        <f t="shared" si="60"/>
        <v>28.96875</v>
      </c>
      <c r="G1988" s="8">
        <f t="shared" si="61"/>
        <v>2.8968750000000001E-2</v>
      </c>
    </row>
    <row r="1989" spans="1:7" x14ac:dyDescent="0.25">
      <c r="A1989" s="8">
        <v>26</v>
      </c>
      <c r="B1989" s="8">
        <v>54</v>
      </c>
      <c r="C1989" s="8">
        <v>7890.2563479999999</v>
      </c>
      <c r="D1989" s="8">
        <v>118384.820313</v>
      </c>
      <c r="E1989" s="8">
        <v>118395.429688</v>
      </c>
      <c r="F1989" s="8">
        <f t="shared" si="60"/>
        <v>10.609375</v>
      </c>
      <c r="G1989" s="8">
        <f t="shared" si="61"/>
        <v>1.0609375000000001E-2</v>
      </c>
    </row>
    <row r="1990" spans="1:7" x14ac:dyDescent="0.25">
      <c r="A1990" s="8">
        <v>26</v>
      </c>
      <c r="B1990" s="8">
        <v>55</v>
      </c>
      <c r="C1990" s="8">
        <v>5961.5976559999999</v>
      </c>
      <c r="D1990" s="8">
        <v>126299.789063</v>
      </c>
      <c r="E1990" s="8">
        <v>126307.375</v>
      </c>
      <c r="F1990" s="8">
        <f t="shared" si="60"/>
        <v>7.5859369999961928</v>
      </c>
      <c r="G1990" s="8">
        <f t="shared" si="61"/>
        <v>7.5859369999961923E-3</v>
      </c>
    </row>
    <row r="1991" spans="1:7" x14ac:dyDescent="0.25">
      <c r="A1991" s="8">
        <v>26</v>
      </c>
      <c r="B1991" s="8">
        <v>56</v>
      </c>
      <c r="C1991" s="8">
        <v>808.42926</v>
      </c>
      <c r="D1991" s="8">
        <v>132280.203125</v>
      </c>
      <c r="E1991" s="8">
        <v>132292.3125</v>
      </c>
      <c r="F1991" s="8">
        <f t="shared" si="60"/>
        <v>12.109375</v>
      </c>
      <c r="G1991" s="8">
        <f t="shared" si="61"/>
        <v>1.2109375E-2</v>
      </c>
    </row>
    <row r="1992" spans="1:7" x14ac:dyDescent="0.25">
      <c r="A1992" s="8">
        <v>26</v>
      </c>
      <c r="B1992" s="8">
        <v>57</v>
      </c>
      <c r="C1992" s="8">
        <v>1838.2048339999999</v>
      </c>
      <c r="D1992" s="8">
        <v>133113</v>
      </c>
      <c r="E1992" s="8">
        <v>133135.109375</v>
      </c>
      <c r="F1992" s="8">
        <f t="shared" si="60"/>
        <v>22.109375</v>
      </c>
      <c r="G1992" s="8">
        <f t="shared" si="61"/>
        <v>2.2109375000000001E-2</v>
      </c>
    </row>
    <row r="1993" spans="1:7" x14ac:dyDescent="0.25">
      <c r="A1993" s="8">
        <v>26</v>
      </c>
      <c r="B1993" s="8">
        <v>58</v>
      </c>
      <c r="C1993" s="8">
        <v>404.05603000000002</v>
      </c>
      <c r="D1993" s="8">
        <v>134974.765625</v>
      </c>
      <c r="E1993" s="8">
        <v>134985.90625</v>
      </c>
      <c r="F1993" s="8">
        <f t="shared" si="60"/>
        <v>11.140625</v>
      </c>
      <c r="G1993" s="8">
        <f t="shared" si="61"/>
        <v>1.1140624999999999E-2</v>
      </c>
    </row>
    <row r="1994" spans="1:7" x14ac:dyDescent="0.25">
      <c r="A1994" s="8">
        <v>26</v>
      </c>
      <c r="B1994" s="8">
        <v>59</v>
      </c>
      <c r="C1994" s="8">
        <v>3732.951172</v>
      </c>
      <c r="D1994" s="8">
        <v>135397.609375</v>
      </c>
      <c r="E1994" s="8">
        <v>135409.015625</v>
      </c>
      <c r="F1994" s="8">
        <f t="shared" si="60"/>
        <v>11.40625</v>
      </c>
      <c r="G1994" s="8">
        <f t="shared" si="61"/>
        <v>1.140625E-2</v>
      </c>
    </row>
    <row r="1995" spans="1:7" x14ac:dyDescent="0.25">
      <c r="A1995" s="8">
        <v>26</v>
      </c>
      <c r="B1995" s="8">
        <v>60</v>
      </c>
      <c r="C1995" s="8">
        <v>1097.3479</v>
      </c>
      <c r="D1995" s="8">
        <v>139146.90625</v>
      </c>
      <c r="E1995" s="8">
        <v>139163.65625</v>
      </c>
      <c r="F1995" s="8">
        <f t="shared" ref="F1995:F2058" si="62">E1995-D1995</f>
        <v>16.75</v>
      </c>
      <c r="G1995" s="8">
        <f t="shared" ref="G1995:G2058" si="63">F1995/1000</f>
        <v>1.6750000000000001E-2</v>
      </c>
    </row>
    <row r="1996" spans="1:7" x14ac:dyDescent="0.25">
      <c r="A1996" s="8">
        <v>26</v>
      </c>
      <c r="B1996" s="8">
        <v>61</v>
      </c>
      <c r="C1996" s="8">
        <v>292.48431399999998</v>
      </c>
      <c r="D1996" s="8">
        <v>140272.25</v>
      </c>
      <c r="E1996" s="8">
        <v>140283.328125</v>
      </c>
      <c r="F1996" s="8">
        <f t="shared" si="62"/>
        <v>11.078125</v>
      </c>
      <c r="G1996" s="8">
        <f t="shared" si="63"/>
        <v>1.1078124999999999E-2</v>
      </c>
    </row>
    <row r="1997" spans="1:7" x14ac:dyDescent="0.25">
      <c r="A1997" s="8">
        <v>26</v>
      </c>
      <c r="B1997" s="8">
        <v>62</v>
      </c>
      <c r="C1997" s="8">
        <v>2765.9465329999998</v>
      </c>
      <c r="D1997" s="8">
        <v>140576.546875</v>
      </c>
      <c r="E1997" s="8">
        <v>140590.046875</v>
      </c>
      <c r="F1997" s="8">
        <f t="shared" si="62"/>
        <v>13.5</v>
      </c>
      <c r="G1997" s="8">
        <f t="shared" si="63"/>
        <v>1.35E-2</v>
      </c>
    </row>
    <row r="1998" spans="1:7" x14ac:dyDescent="0.25">
      <c r="A1998" s="8">
        <v>26</v>
      </c>
      <c r="B1998" s="8">
        <v>63</v>
      </c>
      <c r="C1998" s="8">
        <v>4266.1430659999996</v>
      </c>
      <c r="D1998" s="8">
        <v>143358.984375</v>
      </c>
      <c r="E1998" s="8">
        <v>143375.28125</v>
      </c>
      <c r="F1998" s="8">
        <f t="shared" si="62"/>
        <v>16.296875</v>
      </c>
      <c r="G1998" s="8">
        <f t="shared" si="63"/>
        <v>1.6296874999999999E-2</v>
      </c>
    </row>
    <row r="1999" spans="1:7" x14ac:dyDescent="0.25">
      <c r="A1999" s="8">
        <v>26</v>
      </c>
      <c r="B1999" s="8">
        <v>64</v>
      </c>
      <c r="C1999" s="8">
        <v>907.880493</v>
      </c>
      <c r="D1999" s="8">
        <v>147646.75</v>
      </c>
      <c r="E1999" s="8">
        <v>147657.890625</v>
      </c>
      <c r="F1999" s="8">
        <f t="shared" si="62"/>
        <v>11.140625</v>
      </c>
      <c r="G1999" s="8">
        <f t="shared" si="63"/>
        <v>1.1140624999999999E-2</v>
      </c>
    </row>
    <row r="2000" spans="1:7" x14ac:dyDescent="0.25">
      <c r="A2000" s="8">
        <v>26</v>
      </c>
      <c r="B2000" s="8">
        <v>65</v>
      </c>
      <c r="C2000" s="8">
        <v>979.49481200000002</v>
      </c>
      <c r="D2000" s="8">
        <v>148572.25</v>
      </c>
      <c r="E2000" s="8">
        <v>148593.015625</v>
      </c>
      <c r="F2000" s="8">
        <f t="shared" si="62"/>
        <v>20.765625</v>
      </c>
      <c r="G2000" s="8">
        <f t="shared" si="63"/>
        <v>2.0765624999999999E-2</v>
      </c>
    </row>
    <row r="2001" spans="1:7" x14ac:dyDescent="0.25">
      <c r="A2001" s="8">
        <v>26</v>
      </c>
      <c r="B2001" s="8">
        <v>66</v>
      </c>
      <c r="C2001" s="8">
        <v>127.128929</v>
      </c>
      <c r="D2001" s="8">
        <v>149576.5</v>
      </c>
      <c r="E2001" s="8">
        <v>149593.59375</v>
      </c>
      <c r="F2001" s="8">
        <f t="shared" si="62"/>
        <v>17.09375</v>
      </c>
      <c r="G2001" s="8">
        <f t="shared" si="63"/>
        <v>1.7093750000000001E-2</v>
      </c>
    </row>
    <row r="2002" spans="1:7" x14ac:dyDescent="0.25">
      <c r="A2002" s="8">
        <v>26</v>
      </c>
      <c r="B2002" s="8">
        <v>67</v>
      </c>
      <c r="C2002" s="8">
        <v>3643.4301759999998</v>
      </c>
      <c r="D2002" s="8">
        <v>149732.984375</v>
      </c>
      <c r="E2002" s="8">
        <v>149751.953125</v>
      </c>
      <c r="F2002" s="8">
        <f t="shared" si="62"/>
        <v>18.96875</v>
      </c>
      <c r="G2002" s="8">
        <f t="shared" si="63"/>
        <v>1.896875E-2</v>
      </c>
    </row>
    <row r="2003" spans="1:7" x14ac:dyDescent="0.25">
      <c r="A2003" s="8">
        <v>26</v>
      </c>
      <c r="B2003" s="8">
        <v>68</v>
      </c>
      <c r="C2003" s="8">
        <v>1540.731689</v>
      </c>
      <c r="D2003" s="8">
        <v>153406.4375</v>
      </c>
      <c r="E2003" s="8">
        <v>153420.53125</v>
      </c>
      <c r="F2003" s="8">
        <f t="shared" si="62"/>
        <v>14.09375</v>
      </c>
      <c r="G2003" s="8">
        <f t="shared" si="63"/>
        <v>1.409375E-2</v>
      </c>
    </row>
    <row r="2004" spans="1:7" x14ac:dyDescent="0.25">
      <c r="A2004" s="8">
        <v>26</v>
      </c>
      <c r="B2004" s="8">
        <v>69</v>
      </c>
      <c r="C2004" s="8">
        <v>1684.2260739999999</v>
      </c>
      <c r="D2004" s="8">
        <v>154969.140625</v>
      </c>
      <c r="E2004" s="8">
        <v>154988.796875</v>
      </c>
      <c r="F2004" s="8">
        <f t="shared" si="62"/>
        <v>19.65625</v>
      </c>
      <c r="G2004" s="8">
        <f t="shared" si="63"/>
        <v>1.965625E-2</v>
      </c>
    </row>
    <row r="2005" spans="1:7" x14ac:dyDescent="0.25">
      <c r="A2005" s="8">
        <v>26</v>
      </c>
      <c r="B2005" s="8">
        <v>70</v>
      </c>
      <c r="C2005" s="8">
        <v>5653.4677730000003</v>
      </c>
      <c r="D2005" s="8">
        <v>156688.03125</v>
      </c>
      <c r="E2005" s="8">
        <v>156699.578125</v>
      </c>
      <c r="F2005" s="8">
        <f t="shared" si="62"/>
        <v>11.546875</v>
      </c>
      <c r="G2005" s="8">
        <f t="shared" si="63"/>
        <v>1.1546875E-2</v>
      </c>
    </row>
    <row r="2006" spans="1:7" x14ac:dyDescent="0.25">
      <c r="A2006" s="8">
        <v>26</v>
      </c>
      <c r="B2006" s="8">
        <v>71</v>
      </c>
      <c r="C2006" s="8">
        <v>895.13946499999997</v>
      </c>
      <c r="D2006" s="8">
        <v>162362</v>
      </c>
      <c r="E2006" s="8">
        <v>162376.890625</v>
      </c>
      <c r="F2006" s="8">
        <f t="shared" si="62"/>
        <v>14.890625</v>
      </c>
      <c r="G2006" s="8">
        <f t="shared" si="63"/>
        <v>1.4890624999999999E-2</v>
      </c>
    </row>
    <row r="2007" spans="1:7" x14ac:dyDescent="0.25">
      <c r="A2007" s="8">
        <v>26</v>
      </c>
      <c r="B2007" s="8">
        <v>72</v>
      </c>
      <c r="C2007" s="8">
        <v>402.786407</v>
      </c>
      <c r="D2007" s="8">
        <v>163284.015625</v>
      </c>
      <c r="E2007" s="8">
        <v>163389.71875</v>
      </c>
      <c r="F2007" s="8">
        <f t="shared" si="62"/>
        <v>105.703125</v>
      </c>
      <c r="G2007" s="8">
        <f t="shared" si="63"/>
        <v>0.105703125</v>
      </c>
    </row>
    <row r="2008" spans="1:7" x14ac:dyDescent="0.25">
      <c r="A2008" s="8">
        <v>26</v>
      </c>
      <c r="B2008" s="8">
        <v>73</v>
      </c>
      <c r="C2008" s="8">
        <v>4918.1772460000002</v>
      </c>
      <c r="D2008" s="8">
        <v>163799.75</v>
      </c>
      <c r="E2008" s="8">
        <v>163809.4375</v>
      </c>
      <c r="F2008" s="8">
        <f t="shared" si="62"/>
        <v>9.6875</v>
      </c>
      <c r="G2008" s="8">
        <f t="shared" si="63"/>
        <v>9.6874999999999999E-3</v>
      </c>
    </row>
    <row r="2009" spans="1:7" x14ac:dyDescent="0.25">
      <c r="A2009" s="8">
        <v>26</v>
      </c>
      <c r="B2009" s="8">
        <v>74</v>
      </c>
      <c r="C2009" s="8">
        <v>719.54168700000002</v>
      </c>
      <c r="D2009" s="8">
        <v>168731.796875</v>
      </c>
      <c r="E2009" s="8">
        <v>168742.953125</v>
      </c>
      <c r="F2009" s="8">
        <f t="shared" si="62"/>
        <v>11.15625</v>
      </c>
      <c r="G2009" s="8">
        <f t="shared" si="63"/>
        <v>1.115625E-2</v>
      </c>
    </row>
    <row r="2010" spans="1:7" x14ac:dyDescent="0.25">
      <c r="A2010" s="8">
        <v>26</v>
      </c>
      <c r="B2010" s="8">
        <v>75</v>
      </c>
      <c r="C2010" s="8">
        <v>906.72760000000005</v>
      </c>
      <c r="D2010" s="8">
        <v>169470.375</v>
      </c>
      <c r="E2010" s="8">
        <v>169491.109375</v>
      </c>
      <c r="F2010" s="8">
        <f t="shared" si="62"/>
        <v>20.734375</v>
      </c>
      <c r="G2010" s="8">
        <f t="shared" si="63"/>
        <v>2.0734374999999999E-2</v>
      </c>
    </row>
    <row r="2011" spans="1:7" x14ac:dyDescent="0.25">
      <c r="A2011" s="8">
        <v>27</v>
      </c>
      <c r="B2011" s="8">
        <v>0</v>
      </c>
      <c r="C2011" s="8">
        <v>1808.284302</v>
      </c>
      <c r="D2011" s="8">
        <v>23552.9375</v>
      </c>
      <c r="E2011" s="8">
        <v>23566.708984000001</v>
      </c>
      <c r="F2011" s="8">
        <f t="shared" si="62"/>
        <v>13.771484000000783</v>
      </c>
      <c r="G2011" s="8">
        <f t="shared" si="63"/>
        <v>1.3771484000000783E-2</v>
      </c>
    </row>
    <row r="2012" spans="1:7" x14ac:dyDescent="0.25">
      <c r="A2012" s="8">
        <v>27</v>
      </c>
      <c r="B2012" s="8">
        <v>1</v>
      </c>
      <c r="C2012" s="8">
        <v>429.239105</v>
      </c>
      <c r="D2012" s="8">
        <v>25381.224609000001</v>
      </c>
      <c r="E2012" s="8">
        <v>25398.744140999999</v>
      </c>
      <c r="F2012" s="8">
        <f t="shared" si="62"/>
        <v>17.519531999998435</v>
      </c>
      <c r="G2012" s="8">
        <f t="shared" si="63"/>
        <v>1.7519531999998436E-2</v>
      </c>
    </row>
    <row r="2013" spans="1:7" x14ac:dyDescent="0.25">
      <c r="A2013" s="8">
        <v>27</v>
      </c>
      <c r="B2013" s="8">
        <v>2</v>
      </c>
      <c r="C2013" s="8">
        <v>408.61807299999998</v>
      </c>
      <c r="D2013" s="8">
        <v>25834.455077999999</v>
      </c>
      <c r="E2013" s="8">
        <v>25851.621093999998</v>
      </c>
      <c r="F2013" s="8">
        <f t="shared" si="62"/>
        <v>17.166015999999217</v>
      </c>
      <c r="G2013" s="8">
        <f t="shared" si="63"/>
        <v>1.7166015999999219E-2</v>
      </c>
    </row>
    <row r="2014" spans="1:7" x14ac:dyDescent="0.25">
      <c r="A2014" s="8">
        <v>27</v>
      </c>
      <c r="B2014" s="8">
        <v>3</v>
      </c>
      <c r="C2014" s="8">
        <v>584.43853799999999</v>
      </c>
      <c r="D2014" s="8">
        <v>26273.535156000002</v>
      </c>
      <c r="E2014" s="8">
        <v>26298.162109000001</v>
      </c>
      <c r="F2014" s="8">
        <f t="shared" si="62"/>
        <v>24.626952999999048</v>
      </c>
      <c r="G2014" s="8">
        <f t="shared" si="63"/>
        <v>2.4626952999999049E-2</v>
      </c>
    </row>
    <row r="2015" spans="1:7" x14ac:dyDescent="0.25">
      <c r="A2015" s="8">
        <v>27</v>
      </c>
      <c r="B2015" s="8">
        <v>4</v>
      </c>
      <c r="C2015" s="8">
        <v>482.518372</v>
      </c>
      <c r="D2015" s="8">
        <v>26883.779297000001</v>
      </c>
      <c r="E2015" s="8">
        <v>26901.175781000002</v>
      </c>
      <c r="F2015" s="8">
        <f t="shared" si="62"/>
        <v>17.396484000000783</v>
      </c>
      <c r="G2015" s="8">
        <f t="shared" si="63"/>
        <v>1.7396484000000781E-2</v>
      </c>
    </row>
    <row r="2016" spans="1:7" x14ac:dyDescent="0.25">
      <c r="A2016" s="8">
        <v>27</v>
      </c>
      <c r="B2016" s="8">
        <v>5</v>
      </c>
      <c r="C2016" s="8">
        <v>1156.099976</v>
      </c>
      <c r="D2016" s="8">
        <v>27383.835938</v>
      </c>
      <c r="E2016" s="8">
        <v>27397.800781000002</v>
      </c>
      <c r="F2016" s="8">
        <f t="shared" si="62"/>
        <v>13.964843000001565</v>
      </c>
      <c r="G2016" s="8">
        <f t="shared" si="63"/>
        <v>1.3964843000001566E-2</v>
      </c>
    </row>
    <row r="2017" spans="1:7" x14ac:dyDescent="0.25">
      <c r="A2017" s="8">
        <v>27</v>
      </c>
      <c r="B2017" s="8">
        <v>6</v>
      </c>
      <c r="C2017" s="8">
        <v>252.75299100000001</v>
      </c>
      <c r="D2017" s="8">
        <v>28558.927734000001</v>
      </c>
      <c r="E2017" s="8">
        <v>28574.294922000001</v>
      </c>
      <c r="F2017" s="8">
        <f t="shared" si="62"/>
        <v>15.367188000000169</v>
      </c>
      <c r="G2017" s="8">
        <f t="shared" si="63"/>
        <v>1.5367188000000169E-2</v>
      </c>
    </row>
    <row r="2018" spans="1:7" x14ac:dyDescent="0.25">
      <c r="A2018" s="8">
        <v>27</v>
      </c>
      <c r="B2018" s="8">
        <v>7</v>
      </c>
      <c r="C2018" s="8">
        <v>1346.5898440000001</v>
      </c>
      <c r="D2018" s="8">
        <v>28840.128906000002</v>
      </c>
      <c r="E2018" s="8">
        <v>28854.126952999999</v>
      </c>
      <c r="F2018" s="8">
        <f t="shared" si="62"/>
        <v>13.998046999997314</v>
      </c>
      <c r="G2018" s="8">
        <f t="shared" si="63"/>
        <v>1.3998046999997314E-2</v>
      </c>
    </row>
    <row r="2019" spans="1:7" x14ac:dyDescent="0.25">
      <c r="A2019" s="8">
        <v>27</v>
      </c>
      <c r="B2019" s="8">
        <v>8</v>
      </c>
      <c r="C2019" s="8">
        <v>526.58496100000002</v>
      </c>
      <c r="D2019" s="8">
        <v>30202.945313</v>
      </c>
      <c r="E2019" s="8">
        <v>30210.652343999998</v>
      </c>
      <c r="F2019" s="8">
        <f t="shared" si="62"/>
        <v>7.7070309999980964</v>
      </c>
      <c r="G2019" s="8">
        <f t="shared" si="63"/>
        <v>7.7070309999980966E-3</v>
      </c>
    </row>
    <row r="2020" spans="1:7" x14ac:dyDescent="0.25">
      <c r="A2020" s="8">
        <v>27</v>
      </c>
      <c r="B2020" s="8">
        <v>9</v>
      </c>
      <c r="C2020" s="8">
        <v>2290.4304200000001</v>
      </c>
      <c r="D2020" s="8">
        <v>30751.378906000002</v>
      </c>
      <c r="E2020" s="8">
        <v>30766.248047000001</v>
      </c>
      <c r="F2020" s="8">
        <f t="shared" si="62"/>
        <v>14.869140999999217</v>
      </c>
      <c r="G2020" s="8">
        <f t="shared" si="63"/>
        <v>1.4869140999999218E-2</v>
      </c>
    </row>
    <row r="2021" spans="1:7" x14ac:dyDescent="0.25">
      <c r="A2021" s="8">
        <v>27</v>
      </c>
      <c r="B2021" s="8">
        <v>10</v>
      </c>
      <c r="C2021" s="8">
        <v>175.24941999999999</v>
      </c>
      <c r="D2021" s="8">
        <v>33066.816405999998</v>
      </c>
      <c r="E2021" s="8">
        <v>33075.542969000002</v>
      </c>
      <c r="F2021" s="8">
        <f t="shared" si="62"/>
        <v>8.7265630000038072</v>
      </c>
      <c r="G2021" s="8">
        <f t="shared" si="63"/>
        <v>8.7265630000038074E-3</v>
      </c>
    </row>
    <row r="2022" spans="1:7" x14ac:dyDescent="0.25">
      <c r="A2022" s="8">
        <v>27</v>
      </c>
      <c r="B2022" s="8">
        <v>11</v>
      </c>
      <c r="C2022" s="8">
        <v>3073.639893</v>
      </c>
      <c r="D2022" s="8">
        <v>33254.308594000002</v>
      </c>
      <c r="E2022" s="8">
        <v>33276.824219000002</v>
      </c>
      <c r="F2022" s="8">
        <f t="shared" si="62"/>
        <v>22.515625</v>
      </c>
      <c r="G2022" s="8">
        <f t="shared" si="63"/>
        <v>2.2515625000000001E-2</v>
      </c>
    </row>
    <row r="2023" spans="1:7" x14ac:dyDescent="0.25">
      <c r="A2023" s="8">
        <v>27</v>
      </c>
      <c r="B2023" s="8">
        <v>12</v>
      </c>
      <c r="C2023" s="8">
        <v>6471.1103519999997</v>
      </c>
      <c r="D2023" s="8">
        <v>36358.292969000002</v>
      </c>
      <c r="E2023" s="8">
        <v>36366.015625</v>
      </c>
      <c r="F2023" s="8">
        <f t="shared" si="62"/>
        <v>7.7226559999980964</v>
      </c>
      <c r="G2023" s="8">
        <f t="shared" si="63"/>
        <v>7.7226559999980966E-3</v>
      </c>
    </row>
    <row r="2024" spans="1:7" x14ac:dyDescent="0.25">
      <c r="A2024" s="8">
        <v>27</v>
      </c>
      <c r="B2024" s="8">
        <v>13</v>
      </c>
      <c r="C2024" s="8">
        <v>201.33659399999999</v>
      </c>
      <c r="D2024" s="8">
        <v>42845.222655999998</v>
      </c>
      <c r="E2024" s="8">
        <v>42854.332030999998</v>
      </c>
      <c r="F2024" s="8">
        <f t="shared" si="62"/>
        <v>9.109375</v>
      </c>
      <c r="G2024" s="8">
        <f t="shared" si="63"/>
        <v>9.1093749999999994E-3</v>
      </c>
    </row>
    <row r="2025" spans="1:7" x14ac:dyDescent="0.25">
      <c r="A2025" s="8">
        <v>27</v>
      </c>
      <c r="B2025" s="8">
        <v>14</v>
      </c>
      <c r="C2025" s="8">
        <v>2460.5329590000001</v>
      </c>
      <c r="D2025" s="8">
        <v>43068.546875</v>
      </c>
      <c r="E2025" s="8">
        <v>43080.273437999997</v>
      </c>
      <c r="F2025" s="8">
        <f t="shared" si="62"/>
        <v>11.726562999996531</v>
      </c>
      <c r="G2025" s="8">
        <f t="shared" si="63"/>
        <v>1.1726562999996531E-2</v>
      </c>
    </row>
    <row r="2026" spans="1:7" x14ac:dyDescent="0.25">
      <c r="A2026" s="8">
        <v>27</v>
      </c>
      <c r="B2026" s="8">
        <v>15</v>
      </c>
      <c r="C2026" s="8">
        <v>731.472534</v>
      </c>
      <c r="D2026" s="8">
        <v>45553.214844000002</v>
      </c>
      <c r="E2026" s="8">
        <v>45567.96875</v>
      </c>
      <c r="F2026" s="8">
        <f t="shared" si="62"/>
        <v>14.753905999998096</v>
      </c>
      <c r="G2026" s="8">
        <f t="shared" si="63"/>
        <v>1.4753905999998096E-2</v>
      </c>
    </row>
    <row r="2027" spans="1:7" x14ac:dyDescent="0.25">
      <c r="A2027" s="8">
        <v>27</v>
      </c>
      <c r="B2027" s="8">
        <v>16</v>
      </c>
      <c r="C2027" s="8">
        <v>566.61425799999995</v>
      </c>
      <c r="D2027" s="8">
        <v>46311.328125</v>
      </c>
      <c r="E2027" s="8">
        <v>46320.1875</v>
      </c>
      <c r="F2027" s="8">
        <f t="shared" si="62"/>
        <v>8.859375</v>
      </c>
      <c r="G2027" s="8">
        <f t="shared" si="63"/>
        <v>8.8593749999999992E-3</v>
      </c>
    </row>
    <row r="2028" spans="1:7" x14ac:dyDescent="0.25">
      <c r="A2028" s="8">
        <v>27</v>
      </c>
      <c r="B2028" s="8">
        <v>17</v>
      </c>
      <c r="C2028" s="8">
        <v>1826.6087649999999</v>
      </c>
      <c r="D2028" s="8">
        <v>46891.332030999998</v>
      </c>
      <c r="E2028" s="8">
        <v>46911.578125</v>
      </c>
      <c r="F2028" s="8">
        <f t="shared" si="62"/>
        <v>20.246094000001904</v>
      </c>
      <c r="G2028" s="8">
        <f t="shared" si="63"/>
        <v>2.0246094000001904E-2</v>
      </c>
    </row>
    <row r="2029" spans="1:7" x14ac:dyDescent="0.25">
      <c r="A2029" s="8">
        <v>27</v>
      </c>
      <c r="B2029" s="8">
        <v>18</v>
      </c>
      <c r="C2029" s="8">
        <v>951.60125700000003</v>
      </c>
      <c r="D2029" s="8">
        <v>48751.652344000002</v>
      </c>
      <c r="E2029" s="8">
        <v>48768.773437999997</v>
      </c>
      <c r="F2029" s="8">
        <f t="shared" si="62"/>
        <v>17.121093999994628</v>
      </c>
      <c r="G2029" s="8">
        <f t="shared" si="63"/>
        <v>1.7121093999994629E-2</v>
      </c>
    </row>
    <row r="2030" spans="1:7" x14ac:dyDescent="0.25">
      <c r="A2030" s="8">
        <v>27</v>
      </c>
      <c r="B2030" s="8">
        <v>19</v>
      </c>
      <c r="C2030" s="8">
        <v>6595.951172</v>
      </c>
      <c r="D2030" s="8">
        <v>49733.117187999997</v>
      </c>
      <c r="E2030" s="8">
        <v>49758.597655999998</v>
      </c>
      <c r="F2030" s="8">
        <f t="shared" si="62"/>
        <v>25.480468000001565</v>
      </c>
      <c r="G2030" s="8">
        <f t="shared" si="63"/>
        <v>2.5480468000001564E-2</v>
      </c>
    </row>
    <row r="2031" spans="1:7" x14ac:dyDescent="0.25">
      <c r="A2031" s="8">
        <v>27</v>
      </c>
      <c r="B2031" s="8">
        <v>20</v>
      </c>
      <c r="C2031" s="8">
        <v>2054.3740229999999</v>
      </c>
      <c r="D2031" s="8">
        <v>56363.15625</v>
      </c>
      <c r="E2031" s="8">
        <v>56386.023437999997</v>
      </c>
      <c r="F2031" s="8">
        <f t="shared" si="62"/>
        <v>22.867187999996531</v>
      </c>
      <c r="G2031" s="8">
        <f t="shared" si="63"/>
        <v>2.2867187999996531E-2</v>
      </c>
    </row>
    <row r="2032" spans="1:7" x14ac:dyDescent="0.25">
      <c r="A2032" s="8">
        <v>27</v>
      </c>
      <c r="B2032" s="8">
        <v>21</v>
      </c>
      <c r="C2032" s="8">
        <v>440.54257200000001</v>
      </c>
      <c r="D2032" s="8">
        <v>58447.21875</v>
      </c>
      <c r="E2032" s="8">
        <v>58454.953125</v>
      </c>
      <c r="F2032" s="8">
        <f t="shared" si="62"/>
        <v>7.734375</v>
      </c>
      <c r="G2032" s="8">
        <f t="shared" si="63"/>
        <v>7.7343749999999999E-3</v>
      </c>
    </row>
    <row r="2033" spans="1:7" x14ac:dyDescent="0.25">
      <c r="A2033" s="8">
        <v>27</v>
      </c>
      <c r="B2033" s="8">
        <v>22</v>
      </c>
      <c r="C2033" s="8">
        <v>1760.4697269999999</v>
      </c>
      <c r="D2033" s="8">
        <v>58903.582030999998</v>
      </c>
      <c r="E2033" s="8">
        <v>58917.457030999998</v>
      </c>
      <c r="F2033" s="8">
        <f t="shared" si="62"/>
        <v>13.875</v>
      </c>
      <c r="G2033" s="8">
        <f t="shared" si="63"/>
        <v>1.3875E-2</v>
      </c>
    </row>
    <row r="2034" spans="1:7" x14ac:dyDescent="0.25">
      <c r="A2034" s="8">
        <v>27</v>
      </c>
      <c r="B2034" s="8">
        <v>23</v>
      </c>
      <c r="C2034" s="8">
        <v>603.578125</v>
      </c>
      <c r="D2034" s="8">
        <v>60685.015625</v>
      </c>
      <c r="E2034" s="8">
        <v>60699.636719000002</v>
      </c>
      <c r="F2034" s="8">
        <f t="shared" si="62"/>
        <v>14.621094000001904</v>
      </c>
      <c r="G2034" s="8">
        <f t="shared" si="63"/>
        <v>1.4621094000001904E-2</v>
      </c>
    </row>
    <row r="2035" spans="1:7" x14ac:dyDescent="0.25">
      <c r="A2035" s="8">
        <v>27</v>
      </c>
      <c r="B2035" s="8">
        <v>24</v>
      </c>
      <c r="C2035" s="8">
        <v>480.42172199999999</v>
      </c>
      <c r="D2035" s="8">
        <v>61310.101562999997</v>
      </c>
      <c r="E2035" s="8">
        <v>61331.007812999997</v>
      </c>
      <c r="F2035" s="8">
        <f t="shared" si="62"/>
        <v>20.90625</v>
      </c>
      <c r="G2035" s="8">
        <f t="shared" si="63"/>
        <v>2.0906250000000001E-2</v>
      </c>
    </row>
    <row r="2036" spans="1:7" x14ac:dyDescent="0.25">
      <c r="A2036" s="8">
        <v>27</v>
      </c>
      <c r="B2036" s="8">
        <v>25</v>
      </c>
      <c r="C2036" s="8">
        <v>1161.8748780000001</v>
      </c>
      <c r="D2036" s="8">
        <v>61825.773437999997</v>
      </c>
      <c r="E2036" s="8">
        <v>61833.675780999998</v>
      </c>
      <c r="F2036" s="8">
        <f t="shared" si="62"/>
        <v>7.9023430000015651</v>
      </c>
      <c r="G2036" s="8">
        <f t="shared" si="63"/>
        <v>7.9023430000015656E-3</v>
      </c>
    </row>
    <row r="2037" spans="1:7" x14ac:dyDescent="0.25">
      <c r="A2037" s="8">
        <v>27</v>
      </c>
      <c r="B2037" s="8">
        <v>26</v>
      </c>
      <c r="C2037" s="8">
        <v>5462.8471680000002</v>
      </c>
      <c r="D2037" s="8">
        <v>63001.066405999998</v>
      </c>
      <c r="E2037" s="8">
        <v>63014.863280999998</v>
      </c>
      <c r="F2037" s="8">
        <f t="shared" si="62"/>
        <v>13.796875</v>
      </c>
      <c r="G2037" s="8">
        <f t="shared" si="63"/>
        <v>1.3796875E-2</v>
      </c>
    </row>
    <row r="2038" spans="1:7" x14ac:dyDescent="0.25">
      <c r="A2038" s="8">
        <v>27</v>
      </c>
      <c r="B2038" s="8">
        <v>27</v>
      </c>
      <c r="C2038" s="8">
        <v>263.51702899999998</v>
      </c>
      <c r="D2038" s="8">
        <v>68482.90625</v>
      </c>
      <c r="E2038" s="8">
        <v>68490.617188000004</v>
      </c>
      <c r="F2038" s="8">
        <f t="shared" si="62"/>
        <v>7.7109380000038072</v>
      </c>
      <c r="G2038" s="8">
        <f t="shared" si="63"/>
        <v>7.7109380000038074E-3</v>
      </c>
    </row>
    <row r="2039" spans="1:7" x14ac:dyDescent="0.25">
      <c r="A2039" s="8">
        <v>27</v>
      </c>
      <c r="B2039" s="8">
        <v>28</v>
      </c>
      <c r="C2039" s="8">
        <v>1197.4338379999999</v>
      </c>
      <c r="D2039" s="8">
        <v>68764.148438000004</v>
      </c>
      <c r="E2039" s="8">
        <v>68789.296875</v>
      </c>
      <c r="F2039" s="8">
        <f t="shared" si="62"/>
        <v>25.148436999996193</v>
      </c>
      <c r="G2039" s="8">
        <f t="shared" si="63"/>
        <v>2.5148436999996193E-2</v>
      </c>
    </row>
    <row r="2040" spans="1:7" x14ac:dyDescent="0.25">
      <c r="A2040" s="8">
        <v>27</v>
      </c>
      <c r="B2040" s="8">
        <v>29</v>
      </c>
      <c r="C2040" s="8">
        <v>1691.607178</v>
      </c>
      <c r="D2040" s="8">
        <v>69999.023438000004</v>
      </c>
      <c r="E2040" s="8">
        <v>70023.671875</v>
      </c>
      <c r="F2040" s="8">
        <f t="shared" si="62"/>
        <v>24.648436999996193</v>
      </c>
      <c r="G2040" s="8">
        <f t="shared" si="63"/>
        <v>2.4648436999996193E-2</v>
      </c>
    </row>
    <row r="2041" spans="1:7" x14ac:dyDescent="0.25">
      <c r="A2041" s="8">
        <v>27</v>
      </c>
      <c r="B2041" s="8">
        <v>30</v>
      </c>
      <c r="C2041" s="8">
        <v>137.03990200000001</v>
      </c>
      <c r="D2041" s="8">
        <v>71729.484375</v>
      </c>
      <c r="E2041" s="8">
        <v>71748.617188000004</v>
      </c>
      <c r="F2041" s="8">
        <f t="shared" si="62"/>
        <v>19.132813000003807</v>
      </c>
      <c r="G2041" s="8">
        <f t="shared" si="63"/>
        <v>1.9132813000003808E-2</v>
      </c>
    </row>
    <row r="2042" spans="1:7" x14ac:dyDescent="0.25">
      <c r="A2042" s="8">
        <v>27</v>
      </c>
      <c r="B2042" s="8">
        <v>31</v>
      </c>
      <c r="C2042" s="8">
        <v>58.779507000000002</v>
      </c>
      <c r="D2042" s="8">
        <v>71901.40625</v>
      </c>
      <c r="E2042" s="8">
        <v>71910.273438000004</v>
      </c>
      <c r="F2042" s="8">
        <f t="shared" si="62"/>
        <v>8.8671880000038072</v>
      </c>
      <c r="G2042" s="8">
        <f t="shared" si="63"/>
        <v>8.8671880000038075E-3</v>
      </c>
    </row>
    <row r="2043" spans="1:7" x14ac:dyDescent="0.25">
      <c r="A2043" s="8">
        <v>27</v>
      </c>
      <c r="B2043" s="8">
        <v>32</v>
      </c>
      <c r="C2043" s="8">
        <v>547.10125700000003</v>
      </c>
      <c r="D2043" s="8">
        <v>71979.53125</v>
      </c>
      <c r="E2043" s="8">
        <v>72006.335938000004</v>
      </c>
      <c r="F2043" s="8">
        <f t="shared" si="62"/>
        <v>26.804688000003807</v>
      </c>
      <c r="G2043" s="8">
        <f t="shared" si="63"/>
        <v>2.6804688000003806E-2</v>
      </c>
    </row>
    <row r="2044" spans="1:7" x14ac:dyDescent="0.25">
      <c r="A2044" s="8">
        <v>27</v>
      </c>
      <c r="B2044" s="8">
        <v>33</v>
      </c>
      <c r="C2044" s="8">
        <v>1289.141357</v>
      </c>
      <c r="D2044" s="8">
        <v>72560.46875</v>
      </c>
      <c r="E2044" s="8">
        <v>72592.546875</v>
      </c>
      <c r="F2044" s="8">
        <f t="shared" si="62"/>
        <v>32.078125</v>
      </c>
      <c r="G2044" s="8">
        <f t="shared" si="63"/>
        <v>3.2078124999999999E-2</v>
      </c>
    </row>
    <row r="2045" spans="1:7" x14ac:dyDescent="0.25">
      <c r="A2045" s="8">
        <v>27</v>
      </c>
      <c r="B2045" s="8">
        <v>34</v>
      </c>
      <c r="C2045" s="8">
        <v>395.78121900000002</v>
      </c>
      <c r="D2045" s="8">
        <v>73888.742188000004</v>
      </c>
      <c r="E2045" s="8">
        <v>73903.421875</v>
      </c>
      <c r="F2045" s="8">
        <f t="shared" si="62"/>
        <v>14.679686999996193</v>
      </c>
      <c r="G2045" s="8">
        <f t="shared" si="63"/>
        <v>1.4679686999996193E-2</v>
      </c>
    </row>
    <row r="2046" spans="1:7" x14ac:dyDescent="0.25">
      <c r="A2046" s="8">
        <v>27</v>
      </c>
      <c r="B2046" s="8">
        <v>35</v>
      </c>
      <c r="C2046" s="8">
        <v>696.66937299999995</v>
      </c>
      <c r="D2046" s="8">
        <v>74312.65625</v>
      </c>
      <c r="E2046" s="8">
        <v>74324.296875</v>
      </c>
      <c r="F2046" s="8">
        <f t="shared" si="62"/>
        <v>11.640625</v>
      </c>
      <c r="G2046" s="8">
        <f t="shared" si="63"/>
        <v>1.1640625E-2</v>
      </c>
    </row>
    <row r="2047" spans="1:7" x14ac:dyDescent="0.25">
      <c r="A2047" s="8">
        <v>27</v>
      </c>
      <c r="B2047" s="8">
        <v>36</v>
      </c>
      <c r="C2047" s="8">
        <v>944.83508300000005</v>
      </c>
      <c r="D2047" s="8">
        <v>75025.09375</v>
      </c>
      <c r="E2047" s="8">
        <v>75048.859375</v>
      </c>
      <c r="F2047" s="8">
        <f t="shared" si="62"/>
        <v>23.765625</v>
      </c>
      <c r="G2047" s="8">
        <f t="shared" si="63"/>
        <v>2.3765624999999999E-2</v>
      </c>
    </row>
    <row r="2048" spans="1:7" x14ac:dyDescent="0.25">
      <c r="A2048" s="8">
        <v>27</v>
      </c>
      <c r="B2048" s="8">
        <v>37</v>
      </c>
      <c r="C2048" s="8">
        <v>43.313640999999997</v>
      </c>
      <c r="D2048" s="8">
        <v>76007.046875</v>
      </c>
      <c r="E2048" s="8">
        <v>76027.203125</v>
      </c>
      <c r="F2048" s="8">
        <f t="shared" si="62"/>
        <v>20.15625</v>
      </c>
      <c r="G2048" s="8">
        <f t="shared" si="63"/>
        <v>2.0156250000000001E-2</v>
      </c>
    </row>
    <row r="2049" spans="1:7" x14ac:dyDescent="0.25">
      <c r="A2049" s="8">
        <v>27</v>
      </c>
      <c r="B2049" s="8">
        <v>38</v>
      </c>
      <c r="C2049" s="8">
        <v>1019.434692</v>
      </c>
      <c r="D2049" s="8">
        <v>76085.117188000004</v>
      </c>
      <c r="E2049" s="8">
        <v>76099.773438000004</v>
      </c>
      <c r="F2049" s="8">
        <f t="shared" si="62"/>
        <v>14.65625</v>
      </c>
      <c r="G2049" s="8">
        <f t="shared" si="63"/>
        <v>1.4656249999999999E-2</v>
      </c>
    </row>
    <row r="2050" spans="1:7" x14ac:dyDescent="0.25">
      <c r="A2050" s="8">
        <v>27</v>
      </c>
      <c r="B2050" s="8">
        <v>39</v>
      </c>
      <c r="C2050" s="8">
        <v>3951.6687010000001</v>
      </c>
      <c r="D2050" s="8">
        <v>77132.09375</v>
      </c>
      <c r="E2050" s="8">
        <v>77147.695313000004</v>
      </c>
      <c r="F2050" s="8">
        <f t="shared" si="62"/>
        <v>15.601563000003807</v>
      </c>
      <c r="G2050" s="8">
        <f t="shared" si="63"/>
        <v>1.5601563000003807E-2</v>
      </c>
    </row>
    <row r="2051" spans="1:7" x14ac:dyDescent="0.25">
      <c r="A2051" s="8">
        <v>27</v>
      </c>
      <c r="B2051" s="8">
        <v>40</v>
      </c>
      <c r="C2051" s="8">
        <v>1768.581543</v>
      </c>
      <c r="D2051" s="8">
        <v>81114.46875</v>
      </c>
      <c r="E2051" s="8">
        <v>81127.429688000004</v>
      </c>
      <c r="F2051" s="8">
        <f t="shared" si="62"/>
        <v>12.960938000003807</v>
      </c>
      <c r="G2051" s="8">
        <f t="shared" si="63"/>
        <v>1.2960938000003808E-2</v>
      </c>
    </row>
    <row r="2052" spans="1:7" x14ac:dyDescent="0.25">
      <c r="A2052" s="8">
        <v>27</v>
      </c>
      <c r="B2052" s="8">
        <v>41</v>
      </c>
      <c r="C2052" s="8">
        <v>4211.2612300000001</v>
      </c>
      <c r="D2052" s="8">
        <v>82901.859375</v>
      </c>
      <c r="E2052" s="8">
        <v>82929.757813000004</v>
      </c>
      <c r="F2052" s="8">
        <f t="shared" si="62"/>
        <v>27.898438000003807</v>
      </c>
      <c r="G2052" s="8">
        <f t="shared" si="63"/>
        <v>2.7898438000003807E-2</v>
      </c>
    </row>
    <row r="2053" spans="1:7" x14ac:dyDescent="0.25">
      <c r="A2053" s="8">
        <v>27</v>
      </c>
      <c r="B2053" s="8">
        <v>42</v>
      </c>
      <c r="C2053" s="8">
        <v>2344.2905270000001</v>
      </c>
      <c r="D2053" s="8">
        <v>87143.335938000004</v>
      </c>
      <c r="E2053" s="8">
        <v>87167.9375</v>
      </c>
      <c r="F2053" s="8">
        <f t="shared" si="62"/>
        <v>24.601561999996193</v>
      </c>
      <c r="G2053" s="8">
        <f t="shared" si="63"/>
        <v>2.4601561999996194E-2</v>
      </c>
    </row>
    <row r="2054" spans="1:7" x14ac:dyDescent="0.25">
      <c r="A2054" s="8">
        <v>27</v>
      </c>
      <c r="B2054" s="8">
        <v>43</v>
      </c>
      <c r="C2054" s="8">
        <v>1109.535034</v>
      </c>
      <c r="D2054" s="8">
        <v>89521.882813000004</v>
      </c>
      <c r="E2054" s="8">
        <v>89535.6875</v>
      </c>
      <c r="F2054" s="8">
        <f t="shared" si="62"/>
        <v>13.804686999996193</v>
      </c>
      <c r="G2054" s="8">
        <f t="shared" si="63"/>
        <v>1.3804686999996194E-2</v>
      </c>
    </row>
    <row r="2055" spans="1:7" x14ac:dyDescent="0.25">
      <c r="A2055" s="8">
        <v>27</v>
      </c>
      <c r="B2055" s="8">
        <v>44</v>
      </c>
      <c r="C2055" s="8">
        <v>1456.1676030000001</v>
      </c>
      <c r="D2055" s="8">
        <v>90651.726563000004</v>
      </c>
      <c r="E2055" s="8">
        <v>90669.859375</v>
      </c>
      <c r="F2055" s="8">
        <f t="shared" si="62"/>
        <v>18.132811999996193</v>
      </c>
      <c r="G2055" s="8">
        <f t="shared" si="63"/>
        <v>1.8132811999996192E-2</v>
      </c>
    </row>
    <row r="2056" spans="1:7" x14ac:dyDescent="0.25">
      <c r="A2056" s="8">
        <v>27</v>
      </c>
      <c r="B2056" s="8">
        <v>45</v>
      </c>
      <c r="C2056" s="8">
        <v>1057.0798339999999</v>
      </c>
      <c r="D2056" s="8">
        <v>92136.195313000004</v>
      </c>
      <c r="E2056" s="8">
        <v>92152.890625</v>
      </c>
      <c r="F2056" s="8">
        <f t="shared" si="62"/>
        <v>16.695311999996193</v>
      </c>
      <c r="G2056" s="8">
        <f t="shared" si="63"/>
        <v>1.6695311999996194E-2</v>
      </c>
    </row>
    <row r="2057" spans="1:7" x14ac:dyDescent="0.25">
      <c r="A2057" s="8">
        <v>27</v>
      </c>
      <c r="B2057" s="8">
        <v>46</v>
      </c>
      <c r="C2057" s="8">
        <v>1573.974976</v>
      </c>
      <c r="D2057" s="8">
        <v>93216.578125</v>
      </c>
      <c r="E2057" s="8">
        <v>93233.75</v>
      </c>
      <c r="F2057" s="8">
        <f t="shared" si="62"/>
        <v>17.171875</v>
      </c>
      <c r="G2057" s="8">
        <f t="shared" si="63"/>
        <v>1.7171875E-2</v>
      </c>
    </row>
    <row r="2058" spans="1:7" x14ac:dyDescent="0.25">
      <c r="A2058" s="8">
        <v>27</v>
      </c>
      <c r="B2058" s="8">
        <v>47</v>
      </c>
      <c r="C2058" s="8">
        <v>570.75103799999999</v>
      </c>
      <c r="D2058" s="8">
        <v>94811.46875</v>
      </c>
      <c r="E2058" s="8">
        <v>94825.101563000004</v>
      </c>
      <c r="F2058" s="8">
        <f t="shared" si="62"/>
        <v>13.632813000003807</v>
      </c>
      <c r="G2058" s="8">
        <f t="shared" si="63"/>
        <v>1.3632813000003807E-2</v>
      </c>
    </row>
    <row r="2059" spans="1:7" x14ac:dyDescent="0.25">
      <c r="A2059" s="8">
        <v>27</v>
      </c>
      <c r="B2059" s="8">
        <v>48</v>
      </c>
      <c r="C2059" s="8">
        <v>2225.1291500000002</v>
      </c>
      <c r="D2059" s="8">
        <v>95406.078125</v>
      </c>
      <c r="E2059" s="8">
        <v>95420.601563000004</v>
      </c>
      <c r="F2059" s="8">
        <f t="shared" ref="F2059:F2122" si="64">E2059-D2059</f>
        <v>14.523438000003807</v>
      </c>
      <c r="G2059" s="8">
        <f t="shared" ref="G2059:G2122" si="65">F2059/1000</f>
        <v>1.4523438000003807E-2</v>
      </c>
    </row>
    <row r="2060" spans="1:7" x14ac:dyDescent="0.25">
      <c r="A2060" s="8">
        <v>27</v>
      </c>
      <c r="B2060" s="8">
        <v>49</v>
      </c>
      <c r="C2060" s="8">
        <v>2738.6369629999999</v>
      </c>
      <c r="D2060" s="8">
        <v>97653.5625</v>
      </c>
      <c r="E2060" s="8">
        <v>97676.28125</v>
      </c>
      <c r="F2060" s="8">
        <f t="shared" si="64"/>
        <v>22.71875</v>
      </c>
      <c r="G2060" s="8">
        <f t="shared" si="65"/>
        <v>2.2718749999999999E-2</v>
      </c>
    </row>
    <row r="2061" spans="1:7" x14ac:dyDescent="0.25">
      <c r="A2061" s="8">
        <v>27</v>
      </c>
      <c r="B2061" s="8">
        <v>50</v>
      </c>
      <c r="C2061" s="8">
        <v>349.52654999999999</v>
      </c>
      <c r="D2061" s="8">
        <v>100417.046875</v>
      </c>
      <c r="E2061" s="8">
        <v>100426.492188</v>
      </c>
      <c r="F2061" s="8">
        <f t="shared" si="64"/>
        <v>9.4453130000038072</v>
      </c>
      <c r="G2061" s="8">
        <f t="shared" si="65"/>
        <v>9.445313000003808E-3</v>
      </c>
    </row>
    <row r="2062" spans="1:7" x14ac:dyDescent="0.25">
      <c r="A2062" s="8">
        <v>27</v>
      </c>
      <c r="B2062" s="8">
        <v>51</v>
      </c>
      <c r="C2062" s="8">
        <v>1375.5200199999999</v>
      </c>
      <c r="D2062" s="8">
        <v>100776.460938</v>
      </c>
      <c r="E2062" s="8">
        <v>100784.210938</v>
      </c>
      <c r="F2062" s="8">
        <f t="shared" si="64"/>
        <v>7.75</v>
      </c>
      <c r="G2062" s="8">
        <f t="shared" si="65"/>
        <v>7.7499999999999999E-3</v>
      </c>
    </row>
    <row r="2063" spans="1:7" x14ac:dyDescent="0.25">
      <c r="A2063" s="8">
        <v>27</v>
      </c>
      <c r="B2063" s="8">
        <v>52</v>
      </c>
      <c r="C2063" s="8">
        <v>2854.2531739999999</v>
      </c>
      <c r="D2063" s="8">
        <v>102166.914063</v>
      </c>
      <c r="E2063" s="8">
        <v>102180.84375</v>
      </c>
      <c r="F2063" s="8">
        <f t="shared" si="64"/>
        <v>13.929686999996193</v>
      </c>
      <c r="G2063" s="8">
        <f t="shared" si="65"/>
        <v>1.3929686999996192E-2</v>
      </c>
    </row>
    <row r="2064" spans="1:7" x14ac:dyDescent="0.25">
      <c r="A2064" s="8">
        <v>27</v>
      </c>
      <c r="B2064" s="8">
        <v>53</v>
      </c>
      <c r="C2064" s="8">
        <v>1847.099731</v>
      </c>
      <c r="D2064" s="8">
        <v>105050.34375</v>
      </c>
      <c r="E2064" s="8">
        <v>105067.789063</v>
      </c>
      <c r="F2064" s="8">
        <f t="shared" si="64"/>
        <v>17.445313000003807</v>
      </c>
      <c r="G2064" s="8">
        <f t="shared" si="65"/>
        <v>1.7445313000003806E-2</v>
      </c>
    </row>
    <row r="2065" spans="1:7" x14ac:dyDescent="0.25">
      <c r="A2065" s="8">
        <v>27</v>
      </c>
      <c r="B2065" s="8">
        <v>54</v>
      </c>
      <c r="C2065" s="8">
        <v>790.13354500000003</v>
      </c>
      <c r="D2065" s="8">
        <v>106922.304688</v>
      </c>
      <c r="E2065" s="8">
        <v>106936.335938</v>
      </c>
      <c r="F2065" s="8">
        <f t="shared" si="64"/>
        <v>14.03125</v>
      </c>
      <c r="G2065" s="8">
        <f t="shared" si="65"/>
        <v>1.403125E-2</v>
      </c>
    </row>
    <row r="2066" spans="1:7" x14ac:dyDescent="0.25">
      <c r="A2066" s="8">
        <v>27</v>
      </c>
      <c r="B2066" s="8">
        <v>55</v>
      </c>
      <c r="C2066" s="8">
        <v>1248.9639890000001</v>
      </c>
      <c r="D2066" s="8">
        <v>107735.273438</v>
      </c>
      <c r="E2066" s="8">
        <v>107756.984375</v>
      </c>
      <c r="F2066" s="8">
        <f t="shared" si="64"/>
        <v>21.710936999996193</v>
      </c>
      <c r="G2066" s="8">
        <f t="shared" si="65"/>
        <v>2.1710936999996194E-2</v>
      </c>
    </row>
    <row r="2067" spans="1:7" x14ac:dyDescent="0.25">
      <c r="A2067" s="8">
        <v>27</v>
      </c>
      <c r="B2067" s="8">
        <v>56</v>
      </c>
      <c r="C2067" s="8">
        <v>1123.1876219999999</v>
      </c>
      <c r="D2067" s="8">
        <v>109016.84375</v>
      </c>
      <c r="E2067" s="8">
        <v>109034.546875</v>
      </c>
      <c r="F2067" s="8">
        <f t="shared" si="64"/>
        <v>17.703125</v>
      </c>
      <c r="G2067" s="8">
        <f t="shared" si="65"/>
        <v>1.7703125E-2</v>
      </c>
    </row>
    <row r="2068" spans="1:7" x14ac:dyDescent="0.25">
      <c r="A2068" s="8">
        <v>27</v>
      </c>
      <c r="B2068" s="8">
        <v>57</v>
      </c>
      <c r="C2068" s="8">
        <v>7809.8745120000003</v>
      </c>
      <c r="D2068" s="8">
        <v>110158.1875</v>
      </c>
      <c r="E2068" s="8">
        <v>110178.382813</v>
      </c>
      <c r="F2068" s="8">
        <f t="shared" si="64"/>
        <v>20.195313000003807</v>
      </c>
      <c r="G2068" s="8">
        <f t="shared" si="65"/>
        <v>2.0195313000003809E-2</v>
      </c>
    </row>
    <row r="2069" spans="1:7" x14ac:dyDescent="0.25">
      <c r="A2069" s="8">
        <v>27</v>
      </c>
      <c r="B2069" s="8">
        <v>58</v>
      </c>
      <c r="C2069" s="8">
        <v>2681.8415530000002</v>
      </c>
      <c r="D2069" s="8">
        <v>117994.359375</v>
      </c>
      <c r="E2069" s="8">
        <v>118003.132813</v>
      </c>
      <c r="F2069" s="8">
        <f t="shared" si="64"/>
        <v>8.7734380000038072</v>
      </c>
      <c r="G2069" s="8">
        <f t="shared" si="65"/>
        <v>8.7734380000038074E-3</v>
      </c>
    </row>
    <row r="2070" spans="1:7" x14ac:dyDescent="0.25">
      <c r="A2070" s="8">
        <v>27</v>
      </c>
      <c r="B2070" s="8">
        <v>59</v>
      </c>
      <c r="C2070" s="8">
        <v>1371.274658</v>
      </c>
      <c r="D2070" s="8">
        <v>120687.320313</v>
      </c>
      <c r="E2070" s="8">
        <v>120703.882813</v>
      </c>
      <c r="F2070" s="8">
        <f t="shared" si="64"/>
        <v>16.5625</v>
      </c>
      <c r="G2070" s="8">
        <f t="shared" si="65"/>
        <v>1.6562500000000001E-2</v>
      </c>
    </row>
    <row r="2071" spans="1:7" x14ac:dyDescent="0.25">
      <c r="A2071" s="8">
        <v>27</v>
      </c>
      <c r="B2071" s="8">
        <v>60</v>
      </c>
      <c r="C2071" s="8">
        <v>3684.6059570000002</v>
      </c>
      <c r="D2071" s="8">
        <v>122080.226563</v>
      </c>
      <c r="E2071" s="8">
        <v>122088.726563</v>
      </c>
      <c r="F2071" s="8">
        <f t="shared" si="64"/>
        <v>8.5</v>
      </c>
      <c r="G2071" s="8">
        <f t="shared" si="65"/>
        <v>8.5000000000000006E-3</v>
      </c>
    </row>
    <row r="2072" spans="1:7" x14ac:dyDescent="0.25">
      <c r="A2072" s="8">
        <v>27</v>
      </c>
      <c r="B2072" s="8">
        <v>61</v>
      </c>
      <c r="C2072" s="8">
        <v>688.29913299999998</v>
      </c>
      <c r="D2072" s="8">
        <v>125784.070313</v>
      </c>
      <c r="E2072" s="8">
        <v>125798.546875</v>
      </c>
      <c r="F2072" s="8">
        <f t="shared" si="64"/>
        <v>14.476561999996193</v>
      </c>
      <c r="G2072" s="8">
        <f t="shared" si="65"/>
        <v>1.4476561999996192E-2</v>
      </c>
    </row>
    <row r="2073" spans="1:7" x14ac:dyDescent="0.25">
      <c r="A2073" s="8">
        <v>27</v>
      </c>
      <c r="B2073" s="8">
        <v>62</v>
      </c>
      <c r="C2073" s="8">
        <v>6381.6000979999999</v>
      </c>
      <c r="D2073" s="8">
        <v>126487.328125</v>
      </c>
      <c r="E2073" s="8">
        <v>126507.171875</v>
      </c>
      <c r="F2073" s="8">
        <f t="shared" si="64"/>
        <v>19.84375</v>
      </c>
      <c r="G2073" s="8">
        <f t="shared" si="65"/>
        <v>1.984375E-2</v>
      </c>
    </row>
    <row r="2074" spans="1:7" x14ac:dyDescent="0.25">
      <c r="A2074" s="8">
        <v>27</v>
      </c>
      <c r="B2074" s="8">
        <v>63</v>
      </c>
      <c r="C2074" s="8">
        <v>8643.6621090000008</v>
      </c>
      <c r="D2074" s="8">
        <v>132889.59375</v>
      </c>
      <c r="E2074" s="8">
        <v>132902.171875</v>
      </c>
      <c r="F2074" s="8">
        <f t="shared" si="64"/>
        <v>12.578125</v>
      </c>
      <c r="G2074" s="8">
        <f t="shared" si="65"/>
        <v>1.2578125000000001E-2</v>
      </c>
    </row>
    <row r="2075" spans="1:7" x14ac:dyDescent="0.25">
      <c r="A2075" s="8">
        <v>27</v>
      </c>
      <c r="B2075" s="8">
        <v>64</v>
      </c>
      <c r="C2075" s="8">
        <v>142.341522</v>
      </c>
      <c r="D2075" s="8">
        <v>141548.03125</v>
      </c>
      <c r="E2075" s="8">
        <v>141572.1875</v>
      </c>
      <c r="F2075" s="8">
        <f t="shared" si="64"/>
        <v>24.15625</v>
      </c>
      <c r="G2075" s="8">
        <f t="shared" si="65"/>
        <v>2.4156250000000001E-2</v>
      </c>
    </row>
    <row r="2076" spans="1:7" x14ac:dyDescent="0.25">
      <c r="A2076" s="8">
        <v>27</v>
      </c>
      <c r="B2076" s="8">
        <v>65</v>
      </c>
      <c r="C2076" s="8">
        <v>104.94270299999999</v>
      </c>
      <c r="D2076" s="8">
        <v>141727.5</v>
      </c>
      <c r="E2076" s="8">
        <v>141739.4375</v>
      </c>
      <c r="F2076" s="8">
        <f t="shared" si="64"/>
        <v>11.9375</v>
      </c>
      <c r="G2076" s="8">
        <f t="shared" si="65"/>
        <v>1.19375E-2</v>
      </c>
    </row>
    <row r="2077" spans="1:7" x14ac:dyDescent="0.25">
      <c r="A2077" s="8">
        <v>27</v>
      </c>
      <c r="B2077" s="8">
        <v>66</v>
      </c>
      <c r="C2077" s="8">
        <v>2720.000732</v>
      </c>
      <c r="D2077" s="8">
        <v>141858.90625</v>
      </c>
      <c r="E2077" s="8">
        <v>141866.578125</v>
      </c>
      <c r="F2077" s="8">
        <f t="shared" si="64"/>
        <v>7.671875</v>
      </c>
      <c r="G2077" s="8">
        <f t="shared" si="65"/>
        <v>7.6718749999999999E-3</v>
      </c>
    </row>
    <row r="2078" spans="1:7" x14ac:dyDescent="0.25">
      <c r="A2078" s="8">
        <v>27</v>
      </c>
      <c r="B2078" s="8">
        <v>67</v>
      </c>
      <c r="C2078" s="8">
        <v>641.23809800000004</v>
      </c>
      <c r="D2078" s="8">
        <v>144588.140625</v>
      </c>
      <c r="E2078" s="8">
        <v>144596.359375</v>
      </c>
      <c r="F2078" s="8">
        <f t="shared" si="64"/>
        <v>8.21875</v>
      </c>
      <c r="G2078" s="8">
        <f t="shared" si="65"/>
        <v>8.2187500000000004E-3</v>
      </c>
    </row>
    <row r="2079" spans="1:7" x14ac:dyDescent="0.25">
      <c r="A2079" s="8">
        <v>27</v>
      </c>
      <c r="B2079" s="8">
        <v>68</v>
      </c>
      <c r="C2079" s="8">
        <v>3036.8022460000002</v>
      </c>
      <c r="D2079" s="8">
        <v>145240.28125</v>
      </c>
      <c r="E2079" s="8">
        <v>145255.53125</v>
      </c>
      <c r="F2079" s="8">
        <f t="shared" si="64"/>
        <v>15.25</v>
      </c>
      <c r="G2079" s="8">
        <f t="shared" si="65"/>
        <v>1.525E-2</v>
      </c>
    </row>
    <row r="2080" spans="1:7" x14ac:dyDescent="0.25">
      <c r="A2080" s="8">
        <v>27</v>
      </c>
      <c r="B2080" s="8">
        <v>69</v>
      </c>
      <c r="C2080" s="8">
        <v>2377.2768550000001</v>
      </c>
      <c r="D2080" s="8">
        <v>148305.5625</v>
      </c>
      <c r="E2080" s="8">
        <v>148313.640625</v>
      </c>
      <c r="F2080" s="8">
        <f t="shared" si="64"/>
        <v>8.078125</v>
      </c>
      <c r="G2080" s="8">
        <f t="shared" si="65"/>
        <v>8.0781250000000002E-3</v>
      </c>
    </row>
    <row r="2081" spans="1:7" x14ac:dyDescent="0.25">
      <c r="A2081" s="8">
        <v>27</v>
      </c>
      <c r="B2081" s="8">
        <v>70</v>
      </c>
      <c r="C2081" s="8">
        <v>6006.5976559999999</v>
      </c>
      <c r="D2081" s="8">
        <v>150702.0625</v>
      </c>
      <c r="E2081" s="8">
        <v>150724.0625</v>
      </c>
      <c r="F2081" s="8">
        <f t="shared" si="64"/>
        <v>22</v>
      </c>
      <c r="G2081" s="8">
        <f t="shared" si="65"/>
        <v>2.1999999999999999E-2</v>
      </c>
    </row>
    <row r="2082" spans="1:7" x14ac:dyDescent="0.25">
      <c r="A2082" s="8">
        <v>27</v>
      </c>
      <c r="B2082" s="8">
        <v>71</v>
      </c>
      <c r="C2082" s="8">
        <v>3090.455078</v>
      </c>
      <c r="D2082" s="8">
        <v>156734.9375</v>
      </c>
      <c r="E2082" s="8">
        <v>156756.8125</v>
      </c>
      <c r="F2082" s="8">
        <f t="shared" si="64"/>
        <v>21.875</v>
      </c>
      <c r="G2082" s="8">
        <f t="shared" si="65"/>
        <v>2.1874999999999999E-2</v>
      </c>
    </row>
    <row r="2083" spans="1:7" x14ac:dyDescent="0.25">
      <c r="A2083" s="8">
        <v>27</v>
      </c>
      <c r="B2083" s="8">
        <v>72</v>
      </c>
      <c r="C2083" s="8">
        <v>408.54321299999998</v>
      </c>
      <c r="D2083" s="8">
        <v>159861.234375</v>
      </c>
      <c r="E2083" s="8">
        <v>159883.796875</v>
      </c>
      <c r="F2083" s="8">
        <f t="shared" si="64"/>
        <v>22.5625</v>
      </c>
      <c r="G2083" s="8">
        <f t="shared" si="65"/>
        <v>2.2562499999999999E-2</v>
      </c>
    </row>
    <row r="2084" spans="1:7" x14ac:dyDescent="0.25">
      <c r="A2084" s="8">
        <v>27</v>
      </c>
      <c r="B2084" s="8">
        <v>73</v>
      </c>
      <c r="C2084" s="8">
        <v>2015.5410159999999</v>
      </c>
      <c r="D2084" s="8">
        <v>160298.828125</v>
      </c>
      <c r="E2084" s="8">
        <v>160316.34375</v>
      </c>
      <c r="F2084" s="8">
        <f t="shared" si="64"/>
        <v>17.515625</v>
      </c>
      <c r="G2084" s="8">
        <f t="shared" si="65"/>
        <v>1.7515625E-2</v>
      </c>
    </row>
    <row r="2085" spans="1:7" x14ac:dyDescent="0.25">
      <c r="A2085" s="8">
        <v>27</v>
      </c>
      <c r="B2085" s="8">
        <v>74</v>
      </c>
      <c r="C2085" s="8">
        <v>2807.748047</v>
      </c>
      <c r="D2085" s="8">
        <v>162346.46875</v>
      </c>
      <c r="E2085" s="8">
        <v>162360.234375</v>
      </c>
      <c r="F2085" s="8">
        <f t="shared" si="64"/>
        <v>13.765625</v>
      </c>
      <c r="G2085" s="8">
        <f t="shared" si="65"/>
        <v>1.3765625E-2</v>
      </c>
    </row>
    <row r="2086" spans="1:7" x14ac:dyDescent="0.25">
      <c r="A2086" s="8">
        <v>27</v>
      </c>
      <c r="B2086" s="8">
        <v>75</v>
      </c>
      <c r="C2086" s="8">
        <v>650.76495399999999</v>
      </c>
      <c r="D2086" s="8">
        <v>165170.96875</v>
      </c>
      <c r="E2086" s="8">
        <v>165184.609375</v>
      </c>
      <c r="F2086" s="8">
        <f t="shared" si="64"/>
        <v>13.640625</v>
      </c>
      <c r="G2086" s="8">
        <f t="shared" si="65"/>
        <v>1.3640625E-2</v>
      </c>
    </row>
    <row r="2087" spans="1:7" x14ac:dyDescent="0.25">
      <c r="A2087" s="8">
        <v>27</v>
      </c>
      <c r="B2087" s="8">
        <v>76</v>
      </c>
      <c r="C2087" s="8">
        <v>2332.696289</v>
      </c>
      <c r="D2087" s="8">
        <v>165842.921875</v>
      </c>
      <c r="E2087" s="8">
        <v>165863.234375</v>
      </c>
      <c r="F2087" s="8">
        <f t="shared" si="64"/>
        <v>20.3125</v>
      </c>
      <c r="G2087" s="8">
        <f t="shared" si="65"/>
        <v>2.0312500000000001E-2</v>
      </c>
    </row>
    <row r="2088" spans="1:7" x14ac:dyDescent="0.25">
      <c r="A2088" s="8">
        <v>27</v>
      </c>
      <c r="B2088" s="8">
        <v>77</v>
      </c>
      <c r="C2088" s="8">
        <v>294.25125100000002</v>
      </c>
      <c r="D2088" s="8">
        <v>168198</v>
      </c>
      <c r="E2088" s="8">
        <v>168271.453125</v>
      </c>
      <c r="F2088" s="8">
        <f t="shared" si="64"/>
        <v>73.453125</v>
      </c>
      <c r="G2088" s="8">
        <f t="shared" si="65"/>
        <v>7.3453124999999994E-2</v>
      </c>
    </row>
    <row r="2089" spans="1:7" x14ac:dyDescent="0.25">
      <c r="A2089" s="8">
        <v>27</v>
      </c>
      <c r="B2089" s="8">
        <v>78</v>
      </c>
      <c r="C2089" s="8">
        <v>955.04205300000001</v>
      </c>
      <c r="D2089" s="8">
        <v>168575.59375</v>
      </c>
      <c r="E2089" s="8">
        <v>168588.109375</v>
      </c>
      <c r="F2089" s="8">
        <f t="shared" si="64"/>
        <v>12.515625</v>
      </c>
      <c r="G2089" s="8">
        <f t="shared" si="65"/>
        <v>1.2515625000000001E-2</v>
      </c>
    </row>
    <row r="2090" spans="1:7" x14ac:dyDescent="0.25">
      <c r="A2090" s="8">
        <v>27</v>
      </c>
      <c r="B2090" s="8">
        <v>79</v>
      </c>
      <c r="C2090" s="8">
        <v>1383.4277340000001</v>
      </c>
      <c r="D2090" s="8">
        <v>169548.5</v>
      </c>
      <c r="E2090" s="8">
        <v>169563.015625</v>
      </c>
      <c r="F2090" s="8">
        <f t="shared" si="64"/>
        <v>14.515625</v>
      </c>
      <c r="G2090" s="8">
        <f t="shared" si="65"/>
        <v>1.4515625000000001E-2</v>
      </c>
    </row>
    <row r="2091" spans="1:7" x14ac:dyDescent="0.25">
      <c r="A2091" s="8">
        <v>28</v>
      </c>
      <c r="B2091" s="8">
        <v>0</v>
      </c>
      <c r="C2091" s="8">
        <v>611.18627900000001</v>
      </c>
      <c r="D2091" s="8">
        <v>22687.988281000002</v>
      </c>
      <c r="E2091" s="8">
        <v>22714.611327999999</v>
      </c>
      <c r="F2091" s="8">
        <f t="shared" si="64"/>
        <v>26.623046999997314</v>
      </c>
      <c r="G2091" s="8">
        <f t="shared" si="65"/>
        <v>2.6623046999997315E-2</v>
      </c>
    </row>
    <row r="2092" spans="1:7" x14ac:dyDescent="0.25">
      <c r="A2092" s="8">
        <v>28</v>
      </c>
      <c r="B2092" s="8">
        <v>1</v>
      </c>
      <c r="C2092" s="8">
        <v>413.94107100000002</v>
      </c>
      <c r="D2092" s="8">
        <v>23331.642577999999</v>
      </c>
      <c r="E2092" s="8">
        <v>23351.917968999998</v>
      </c>
      <c r="F2092" s="8">
        <f t="shared" si="64"/>
        <v>20.275390999999217</v>
      </c>
      <c r="G2092" s="8">
        <f t="shared" si="65"/>
        <v>2.0275390999999216E-2</v>
      </c>
    </row>
    <row r="2093" spans="1:7" x14ac:dyDescent="0.25">
      <c r="A2093" s="8">
        <v>28</v>
      </c>
      <c r="B2093" s="8">
        <v>2</v>
      </c>
      <c r="C2093" s="8">
        <v>68.230391999999995</v>
      </c>
      <c r="D2093" s="8">
        <v>23771.689452999999</v>
      </c>
      <c r="E2093" s="8">
        <v>23803.199218999998</v>
      </c>
      <c r="F2093" s="8">
        <f t="shared" si="64"/>
        <v>31.509765999999217</v>
      </c>
      <c r="G2093" s="8">
        <f t="shared" si="65"/>
        <v>3.1509765999999217E-2</v>
      </c>
    </row>
    <row r="2094" spans="1:7" x14ac:dyDescent="0.25">
      <c r="A2094" s="8">
        <v>28</v>
      </c>
      <c r="B2094" s="8">
        <v>3</v>
      </c>
      <c r="C2094" s="8">
        <v>547.582764</v>
      </c>
      <c r="D2094" s="8">
        <v>23881.066406000002</v>
      </c>
      <c r="E2094" s="8">
        <v>23898.185547000001</v>
      </c>
      <c r="F2094" s="8">
        <f t="shared" si="64"/>
        <v>17.119140999999217</v>
      </c>
      <c r="G2094" s="8">
        <f t="shared" si="65"/>
        <v>1.7119140999999217E-2</v>
      </c>
    </row>
    <row r="2095" spans="1:7" x14ac:dyDescent="0.25">
      <c r="A2095" s="8">
        <v>28</v>
      </c>
      <c r="B2095" s="8">
        <v>4</v>
      </c>
      <c r="C2095" s="8">
        <v>188.95472699999999</v>
      </c>
      <c r="D2095" s="8">
        <v>24459.1875</v>
      </c>
      <c r="E2095" s="8">
        <v>24470.568359000001</v>
      </c>
      <c r="F2095" s="8">
        <f t="shared" si="64"/>
        <v>11.380859000000783</v>
      </c>
      <c r="G2095" s="8">
        <f t="shared" si="65"/>
        <v>1.1380859000000782E-2</v>
      </c>
    </row>
    <row r="2096" spans="1:7" x14ac:dyDescent="0.25">
      <c r="A2096" s="8">
        <v>28</v>
      </c>
      <c r="B2096" s="8">
        <v>5</v>
      </c>
      <c r="C2096" s="8">
        <v>1450.991211</v>
      </c>
      <c r="D2096" s="8">
        <v>24662.412109000001</v>
      </c>
      <c r="E2096" s="8">
        <v>24670.150390999999</v>
      </c>
      <c r="F2096" s="8">
        <f t="shared" si="64"/>
        <v>7.7382819999984349</v>
      </c>
      <c r="G2096" s="8">
        <f t="shared" si="65"/>
        <v>7.7382819999984353E-3</v>
      </c>
    </row>
    <row r="2097" spans="1:7" x14ac:dyDescent="0.25">
      <c r="A2097" s="8">
        <v>28</v>
      </c>
      <c r="B2097" s="8">
        <v>6</v>
      </c>
      <c r="C2097" s="8">
        <v>2132.4267580000001</v>
      </c>
      <c r="D2097" s="8">
        <v>26124.496093999998</v>
      </c>
      <c r="E2097" s="8">
        <v>26132.400390999999</v>
      </c>
      <c r="F2097" s="8">
        <f t="shared" si="64"/>
        <v>7.9042970000009518</v>
      </c>
      <c r="G2097" s="8">
        <f t="shared" si="65"/>
        <v>7.9042970000009517E-3</v>
      </c>
    </row>
    <row r="2098" spans="1:7" x14ac:dyDescent="0.25">
      <c r="A2098" s="8">
        <v>28</v>
      </c>
      <c r="B2098" s="8">
        <v>7</v>
      </c>
      <c r="C2098" s="8">
        <v>1141.7894289999999</v>
      </c>
      <c r="D2098" s="8">
        <v>28275.158202999999</v>
      </c>
      <c r="E2098" s="8">
        <v>28288.931640999999</v>
      </c>
      <c r="F2098" s="8">
        <f t="shared" si="64"/>
        <v>13.773438000000169</v>
      </c>
      <c r="G2098" s="8">
        <f t="shared" si="65"/>
        <v>1.3773438000000169E-2</v>
      </c>
    </row>
    <row r="2099" spans="1:7" x14ac:dyDescent="0.25">
      <c r="A2099" s="8">
        <v>28</v>
      </c>
      <c r="B2099" s="8">
        <v>8</v>
      </c>
      <c r="C2099" s="8">
        <v>2111.6171880000002</v>
      </c>
      <c r="D2099" s="8">
        <v>29433.970702999999</v>
      </c>
      <c r="E2099" s="8">
        <v>29451.351563</v>
      </c>
      <c r="F2099" s="8">
        <f t="shared" si="64"/>
        <v>17.380860000001121</v>
      </c>
      <c r="G2099" s="8">
        <f t="shared" si="65"/>
        <v>1.7380860000001122E-2</v>
      </c>
    </row>
    <row r="2100" spans="1:7" x14ac:dyDescent="0.25">
      <c r="A2100" s="8">
        <v>28</v>
      </c>
      <c r="B2100" s="8">
        <v>9</v>
      </c>
      <c r="C2100" s="8">
        <v>966.19189500000005</v>
      </c>
      <c r="D2100" s="8">
        <v>31566.808593999998</v>
      </c>
      <c r="E2100" s="8">
        <v>31575.296875</v>
      </c>
      <c r="F2100" s="8">
        <f t="shared" si="64"/>
        <v>8.4882810000017344</v>
      </c>
      <c r="G2100" s="8">
        <f t="shared" si="65"/>
        <v>8.488281000001735E-3</v>
      </c>
    </row>
    <row r="2101" spans="1:7" x14ac:dyDescent="0.25">
      <c r="A2101" s="8">
        <v>28</v>
      </c>
      <c r="B2101" s="8">
        <v>10</v>
      </c>
      <c r="C2101" s="8">
        <v>1024.318237</v>
      </c>
      <c r="D2101" s="8">
        <v>32551.3125</v>
      </c>
      <c r="E2101" s="8">
        <v>32573.712890999999</v>
      </c>
      <c r="F2101" s="8">
        <f t="shared" si="64"/>
        <v>22.400390999999217</v>
      </c>
      <c r="G2101" s="8">
        <f t="shared" si="65"/>
        <v>2.2400390999999218E-2</v>
      </c>
    </row>
    <row r="2102" spans="1:7" x14ac:dyDescent="0.25">
      <c r="A2102" s="8">
        <v>28</v>
      </c>
      <c r="B2102" s="8">
        <v>11</v>
      </c>
      <c r="C2102" s="8">
        <v>305.31271400000003</v>
      </c>
      <c r="D2102" s="8">
        <v>33603.167969000002</v>
      </c>
      <c r="E2102" s="8">
        <v>33614.082030999998</v>
      </c>
      <c r="F2102" s="8">
        <f t="shared" si="64"/>
        <v>10.914061999996193</v>
      </c>
      <c r="G2102" s="8">
        <f t="shared" si="65"/>
        <v>1.0914061999996193E-2</v>
      </c>
    </row>
    <row r="2103" spans="1:7" x14ac:dyDescent="0.25">
      <c r="A2103" s="8">
        <v>28</v>
      </c>
      <c r="B2103" s="8">
        <v>12</v>
      </c>
      <c r="C2103" s="8">
        <v>2846.3845209999999</v>
      </c>
      <c r="D2103" s="8">
        <v>33931.335937999997</v>
      </c>
      <c r="E2103" s="8">
        <v>33949.007812999997</v>
      </c>
      <c r="F2103" s="8">
        <f t="shared" si="64"/>
        <v>17.671875</v>
      </c>
      <c r="G2103" s="8">
        <f t="shared" si="65"/>
        <v>1.7671875E-2</v>
      </c>
    </row>
    <row r="2104" spans="1:7" x14ac:dyDescent="0.25">
      <c r="A2104" s="8">
        <v>28</v>
      </c>
      <c r="B2104" s="8">
        <v>13</v>
      </c>
      <c r="C2104" s="8">
        <v>506.19827299999997</v>
      </c>
      <c r="D2104" s="8">
        <v>36800.320312999997</v>
      </c>
      <c r="E2104" s="8">
        <v>36814.394530999998</v>
      </c>
      <c r="F2104" s="8">
        <f t="shared" si="64"/>
        <v>14.074218000001565</v>
      </c>
      <c r="G2104" s="8">
        <f t="shared" si="65"/>
        <v>1.4074218000001566E-2</v>
      </c>
    </row>
    <row r="2105" spans="1:7" x14ac:dyDescent="0.25">
      <c r="A2105" s="8">
        <v>28</v>
      </c>
      <c r="B2105" s="8">
        <v>14</v>
      </c>
      <c r="C2105" s="8">
        <v>4077.9594729999999</v>
      </c>
      <c r="D2105" s="8">
        <v>37331.679687999997</v>
      </c>
      <c r="E2105" s="8">
        <v>37341.769530999998</v>
      </c>
      <c r="F2105" s="8">
        <f t="shared" si="64"/>
        <v>10.089843000001565</v>
      </c>
      <c r="G2105" s="8">
        <f t="shared" si="65"/>
        <v>1.0089843000001566E-2</v>
      </c>
    </row>
    <row r="2106" spans="1:7" x14ac:dyDescent="0.25">
      <c r="A2106" s="8">
        <v>28</v>
      </c>
      <c r="B2106" s="8">
        <v>15</v>
      </c>
      <c r="C2106" s="8">
        <v>828.83300799999995</v>
      </c>
      <c r="D2106" s="8">
        <v>41434.527344000002</v>
      </c>
      <c r="E2106" s="8">
        <v>41449.511719000002</v>
      </c>
      <c r="F2106" s="8">
        <f t="shared" si="64"/>
        <v>14.984375</v>
      </c>
      <c r="G2106" s="8">
        <f t="shared" si="65"/>
        <v>1.4984374999999999E-2</v>
      </c>
    </row>
    <row r="2107" spans="1:7" x14ac:dyDescent="0.25">
      <c r="A2107" s="8">
        <v>28</v>
      </c>
      <c r="B2107" s="8">
        <v>16</v>
      </c>
      <c r="C2107" s="8">
        <v>1951.855591</v>
      </c>
      <c r="D2107" s="8">
        <v>42278.386719000002</v>
      </c>
      <c r="E2107" s="8">
        <v>42303.160155999998</v>
      </c>
      <c r="F2107" s="8">
        <f t="shared" si="64"/>
        <v>24.773436999996193</v>
      </c>
      <c r="G2107" s="8">
        <f t="shared" si="65"/>
        <v>2.4773436999996193E-2</v>
      </c>
    </row>
    <row r="2108" spans="1:7" x14ac:dyDescent="0.25">
      <c r="A2108" s="8">
        <v>28</v>
      </c>
      <c r="B2108" s="8">
        <v>17</v>
      </c>
      <c r="C2108" s="8">
        <v>1179.4101559999999</v>
      </c>
      <c r="D2108" s="8">
        <v>44256.160155999998</v>
      </c>
      <c r="E2108" s="8">
        <v>44283.140625</v>
      </c>
      <c r="F2108" s="8">
        <f t="shared" si="64"/>
        <v>26.980469000001904</v>
      </c>
      <c r="G2108" s="8">
        <f t="shared" si="65"/>
        <v>2.6980469000001905E-2</v>
      </c>
    </row>
    <row r="2109" spans="1:7" x14ac:dyDescent="0.25">
      <c r="A2109" s="8">
        <v>28</v>
      </c>
      <c r="B2109" s="8">
        <v>18</v>
      </c>
      <c r="C2109" s="8">
        <v>458.731537</v>
      </c>
      <c r="D2109" s="8">
        <v>45475.113280999998</v>
      </c>
      <c r="E2109" s="8">
        <v>45495.746094000002</v>
      </c>
      <c r="F2109" s="8">
        <f t="shared" si="64"/>
        <v>20.632813000003807</v>
      </c>
      <c r="G2109" s="8">
        <f t="shared" si="65"/>
        <v>2.0632813000003806E-2</v>
      </c>
    </row>
    <row r="2110" spans="1:7" x14ac:dyDescent="0.25">
      <c r="A2110" s="8">
        <v>28</v>
      </c>
      <c r="B2110" s="8">
        <v>19</v>
      </c>
      <c r="C2110" s="8">
        <v>2.6874709999999999</v>
      </c>
      <c r="D2110" s="8">
        <v>45960.679687999997</v>
      </c>
      <c r="E2110" s="8">
        <v>45975.179687999997</v>
      </c>
      <c r="F2110" s="8">
        <f t="shared" si="64"/>
        <v>14.5</v>
      </c>
      <c r="G2110" s="8">
        <f t="shared" si="65"/>
        <v>1.4500000000000001E-2</v>
      </c>
    </row>
    <row r="2111" spans="1:7" x14ac:dyDescent="0.25">
      <c r="A2111" s="8">
        <v>28</v>
      </c>
      <c r="B2111" s="8">
        <v>20</v>
      </c>
      <c r="C2111" s="8">
        <v>1959.6453859999999</v>
      </c>
      <c r="D2111" s="8">
        <v>45991.960937999997</v>
      </c>
      <c r="E2111" s="8">
        <v>46006.257812999997</v>
      </c>
      <c r="F2111" s="8">
        <f t="shared" si="64"/>
        <v>14.296875</v>
      </c>
      <c r="G2111" s="8">
        <f t="shared" si="65"/>
        <v>1.4296875000000001E-2</v>
      </c>
    </row>
    <row r="2112" spans="1:7" x14ac:dyDescent="0.25">
      <c r="A2112" s="8">
        <v>28</v>
      </c>
      <c r="B2112" s="8">
        <v>21</v>
      </c>
      <c r="C2112" s="8">
        <v>1415.4991460000001</v>
      </c>
      <c r="D2112" s="8">
        <v>47970.414062999997</v>
      </c>
      <c r="E2112" s="8">
        <v>48077.210937999997</v>
      </c>
      <c r="F2112" s="8">
        <f t="shared" si="64"/>
        <v>106.796875</v>
      </c>
      <c r="G2112" s="8">
        <f t="shared" si="65"/>
        <v>0.106796875</v>
      </c>
    </row>
    <row r="2113" spans="1:7" x14ac:dyDescent="0.25">
      <c r="A2113" s="8">
        <v>28</v>
      </c>
      <c r="B2113" s="8">
        <v>22</v>
      </c>
      <c r="C2113" s="8">
        <v>2645.3129880000001</v>
      </c>
      <c r="D2113" s="8">
        <v>49498.628905999998</v>
      </c>
      <c r="E2113" s="8">
        <v>49530.992187999997</v>
      </c>
      <c r="F2113" s="8">
        <f t="shared" si="64"/>
        <v>32.363281999998435</v>
      </c>
      <c r="G2113" s="8">
        <f t="shared" si="65"/>
        <v>3.2363281999998432E-2</v>
      </c>
    </row>
    <row r="2114" spans="1:7" x14ac:dyDescent="0.25">
      <c r="A2114" s="8">
        <v>28</v>
      </c>
      <c r="B2114" s="8">
        <v>23</v>
      </c>
      <c r="C2114" s="8">
        <v>1543.8991699999999</v>
      </c>
      <c r="D2114" s="8">
        <v>52185.839844000002</v>
      </c>
      <c r="E2114" s="8">
        <v>52200.566405999998</v>
      </c>
      <c r="F2114" s="8">
        <f t="shared" si="64"/>
        <v>14.726561999996193</v>
      </c>
      <c r="G2114" s="8">
        <f t="shared" si="65"/>
        <v>1.4726561999996193E-2</v>
      </c>
    </row>
    <row r="2115" spans="1:7" x14ac:dyDescent="0.25">
      <c r="A2115" s="8">
        <v>28</v>
      </c>
      <c r="B2115" s="8">
        <v>24</v>
      </c>
      <c r="C2115" s="8">
        <v>3891.3930660000001</v>
      </c>
      <c r="D2115" s="8">
        <v>53749.316405999998</v>
      </c>
      <c r="E2115" s="8">
        <v>53759.695312999997</v>
      </c>
      <c r="F2115" s="8">
        <f t="shared" si="64"/>
        <v>10.378906999998435</v>
      </c>
      <c r="G2115" s="8">
        <f t="shared" si="65"/>
        <v>1.0378906999998435E-2</v>
      </c>
    </row>
    <row r="2116" spans="1:7" x14ac:dyDescent="0.25">
      <c r="A2116" s="8">
        <v>28</v>
      </c>
      <c r="B2116" s="8">
        <v>25</v>
      </c>
      <c r="C2116" s="8">
        <v>2137.9296880000002</v>
      </c>
      <c r="D2116" s="8">
        <v>57664.019530999998</v>
      </c>
      <c r="E2116" s="8">
        <v>57672.699219000002</v>
      </c>
      <c r="F2116" s="8">
        <f t="shared" si="64"/>
        <v>8.6796880000038072</v>
      </c>
      <c r="G2116" s="8">
        <f t="shared" si="65"/>
        <v>8.6796880000038074E-3</v>
      </c>
    </row>
    <row r="2117" spans="1:7" x14ac:dyDescent="0.25">
      <c r="A2117" s="8">
        <v>28</v>
      </c>
      <c r="B2117" s="8">
        <v>26</v>
      </c>
      <c r="C2117" s="8">
        <v>1965.670654</v>
      </c>
      <c r="D2117" s="8">
        <v>59809.886719000002</v>
      </c>
      <c r="E2117" s="8">
        <v>59817.597655999998</v>
      </c>
      <c r="F2117" s="8">
        <f t="shared" si="64"/>
        <v>7.7109369999961928</v>
      </c>
      <c r="G2117" s="8">
        <f t="shared" si="65"/>
        <v>7.7109369999961925E-3</v>
      </c>
    </row>
    <row r="2118" spans="1:7" x14ac:dyDescent="0.25">
      <c r="A2118" s="8">
        <v>28</v>
      </c>
      <c r="B2118" s="8">
        <v>27</v>
      </c>
      <c r="C2118" s="8">
        <v>440.69476300000002</v>
      </c>
      <c r="D2118" s="8">
        <v>61794.488280999998</v>
      </c>
      <c r="E2118" s="8">
        <v>61805.652344000002</v>
      </c>
      <c r="F2118" s="8">
        <f t="shared" si="64"/>
        <v>11.164063000003807</v>
      </c>
      <c r="G2118" s="8">
        <f t="shared" si="65"/>
        <v>1.1164063000003808E-2</v>
      </c>
    </row>
    <row r="2119" spans="1:7" x14ac:dyDescent="0.25">
      <c r="A2119" s="8">
        <v>28</v>
      </c>
      <c r="B2119" s="8">
        <v>28</v>
      </c>
      <c r="C2119" s="8">
        <v>3179.709961</v>
      </c>
      <c r="D2119" s="8">
        <v>62250.96875</v>
      </c>
      <c r="E2119" s="8">
        <v>62262.390625</v>
      </c>
      <c r="F2119" s="8">
        <f t="shared" si="64"/>
        <v>11.421875</v>
      </c>
      <c r="G2119" s="8">
        <f t="shared" si="65"/>
        <v>1.1421875E-2</v>
      </c>
    </row>
    <row r="2120" spans="1:7" x14ac:dyDescent="0.25">
      <c r="A2120" s="8">
        <v>28</v>
      </c>
      <c r="B2120" s="8">
        <v>29</v>
      </c>
      <c r="C2120" s="8">
        <v>715.87145999999996</v>
      </c>
      <c r="D2120" s="8">
        <v>65449.761719000002</v>
      </c>
      <c r="E2120" s="8">
        <v>65457.582030999998</v>
      </c>
      <c r="F2120" s="8">
        <f t="shared" si="64"/>
        <v>7.8203119999961928</v>
      </c>
      <c r="G2120" s="8">
        <f t="shared" si="65"/>
        <v>7.8203119999961934E-3</v>
      </c>
    </row>
    <row r="2121" spans="1:7" x14ac:dyDescent="0.25">
      <c r="A2121" s="8">
        <v>28</v>
      </c>
      <c r="B2121" s="8">
        <v>30</v>
      </c>
      <c r="C2121" s="8">
        <v>2153.9926759999998</v>
      </c>
      <c r="D2121" s="8">
        <v>66184.234375</v>
      </c>
      <c r="E2121" s="8">
        <v>66202</v>
      </c>
      <c r="F2121" s="8">
        <f t="shared" si="64"/>
        <v>17.765625</v>
      </c>
      <c r="G2121" s="8">
        <f t="shared" si="65"/>
        <v>1.7765625E-2</v>
      </c>
    </row>
    <row r="2122" spans="1:7" x14ac:dyDescent="0.25">
      <c r="A2122" s="8">
        <v>28</v>
      </c>
      <c r="B2122" s="8">
        <v>31</v>
      </c>
      <c r="C2122" s="8">
        <v>322.09225500000002</v>
      </c>
      <c r="D2122" s="8">
        <v>68357.789063000004</v>
      </c>
      <c r="E2122" s="8">
        <v>68380.273438000004</v>
      </c>
      <c r="F2122" s="8">
        <f t="shared" si="64"/>
        <v>22.484375</v>
      </c>
      <c r="G2122" s="8">
        <f t="shared" si="65"/>
        <v>2.2484375000000001E-2</v>
      </c>
    </row>
    <row r="2123" spans="1:7" x14ac:dyDescent="0.25">
      <c r="A2123" s="8">
        <v>28</v>
      </c>
      <c r="B2123" s="8">
        <v>32</v>
      </c>
      <c r="C2123" s="8">
        <v>5429.3896480000003</v>
      </c>
      <c r="D2123" s="8">
        <v>68717.242188000004</v>
      </c>
      <c r="E2123" s="8">
        <v>68731.382813000004</v>
      </c>
      <c r="F2123" s="8">
        <f t="shared" ref="F2123:F2186" si="66">E2123-D2123</f>
        <v>14.140625</v>
      </c>
      <c r="G2123" s="8">
        <f t="shared" ref="G2123:G2186" si="67">F2123/1000</f>
        <v>1.4140625E-2</v>
      </c>
    </row>
    <row r="2124" spans="1:7" x14ac:dyDescent="0.25">
      <c r="A2124" s="8">
        <v>28</v>
      </c>
      <c r="B2124" s="8">
        <v>33</v>
      </c>
      <c r="C2124" s="8">
        <v>1293.2154539999999</v>
      </c>
      <c r="D2124" s="8">
        <v>74171.929688000004</v>
      </c>
      <c r="E2124" s="8">
        <v>74196.257813000004</v>
      </c>
      <c r="F2124" s="8">
        <f t="shared" si="66"/>
        <v>24.328125</v>
      </c>
      <c r="G2124" s="8">
        <f t="shared" si="67"/>
        <v>2.4328124999999999E-2</v>
      </c>
    </row>
    <row r="2125" spans="1:7" x14ac:dyDescent="0.25">
      <c r="A2125" s="8">
        <v>28</v>
      </c>
      <c r="B2125" s="8">
        <v>34</v>
      </c>
      <c r="C2125" s="8">
        <v>2319.2216800000001</v>
      </c>
      <c r="D2125" s="8">
        <v>75502.703125</v>
      </c>
      <c r="E2125" s="8">
        <v>75525.796875</v>
      </c>
      <c r="F2125" s="8">
        <f t="shared" si="66"/>
        <v>23.09375</v>
      </c>
      <c r="G2125" s="8">
        <f t="shared" si="67"/>
        <v>2.309375E-2</v>
      </c>
    </row>
    <row r="2126" spans="1:7" x14ac:dyDescent="0.25">
      <c r="A2126" s="8">
        <v>28</v>
      </c>
      <c r="B2126" s="8">
        <v>35</v>
      </c>
      <c r="C2126" s="8">
        <v>1209.91272</v>
      </c>
      <c r="D2126" s="8">
        <v>77853.867188000004</v>
      </c>
      <c r="E2126" s="8">
        <v>77877.523438000004</v>
      </c>
      <c r="F2126" s="8">
        <f t="shared" si="66"/>
        <v>23.65625</v>
      </c>
      <c r="G2126" s="8">
        <f t="shared" si="67"/>
        <v>2.365625E-2</v>
      </c>
    </row>
    <row r="2127" spans="1:7" x14ac:dyDescent="0.25">
      <c r="A2127" s="8">
        <v>28</v>
      </c>
      <c r="B2127" s="8">
        <v>36</v>
      </c>
      <c r="C2127" s="8">
        <v>2583.2839359999998</v>
      </c>
      <c r="D2127" s="8">
        <v>79091.59375</v>
      </c>
      <c r="E2127" s="8">
        <v>79113.53125</v>
      </c>
      <c r="F2127" s="8">
        <f t="shared" si="66"/>
        <v>21.9375</v>
      </c>
      <c r="G2127" s="8">
        <f t="shared" si="67"/>
        <v>2.1937499999999999E-2</v>
      </c>
    </row>
    <row r="2128" spans="1:7" x14ac:dyDescent="0.25">
      <c r="A2128" s="8">
        <v>28</v>
      </c>
      <c r="B2128" s="8">
        <v>37</v>
      </c>
      <c r="C2128" s="8">
        <v>974.52062999999998</v>
      </c>
      <c r="D2128" s="8">
        <v>81708.328125</v>
      </c>
      <c r="E2128" s="8">
        <v>81737.226563000004</v>
      </c>
      <c r="F2128" s="8">
        <f t="shared" si="66"/>
        <v>28.898438000003807</v>
      </c>
      <c r="G2128" s="8">
        <f t="shared" si="67"/>
        <v>2.8898438000003808E-2</v>
      </c>
    </row>
    <row r="2129" spans="1:7" x14ac:dyDescent="0.25">
      <c r="A2129" s="8">
        <v>28</v>
      </c>
      <c r="B2129" s="8">
        <v>38</v>
      </c>
      <c r="C2129" s="8">
        <v>4482.4814450000003</v>
      </c>
      <c r="D2129" s="8">
        <v>82714.359375</v>
      </c>
      <c r="E2129" s="8">
        <v>82721.835938000004</v>
      </c>
      <c r="F2129" s="8">
        <f t="shared" si="66"/>
        <v>7.4765630000038072</v>
      </c>
      <c r="G2129" s="8">
        <f t="shared" si="67"/>
        <v>7.4765630000038072E-3</v>
      </c>
    </row>
    <row r="2130" spans="1:7" x14ac:dyDescent="0.25">
      <c r="A2130" s="8">
        <v>28</v>
      </c>
      <c r="B2130" s="8">
        <v>39</v>
      </c>
      <c r="C2130" s="8">
        <v>2176.5185550000001</v>
      </c>
      <c r="D2130" s="8">
        <v>87205.75</v>
      </c>
      <c r="E2130" s="8">
        <v>87227.429688000004</v>
      </c>
      <c r="F2130" s="8">
        <f t="shared" si="66"/>
        <v>21.679688000003807</v>
      </c>
      <c r="G2130" s="8">
        <f t="shared" si="67"/>
        <v>2.1679688000003808E-2</v>
      </c>
    </row>
    <row r="2131" spans="1:7" x14ac:dyDescent="0.25">
      <c r="A2131" s="8">
        <v>28</v>
      </c>
      <c r="B2131" s="8">
        <v>40</v>
      </c>
      <c r="C2131" s="8">
        <v>2327.803711</v>
      </c>
      <c r="D2131" s="8">
        <v>89412.414063000004</v>
      </c>
      <c r="E2131" s="8">
        <v>89432.539063000004</v>
      </c>
      <c r="F2131" s="8">
        <f t="shared" si="66"/>
        <v>20.125</v>
      </c>
      <c r="G2131" s="8">
        <f t="shared" si="67"/>
        <v>2.0125000000000001E-2</v>
      </c>
    </row>
    <row r="2132" spans="1:7" x14ac:dyDescent="0.25">
      <c r="A2132" s="8">
        <v>28</v>
      </c>
      <c r="B2132" s="8">
        <v>41</v>
      </c>
      <c r="C2132" s="8">
        <v>1287.165405</v>
      </c>
      <c r="D2132" s="8">
        <v>91761.1875</v>
      </c>
      <c r="E2132" s="8">
        <v>91808.09375</v>
      </c>
      <c r="F2132" s="8">
        <f t="shared" si="66"/>
        <v>46.90625</v>
      </c>
      <c r="G2132" s="8">
        <f t="shared" si="67"/>
        <v>4.6906249999999997E-2</v>
      </c>
    </row>
    <row r="2133" spans="1:7" x14ac:dyDescent="0.25">
      <c r="A2133" s="8">
        <v>28</v>
      </c>
      <c r="B2133" s="8">
        <v>42</v>
      </c>
      <c r="C2133" s="8">
        <v>1206.7857670000001</v>
      </c>
      <c r="D2133" s="8">
        <v>93107.226563000004</v>
      </c>
      <c r="E2133" s="8">
        <v>93134.664063000004</v>
      </c>
      <c r="F2133" s="8">
        <f t="shared" si="66"/>
        <v>27.4375</v>
      </c>
      <c r="G2133" s="8">
        <f t="shared" si="67"/>
        <v>2.74375E-2</v>
      </c>
    </row>
    <row r="2134" spans="1:7" x14ac:dyDescent="0.25">
      <c r="A2134" s="8">
        <v>28</v>
      </c>
      <c r="B2134" s="8">
        <v>43</v>
      </c>
      <c r="C2134" s="8">
        <v>547.02105700000004</v>
      </c>
      <c r="D2134" s="8">
        <v>94341.992188000004</v>
      </c>
      <c r="E2134" s="8">
        <v>94358.84375</v>
      </c>
      <c r="F2134" s="8">
        <f t="shared" si="66"/>
        <v>16.851561999996193</v>
      </c>
      <c r="G2134" s="8">
        <f t="shared" si="67"/>
        <v>1.6851561999996191E-2</v>
      </c>
    </row>
    <row r="2135" spans="1:7" x14ac:dyDescent="0.25">
      <c r="A2135" s="8">
        <v>28</v>
      </c>
      <c r="B2135" s="8">
        <v>44</v>
      </c>
      <c r="C2135" s="8">
        <v>15249.176758</v>
      </c>
      <c r="D2135" s="8">
        <v>94920.828125</v>
      </c>
      <c r="E2135" s="8">
        <v>94934.648438000004</v>
      </c>
      <c r="F2135" s="8">
        <f t="shared" si="66"/>
        <v>13.820313000003807</v>
      </c>
      <c r="G2135" s="8">
        <f t="shared" si="67"/>
        <v>1.3820313000003807E-2</v>
      </c>
    </row>
    <row r="2136" spans="1:7" x14ac:dyDescent="0.25">
      <c r="A2136" s="8">
        <v>28</v>
      </c>
      <c r="B2136" s="8">
        <v>45</v>
      </c>
      <c r="C2136" s="8">
        <v>22.094971000000001</v>
      </c>
      <c r="D2136" s="8">
        <v>110189.585938</v>
      </c>
      <c r="E2136" s="8">
        <v>110198.34375</v>
      </c>
      <c r="F2136" s="8">
        <f t="shared" si="66"/>
        <v>8.7578119999961928</v>
      </c>
      <c r="G2136" s="8">
        <f t="shared" si="67"/>
        <v>8.7578119999961925E-3</v>
      </c>
    </row>
    <row r="2137" spans="1:7" x14ac:dyDescent="0.25">
      <c r="A2137" s="8">
        <v>28</v>
      </c>
      <c r="B2137" s="8">
        <v>46</v>
      </c>
      <c r="C2137" s="8">
        <v>2118.999268</v>
      </c>
      <c r="D2137" s="8">
        <v>110220.742188</v>
      </c>
      <c r="E2137" s="8">
        <v>110241.695313</v>
      </c>
      <c r="F2137" s="8">
        <f t="shared" si="66"/>
        <v>20.953125</v>
      </c>
      <c r="G2137" s="8">
        <f t="shared" si="67"/>
        <v>2.0953125E-2</v>
      </c>
    </row>
    <row r="2138" spans="1:7" x14ac:dyDescent="0.25">
      <c r="A2138" s="8">
        <v>28</v>
      </c>
      <c r="B2138" s="8">
        <v>47</v>
      </c>
      <c r="C2138" s="8">
        <v>1534.9376219999999</v>
      </c>
      <c r="D2138" s="8">
        <v>112365.804688</v>
      </c>
      <c r="E2138" s="8">
        <v>112393.023438</v>
      </c>
      <c r="F2138" s="8">
        <f t="shared" si="66"/>
        <v>27.21875</v>
      </c>
      <c r="G2138" s="8">
        <f t="shared" si="67"/>
        <v>2.721875E-2</v>
      </c>
    </row>
    <row r="2139" spans="1:7" x14ac:dyDescent="0.25">
      <c r="A2139" s="8">
        <v>28</v>
      </c>
      <c r="B2139" s="8">
        <v>48</v>
      </c>
      <c r="C2139" s="8">
        <v>1155.6649170000001</v>
      </c>
      <c r="D2139" s="8">
        <v>113940.640625</v>
      </c>
      <c r="E2139" s="8">
        <v>113965.882813</v>
      </c>
      <c r="F2139" s="8">
        <f t="shared" si="66"/>
        <v>25.242188000003807</v>
      </c>
      <c r="G2139" s="8">
        <f t="shared" si="67"/>
        <v>2.5242188000003808E-2</v>
      </c>
    </row>
    <row r="2140" spans="1:7" x14ac:dyDescent="0.25">
      <c r="A2140" s="8">
        <v>28</v>
      </c>
      <c r="B2140" s="8">
        <v>49</v>
      </c>
      <c r="C2140" s="8">
        <v>2051.9885250000002</v>
      </c>
      <c r="D2140" s="8">
        <v>115129.835938</v>
      </c>
      <c r="E2140" s="8">
        <v>115144.257813</v>
      </c>
      <c r="F2140" s="8">
        <f t="shared" si="66"/>
        <v>14.421875</v>
      </c>
      <c r="G2140" s="8">
        <f t="shared" si="67"/>
        <v>1.4421875000000001E-2</v>
      </c>
    </row>
    <row r="2141" spans="1:7" x14ac:dyDescent="0.25">
      <c r="A2141" s="8">
        <v>28</v>
      </c>
      <c r="B2141" s="8">
        <v>50</v>
      </c>
      <c r="C2141" s="8">
        <v>230.711929</v>
      </c>
      <c r="D2141" s="8">
        <v>117200.367188</v>
      </c>
      <c r="E2141" s="8">
        <v>117212.359375</v>
      </c>
      <c r="F2141" s="8">
        <f t="shared" si="66"/>
        <v>11.992186999996193</v>
      </c>
      <c r="G2141" s="8">
        <f t="shared" si="67"/>
        <v>1.1992186999996192E-2</v>
      </c>
    </row>
    <row r="2142" spans="1:7" x14ac:dyDescent="0.25">
      <c r="A2142" s="8">
        <v>28</v>
      </c>
      <c r="B2142" s="8">
        <v>51</v>
      </c>
      <c r="C2142" s="8">
        <v>1585.134888</v>
      </c>
      <c r="D2142" s="8">
        <v>117457.460938</v>
      </c>
      <c r="E2142" s="8">
        <v>117481.742188</v>
      </c>
      <c r="F2142" s="8">
        <f t="shared" si="66"/>
        <v>24.28125</v>
      </c>
      <c r="G2142" s="8">
        <f t="shared" si="67"/>
        <v>2.4281250000000001E-2</v>
      </c>
    </row>
    <row r="2143" spans="1:7" x14ac:dyDescent="0.25">
      <c r="A2143" s="8">
        <v>28</v>
      </c>
      <c r="B2143" s="8">
        <v>52</v>
      </c>
      <c r="C2143" s="8">
        <v>20.244312000000001</v>
      </c>
      <c r="D2143" s="8">
        <v>119072.570313</v>
      </c>
      <c r="E2143" s="8">
        <v>119089.242188</v>
      </c>
      <c r="F2143" s="8">
        <f t="shared" si="66"/>
        <v>16.671875</v>
      </c>
      <c r="G2143" s="8">
        <f t="shared" si="67"/>
        <v>1.6671874999999999E-2</v>
      </c>
    </row>
    <row r="2144" spans="1:7" x14ac:dyDescent="0.25">
      <c r="A2144" s="8">
        <v>28</v>
      </c>
      <c r="B2144" s="8">
        <v>53</v>
      </c>
      <c r="C2144" s="8">
        <v>4420.3125</v>
      </c>
      <c r="D2144" s="8">
        <v>119119.453125</v>
      </c>
      <c r="E2144" s="8">
        <v>119140.117188</v>
      </c>
      <c r="F2144" s="8">
        <f t="shared" si="66"/>
        <v>20.664063000003807</v>
      </c>
      <c r="G2144" s="8">
        <f t="shared" si="67"/>
        <v>2.0664063000003806E-2</v>
      </c>
    </row>
    <row r="2145" spans="1:7" x14ac:dyDescent="0.25">
      <c r="A2145" s="8">
        <v>28</v>
      </c>
      <c r="B2145" s="8">
        <v>54</v>
      </c>
      <c r="C2145" s="8">
        <v>296.44457999999997</v>
      </c>
      <c r="D2145" s="8">
        <v>123574.476563</v>
      </c>
      <c r="E2145" s="8">
        <v>123588.78125</v>
      </c>
      <c r="F2145" s="8">
        <f t="shared" si="66"/>
        <v>14.304686999996193</v>
      </c>
      <c r="G2145" s="8">
        <f t="shared" si="67"/>
        <v>1.4304686999996192E-2</v>
      </c>
    </row>
    <row r="2146" spans="1:7" x14ac:dyDescent="0.25">
      <c r="A2146" s="8">
        <v>28</v>
      </c>
      <c r="B2146" s="8">
        <v>55</v>
      </c>
      <c r="C2146" s="8">
        <v>323.311554</v>
      </c>
      <c r="D2146" s="8">
        <v>123887.03125</v>
      </c>
      <c r="E2146" s="8">
        <v>124023.71875</v>
      </c>
      <c r="F2146" s="8">
        <f t="shared" si="66"/>
        <v>136.6875</v>
      </c>
      <c r="G2146" s="8">
        <f t="shared" si="67"/>
        <v>0.13668749999999999</v>
      </c>
    </row>
    <row r="2147" spans="1:7" x14ac:dyDescent="0.25">
      <c r="A2147" s="8">
        <v>28</v>
      </c>
      <c r="B2147" s="8">
        <v>56</v>
      </c>
      <c r="C2147" s="8">
        <v>205.59371899999999</v>
      </c>
      <c r="D2147" s="8">
        <v>124361.40625</v>
      </c>
      <c r="E2147" s="8">
        <v>124386.804688</v>
      </c>
      <c r="F2147" s="8">
        <f t="shared" si="66"/>
        <v>25.398438000003807</v>
      </c>
      <c r="G2147" s="8">
        <f t="shared" si="67"/>
        <v>2.5398438000003808E-2</v>
      </c>
    </row>
    <row r="2148" spans="1:7" x14ac:dyDescent="0.25">
      <c r="A2148" s="8">
        <v>28</v>
      </c>
      <c r="B2148" s="8">
        <v>57</v>
      </c>
      <c r="C2148" s="8">
        <v>144.50555399999999</v>
      </c>
      <c r="D2148" s="8">
        <v>124595.828125</v>
      </c>
      <c r="E2148" s="8">
        <v>124608.132813</v>
      </c>
      <c r="F2148" s="8">
        <f t="shared" si="66"/>
        <v>12.304688000003807</v>
      </c>
      <c r="G2148" s="8">
        <f t="shared" si="67"/>
        <v>1.2304688000003807E-2</v>
      </c>
    </row>
    <row r="2149" spans="1:7" x14ac:dyDescent="0.25">
      <c r="A2149" s="8">
        <v>28</v>
      </c>
      <c r="B2149" s="8">
        <v>58</v>
      </c>
      <c r="C2149" s="8">
        <v>4678.3330079999996</v>
      </c>
      <c r="D2149" s="8">
        <v>124767.695313</v>
      </c>
      <c r="E2149" s="8">
        <v>124785.179688</v>
      </c>
      <c r="F2149" s="8">
        <f t="shared" si="66"/>
        <v>17.484375</v>
      </c>
      <c r="G2149" s="8">
        <f t="shared" si="67"/>
        <v>1.7484375E-2</v>
      </c>
    </row>
    <row r="2150" spans="1:7" x14ac:dyDescent="0.25">
      <c r="A2150" s="8">
        <v>28</v>
      </c>
      <c r="B2150" s="8">
        <v>59</v>
      </c>
      <c r="C2150" s="8">
        <v>97.110366999999997</v>
      </c>
      <c r="D2150" s="8">
        <v>129473.46875</v>
      </c>
      <c r="E2150" s="8">
        <v>129589.835938</v>
      </c>
      <c r="F2150" s="8">
        <f t="shared" si="66"/>
        <v>116.36718800000381</v>
      </c>
      <c r="G2150" s="8">
        <f t="shared" si="67"/>
        <v>0.11636718800000381</v>
      </c>
    </row>
    <row r="2151" spans="1:7" x14ac:dyDescent="0.25">
      <c r="A2151" s="8">
        <v>28</v>
      </c>
      <c r="B2151" s="8">
        <v>60</v>
      </c>
      <c r="C2151" s="8">
        <v>1364.501221</v>
      </c>
      <c r="D2151" s="8">
        <v>129692.070313</v>
      </c>
      <c r="E2151" s="8">
        <v>129712.742188</v>
      </c>
      <c r="F2151" s="8">
        <f t="shared" si="66"/>
        <v>20.671875</v>
      </c>
      <c r="G2151" s="8">
        <f t="shared" si="67"/>
        <v>2.0671874999999999E-2</v>
      </c>
    </row>
    <row r="2152" spans="1:7" x14ac:dyDescent="0.25">
      <c r="A2152" s="8">
        <v>28</v>
      </c>
      <c r="B2152" s="8">
        <v>61</v>
      </c>
      <c r="C2152" s="8">
        <v>1699.4438479999999</v>
      </c>
      <c r="D2152" s="8">
        <v>131082.90625</v>
      </c>
      <c r="E2152" s="8">
        <v>131107.359375</v>
      </c>
      <c r="F2152" s="8">
        <f t="shared" si="66"/>
        <v>24.453125</v>
      </c>
      <c r="G2152" s="8">
        <f t="shared" si="67"/>
        <v>2.4453124999999999E-2</v>
      </c>
    </row>
    <row r="2153" spans="1:7" x14ac:dyDescent="0.25">
      <c r="A2153" s="8">
        <v>28</v>
      </c>
      <c r="B2153" s="8">
        <v>62</v>
      </c>
      <c r="C2153" s="8">
        <v>1072.7768550000001</v>
      </c>
      <c r="D2153" s="8">
        <v>132811.484375</v>
      </c>
      <c r="E2153" s="8">
        <v>132828.421875</v>
      </c>
      <c r="F2153" s="8">
        <f t="shared" si="66"/>
        <v>16.9375</v>
      </c>
      <c r="G2153" s="8">
        <f t="shared" si="67"/>
        <v>1.6937500000000001E-2</v>
      </c>
    </row>
    <row r="2154" spans="1:7" x14ac:dyDescent="0.25">
      <c r="A2154" s="8">
        <v>28</v>
      </c>
      <c r="B2154" s="8">
        <v>63</v>
      </c>
      <c r="C2154" s="8">
        <v>334.968414</v>
      </c>
      <c r="D2154" s="8">
        <v>133910</v>
      </c>
      <c r="E2154" s="8">
        <v>133921.390625</v>
      </c>
      <c r="F2154" s="8">
        <f t="shared" si="66"/>
        <v>11.390625</v>
      </c>
      <c r="G2154" s="8">
        <f t="shared" si="67"/>
        <v>1.1390625E-2</v>
      </c>
    </row>
    <row r="2155" spans="1:7" x14ac:dyDescent="0.25">
      <c r="A2155" s="8">
        <v>28</v>
      </c>
      <c r="B2155" s="8">
        <v>64</v>
      </c>
      <c r="C2155" s="8">
        <v>315.50656099999998</v>
      </c>
      <c r="D2155" s="8">
        <v>134269.421875</v>
      </c>
      <c r="E2155" s="8">
        <v>134277.15625</v>
      </c>
      <c r="F2155" s="8">
        <f t="shared" si="66"/>
        <v>7.734375</v>
      </c>
      <c r="G2155" s="8">
        <f t="shared" si="67"/>
        <v>7.7343749999999999E-3</v>
      </c>
    </row>
    <row r="2156" spans="1:7" x14ac:dyDescent="0.25">
      <c r="A2156" s="8">
        <v>28</v>
      </c>
      <c r="B2156" s="8">
        <v>65</v>
      </c>
      <c r="C2156" s="8">
        <v>26.419685000000001</v>
      </c>
      <c r="D2156" s="8">
        <v>134597.5</v>
      </c>
      <c r="E2156" s="8">
        <v>134611.0625</v>
      </c>
      <c r="F2156" s="8">
        <f t="shared" si="66"/>
        <v>13.5625</v>
      </c>
      <c r="G2156" s="8">
        <f t="shared" si="67"/>
        <v>1.35625E-2</v>
      </c>
    </row>
    <row r="2157" spans="1:7" x14ac:dyDescent="0.25">
      <c r="A2157" s="8">
        <v>28</v>
      </c>
      <c r="B2157" s="8">
        <v>66</v>
      </c>
      <c r="C2157" s="8">
        <v>7538.2714839999999</v>
      </c>
      <c r="D2157" s="8">
        <v>134644.421875</v>
      </c>
      <c r="E2157" s="8">
        <v>134666.21875</v>
      </c>
      <c r="F2157" s="8">
        <f t="shared" si="66"/>
        <v>21.796875</v>
      </c>
      <c r="G2157" s="8">
        <f t="shared" si="67"/>
        <v>2.1796875E-2</v>
      </c>
    </row>
    <row r="2158" spans="1:7" x14ac:dyDescent="0.25">
      <c r="A2158" s="8">
        <v>28</v>
      </c>
      <c r="B2158" s="8">
        <v>67</v>
      </c>
      <c r="C2158" s="8">
        <v>1896.5848390000001</v>
      </c>
      <c r="D2158" s="8">
        <v>142218.296875</v>
      </c>
      <c r="E2158" s="8">
        <v>142235.578125</v>
      </c>
      <c r="F2158" s="8">
        <f t="shared" si="66"/>
        <v>17.28125</v>
      </c>
      <c r="G2158" s="8">
        <f t="shared" si="67"/>
        <v>1.7281250000000001E-2</v>
      </c>
    </row>
    <row r="2159" spans="1:7" x14ac:dyDescent="0.25">
      <c r="A2159" s="8">
        <v>28</v>
      </c>
      <c r="B2159" s="8">
        <v>68</v>
      </c>
      <c r="C2159" s="8">
        <v>6204.2416990000002</v>
      </c>
      <c r="D2159" s="8">
        <v>144134.90625</v>
      </c>
      <c r="E2159" s="8">
        <v>144156.265625</v>
      </c>
      <c r="F2159" s="8">
        <f t="shared" si="66"/>
        <v>21.359375</v>
      </c>
      <c r="G2159" s="8">
        <f t="shared" si="67"/>
        <v>2.1359375E-2</v>
      </c>
    </row>
    <row r="2160" spans="1:7" x14ac:dyDescent="0.25">
      <c r="A2160" s="8">
        <v>28</v>
      </c>
      <c r="B2160" s="8">
        <v>69</v>
      </c>
      <c r="C2160" s="8">
        <v>415.89389</v>
      </c>
      <c r="D2160" s="8">
        <v>150373.90625</v>
      </c>
      <c r="E2160" s="8">
        <v>150389.4375</v>
      </c>
      <c r="F2160" s="8">
        <f t="shared" si="66"/>
        <v>15.53125</v>
      </c>
      <c r="G2160" s="8">
        <f t="shared" si="67"/>
        <v>1.553125E-2</v>
      </c>
    </row>
    <row r="2161" spans="1:7" x14ac:dyDescent="0.25">
      <c r="A2161" s="8">
        <v>28</v>
      </c>
      <c r="B2161" s="8">
        <v>70</v>
      </c>
      <c r="C2161" s="8">
        <v>407.86935399999999</v>
      </c>
      <c r="D2161" s="8">
        <v>150811.421875</v>
      </c>
      <c r="E2161" s="8">
        <v>150822.9375</v>
      </c>
      <c r="F2161" s="8">
        <f t="shared" si="66"/>
        <v>11.515625</v>
      </c>
      <c r="G2161" s="8">
        <f t="shared" si="67"/>
        <v>1.1515625E-2</v>
      </c>
    </row>
    <row r="2162" spans="1:7" x14ac:dyDescent="0.25">
      <c r="A2162" s="8">
        <v>28</v>
      </c>
      <c r="B2162" s="8">
        <v>71</v>
      </c>
      <c r="C2162" s="8">
        <v>406.896637</v>
      </c>
      <c r="D2162" s="8">
        <v>151233.359375</v>
      </c>
      <c r="E2162" s="8">
        <v>151250.59375</v>
      </c>
      <c r="F2162" s="8">
        <f t="shared" si="66"/>
        <v>17.234375</v>
      </c>
      <c r="G2162" s="8">
        <f t="shared" si="67"/>
        <v>1.7234375E-2</v>
      </c>
    </row>
    <row r="2163" spans="1:7" x14ac:dyDescent="0.25">
      <c r="A2163" s="8">
        <v>28</v>
      </c>
      <c r="B2163" s="8">
        <v>72</v>
      </c>
      <c r="C2163" s="8">
        <v>1354.1435550000001</v>
      </c>
      <c r="D2163" s="8">
        <v>151670.921875</v>
      </c>
      <c r="E2163" s="8">
        <v>151696.3125</v>
      </c>
      <c r="F2163" s="8">
        <f t="shared" si="66"/>
        <v>25.390625</v>
      </c>
      <c r="G2163" s="8">
        <f t="shared" si="67"/>
        <v>2.5390625E-2</v>
      </c>
    </row>
    <row r="2164" spans="1:7" x14ac:dyDescent="0.25">
      <c r="A2164" s="8">
        <v>28</v>
      </c>
      <c r="B2164" s="8">
        <v>73</v>
      </c>
      <c r="C2164" s="8">
        <v>774.42944299999999</v>
      </c>
      <c r="D2164" s="8">
        <v>153062.671875</v>
      </c>
      <c r="E2164" s="8">
        <v>153079.46875</v>
      </c>
      <c r="F2164" s="8">
        <f t="shared" si="66"/>
        <v>16.796875</v>
      </c>
      <c r="G2164" s="8">
        <f t="shared" si="67"/>
        <v>1.6796874999999999E-2</v>
      </c>
    </row>
    <row r="2165" spans="1:7" x14ac:dyDescent="0.25">
      <c r="A2165" s="8">
        <v>28</v>
      </c>
      <c r="B2165" s="8">
        <v>74</v>
      </c>
      <c r="C2165" s="8">
        <v>120.959335</v>
      </c>
      <c r="D2165" s="8">
        <v>153859.53125</v>
      </c>
      <c r="E2165" s="8">
        <v>153869.046875</v>
      </c>
      <c r="F2165" s="8">
        <f t="shared" si="66"/>
        <v>9.515625</v>
      </c>
      <c r="G2165" s="8">
        <f t="shared" si="67"/>
        <v>9.5156249999999998E-3</v>
      </c>
    </row>
    <row r="2166" spans="1:7" x14ac:dyDescent="0.25">
      <c r="A2166" s="8">
        <v>28</v>
      </c>
      <c r="B2166" s="8">
        <v>75</v>
      </c>
      <c r="C2166" s="8">
        <v>501.17312600000002</v>
      </c>
      <c r="D2166" s="8">
        <v>154000.265625</v>
      </c>
      <c r="E2166" s="8">
        <v>154020.78125</v>
      </c>
      <c r="F2166" s="8">
        <f t="shared" si="66"/>
        <v>20.515625</v>
      </c>
      <c r="G2166" s="8">
        <f t="shared" si="67"/>
        <v>2.0515624999999999E-2</v>
      </c>
    </row>
    <row r="2167" spans="1:7" x14ac:dyDescent="0.25">
      <c r="A2167" s="8">
        <v>28</v>
      </c>
      <c r="B2167" s="8">
        <v>76</v>
      </c>
      <c r="C2167" s="8">
        <v>6038.8364259999998</v>
      </c>
      <c r="D2167" s="8">
        <v>154531.53125</v>
      </c>
      <c r="E2167" s="8">
        <v>154549.515625</v>
      </c>
      <c r="F2167" s="8">
        <f t="shared" si="66"/>
        <v>17.984375</v>
      </c>
      <c r="G2167" s="8">
        <f t="shared" si="67"/>
        <v>1.7984375E-2</v>
      </c>
    </row>
    <row r="2168" spans="1:7" x14ac:dyDescent="0.25">
      <c r="A2168" s="8">
        <v>28</v>
      </c>
      <c r="B2168" s="8">
        <v>77</v>
      </c>
      <c r="C2168" s="8">
        <v>1683.2346190000001</v>
      </c>
      <c r="D2168" s="8">
        <v>160595.6875</v>
      </c>
      <c r="E2168" s="8">
        <v>160607.125</v>
      </c>
      <c r="F2168" s="8">
        <f t="shared" si="66"/>
        <v>11.4375</v>
      </c>
      <c r="G2168" s="8">
        <f t="shared" si="67"/>
        <v>1.14375E-2</v>
      </c>
    </row>
    <row r="2169" spans="1:7" x14ac:dyDescent="0.25">
      <c r="A2169" s="8">
        <v>28</v>
      </c>
      <c r="B2169" s="8">
        <v>78</v>
      </c>
      <c r="C2169" s="8">
        <v>1063.094482</v>
      </c>
      <c r="D2169" s="8">
        <v>162299.515625</v>
      </c>
      <c r="E2169" s="8">
        <v>162310.609375</v>
      </c>
      <c r="F2169" s="8">
        <f t="shared" si="66"/>
        <v>11.09375</v>
      </c>
      <c r="G2169" s="8">
        <f t="shared" si="67"/>
        <v>1.1093749999999999E-2</v>
      </c>
    </row>
    <row r="2170" spans="1:7" x14ac:dyDescent="0.25">
      <c r="A2170" s="8">
        <v>28</v>
      </c>
      <c r="B2170" s="8">
        <v>79</v>
      </c>
      <c r="C2170" s="8">
        <v>5797.7226559999999</v>
      </c>
      <c r="D2170" s="8">
        <v>163377.734375</v>
      </c>
      <c r="E2170" s="8">
        <v>163404.234375</v>
      </c>
      <c r="F2170" s="8">
        <f t="shared" si="66"/>
        <v>26.5</v>
      </c>
      <c r="G2170" s="8">
        <f t="shared" si="67"/>
        <v>2.6499999999999999E-2</v>
      </c>
    </row>
    <row r="2171" spans="1:7" x14ac:dyDescent="0.25">
      <c r="A2171" s="8">
        <v>28</v>
      </c>
      <c r="B2171" s="8">
        <v>80</v>
      </c>
      <c r="C2171" s="8">
        <v>448.85229500000003</v>
      </c>
      <c r="D2171" s="8">
        <v>169204.671875</v>
      </c>
      <c r="E2171" s="8">
        <v>169215.65625</v>
      </c>
      <c r="F2171" s="8">
        <f t="shared" si="66"/>
        <v>10.984375</v>
      </c>
      <c r="G2171" s="8">
        <f t="shared" si="67"/>
        <v>1.0984374999999999E-2</v>
      </c>
    </row>
    <row r="2172" spans="1:7" x14ac:dyDescent="0.25">
      <c r="A2172" s="8">
        <v>28</v>
      </c>
      <c r="B2172" s="8">
        <v>81</v>
      </c>
      <c r="C2172" s="8">
        <v>565.64221199999997</v>
      </c>
      <c r="D2172" s="8">
        <v>169673.484375</v>
      </c>
      <c r="E2172" s="8">
        <v>169689.578125</v>
      </c>
      <c r="F2172" s="8">
        <f t="shared" si="66"/>
        <v>16.09375</v>
      </c>
      <c r="G2172" s="8">
        <f t="shared" si="67"/>
        <v>1.609375E-2</v>
      </c>
    </row>
    <row r="2173" spans="1:7" x14ac:dyDescent="0.25">
      <c r="A2173" s="8">
        <v>29</v>
      </c>
      <c r="B2173" s="8">
        <v>0</v>
      </c>
      <c r="C2173" s="8">
        <v>3359.3176269999999</v>
      </c>
      <c r="D2173" s="8">
        <v>23458.951172000001</v>
      </c>
      <c r="E2173" s="8">
        <v>23472.357422000001</v>
      </c>
      <c r="F2173" s="8">
        <f t="shared" si="66"/>
        <v>13.40625</v>
      </c>
      <c r="G2173" s="8">
        <f t="shared" si="67"/>
        <v>1.340625E-2</v>
      </c>
    </row>
    <row r="2174" spans="1:7" x14ac:dyDescent="0.25">
      <c r="A2174" s="8">
        <v>29</v>
      </c>
      <c r="B2174" s="8">
        <v>1</v>
      </c>
      <c r="C2174" s="8">
        <v>6246.7817379999997</v>
      </c>
      <c r="D2174" s="8">
        <v>26836.884765999999</v>
      </c>
      <c r="E2174" s="8">
        <v>26848.417968999998</v>
      </c>
      <c r="F2174" s="8">
        <f t="shared" si="66"/>
        <v>11.533202999999048</v>
      </c>
      <c r="G2174" s="8">
        <f t="shared" si="67"/>
        <v>1.1533202999999048E-2</v>
      </c>
    </row>
    <row r="2175" spans="1:7" x14ac:dyDescent="0.25">
      <c r="A2175" s="8">
        <v>29</v>
      </c>
      <c r="B2175" s="8">
        <v>2</v>
      </c>
      <c r="C2175" s="8">
        <v>831.14367700000003</v>
      </c>
      <c r="D2175" s="8">
        <v>33098.296875</v>
      </c>
      <c r="E2175" s="8">
        <v>33146.792969000002</v>
      </c>
      <c r="F2175" s="8">
        <f t="shared" si="66"/>
        <v>48.496094000001904</v>
      </c>
      <c r="G2175" s="8">
        <f t="shared" si="67"/>
        <v>4.8496094000001905E-2</v>
      </c>
    </row>
    <row r="2176" spans="1:7" x14ac:dyDescent="0.25">
      <c r="A2176" s="8">
        <v>29</v>
      </c>
      <c r="B2176" s="8">
        <v>3</v>
      </c>
      <c r="C2176" s="8">
        <v>898.19744900000001</v>
      </c>
      <c r="D2176" s="8">
        <v>33978.242187999997</v>
      </c>
      <c r="E2176" s="8">
        <v>33993.859375</v>
      </c>
      <c r="F2176" s="8">
        <f t="shared" si="66"/>
        <v>15.617187000003469</v>
      </c>
      <c r="G2176" s="8">
        <f t="shared" si="67"/>
        <v>1.5617187000003469E-2</v>
      </c>
    </row>
    <row r="2177" spans="1:7" x14ac:dyDescent="0.25">
      <c r="A2177" s="8">
        <v>29</v>
      </c>
      <c r="B2177" s="8">
        <v>4</v>
      </c>
      <c r="C2177" s="8">
        <v>1199.2116699999999</v>
      </c>
      <c r="D2177" s="8">
        <v>34905.035155999998</v>
      </c>
      <c r="E2177" s="8">
        <v>34922.074219000002</v>
      </c>
      <c r="F2177" s="8">
        <f t="shared" si="66"/>
        <v>17.039063000003807</v>
      </c>
      <c r="G2177" s="8">
        <f t="shared" si="67"/>
        <v>1.7039063000003806E-2</v>
      </c>
    </row>
    <row r="2178" spans="1:7" x14ac:dyDescent="0.25">
      <c r="A2178" s="8">
        <v>29</v>
      </c>
      <c r="B2178" s="8">
        <v>5</v>
      </c>
      <c r="C2178" s="8">
        <v>425.08270299999998</v>
      </c>
      <c r="D2178" s="8">
        <v>36124.03125</v>
      </c>
      <c r="E2178" s="8">
        <v>36134.917969000002</v>
      </c>
      <c r="F2178" s="8">
        <f t="shared" si="66"/>
        <v>10.886719000001904</v>
      </c>
      <c r="G2178" s="8">
        <f t="shared" si="67"/>
        <v>1.0886719000001904E-2</v>
      </c>
    </row>
    <row r="2179" spans="1:7" x14ac:dyDescent="0.25">
      <c r="A2179" s="8">
        <v>29</v>
      </c>
      <c r="B2179" s="8">
        <v>6</v>
      </c>
      <c r="C2179" s="8">
        <v>65.453445000000002</v>
      </c>
      <c r="D2179" s="8">
        <v>36565.957030999998</v>
      </c>
      <c r="E2179" s="8">
        <v>36579.753905999998</v>
      </c>
      <c r="F2179" s="8">
        <f t="shared" si="66"/>
        <v>13.796875</v>
      </c>
      <c r="G2179" s="8">
        <f t="shared" si="67"/>
        <v>1.3796875E-2</v>
      </c>
    </row>
    <row r="2180" spans="1:7" x14ac:dyDescent="0.25">
      <c r="A2180" s="8">
        <v>29</v>
      </c>
      <c r="B2180" s="8">
        <v>7</v>
      </c>
      <c r="C2180" s="8">
        <v>1659.723755</v>
      </c>
      <c r="D2180" s="8">
        <v>36659.683594000002</v>
      </c>
      <c r="E2180" s="8">
        <v>36673.144530999998</v>
      </c>
      <c r="F2180" s="8">
        <f t="shared" si="66"/>
        <v>13.460936999996193</v>
      </c>
      <c r="G2180" s="8">
        <f t="shared" si="67"/>
        <v>1.3460936999996193E-2</v>
      </c>
    </row>
    <row r="2181" spans="1:7" x14ac:dyDescent="0.25">
      <c r="A2181" s="8">
        <v>29</v>
      </c>
      <c r="B2181" s="8">
        <v>8</v>
      </c>
      <c r="C2181" s="8">
        <v>1759.880981</v>
      </c>
      <c r="D2181" s="8">
        <v>38339.386719000002</v>
      </c>
      <c r="E2181" s="8">
        <v>38359.335937999997</v>
      </c>
      <c r="F2181" s="8">
        <f t="shared" si="66"/>
        <v>19.949218999994628</v>
      </c>
      <c r="G2181" s="8">
        <f t="shared" si="67"/>
        <v>1.9949218999994626E-2</v>
      </c>
    </row>
    <row r="2182" spans="1:7" x14ac:dyDescent="0.25">
      <c r="A2182" s="8">
        <v>29</v>
      </c>
      <c r="B2182" s="8">
        <v>9</v>
      </c>
      <c r="C2182" s="8">
        <v>3648.7202149999998</v>
      </c>
      <c r="D2182" s="8">
        <v>40121.125</v>
      </c>
      <c r="E2182" s="8">
        <v>40142.976562999997</v>
      </c>
      <c r="F2182" s="8">
        <f t="shared" si="66"/>
        <v>21.851562999996531</v>
      </c>
      <c r="G2182" s="8">
        <f t="shared" si="67"/>
        <v>2.1851562999996531E-2</v>
      </c>
    </row>
    <row r="2183" spans="1:7" x14ac:dyDescent="0.25">
      <c r="A2183" s="8">
        <v>29</v>
      </c>
      <c r="B2183" s="8">
        <v>10</v>
      </c>
      <c r="C2183" s="8">
        <v>270.632294</v>
      </c>
      <c r="D2183" s="8">
        <v>43803.039062999997</v>
      </c>
      <c r="E2183" s="8">
        <v>43819.921875</v>
      </c>
      <c r="F2183" s="8">
        <f t="shared" si="66"/>
        <v>16.882812000003469</v>
      </c>
      <c r="G2183" s="8">
        <f t="shared" si="67"/>
        <v>1.688281200000347E-2</v>
      </c>
    </row>
    <row r="2184" spans="1:7" x14ac:dyDescent="0.25">
      <c r="A2184" s="8">
        <v>29</v>
      </c>
      <c r="B2184" s="8">
        <v>11</v>
      </c>
      <c r="C2184" s="8">
        <v>1917.172607</v>
      </c>
      <c r="D2184" s="8">
        <v>44099.902344000002</v>
      </c>
      <c r="E2184" s="8">
        <v>44121.691405999998</v>
      </c>
      <c r="F2184" s="8">
        <f t="shared" si="66"/>
        <v>21.789061999996193</v>
      </c>
      <c r="G2184" s="8">
        <f t="shared" si="67"/>
        <v>2.1789061999996192E-2</v>
      </c>
    </row>
    <row r="2185" spans="1:7" x14ac:dyDescent="0.25">
      <c r="A2185" s="8">
        <v>29</v>
      </c>
      <c r="B2185" s="8">
        <v>12</v>
      </c>
      <c r="C2185" s="8">
        <v>188.14988700000001</v>
      </c>
      <c r="D2185" s="8">
        <v>46054.445312999997</v>
      </c>
      <c r="E2185" s="8">
        <v>46069.617187999997</v>
      </c>
      <c r="F2185" s="8">
        <f t="shared" si="66"/>
        <v>15.171875</v>
      </c>
      <c r="G2185" s="8">
        <f t="shared" si="67"/>
        <v>1.5171875E-2</v>
      </c>
    </row>
    <row r="2186" spans="1:7" x14ac:dyDescent="0.25">
      <c r="A2186" s="8">
        <v>29</v>
      </c>
      <c r="B2186" s="8">
        <v>13</v>
      </c>
      <c r="C2186" s="8">
        <v>792.76300000000003</v>
      </c>
      <c r="D2186" s="8">
        <v>46264.644530999998</v>
      </c>
      <c r="E2186" s="8">
        <v>46278.945312999997</v>
      </c>
      <c r="F2186" s="8">
        <f t="shared" si="66"/>
        <v>14.300781999998435</v>
      </c>
      <c r="G2186" s="8">
        <f t="shared" si="67"/>
        <v>1.4300781999998435E-2</v>
      </c>
    </row>
    <row r="2187" spans="1:7" x14ac:dyDescent="0.25">
      <c r="A2187" s="8">
        <v>29</v>
      </c>
      <c r="B2187" s="8">
        <v>14</v>
      </c>
      <c r="C2187" s="8">
        <v>2296.9636230000001</v>
      </c>
      <c r="D2187" s="8">
        <v>47079.097655999998</v>
      </c>
      <c r="E2187" s="8">
        <v>47097.984375</v>
      </c>
      <c r="F2187" s="8">
        <f t="shared" ref="F2187:F2250" si="68">E2187-D2187</f>
        <v>18.886719000001904</v>
      </c>
      <c r="G2187" s="8">
        <f t="shared" ref="G2187:G2250" si="69">F2187/1000</f>
        <v>1.8886719000001904E-2</v>
      </c>
    </row>
    <row r="2188" spans="1:7" x14ac:dyDescent="0.25">
      <c r="A2188" s="8">
        <v>29</v>
      </c>
      <c r="B2188" s="8">
        <v>15</v>
      </c>
      <c r="C2188" s="8">
        <v>3152.3652339999999</v>
      </c>
      <c r="D2188" s="8">
        <v>49404.890625</v>
      </c>
      <c r="E2188" s="8">
        <v>49420.550780999998</v>
      </c>
      <c r="F2188" s="8">
        <f t="shared" si="68"/>
        <v>15.660155999998096</v>
      </c>
      <c r="G2188" s="8">
        <f t="shared" si="69"/>
        <v>1.5660155999998097E-2</v>
      </c>
    </row>
    <row r="2189" spans="1:7" x14ac:dyDescent="0.25">
      <c r="A2189" s="8">
        <v>29</v>
      </c>
      <c r="B2189" s="8">
        <v>16</v>
      </c>
      <c r="C2189" s="8">
        <v>675.42413299999998</v>
      </c>
      <c r="D2189" s="8">
        <v>52576.335937999997</v>
      </c>
      <c r="E2189" s="8">
        <v>52588.085937999997</v>
      </c>
      <c r="F2189" s="8">
        <f t="shared" si="68"/>
        <v>11.75</v>
      </c>
      <c r="G2189" s="8">
        <f t="shared" si="69"/>
        <v>1.175E-2</v>
      </c>
    </row>
    <row r="2190" spans="1:7" x14ac:dyDescent="0.25">
      <c r="A2190" s="8">
        <v>29</v>
      </c>
      <c r="B2190" s="8">
        <v>17</v>
      </c>
      <c r="C2190" s="8">
        <v>2899.7827149999998</v>
      </c>
      <c r="D2190" s="8">
        <v>53264.953125</v>
      </c>
      <c r="E2190" s="8">
        <v>53282.507812999997</v>
      </c>
      <c r="F2190" s="8">
        <f t="shared" si="68"/>
        <v>17.554687999996531</v>
      </c>
      <c r="G2190" s="8">
        <f t="shared" si="69"/>
        <v>1.7554687999996533E-2</v>
      </c>
    </row>
    <row r="2191" spans="1:7" x14ac:dyDescent="0.25">
      <c r="A2191" s="8">
        <v>29</v>
      </c>
      <c r="B2191" s="8">
        <v>18</v>
      </c>
      <c r="C2191" s="8">
        <v>2132.95874</v>
      </c>
      <c r="D2191" s="8">
        <v>56191.128905999998</v>
      </c>
      <c r="E2191" s="8">
        <v>56205.898437999997</v>
      </c>
      <c r="F2191" s="8">
        <f t="shared" si="68"/>
        <v>14.769531999998435</v>
      </c>
      <c r="G2191" s="8">
        <f t="shared" si="69"/>
        <v>1.4769531999998435E-2</v>
      </c>
    </row>
    <row r="2192" spans="1:7" x14ac:dyDescent="0.25">
      <c r="A2192" s="8">
        <v>29</v>
      </c>
      <c r="B2192" s="8">
        <v>19</v>
      </c>
      <c r="C2192" s="8">
        <v>4481.9077150000003</v>
      </c>
      <c r="D2192" s="8">
        <v>58353.394530999998</v>
      </c>
      <c r="E2192" s="8">
        <v>58364.789062999997</v>
      </c>
      <c r="F2192" s="8">
        <f t="shared" si="68"/>
        <v>11.394531999998435</v>
      </c>
      <c r="G2192" s="8">
        <f t="shared" si="69"/>
        <v>1.1394531999998434E-2</v>
      </c>
    </row>
    <row r="2193" spans="1:7" x14ac:dyDescent="0.25">
      <c r="A2193" s="8">
        <v>29</v>
      </c>
      <c r="B2193" s="8">
        <v>20</v>
      </c>
      <c r="C2193" s="8">
        <v>672.77355999999997</v>
      </c>
      <c r="D2193" s="8">
        <v>62860.4375</v>
      </c>
      <c r="E2193" s="8">
        <v>62867.648437999997</v>
      </c>
      <c r="F2193" s="8">
        <f t="shared" si="68"/>
        <v>7.2109379999965313</v>
      </c>
      <c r="G2193" s="8">
        <f t="shared" si="69"/>
        <v>7.2109379999965315E-3</v>
      </c>
    </row>
    <row r="2194" spans="1:7" x14ac:dyDescent="0.25">
      <c r="A2194" s="8">
        <v>29</v>
      </c>
      <c r="B2194" s="8">
        <v>21</v>
      </c>
      <c r="C2194" s="8">
        <v>3171.6459960000002</v>
      </c>
      <c r="D2194" s="8">
        <v>63539.9375</v>
      </c>
      <c r="E2194" s="8">
        <v>63551.527344000002</v>
      </c>
      <c r="F2194" s="8">
        <f t="shared" si="68"/>
        <v>11.589844000001904</v>
      </c>
      <c r="G2194" s="8">
        <f t="shared" si="69"/>
        <v>1.1589844000001903E-2</v>
      </c>
    </row>
    <row r="2195" spans="1:7" x14ac:dyDescent="0.25">
      <c r="A2195" s="8">
        <v>29</v>
      </c>
      <c r="B2195" s="8">
        <v>22</v>
      </c>
      <c r="C2195" s="8">
        <v>2422.6689449999999</v>
      </c>
      <c r="D2195" s="8">
        <v>66731.132813000004</v>
      </c>
      <c r="E2195" s="8">
        <v>66752.125</v>
      </c>
      <c r="F2195" s="8">
        <f t="shared" si="68"/>
        <v>20.992186999996193</v>
      </c>
      <c r="G2195" s="8">
        <f t="shared" si="69"/>
        <v>2.0992186999996193E-2</v>
      </c>
    </row>
    <row r="2196" spans="1:7" x14ac:dyDescent="0.25">
      <c r="A2196" s="8">
        <v>29</v>
      </c>
      <c r="B2196" s="8">
        <v>23</v>
      </c>
      <c r="C2196" s="8">
        <v>2384.100586</v>
      </c>
      <c r="D2196" s="8">
        <v>69186.3125</v>
      </c>
      <c r="E2196" s="8">
        <v>69200.125</v>
      </c>
      <c r="F2196" s="8">
        <f t="shared" si="68"/>
        <v>13.8125</v>
      </c>
      <c r="G2196" s="8">
        <f t="shared" si="69"/>
        <v>1.38125E-2</v>
      </c>
    </row>
    <row r="2197" spans="1:7" x14ac:dyDescent="0.25">
      <c r="A2197" s="8">
        <v>29</v>
      </c>
      <c r="B2197" s="8">
        <v>24</v>
      </c>
      <c r="C2197" s="8">
        <v>5.0112750000000004</v>
      </c>
      <c r="D2197" s="8">
        <v>71588.640625</v>
      </c>
      <c r="E2197" s="8">
        <v>71609.320313000004</v>
      </c>
      <c r="F2197" s="8">
        <f t="shared" si="68"/>
        <v>20.679688000003807</v>
      </c>
      <c r="G2197" s="8">
        <f t="shared" si="69"/>
        <v>2.0679688000003808E-2</v>
      </c>
    </row>
    <row r="2198" spans="1:7" x14ac:dyDescent="0.25">
      <c r="A2198" s="8">
        <v>29</v>
      </c>
      <c r="B2198" s="8">
        <v>25</v>
      </c>
      <c r="C2198" s="8">
        <v>1074.55188</v>
      </c>
      <c r="D2198" s="8">
        <v>71620.125</v>
      </c>
      <c r="E2198" s="8">
        <v>71639.46875</v>
      </c>
      <c r="F2198" s="8">
        <f t="shared" si="68"/>
        <v>19.34375</v>
      </c>
      <c r="G2198" s="8">
        <f t="shared" si="69"/>
        <v>1.934375E-2</v>
      </c>
    </row>
    <row r="2199" spans="1:7" x14ac:dyDescent="0.25">
      <c r="A2199" s="8">
        <v>29</v>
      </c>
      <c r="B2199" s="8">
        <v>26</v>
      </c>
      <c r="C2199" s="8">
        <v>185.33540300000001</v>
      </c>
      <c r="D2199" s="8">
        <v>72716.75</v>
      </c>
      <c r="E2199" s="8">
        <v>72744.859375</v>
      </c>
      <c r="F2199" s="8">
        <f t="shared" si="68"/>
        <v>28.109375</v>
      </c>
      <c r="G2199" s="8">
        <f t="shared" si="69"/>
        <v>2.8109374999999999E-2</v>
      </c>
    </row>
    <row r="2200" spans="1:7" x14ac:dyDescent="0.25">
      <c r="A2200" s="8">
        <v>29</v>
      </c>
      <c r="B2200" s="8">
        <v>27</v>
      </c>
      <c r="C2200" s="8">
        <v>239.22404499999999</v>
      </c>
      <c r="D2200" s="8">
        <v>72935.523438000004</v>
      </c>
      <c r="E2200" s="8">
        <v>72943.695313000004</v>
      </c>
      <c r="F2200" s="8">
        <f t="shared" si="68"/>
        <v>8.171875</v>
      </c>
      <c r="G2200" s="8">
        <f t="shared" si="69"/>
        <v>8.1718750000000003E-3</v>
      </c>
    </row>
    <row r="2201" spans="1:7" x14ac:dyDescent="0.25">
      <c r="A2201" s="8">
        <v>29</v>
      </c>
      <c r="B2201" s="8">
        <v>28</v>
      </c>
      <c r="C2201" s="8">
        <v>149.892822</v>
      </c>
      <c r="D2201" s="8">
        <v>73185.539063000004</v>
      </c>
      <c r="E2201" s="8">
        <v>73206.414063000004</v>
      </c>
      <c r="F2201" s="8">
        <f t="shared" si="68"/>
        <v>20.875</v>
      </c>
      <c r="G2201" s="8">
        <f t="shared" si="69"/>
        <v>2.0875000000000001E-2</v>
      </c>
    </row>
    <row r="2202" spans="1:7" x14ac:dyDescent="0.25">
      <c r="A2202" s="8">
        <v>29</v>
      </c>
      <c r="B2202" s="8">
        <v>29</v>
      </c>
      <c r="C2202" s="8">
        <v>245.56291200000001</v>
      </c>
      <c r="D2202" s="8">
        <v>73357.296875</v>
      </c>
      <c r="E2202" s="8">
        <v>73367.953125</v>
      </c>
      <c r="F2202" s="8">
        <f t="shared" si="68"/>
        <v>10.65625</v>
      </c>
      <c r="G2202" s="8">
        <f t="shared" si="69"/>
        <v>1.0656250000000001E-2</v>
      </c>
    </row>
    <row r="2203" spans="1:7" x14ac:dyDescent="0.25">
      <c r="A2203" s="8">
        <v>29</v>
      </c>
      <c r="B2203" s="8">
        <v>30</v>
      </c>
      <c r="C2203" s="8">
        <v>2194.1750489999999</v>
      </c>
      <c r="D2203" s="8">
        <v>73623.171875</v>
      </c>
      <c r="E2203" s="8">
        <v>73651.5</v>
      </c>
      <c r="F2203" s="8">
        <f t="shared" si="68"/>
        <v>28.328125</v>
      </c>
      <c r="G2203" s="8">
        <f t="shared" si="69"/>
        <v>2.8328124999999999E-2</v>
      </c>
    </row>
    <row r="2204" spans="1:7" x14ac:dyDescent="0.25">
      <c r="A2204" s="8">
        <v>29</v>
      </c>
      <c r="B2204" s="8">
        <v>31</v>
      </c>
      <c r="C2204" s="8">
        <v>290.08364899999998</v>
      </c>
      <c r="D2204" s="8">
        <v>75850.648438000004</v>
      </c>
      <c r="E2204" s="8">
        <v>75868.429688000004</v>
      </c>
      <c r="F2204" s="8">
        <f t="shared" si="68"/>
        <v>17.78125</v>
      </c>
      <c r="G2204" s="8">
        <f t="shared" si="69"/>
        <v>1.7781249999999998E-2</v>
      </c>
    </row>
    <row r="2205" spans="1:7" x14ac:dyDescent="0.25">
      <c r="A2205" s="8">
        <v>29</v>
      </c>
      <c r="B2205" s="8">
        <v>32</v>
      </c>
      <c r="C2205" s="8">
        <v>951.30658000000005</v>
      </c>
      <c r="D2205" s="8">
        <v>76163.132813000004</v>
      </c>
      <c r="E2205" s="8">
        <v>76188.226563000004</v>
      </c>
      <c r="F2205" s="8">
        <f t="shared" si="68"/>
        <v>25.09375</v>
      </c>
      <c r="G2205" s="8">
        <f t="shared" si="69"/>
        <v>2.5093750000000001E-2</v>
      </c>
    </row>
    <row r="2206" spans="1:7" x14ac:dyDescent="0.25">
      <c r="A2206" s="8">
        <v>29</v>
      </c>
      <c r="B2206" s="8">
        <v>33</v>
      </c>
      <c r="C2206" s="8">
        <v>351.41757200000001</v>
      </c>
      <c r="D2206" s="8">
        <v>77147.6875</v>
      </c>
      <c r="E2206" s="8">
        <v>77166.875</v>
      </c>
      <c r="F2206" s="8">
        <f t="shared" si="68"/>
        <v>19.1875</v>
      </c>
      <c r="G2206" s="8">
        <f t="shared" si="69"/>
        <v>1.91875E-2</v>
      </c>
    </row>
    <row r="2207" spans="1:7" x14ac:dyDescent="0.25">
      <c r="A2207" s="8">
        <v>29</v>
      </c>
      <c r="B2207" s="8">
        <v>34</v>
      </c>
      <c r="C2207" s="8">
        <v>968.66717500000004</v>
      </c>
      <c r="D2207" s="8">
        <v>77523.382813000004</v>
      </c>
      <c r="E2207" s="8">
        <v>77536.914063000004</v>
      </c>
      <c r="F2207" s="8">
        <f t="shared" si="68"/>
        <v>13.53125</v>
      </c>
      <c r="G2207" s="8">
        <f t="shared" si="69"/>
        <v>1.353125E-2</v>
      </c>
    </row>
    <row r="2208" spans="1:7" x14ac:dyDescent="0.25">
      <c r="A2208" s="8">
        <v>29</v>
      </c>
      <c r="B2208" s="8">
        <v>35</v>
      </c>
      <c r="C2208" s="8">
        <v>382.43493699999999</v>
      </c>
      <c r="D2208" s="8">
        <v>78513.460938000004</v>
      </c>
      <c r="E2208" s="8">
        <v>78537.9375</v>
      </c>
      <c r="F2208" s="8">
        <f t="shared" si="68"/>
        <v>24.476561999996193</v>
      </c>
      <c r="G2208" s="8">
        <f t="shared" si="69"/>
        <v>2.4476561999996194E-2</v>
      </c>
    </row>
    <row r="2209" spans="1:7" x14ac:dyDescent="0.25">
      <c r="A2209" s="8">
        <v>29</v>
      </c>
      <c r="B2209" s="8">
        <v>36</v>
      </c>
      <c r="C2209" s="8">
        <v>1079.153198</v>
      </c>
      <c r="D2209" s="8">
        <v>78935.34375</v>
      </c>
      <c r="E2209" s="8">
        <v>78945.328125</v>
      </c>
      <c r="F2209" s="8">
        <f t="shared" si="68"/>
        <v>9.984375</v>
      </c>
      <c r="G2209" s="8">
        <f t="shared" si="69"/>
        <v>9.9843750000000002E-3</v>
      </c>
    </row>
    <row r="2210" spans="1:7" x14ac:dyDescent="0.25">
      <c r="A2210" s="8">
        <v>29</v>
      </c>
      <c r="B2210" s="8">
        <v>37</v>
      </c>
      <c r="C2210" s="8">
        <v>961.25061000000005</v>
      </c>
      <c r="D2210" s="8">
        <v>80035.335938000004</v>
      </c>
      <c r="E2210" s="8">
        <v>80047.1875</v>
      </c>
      <c r="F2210" s="8">
        <f t="shared" si="68"/>
        <v>11.851561999996193</v>
      </c>
      <c r="G2210" s="8">
        <f t="shared" si="69"/>
        <v>1.1851561999996194E-2</v>
      </c>
    </row>
    <row r="2211" spans="1:7" x14ac:dyDescent="0.25">
      <c r="A2211" s="8">
        <v>29</v>
      </c>
      <c r="B2211" s="8">
        <v>38</v>
      </c>
      <c r="C2211" s="8">
        <v>732.08856200000002</v>
      </c>
      <c r="D2211" s="8">
        <v>81020.773438000004</v>
      </c>
      <c r="E2211" s="8">
        <v>81031.109375</v>
      </c>
      <c r="F2211" s="8">
        <f t="shared" si="68"/>
        <v>10.335936999996193</v>
      </c>
      <c r="G2211" s="8">
        <f t="shared" si="69"/>
        <v>1.0335936999996192E-2</v>
      </c>
    </row>
    <row r="2212" spans="1:7" x14ac:dyDescent="0.25">
      <c r="A2212" s="8">
        <v>29</v>
      </c>
      <c r="B2212" s="8">
        <v>39</v>
      </c>
      <c r="C2212" s="8">
        <v>4221.3115230000003</v>
      </c>
      <c r="D2212" s="8">
        <v>81775.648438000004</v>
      </c>
      <c r="E2212" s="8">
        <v>81790.984375</v>
      </c>
      <c r="F2212" s="8">
        <f t="shared" si="68"/>
        <v>15.335936999996193</v>
      </c>
      <c r="G2212" s="8">
        <f t="shared" si="69"/>
        <v>1.5335936999996193E-2</v>
      </c>
    </row>
    <row r="2213" spans="1:7" x14ac:dyDescent="0.25">
      <c r="A2213" s="8">
        <v>29</v>
      </c>
      <c r="B2213" s="8">
        <v>40</v>
      </c>
      <c r="C2213" s="8">
        <v>473.99054000000001</v>
      </c>
      <c r="D2213" s="8">
        <v>86018.304688000004</v>
      </c>
      <c r="E2213" s="8">
        <v>86040.726563000004</v>
      </c>
      <c r="F2213" s="8">
        <f t="shared" si="68"/>
        <v>22.421875</v>
      </c>
      <c r="G2213" s="8">
        <f t="shared" si="69"/>
        <v>2.2421875000000001E-2</v>
      </c>
    </row>
    <row r="2214" spans="1:7" x14ac:dyDescent="0.25">
      <c r="A2214" s="8">
        <v>29</v>
      </c>
      <c r="B2214" s="8">
        <v>41</v>
      </c>
      <c r="C2214" s="8">
        <v>702.81835899999999</v>
      </c>
      <c r="D2214" s="8">
        <v>86518.359375</v>
      </c>
      <c r="E2214" s="8">
        <v>86538.726563000004</v>
      </c>
      <c r="F2214" s="8">
        <f t="shared" si="68"/>
        <v>20.367188000003807</v>
      </c>
      <c r="G2214" s="8">
        <f t="shared" si="69"/>
        <v>2.0367188000003807E-2</v>
      </c>
    </row>
    <row r="2215" spans="1:7" x14ac:dyDescent="0.25">
      <c r="A2215" s="8">
        <v>29</v>
      </c>
      <c r="B2215" s="8">
        <v>42</v>
      </c>
      <c r="C2215" s="8">
        <v>1871.8448490000001</v>
      </c>
      <c r="D2215" s="8">
        <v>87254.492188000004</v>
      </c>
      <c r="E2215" s="8">
        <v>87268.429688000004</v>
      </c>
      <c r="F2215" s="8">
        <f t="shared" si="68"/>
        <v>13.9375</v>
      </c>
      <c r="G2215" s="8">
        <f t="shared" si="69"/>
        <v>1.39375E-2</v>
      </c>
    </row>
    <row r="2216" spans="1:7" x14ac:dyDescent="0.25">
      <c r="A2216" s="8">
        <v>29</v>
      </c>
      <c r="B2216" s="8">
        <v>43</v>
      </c>
      <c r="C2216" s="8">
        <v>65.579704000000007</v>
      </c>
      <c r="D2216" s="8">
        <v>89146.757813000004</v>
      </c>
      <c r="E2216" s="8">
        <v>89172.320313000004</v>
      </c>
      <c r="F2216" s="8">
        <f t="shared" si="68"/>
        <v>25.5625</v>
      </c>
      <c r="G2216" s="8">
        <f t="shared" si="69"/>
        <v>2.5562499999999998E-2</v>
      </c>
    </row>
    <row r="2217" spans="1:7" x14ac:dyDescent="0.25">
      <c r="A2217" s="8">
        <v>29</v>
      </c>
      <c r="B2217" s="8">
        <v>44</v>
      </c>
      <c r="C2217" s="8">
        <v>13741.633789</v>
      </c>
      <c r="D2217" s="8">
        <v>89240.5625</v>
      </c>
      <c r="E2217" s="8">
        <v>89270.890625</v>
      </c>
      <c r="F2217" s="8">
        <f t="shared" si="68"/>
        <v>30.328125</v>
      </c>
      <c r="G2217" s="8">
        <f t="shared" si="69"/>
        <v>3.0328125000000001E-2</v>
      </c>
    </row>
    <row r="2218" spans="1:7" x14ac:dyDescent="0.25">
      <c r="A2218" s="8">
        <v>29</v>
      </c>
      <c r="B2218" s="8">
        <v>45</v>
      </c>
      <c r="C2218" s="8">
        <v>5256.4418949999999</v>
      </c>
      <c r="D2218" s="8">
        <v>103023.953125</v>
      </c>
      <c r="E2218" s="8">
        <v>103039.671875</v>
      </c>
      <c r="F2218" s="8">
        <f t="shared" si="68"/>
        <v>15.71875</v>
      </c>
      <c r="G2218" s="8">
        <f t="shared" si="69"/>
        <v>1.571875E-2</v>
      </c>
    </row>
    <row r="2219" spans="1:7" x14ac:dyDescent="0.25">
      <c r="A2219" s="8">
        <v>29</v>
      </c>
      <c r="B2219" s="8">
        <v>46</v>
      </c>
      <c r="C2219" s="8">
        <v>1413.518188</v>
      </c>
      <c r="D2219" s="8">
        <v>108298.0625</v>
      </c>
      <c r="E2219" s="8">
        <v>108371.054688</v>
      </c>
      <c r="F2219" s="8">
        <f t="shared" si="68"/>
        <v>72.992188000003807</v>
      </c>
      <c r="G2219" s="8">
        <f t="shared" si="69"/>
        <v>7.2992188000003802E-2</v>
      </c>
    </row>
    <row r="2220" spans="1:7" x14ac:dyDescent="0.25">
      <c r="A2220" s="8">
        <v>29</v>
      </c>
      <c r="B2220" s="8">
        <v>47</v>
      </c>
      <c r="C2220" s="8">
        <v>1920.83728</v>
      </c>
      <c r="D2220" s="8">
        <v>109798.9375</v>
      </c>
      <c r="E2220" s="8">
        <v>109818.140625</v>
      </c>
      <c r="F2220" s="8">
        <f t="shared" si="68"/>
        <v>19.203125</v>
      </c>
      <c r="G2220" s="8">
        <f t="shared" si="69"/>
        <v>1.9203125000000001E-2</v>
      </c>
    </row>
    <row r="2221" spans="1:7" x14ac:dyDescent="0.25">
      <c r="A2221" s="8">
        <v>29</v>
      </c>
      <c r="B2221" s="8">
        <v>48</v>
      </c>
      <c r="C2221" s="8">
        <v>1061.9525149999999</v>
      </c>
      <c r="D2221" s="8">
        <v>111752.289063</v>
      </c>
      <c r="E2221" s="8">
        <v>111765.265625</v>
      </c>
      <c r="F2221" s="8">
        <f t="shared" si="68"/>
        <v>12.976561999996193</v>
      </c>
      <c r="G2221" s="8">
        <f t="shared" si="69"/>
        <v>1.2976561999996193E-2</v>
      </c>
    </row>
    <row r="2222" spans="1:7" x14ac:dyDescent="0.25">
      <c r="A2222" s="8">
        <v>29</v>
      </c>
      <c r="B2222" s="8">
        <v>49</v>
      </c>
      <c r="C2222" s="8">
        <v>310.43884300000002</v>
      </c>
      <c r="D2222" s="8">
        <v>112837.992188</v>
      </c>
      <c r="E2222" s="8">
        <v>112845.28125</v>
      </c>
      <c r="F2222" s="8">
        <f t="shared" si="68"/>
        <v>7.2890619999961928</v>
      </c>
      <c r="G2222" s="8">
        <f t="shared" si="69"/>
        <v>7.2890619999961929E-3</v>
      </c>
    </row>
    <row r="2223" spans="1:7" x14ac:dyDescent="0.25">
      <c r="A2223" s="8">
        <v>29</v>
      </c>
      <c r="B2223" s="8">
        <v>50</v>
      </c>
      <c r="C2223" s="8">
        <v>1916.5360109999999</v>
      </c>
      <c r="D2223" s="8">
        <v>113159.359375</v>
      </c>
      <c r="E2223" s="8">
        <v>113183.210938</v>
      </c>
      <c r="F2223" s="8">
        <f t="shared" si="68"/>
        <v>23.851563000003807</v>
      </c>
      <c r="G2223" s="8">
        <f t="shared" si="69"/>
        <v>2.3851563000003809E-2</v>
      </c>
    </row>
    <row r="2224" spans="1:7" x14ac:dyDescent="0.25">
      <c r="A2224" s="8">
        <v>29</v>
      </c>
      <c r="B2224" s="8">
        <v>51</v>
      </c>
      <c r="C2224" s="8">
        <v>2076.1440429999998</v>
      </c>
      <c r="D2224" s="8">
        <v>115114.335938</v>
      </c>
      <c r="E2224" s="8">
        <v>115137.0625</v>
      </c>
      <c r="F2224" s="8">
        <f t="shared" si="68"/>
        <v>22.726561999996193</v>
      </c>
      <c r="G2224" s="8">
        <f t="shared" si="69"/>
        <v>2.2726561999996193E-2</v>
      </c>
    </row>
    <row r="2225" spans="1:7" x14ac:dyDescent="0.25">
      <c r="A2225" s="8">
        <v>29</v>
      </c>
      <c r="B2225" s="8">
        <v>52</v>
      </c>
      <c r="C2225" s="8">
        <v>894.37567100000001</v>
      </c>
      <c r="D2225" s="8">
        <v>117215.984375</v>
      </c>
      <c r="E2225" s="8">
        <v>117228.859375</v>
      </c>
      <c r="F2225" s="8">
        <f t="shared" si="68"/>
        <v>12.875</v>
      </c>
      <c r="G2225" s="8">
        <f t="shared" si="69"/>
        <v>1.2874999999999999E-2</v>
      </c>
    </row>
    <row r="2226" spans="1:7" x14ac:dyDescent="0.25">
      <c r="A2226" s="8">
        <v>29</v>
      </c>
      <c r="B2226" s="8">
        <v>53</v>
      </c>
      <c r="C2226" s="8">
        <v>4121.0942379999997</v>
      </c>
      <c r="D2226" s="8">
        <v>118135</v>
      </c>
      <c r="E2226" s="8">
        <v>118154.679688</v>
      </c>
      <c r="F2226" s="8">
        <f t="shared" si="68"/>
        <v>19.679688000003807</v>
      </c>
      <c r="G2226" s="8">
        <f t="shared" si="69"/>
        <v>1.9679688000003807E-2</v>
      </c>
    </row>
    <row r="2227" spans="1:7" x14ac:dyDescent="0.25">
      <c r="A2227" s="8">
        <v>29</v>
      </c>
      <c r="B2227" s="8">
        <v>54</v>
      </c>
      <c r="C2227" s="8">
        <v>2236.3012699999999</v>
      </c>
      <c r="D2227" s="8">
        <v>122283.359375</v>
      </c>
      <c r="E2227" s="8">
        <v>122316.109375</v>
      </c>
      <c r="F2227" s="8">
        <f t="shared" si="68"/>
        <v>32.75</v>
      </c>
      <c r="G2227" s="8">
        <f t="shared" si="69"/>
        <v>3.2750000000000001E-2</v>
      </c>
    </row>
    <row r="2228" spans="1:7" x14ac:dyDescent="0.25">
      <c r="A2228" s="8">
        <v>29</v>
      </c>
      <c r="B2228" s="8">
        <v>55</v>
      </c>
      <c r="C2228" s="8">
        <v>3746.016846</v>
      </c>
      <c r="D2228" s="8">
        <v>124564.625</v>
      </c>
      <c r="E2228" s="8">
        <v>124581.570313</v>
      </c>
      <c r="F2228" s="8">
        <f t="shared" si="68"/>
        <v>16.945313000003807</v>
      </c>
      <c r="G2228" s="8">
        <f t="shared" si="69"/>
        <v>1.6945313000003806E-2</v>
      </c>
    </row>
    <row r="2229" spans="1:7" x14ac:dyDescent="0.25">
      <c r="A2229" s="8">
        <v>29</v>
      </c>
      <c r="B2229" s="8">
        <v>56</v>
      </c>
      <c r="C2229" s="8">
        <v>858.05230700000004</v>
      </c>
      <c r="D2229" s="8">
        <v>128332.5625</v>
      </c>
      <c r="E2229" s="8">
        <v>128352.09375</v>
      </c>
      <c r="F2229" s="8">
        <f t="shared" si="68"/>
        <v>19.53125</v>
      </c>
      <c r="G2229" s="8">
        <f t="shared" si="69"/>
        <v>1.953125E-2</v>
      </c>
    </row>
    <row r="2230" spans="1:7" x14ac:dyDescent="0.25">
      <c r="A2230" s="8">
        <v>29</v>
      </c>
      <c r="B2230" s="8">
        <v>57</v>
      </c>
      <c r="C2230" s="8">
        <v>71.011184999999998</v>
      </c>
      <c r="D2230" s="8">
        <v>129223.257813</v>
      </c>
      <c r="E2230" s="8">
        <v>129243.445313</v>
      </c>
      <c r="F2230" s="8">
        <f t="shared" si="68"/>
        <v>20.1875</v>
      </c>
      <c r="G2230" s="8">
        <f t="shared" si="69"/>
        <v>2.0187500000000001E-2</v>
      </c>
    </row>
    <row r="2231" spans="1:7" x14ac:dyDescent="0.25">
      <c r="A2231" s="8">
        <v>29</v>
      </c>
      <c r="B2231" s="8">
        <v>58</v>
      </c>
      <c r="C2231" s="8">
        <v>244.73498499999999</v>
      </c>
      <c r="D2231" s="8">
        <v>129317.015625</v>
      </c>
      <c r="E2231" s="8">
        <v>129363.1875</v>
      </c>
      <c r="F2231" s="8">
        <f t="shared" si="68"/>
        <v>46.171875</v>
      </c>
      <c r="G2231" s="8">
        <f t="shared" si="69"/>
        <v>4.6171875000000001E-2</v>
      </c>
    </row>
    <row r="2232" spans="1:7" x14ac:dyDescent="0.25">
      <c r="A2232" s="8">
        <v>29</v>
      </c>
      <c r="B2232" s="8">
        <v>59</v>
      </c>
      <c r="C2232" s="8">
        <v>3231.5505370000001</v>
      </c>
      <c r="D2232" s="8">
        <v>129613.742188</v>
      </c>
      <c r="E2232" s="8">
        <v>129632.710938</v>
      </c>
      <c r="F2232" s="8">
        <f t="shared" si="68"/>
        <v>18.96875</v>
      </c>
      <c r="G2232" s="8">
        <f t="shared" si="69"/>
        <v>1.896875E-2</v>
      </c>
    </row>
    <row r="2233" spans="1:7" x14ac:dyDescent="0.25">
      <c r="A2233" s="8">
        <v>29</v>
      </c>
      <c r="B2233" s="8">
        <v>60</v>
      </c>
      <c r="C2233" s="8">
        <v>1143.3023679999999</v>
      </c>
      <c r="D2233" s="8">
        <v>132873.984375</v>
      </c>
      <c r="E2233" s="8">
        <v>132891.984375</v>
      </c>
      <c r="F2233" s="8">
        <f t="shared" si="68"/>
        <v>18</v>
      </c>
      <c r="G2233" s="8">
        <f t="shared" si="69"/>
        <v>1.7999999999999999E-2</v>
      </c>
    </row>
    <row r="2234" spans="1:7" x14ac:dyDescent="0.25">
      <c r="A2234" s="8">
        <v>29</v>
      </c>
      <c r="B2234" s="8">
        <v>61</v>
      </c>
      <c r="C2234" s="8">
        <v>1537.9642329999999</v>
      </c>
      <c r="D2234" s="8">
        <v>134050.640625</v>
      </c>
      <c r="E2234" s="8">
        <v>134065.578125</v>
      </c>
      <c r="F2234" s="8">
        <f t="shared" si="68"/>
        <v>14.9375</v>
      </c>
      <c r="G2234" s="8">
        <f t="shared" si="69"/>
        <v>1.4937499999999999E-2</v>
      </c>
    </row>
    <row r="2235" spans="1:7" x14ac:dyDescent="0.25">
      <c r="A2235" s="8">
        <v>29</v>
      </c>
      <c r="B2235" s="8">
        <v>62</v>
      </c>
      <c r="C2235" s="8">
        <v>1310.8883060000001</v>
      </c>
      <c r="D2235" s="8">
        <v>135616.359375</v>
      </c>
      <c r="E2235" s="8">
        <v>135624.71875</v>
      </c>
      <c r="F2235" s="8">
        <f t="shared" si="68"/>
        <v>8.359375</v>
      </c>
      <c r="G2235" s="8">
        <f t="shared" si="69"/>
        <v>8.3593750000000005E-3</v>
      </c>
    </row>
    <row r="2236" spans="1:7" x14ac:dyDescent="0.25">
      <c r="A2236" s="8">
        <v>29</v>
      </c>
      <c r="B2236" s="8">
        <v>63</v>
      </c>
      <c r="C2236" s="8">
        <v>1990.450439</v>
      </c>
      <c r="D2236" s="8">
        <v>136950.4375</v>
      </c>
      <c r="E2236" s="8">
        <v>136974.671875</v>
      </c>
      <c r="F2236" s="8">
        <f t="shared" si="68"/>
        <v>24.234375</v>
      </c>
      <c r="G2236" s="8">
        <f t="shared" si="69"/>
        <v>2.4234374999999999E-2</v>
      </c>
    </row>
    <row r="2237" spans="1:7" x14ac:dyDescent="0.25">
      <c r="A2237" s="8">
        <v>29</v>
      </c>
      <c r="B2237" s="8">
        <v>64</v>
      </c>
      <c r="C2237" s="8">
        <v>1638.978149</v>
      </c>
      <c r="D2237" s="8">
        <v>138974.875</v>
      </c>
      <c r="E2237" s="8">
        <v>138982.625</v>
      </c>
      <c r="F2237" s="8">
        <f t="shared" si="68"/>
        <v>7.75</v>
      </c>
      <c r="G2237" s="8">
        <f t="shared" si="69"/>
        <v>7.7499999999999999E-3</v>
      </c>
    </row>
    <row r="2238" spans="1:7" x14ac:dyDescent="0.25">
      <c r="A2238" s="8">
        <v>29</v>
      </c>
      <c r="B2238" s="8">
        <v>65</v>
      </c>
      <c r="C2238" s="8">
        <v>360.89898699999998</v>
      </c>
      <c r="D2238" s="8">
        <v>140623.546875</v>
      </c>
      <c r="E2238" s="8">
        <v>140642.734375</v>
      </c>
      <c r="F2238" s="8">
        <f t="shared" si="68"/>
        <v>19.1875</v>
      </c>
      <c r="G2238" s="8">
        <f t="shared" si="69"/>
        <v>1.91875E-2</v>
      </c>
    </row>
    <row r="2239" spans="1:7" x14ac:dyDescent="0.25">
      <c r="A2239" s="8">
        <v>29</v>
      </c>
      <c r="B2239" s="8">
        <v>66</v>
      </c>
      <c r="C2239" s="8">
        <v>192.782242</v>
      </c>
      <c r="D2239" s="8">
        <v>141014.1875</v>
      </c>
      <c r="E2239" s="8">
        <v>141022.703125</v>
      </c>
      <c r="F2239" s="8">
        <f t="shared" si="68"/>
        <v>8.515625</v>
      </c>
      <c r="G2239" s="8">
        <f t="shared" si="69"/>
        <v>8.5156250000000006E-3</v>
      </c>
    </row>
    <row r="2240" spans="1:7" x14ac:dyDescent="0.25">
      <c r="A2240" s="8">
        <v>29</v>
      </c>
      <c r="B2240" s="8">
        <v>67</v>
      </c>
      <c r="C2240" s="8">
        <v>3344.9643550000001</v>
      </c>
      <c r="D2240" s="8">
        <v>141217.28125</v>
      </c>
      <c r="E2240" s="8">
        <v>141233.890625</v>
      </c>
      <c r="F2240" s="8">
        <f t="shared" si="68"/>
        <v>16.609375</v>
      </c>
      <c r="G2240" s="8">
        <f t="shared" si="69"/>
        <v>1.6609374999999999E-2</v>
      </c>
    </row>
    <row r="2241" spans="1:7" x14ac:dyDescent="0.25">
      <c r="A2241" s="8">
        <v>29</v>
      </c>
      <c r="B2241" s="8">
        <v>68</v>
      </c>
      <c r="C2241" s="8">
        <v>1196.8785399999999</v>
      </c>
      <c r="D2241" s="8">
        <v>144588.125</v>
      </c>
      <c r="E2241" s="8">
        <v>144603.609375</v>
      </c>
      <c r="F2241" s="8">
        <f t="shared" si="68"/>
        <v>15.484375</v>
      </c>
      <c r="G2241" s="8">
        <f t="shared" si="69"/>
        <v>1.5484375E-2</v>
      </c>
    </row>
    <row r="2242" spans="1:7" x14ac:dyDescent="0.25">
      <c r="A2242" s="8">
        <v>29</v>
      </c>
      <c r="B2242" s="8">
        <v>69</v>
      </c>
      <c r="C2242" s="8">
        <v>2656.8007809999999</v>
      </c>
      <c r="D2242" s="8">
        <v>145802.84375</v>
      </c>
      <c r="E2242" s="8">
        <v>145817.484375</v>
      </c>
      <c r="F2242" s="8">
        <f t="shared" si="68"/>
        <v>14.640625</v>
      </c>
      <c r="G2242" s="8">
        <f t="shared" si="69"/>
        <v>1.4640625000000001E-2</v>
      </c>
    </row>
    <row r="2243" spans="1:7" x14ac:dyDescent="0.25">
      <c r="A2243" s="8">
        <v>29</v>
      </c>
      <c r="B2243" s="8">
        <v>70</v>
      </c>
      <c r="C2243" s="8">
        <v>10594.622069999999</v>
      </c>
      <c r="D2243" s="8">
        <v>148478.484375</v>
      </c>
      <c r="E2243" s="8">
        <v>148492.875</v>
      </c>
      <c r="F2243" s="8">
        <f t="shared" si="68"/>
        <v>14.390625</v>
      </c>
      <c r="G2243" s="8">
        <f t="shared" si="69"/>
        <v>1.4390625000000001E-2</v>
      </c>
    </row>
    <row r="2244" spans="1:7" x14ac:dyDescent="0.25">
      <c r="A2244" s="8">
        <v>29</v>
      </c>
      <c r="B2244" s="8">
        <v>71</v>
      </c>
      <c r="C2244" s="8">
        <v>544.85571300000004</v>
      </c>
      <c r="D2244" s="8">
        <v>159095.515625</v>
      </c>
      <c r="E2244" s="8">
        <v>159109.734375</v>
      </c>
      <c r="F2244" s="8">
        <f t="shared" si="68"/>
        <v>14.21875</v>
      </c>
      <c r="G2244" s="8">
        <f t="shared" si="69"/>
        <v>1.421875E-2</v>
      </c>
    </row>
    <row r="2245" spans="1:7" x14ac:dyDescent="0.25">
      <c r="A2245" s="8">
        <v>29</v>
      </c>
      <c r="B2245" s="8">
        <v>72</v>
      </c>
      <c r="C2245" s="8">
        <v>3681.9111330000001</v>
      </c>
      <c r="D2245" s="8">
        <v>159658.046875</v>
      </c>
      <c r="E2245" s="8">
        <v>159665.921875</v>
      </c>
      <c r="F2245" s="8">
        <f t="shared" si="68"/>
        <v>7.875</v>
      </c>
      <c r="G2245" s="8">
        <f t="shared" si="69"/>
        <v>7.8750000000000001E-3</v>
      </c>
    </row>
    <row r="2246" spans="1:7" x14ac:dyDescent="0.25">
      <c r="A2246" s="8">
        <v>29</v>
      </c>
      <c r="B2246" s="8">
        <v>73</v>
      </c>
      <c r="C2246" s="8">
        <v>784.34295699999996</v>
      </c>
      <c r="D2246" s="8">
        <v>163362.171875</v>
      </c>
      <c r="E2246" s="8">
        <v>163389.71875</v>
      </c>
      <c r="F2246" s="8">
        <f t="shared" si="68"/>
        <v>27.546875</v>
      </c>
      <c r="G2246" s="8">
        <f t="shared" si="69"/>
        <v>2.7546874999999998E-2</v>
      </c>
    </row>
    <row r="2247" spans="1:7" x14ac:dyDescent="0.25">
      <c r="A2247" s="8">
        <v>29</v>
      </c>
      <c r="B2247" s="8">
        <v>74</v>
      </c>
      <c r="C2247" s="8">
        <v>1965.181519</v>
      </c>
      <c r="D2247" s="8">
        <v>164174.765625</v>
      </c>
      <c r="E2247" s="8">
        <v>164193.5625</v>
      </c>
      <c r="F2247" s="8">
        <f t="shared" si="68"/>
        <v>18.796875</v>
      </c>
      <c r="G2247" s="8">
        <f t="shared" si="69"/>
        <v>1.8796875000000001E-2</v>
      </c>
    </row>
    <row r="2248" spans="1:7" x14ac:dyDescent="0.25">
      <c r="A2248" s="8">
        <v>29</v>
      </c>
      <c r="B2248" s="8">
        <v>75</v>
      </c>
      <c r="C2248" s="8">
        <v>197.15588399999999</v>
      </c>
      <c r="D2248" s="8">
        <v>166161.25</v>
      </c>
      <c r="E2248" s="8">
        <v>166168.625</v>
      </c>
      <c r="F2248" s="8">
        <f t="shared" si="68"/>
        <v>7.375</v>
      </c>
      <c r="G2248" s="8">
        <f t="shared" si="69"/>
        <v>7.3749999999999996E-3</v>
      </c>
    </row>
    <row r="2249" spans="1:7" x14ac:dyDescent="0.25">
      <c r="A2249" s="8">
        <v>29</v>
      </c>
      <c r="B2249" s="8">
        <v>76</v>
      </c>
      <c r="C2249" s="8">
        <v>453.44122299999998</v>
      </c>
      <c r="D2249" s="8">
        <v>166379.90625</v>
      </c>
      <c r="E2249" s="8">
        <v>166408.625</v>
      </c>
      <c r="F2249" s="8">
        <f t="shared" si="68"/>
        <v>28.71875</v>
      </c>
      <c r="G2249" s="8">
        <f t="shared" si="69"/>
        <v>2.8718750000000001E-2</v>
      </c>
    </row>
    <row r="2250" spans="1:7" x14ac:dyDescent="0.25">
      <c r="A2250" s="8">
        <v>29</v>
      </c>
      <c r="B2250" s="8">
        <v>77</v>
      </c>
      <c r="C2250" s="8">
        <v>5866.4814450000003</v>
      </c>
      <c r="D2250" s="8">
        <v>166864.515625</v>
      </c>
      <c r="E2250" s="8">
        <v>166875.28125</v>
      </c>
      <c r="F2250" s="8">
        <f t="shared" si="68"/>
        <v>10.765625</v>
      </c>
      <c r="G2250" s="8">
        <f t="shared" si="69"/>
        <v>1.0765624999999999E-2</v>
      </c>
    </row>
    <row r="2251" spans="1:7" x14ac:dyDescent="0.25">
      <c r="A2251" s="8">
        <v>30</v>
      </c>
      <c r="B2251" s="8">
        <v>0</v>
      </c>
      <c r="C2251" s="8">
        <v>1849.560669</v>
      </c>
      <c r="D2251" s="8">
        <v>21531.748047000001</v>
      </c>
      <c r="E2251" s="8">
        <v>21550.806640999999</v>
      </c>
      <c r="F2251" s="8">
        <f t="shared" ref="F2251:F2314" si="70">E2251-D2251</f>
        <v>19.058593999998266</v>
      </c>
      <c r="G2251" s="8">
        <f t="shared" ref="G2251:G2314" si="71">F2251/1000</f>
        <v>1.9058593999998267E-2</v>
      </c>
    </row>
    <row r="2252" spans="1:7" x14ac:dyDescent="0.25">
      <c r="A2252" s="8">
        <v>30</v>
      </c>
      <c r="B2252" s="8">
        <v>1</v>
      </c>
      <c r="C2252" s="8">
        <v>2366.6857909999999</v>
      </c>
      <c r="D2252" s="8">
        <v>23409.802734000001</v>
      </c>
      <c r="E2252" s="8">
        <v>23428.279297000001</v>
      </c>
      <c r="F2252" s="8">
        <f t="shared" si="70"/>
        <v>18.476563000000169</v>
      </c>
      <c r="G2252" s="8">
        <f t="shared" si="71"/>
        <v>1.8476563000000168E-2</v>
      </c>
    </row>
    <row r="2253" spans="1:7" x14ac:dyDescent="0.25">
      <c r="A2253" s="8">
        <v>30</v>
      </c>
      <c r="B2253" s="8">
        <v>2</v>
      </c>
      <c r="C2253" s="8">
        <v>3946.3928219999998</v>
      </c>
      <c r="D2253" s="8">
        <v>25803.205077999999</v>
      </c>
      <c r="E2253" s="8">
        <v>25814.675781000002</v>
      </c>
      <c r="F2253" s="8">
        <f t="shared" si="70"/>
        <v>11.470703000002686</v>
      </c>
      <c r="G2253" s="8">
        <f t="shared" si="71"/>
        <v>1.1470703000002686E-2</v>
      </c>
    </row>
    <row r="2254" spans="1:7" x14ac:dyDescent="0.25">
      <c r="A2254" s="8">
        <v>30</v>
      </c>
      <c r="B2254" s="8">
        <v>3</v>
      </c>
      <c r="C2254" s="8">
        <v>1122.1176760000001</v>
      </c>
      <c r="D2254" s="8">
        <v>29762.248047000001</v>
      </c>
      <c r="E2254" s="8">
        <v>29770.275390999999</v>
      </c>
      <c r="F2254" s="8">
        <f t="shared" si="70"/>
        <v>8.0273439999982656</v>
      </c>
      <c r="G2254" s="8">
        <f t="shared" si="71"/>
        <v>8.0273439999982658E-3</v>
      </c>
    </row>
    <row r="2255" spans="1:7" x14ac:dyDescent="0.25">
      <c r="A2255" s="8">
        <v>30</v>
      </c>
      <c r="B2255" s="8">
        <v>4</v>
      </c>
      <c r="C2255" s="8">
        <v>3902.530518</v>
      </c>
      <c r="D2255" s="8">
        <v>30907.640625</v>
      </c>
      <c r="E2255" s="8">
        <v>30928.46875</v>
      </c>
      <c r="F2255" s="8">
        <f t="shared" si="70"/>
        <v>20.828125</v>
      </c>
      <c r="G2255" s="8">
        <f t="shared" si="71"/>
        <v>2.0828124999999999E-2</v>
      </c>
    </row>
    <row r="2256" spans="1:7" x14ac:dyDescent="0.25">
      <c r="A2256" s="8">
        <v>30</v>
      </c>
      <c r="B2256" s="8">
        <v>5</v>
      </c>
      <c r="C2256" s="8">
        <v>2035.5386960000001</v>
      </c>
      <c r="D2256" s="8">
        <v>34842.539062999997</v>
      </c>
      <c r="E2256" s="8">
        <v>34866.984375</v>
      </c>
      <c r="F2256" s="8">
        <f t="shared" si="70"/>
        <v>24.445312000003469</v>
      </c>
      <c r="G2256" s="8">
        <f t="shared" si="71"/>
        <v>2.444531200000347E-2</v>
      </c>
    </row>
    <row r="2257" spans="1:7" x14ac:dyDescent="0.25">
      <c r="A2257" s="8">
        <v>30</v>
      </c>
      <c r="B2257" s="8">
        <v>6</v>
      </c>
      <c r="C2257" s="8">
        <v>436.28677399999998</v>
      </c>
      <c r="D2257" s="8">
        <v>36909.71875</v>
      </c>
      <c r="E2257" s="8">
        <v>36926.84375</v>
      </c>
      <c r="F2257" s="8">
        <f t="shared" si="70"/>
        <v>17.125</v>
      </c>
      <c r="G2257" s="8">
        <f t="shared" si="71"/>
        <v>1.7125000000000001E-2</v>
      </c>
    </row>
    <row r="2258" spans="1:7" x14ac:dyDescent="0.25">
      <c r="A2258" s="8">
        <v>30</v>
      </c>
      <c r="B2258" s="8">
        <v>7</v>
      </c>
      <c r="C2258" s="8">
        <v>62.680481</v>
      </c>
      <c r="D2258" s="8">
        <v>37378.542969000002</v>
      </c>
      <c r="E2258" s="8">
        <v>37392.472655999998</v>
      </c>
      <c r="F2258" s="8">
        <f t="shared" si="70"/>
        <v>13.929686999996193</v>
      </c>
      <c r="G2258" s="8">
        <f t="shared" si="71"/>
        <v>1.3929686999996192E-2</v>
      </c>
    </row>
    <row r="2259" spans="1:7" x14ac:dyDescent="0.25">
      <c r="A2259" s="8">
        <v>30</v>
      </c>
      <c r="B2259" s="8">
        <v>8</v>
      </c>
      <c r="C2259" s="8">
        <v>4383.3710940000001</v>
      </c>
      <c r="D2259" s="8">
        <v>37456.625</v>
      </c>
      <c r="E2259" s="8">
        <v>37465.574219000002</v>
      </c>
      <c r="F2259" s="8">
        <f t="shared" si="70"/>
        <v>8.9492190000019036</v>
      </c>
      <c r="G2259" s="8">
        <f t="shared" si="71"/>
        <v>8.9492190000019043E-3</v>
      </c>
    </row>
    <row r="2260" spans="1:7" x14ac:dyDescent="0.25">
      <c r="A2260" s="8">
        <v>30</v>
      </c>
      <c r="B2260" s="8">
        <v>9</v>
      </c>
      <c r="C2260" s="8">
        <v>167.27014199999999</v>
      </c>
      <c r="D2260" s="8">
        <v>41856.496094000002</v>
      </c>
      <c r="E2260" s="8">
        <v>41872.734375</v>
      </c>
      <c r="F2260" s="8">
        <f t="shared" si="70"/>
        <v>16.238280999998096</v>
      </c>
      <c r="G2260" s="8">
        <f t="shared" si="71"/>
        <v>1.6238280999998096E-2</v>
      </c>
    </row>
    <row r="2261" spans="1:7" x14ac:dyDescent="0.25">
      <c r="A2261" s="8">
        <v>30</v>
      </c>
      <c r="B2261" s="8">
        <v>10</v>
      </c>
      <c r="C2261" s="8">
        <v>351.99972500000001</v>
      </c>
      <c r="D2261" s="8">
        <v>42044.015625</v>
      </c>
      <c r="E2261" s="8">
        <v>42064.667969000002</v>
      </c>
      <c r="F2261" s="8">
        <f t="shared" si="70"/>
        <v>20.652344000001904</v>
      </c>
      <c r="G2261" s="8">
        <f t="shared" si="71"/>
        <v>2.0652344000001904E-2</v>
      </c>
    </row>
    <row r="2262" spans="1:7" x14ac:dyDescent="0.25">
      <c r="A2262" s="8">
        <v>30</v>
      </c>
      <c r="B2262" s="8">
        <v>11</v>
      </c>
      <c r="C2262" s="8">
        <v>1819.9259030000001</v>
      </c>
      <c r="D2262" s="8">
        <v>42423.320312999997</v>
      </c>
      <c r="E2262" s="8">
        <v>42436.292969000002</v>
      </c>
      <c r="F2262" s="8">
        <f t="shared" si="70"/>
        <v>12.972656000005372</v>
      </c>
      <c r="G2262" s="8">
        <f t="shared" si="71"/>
        <v>1.2972656000005372E-2</v>
      </c>
    </row>
    <row r="2263" spans="1:7" x14ac:dyDescent="0.25">
      <c r="A2263" s="8">
        <v>30</v>
      </c>
      <c r="B2263" s="8">
        <v>12</v>
      </c>
      <c r="C2263" s="8">
        <v>3200.4665530000002</v>
      </c>
      <c r="D2263" s="8">
        <v>44256.140625</v>
      </c>
      <c r="E2263" s="8">
        <v>44283.15625</v>
      </c>
      <c r="F2263" s="8">
        <f t="shared" si="70"/>
        <v>27.015625</v>
      </c>
      <c r="G2263" s="8">
        <f t="shared" si="71"/>
        <v>2.7015625000000001E-2</v>
      </c>
    </row>
    <row r="2264" spans="1:7" x14ac:dyDescent="0.25">
      <c r="A2264" s="8">
        <v>30</v>
      </c>
      <c r="B2264" s="8">
        <v>13</v>
      </c>
      <c r="C2264" s="8">
        <v>1499.4876710000001</v>
      </c>
      <c r="D2264" s="8">
        <v>47485.425780999998</v>
      </c>
      <c r="E2264" s="8">
        <v>47500.539062999997</v>
      </c>
      <c r="F2264" s="8">
        <f t="shared" si="70"/>
        <v>15.113281999998435</v>
      </c>
      <c r="G2264" s="8">
        <f t="shared" si="71"/>
        <v>1.5113281999998436E-2</v>
      </c>
    </row>
    <row r="2265" spans="1:7" x14ac:dyDescent="0.25">
      <c r="A2265" s="8">
        <v>30</v>
      </c>
      <c r="B2265" s="8">
        <v>14</v>
      </c>
      <c r="C2265" s="8">
        <v>633.26385500000004</v>
      </c>
      <c r="D2265" s="8">
        <v>49012.203125</v>
      </c>
      <c r="E2265" s="8">
        <v>49028.195312999997</v>
      </c>
      <c r="F2265" s="8">
        <f t="shared" si="70"/>
        <v>15.992187999996531</v>
      </c>
      <c r="G2265" s="8">
        <f t="shared" si="71"/>
        <v>1.5992187999996531E-2</v>
      </c>
    </row>
    <row r="2266" spans="1:7" x14ac:dyDescent="0.25">
      <c r="A2266" s="8">
        <v>30</v>
      </c>
      <c r="B2266" s="8">
        <v>15</v>
      </c>
      <c r="C2266" s="8">
        <v>6704.5439450000003</v>
      </c>
      <c r="D2266" s="8">
        <v>49670.605469000002</v>
      </c>
      <c r="E2266" s="8">
        <v>49683.808594000002</v>
      </c>
      <c r="F2266" s="8">
        <f t="shared" si="70"/>
        <v>13.203125</v>
      </c>
      <c r="G2266" s="8">
        <f t="shared" si="71"/>
        <v>1.3203125E-2</v>
      </c>
    </row>
    <row r="2267" spans="1:7" x14ac:dyDescent="0.25">
      <c r="A2267" s="8">
        <v>30</v>
      </c>
      <c r="B2267" s="8">
        <v>16</v>
      </c>
      <c r="C2267" s="8">
        <v>1176.9898679999999</v>
      </c>
      <c r="D2267" s="8">
        <v>56394.335937999997</v>
      </c>
      <c r="E2267" s="8">
        <v>56402.160155999998</v>
      </c>
      <c r="F2267" s="8">
        <f t="shared" si="70"/>
        <v>7.8242180000015651</v>
      </c>
      <c r="G2267" s="8">
        <f t="shared" si="71"/>
        <v>7.8242180000015656E-3</v>
      </c>
    </row>
    <row r="2268" spans="1:7" x14ac:dyDescent="0.25">
      <c r="A2268" s="8">
        <v>30</v>
      </c>
      <c r="B2268" s="8">
        <v>17</v>
      </c>
      <c r="C2268" s="8">
        <v>3365.8759770000001</v>
      </c>
      <c r="D2268" s="8">
        <v>57585.789062999997</v>
      </c>
      <c r="E2268" s="8">
        <v>57601.597655999998</v>
      </c>
      <c r="F2268" s="8">
        <f t="shared" si="70"/>
        <v>15.808593000001565</v>
      </c>
      <c r="G2268" s="8">
        <f t="shared" si="71"/>
        <v>1.5808593000001564E-2</v>
      </c>
    </row>
    <row r="2269" spans="1:7" x14ac:dyDescent="0.25">
      <c r="A2269" s="8">
        <v>30</v>
      </c>
      <c r="B2269" s="8">
        <v>18</v>
      </c>
      <c r="C2269" s="8">
        <v>733.93774399999995</v>
      </c>
      <c r="D2269" s="8">
        <v>60981.9375</v>
      </c>
      <c r="E2269" s="8">
        <v>60989.8125</v>
      </c>
      <c r="F2269" s="8">
        <f t="shared" si="70"/>
        <v>7.875</v>
      </c>
      <c r="G2269" s="8">
        <f t="shared" si="71"/>
        <v>7.8750000000000001E-3</v>
      </c>
    </row>
    <row r="2270" spans="1:7" x14ac:dyDescent="0.25">
      <c r="A2270" s="8">
        <v>30</v>
      </c>
      <c r="B2270" s="8">
        <v>19</v>
      </c>
      <c r="C2270" s="8">
        <v>1165.6976320000001</v>
      </c>
      <c r="D2270" s="8">
        <v>61732.015625</v>
      </c>
      <c r="E2270" s="8">
        <v>61746.929687999997</v>
      </c>
      <c r="F2270" s="8">
        <f t="shared" si="70"/>
        <v>14.914062999996531</v>
      </c>
      <c r="G2270" s="8">
        <f t="shared" si="71"/>
        <v>1.4914062999996531E-2</v>
      </c>
    </row>
    <row r="2271" spans="1:7" x14ac:dyDescent="0.25">
      <c r="A2271" s="8">
        <v>30</v>
      </c>
      <c r="B2271" s="8">
        <v>20</v>
      </c>
      <c r="C2271" s="8">
        <v>1188.346313</v>
      </c>
      <c r="D2271" s="8">
        <v>62922.9375</v>
      </c>
      <c r="E2271" s="8">
        <v>62950.738280999998</v>
      </c>
      <c r="F2271" s="8">
        <f t="shared" si="70"/>
        <v>27.800780999998096</v>
      </c>
      <c r="G2271" s="8">
        <f t="shared" si="71"/>
        <v>2.7800780999998095E-2</v>
      </c>
    </row>
    <row r="2272" spans="1:7" x14ac:dyDescent="0.25">
      <c r="A2272" s="8">
        <v>30</v>
      </c>
      <c r="B2272" s="8">
        <v>21</v>
      </c>
      <c r="C2272" s="8">
        <v>5919.9414059999999</v>
      </c>
      <c r="D2272" s="8">
        <v>64152.054687999997</v>
      </c>
      <c r="E2272" s="8">
        <v>64211.609375</v>
      </c>
      <c r="F2272" s="8">
        <f t="shared" si="70"/>
        <v>59.554687000003469</v>
      </c>
      <c r="G2272" s="8">
        <f t="shared" si="71"/>
        <v>5.9554687000003471E-2</v>
      </c>
    </row>
    <row r="2273" spans="1:7" x14ac:dyDescent="0.25">
      <c r="A2273" s="8">
        <v>30</v>
      </c>
      <c r="B2273" s="8">
        <v>22</v>
      </c>
      <c r="C2273" s="8">
        <v>313.149475</v>
      </c>
      <c r="D2273" s="8">
        <v>70139.546875</v>
      </c>
      <c r="E2273" s="8">
        <v>70152.007813000004</v>
      </c>
      <c r="F2273" s="8">
        <f t="shared" si="70"/>
        <v>12.460938000003807</v>
      </c>
      <c r="G2273" s="8">
        <f t="shared" si="71"/>
        <v>1.2460938000003807E-2</v>
      </c>
    </row>
    <row r="2274" spans="1:7" x14ac:dyDescent="0.25">
      <c r="A2274" s="8">
        <v>30</v>
      </c>
      <c r="B2274" s="8">
        <v>23</v>
      </c>
      <c r="C2274" s="8">
        <v>444.73126200000002</v>
      </c>
      <c r="D2274" s="8">
        <v>70476.28125</v>
      </c>
      <c r="E2274" s="8">
        <v>70499.5625</v>
      </c>
      <c r="F2274" s="8">
        <f t="shared" si="70"/>
        <v>23.28125</v>
      </c>
      <c r="G2274" s="8">
        <f t="shared" si="71"/>
        <v>2.328125E-2</v>
      </c>
    </row>
    <row r="2275" spans="1:7" x14ac:dyDescent="0.25">
      <c r="A2275" s="8">
        <v>30</v>
      </c>
      <c r="B2275" s="8">
        <v>24</v>
      </c>
      <c r="C2275" s="8">
        <v>993.28790300000003</v>
      </c>
      <c r="D2275" s="8">
        <v>70945.054688000004</v>
      </c>
      <c r="E2275" s="8">
        <v>70971.773438000004</v>
      </c>
      <c r="F2275" s="8">
        <f t="shared" si="70"/>
        <v>26.71875</v>
      </c>
      <c r="G2275" s="8">
        <f t="shared" si="71"/>
        <v>2.6718749999999999E-2</v>
      </c>
    </row>
    <row r="2276" spans="1:7" x14ac:dyDescent="0.25">
      <c r="A2276" s="8">
        <v>30</v>
      </c>
      <c r="B2276" s="8">
        <v>25</v>
      </c>
      <c r="C2276" s="8">
        <v>957.40502900000001</v>
      </c>
      <c r="D2276" s="8">
        <v>71979.53125</v>
      </c>
      <c r="E2276" s="8">
        <v>72006.328125</v>
      </c>
      <c r="F2276" s="8">
        <f t="shared" si="70"/>
        <v>26.796875</v>
      </c>
      <c r="G2276" s="8">
        <f t="shared" si="71"/>
        <v>2.6796875000000001E-2</v>
      </c>
    </row>
    <row r="2277" spans="1:7" x14ac:dyDescent="0.25">
      <c r="A2277" s="8">
        <v>30</v>
      </c>
      <c r="B2277" s="8">
        <v>26</v>
      </c>
      <c r="C2277" s="8">
        <v>783.34942599999999</v>
      </c>
      <c r="D2277" s="8">
        <v>72966.773438000004</v>
      </c>
      <c r="E2277" s="8">
        <v>72990.742188000004</v>
      </c>
      <c r="F2277" s="8">
        <f t="shared" si="70"/>
        <v>23.96875</v>
      </c>
      <c r="G2277" s="8">
        <f t="shared" si="71"/>
        <v>2.396875E-2</v>
      </c>
    </row>
    <row r="2278" spans="1:7" x14ac:dyDescent="0.25">
      <c r="A2278" s="8">
        <v>30</v>
      </c>
      <c r="B2278" s="8">
        <v>27</v>
      </c>
      <c r="C2278" s="8">
        <v>1172.158081</v>
      </c>
      <c r="D2278" s="8">
        <v>73779.351563000004</v>
      </c>
      <c r="E2278" s="8">
        <v>73789.523438000004</v>
      </c>
      <c r="F2278" s="8">
        <f t="shared" si="70"/>
        <v>10.171875</v>
      </c>
      <c r="G2278" s="8">
        <f t="shared" si="71"/>
        <v>1.0171875E-2</v>
      </c>
    </row>
    <row r="2279" spans="1:7" x14ac:dyDescent="0.25">
      <c r="A2279" s="8">
        <v>30</v>
      </c>
      <c r="B2279" s="8">
        <v>28</v>
      </c>
      <c r="C2279" s="8">
        <v>2327.0219729999999</v>
      </c>
      <c r="D2279" s="8">
        <v>74976.867188000004</v>
      </c>
      <c r="E2279" s="8">
        <v>74995.09375</v>
      </c>
      <c r="F2279" s="8">
        <f t="shared" si="70"/>
        <v>18.226561999996193</v>
      </c>
      <c r="G2279" s="8">
        <f t="shared" si="71"/>
        <v>1.8226561999996192E-2</v>
      </c>
    </row>
    <row r="2280" spans="1:7" x14ac:dyDescent="0.25">
      <c r="A2280" s="8">
        <v>30</v>
      </c>
      <c r="B2280" s="8">
        <v>29</v>
      </c>
      <c r="C2280" s="8">
        <v>677.39288299999998</v>
      </c>
      <c r="D2280" s="8">
        <v>77335.21875</v>
      </c>
      <c r="E2280" s="8">
        <v>77347.617188000004</v>
      </c>
      <c r="F2280" s="8">
        <f t="shared" si="70"/>
        <v>12.398438000003807</v>
      </c>
      <c r="G2280" s="8">
        <f t="shared" si="71"/>
        <v>1.2398438000003807E-2</v>
      </c>
    </row>
    <row r="2281" spans="1:7" x14ac:dyDescent="0.25">
      <c r="A2281" s="8">
        <v>30</v>
      </c>
      <c r="B2281" s="8">
        <v>30</v>
      </c>
      <c r="C2281" s="8">
        <v>1708.888672</v>
      </c>
      <c r="D2281" s="8">
        <v>78026.03125</v>
      </c>
      <c r="E2281" s="8">
        <v>78049.890625</v>
      </c>
      <c r="F2281" s="8">
        <f t="shared" si="70"/>
        <v>23.859375</v>
      </c>
      <c r="G2281" s="8">
        <f t="shared" si="71"/>
        <v>2.3859374999999999E-2</v>
      </c>
    </row>
    <row r="2282" spans="1:7" x14ac:dyDescent="0.25">
      <c r="A2282" s="8">
        <v>30</v>
      </c>
      <c r="B2282" s="8">
        <v>31</v>
      </c>
      <c r="C2282" s="8">
        <v>2452.4030760000001</v>
      </c>
      <c r="D2282" s="8">
        <v>79769.726563000004</v>
      </c>
      <c r="E2282" s="8">
        <v>79786.828125</v>
      </c>
      <c r="F2282" s="8">
        <f t="shared" si="70"/>
        <v>17.101561999996193</v>
      </c>
      <c r="G2282" s="8">
        <f t="shared" si="71"/>
        <v>1.7101561999996191E-2</v>
      </c>
    </row>
    <row r="2283" spans="1:7" x14ac:dyDescent="0.25">
      <c r="A2283" s="8">
        <v>30</v>
      </c>
      <c r="B2283" s="8">
        <v>32</v>
      </c>
      <c r="C2283" s="8">
        <v>150.02439899999999</v>
      </c>
      <c r="D2283" s="8">
        <v>82245.515625</v>
      </c>
      <c r="E2283" s="8">
        <v>82267.648438000004</v>
      </c>
      <c r="F2283" s="8">
        <f t="shared" si="70"/>
        <v>22.132813000003807</v>
      </c>
      <c r="G2283" s="8">
        <f t="shared" si="71"/>
        <v>2.2132813000003807E-2</v>
      </c>
    </row>
    <row r="2284" spans="1:7" x14ac:dyDescent="0.25">
      <c r="A2284" s="8">
        <v>30</v>
      </c>
      <c r="B2284" s="8">
        <v>33</v>
      </c>
      <c r="C2284" s="8">
        <v>6488.2509769999997</v>
      </c>
      <c r="D2284" s="8">
        <v>82432.960938000004</v>
      </c>
      <c r="E2284" s="8">
        <v>82443.890625</v>
      </c>
      <c r="F2284" s="8">
        <f t="shared" si="70"/>
        <v>10.929686999996193</v>
      </c>
      <c r="G2284" s="8">
        <f t="shared" si="71"/>
        <v>1.0929686999996193E-2</v>
      </c>
    </row>
    <row r="2285" spans="1:7" x14ac:dyDescent="0.25">
      <c r="A2285" s="8">
        <v>30</v>
      </c>
      <c r="B2285" s="8">
        <v>34</v>
      </c>
      <c r="C2285" s="8">
        <v>43.251274000000002</v>
      </c>
      <c r="D2285" s="8">
        <v>88943.4375</v>
      </c>
      <c r="E2285" s="8">
        <v>88957.835938000004</v>
      </c>
      <c r="F2285" s="8">
        <f t="shared" si="70"/>
        <v>14.398438000003807</v>
      </c>
      <c r="G2285" s="8">
        <f t="shared" si="71"/>
        <v>1.4398438000003807E-2</v>
      </c>
    </row>
    <row r="2286" spans="1:7" x14ac:dyDescent="0.25">
      <c r="A2286" s="8">
        <v>30</v>
      </c>
      <c r="B2286" s="8">
        <v>35</v>
      </c>
      <c r="C2286" s="8">
        <v>229.47934000000001</v>
      </c>
      <c r="D2286" s="8">
        <v>89006.15625</v>
      </c>
      <c r="E2286" s="8">
        <v>89014.296875</v>
      </c>
      <c r="F2286" s="8">
        <f t="shared" si="70"/>
        <v>8.140625</v>
      </c>
      <c r="G2286" s="8">
        <f t="shared" si="71"/>
        <v>8.1406250000000003E-3</v>
      </c>
    </row>
    <row r="2287" spans="1:7" x14ac:dyDescent="0.25">
      <c r="A2287" s="8">
        <v>30</v>
      </c>
      <c r="B2287" s="8">
        <v>36</v>
      </c>
      <c r="C2287" s="8">
        <v>444.73126200000002</v>
      </c>
      <c r="D2287" s="8">
        <v>89256.164063000004</v>
      </c>
      <c r="E2287" s="8">
        <v>89279.125</v>
      </c>
      <c r="F2287" s="8">
        <f t="shared" si="70"/>
        <v>22.960936999996193</v>
      </c>
      <c r="G2287" s="8">
        <f t="shared" si="71"/>
        <v>2.2960936999996191E-2</v>
      </c>
    </row>
    <row r="2288" spans="1:7" x14ac:dyDescent="0.25">
      <c r="A2288" s="8">
        <v>30</v>
      </c>
      <c r="B2288" s="8">
        <v>37</v>
      </c>
      <c r="C2288" s="8">
        <v>4610.4873049999997</v>
      </c>
      <c r="D2288" s="8">
        <v>89724.992188000004</v>
      </c>
      <c r="E2288" s="8">
        <v>89732.671875</v>
      </c>
      <c r="F2288" s="8">
        <f t="shared" si="70"/>
        <v>7.6796869999961928</v>
      </c>
      <c r="G2288" s="8">
        <f t="shared" si="71"/>
        <v>7.6796869999961924E-3</v>
      </c>
    </row>
    <row r="2289" spans="1:7" x14ac:dyDescent="0.25">
      <c r="A2289" s="8">
        <v>30</v>
      </c>
      <c r="B2289" s="8">
        <v>38</v>
      </c>
      <c r="C2289" s="8">
        <v>676.53668200000004</v>
      </c>
      <c r="D2289" s="8">
        <v>94357.632813000004</v>
      </c>
      <c r="E2289" s="8">
        <v>94374.554688000004</v>
      </c>
      <c r="F2289" s="8">
        <f t="shared" si="70"/>
        <v>16.921875</v>
      </c>
      <c r="G2289" s="8">
        <f t="shared" si="71"/>
        <v>1.6921874999999999E-2</v>
      </c>
    </row>
    <row r="2290" spans="1:7" x14ac:dyDescent="0.25">
      <c r="A2290" s="8">
        <v>30</v>
      </c>
      <c r="B2290" s="8">
        <v>39</v>
      </c>
      <c r="C2290" s="8">
        <v>5226.2407229999999</v>
      </c>
      <c r="D2290" s="8">
        <v>95055.84375</v>
      </c>
      <c r="E2290" s="8">
        <v>95067.125</v>
      </c>
      <c r="F2290" s="8">
        <f t="shared" si="70"/>
        <v>11.28125</v>
      </c>
      <c r="G2290" s="8">
        <f t="shared" si="71"/>
        <v>1.128125E-2</v>
      </c>
    </row>
    <row r="2291" spans="1:7" x14ac:dyDescent="0.25">
      <c r="A2291" s="8">
        <v>30</v>
      </c>
      <c r="B2291" s="8">
        <v>40</v>
      </c>
      <c r="C2291" s="8">
        <v>724.00750700000003</v>
      </c>
      <c r="D2291" s="8">
        <v>100307.679688</v>
      </c>
      <c r="E2291" s="8">
        <v>100330.671875</v>
      </c>
      <c r="F2291" s="8">
        <f t="shared" si="70"/>
        <v>22.992186999996193</v>
      </c>
      <c r="G2291" s="8">
        <f t="shared" si="71"/>
        <v>2.2992186999996191E-2</v>
      </c>
    </row>
    <row r="2292" spans="1:7" x14ac:dyDescent="0.25">
      <c r="A2292" s="8">
        <v>30</v>
      </c>
      <c r="B2292" s="8">
        <v>41</v>
      </c>
      <c r="C2292" s="8">
        <v>2387.1188959999999</v>
      </c>
      <c r="D2292" s="8">
        <v>101057.75</v>
      </c>
      <c r="E2292" s="8">
        <v>101075.625</v>
      </c>
      <c r="F2292" s="8">
        <f t="shared" si="70"/>
        <v>17.875</v>
      </c>
      <c r="G2292" s="8">
        <f t="shared" si="71"/>
        <v>1.7874999999999999E-2</v>
      </c>
    </row>
    <row r="2293" spans="1:7" x14ac:dyDescent="0.25">
      <c r="A2293" s="8">
        <v>30</v>
      </c>
      <c r="B2293" s="8">
        <v>42</v>
      </c>
      <c r="C2293" s="8">
        <v>463.57406600000002</v>
      </c>
      <c r="D2293" s="8">
        <v>103463.34375</v>
      </c>
      <c r="E2293" s="8">
        <v>103476.023438</v>
      </c>
      <c r="F2293" s="8">
        <f t="shared" si="70"/>
        <v>12.679688000003807</v>
      </c>
      <c r="G2293" s="8">
        <f t="shared" si="71"/>
        <v>1.2679688000003807E-2</v>
      </c>
    </row>
    <row r="2294" spans="1:7" x14ac:dyDescent="0.25">
      <c r="A2294" s="8">
        <v>30</v>
      </c>
      <c r="B2294" s="8">
        <v>43</v>
      </c>
      <c r="C2294" s="8">
        <v>776.85827600000005</v>
      </c>
      <c r="D2294" s="8">
        <v>103940.757813</v>
      </c>
      <c r="E2294" s="8">
        <v>103955.289063</v>
      </c>
      <c r="F2294" s="8">
        <f t="shared" si="70"/>
        <v>14.53125</v>
      </c>
      <c r="G2294" s="8">
        <f t="shared" si="71"/>
        <v>1.4531250000000001E-2</v>
      </c>
    </row>
    <row r="2295" spans="1:7" x14ac:dyDescent="0.25">
      <c r="A2295" s="8">
        <v>30</v>
      </c>
      <c r="B2295" s="8">
        <v>44</v>
      </c>
      <c r="C2295" s="8">
        <v>1026.1525879999999</v>
      </c>
      <c r="D2295" s="8">
        <v>104737.726563</v>
      </c>
      <c r="E2295" s="8">
        <v>104751.6875</v>
      </c>
      <c r="F2295" s="8">
        <f t="shared" si="70"/>
        <v>13.960936999996193</v>
      </c>
      <c r="G2295" s="8">
        <f t="shared" si="71"/>
        <v>1.3960936999996192E-2</v>
      </c>
    </row>
    <row r="2296" spans="1:7" x14ac:dyDescent="0.25">
      <c r="A2296" s="8">
        <v>30</v>
      </c>
      <c r="B2296" s="8">
        <v>45</v>
      </c>
      <c r="C2296" s="8">
        <v>742.59008800000004</v>
      </c>
      <c r="D2296" s="8">
        <v>105781.484375</v>
      </c>
      <c r="E2296" s="8">
        <v>105792.492188</v>
      </c>
      <c r="F2296" s="8">
        <f t="shared" si="70"/>
        <v>11.007813000003807</v>
      </c>
      <c r="G2296" s="8">
        <f t="shared" si="71"/>
        <v>1.1007813000003808E-2</v>
      </c>
    </row>
    <row r="2297" spans="1:7" x14ac:dyDescent="0.25">
      <c r="A2297" s="8">
        <v>30</v>
      </c>
      <c r="B2297" s="8">
        <v>46</v>
      </c>
      <c r="C2297" s="8">
        <v>959.17901600000005</v>
      </c>
      <c r="D2297" s="8">
        <v>106547.171875</v>
      </c>
      <c r="E2297" s="8">
        <v>106554.992188</v>
      </c>
      <c r="F2297" s="8">
        <f t="shared" si="70"/>
        <v>7.8203130000038072</v>
      </c>
      <c r="G2297" s="8">
        <f t="shared" si="71"/>
        <v>7.8203130000038066E-3</v>
      </c>
    </row>
    <row r="2298" spans="1:7" x14ac:dyDescent="0.25">
      <c r="A2298" s="8">
        <v>30</v>
      </c>
      <c r="B2298" s="8">
        <v>47</v>
      </c>
      <c r="C2298" s="8">
        <v>1644.1096190000001</v>
      </c>
      <c r="D2298" s="8">
        <v>107516.609375</v>
      </c>
      <c r="E2298" s="8">
        <v>107530.507813</v>
      </c>
      <c r="F2298" s="8">
        <f t="shared" si="70"/>
        <v>13.898438000003807</v>
      </c>
      <c r="G2298" s="8">
        <f t="shared" si="71"/>
        <v>1.3898438000003807E-2</v>
      </c>
    </row>
    <row r="2299" spans="1:7" x14ac:dyDescent="0.25">
      <c r="A2299" s="8">
        <v>30</v>
      </c>
      <c r="B2299" s="8">
        <v>48</v>
      </c>
      <c r="C2299" s="8">
        <v>10681.863281</v>
      </c>
      <c r="D2299" s="8">
        <v>109188.703125</v>
      </c>
      <c r="E2299" s="8">
        <v>109200.210938</v>
      </c>
      <c r="F2299" s="8">
        <f t="shared" si="70"/>
        <v>11.507813000003807</v>
      </c>
      <c r="G2299" s="8">
        <f t="shared" si="71"/>
        <v>1.1507813000003806E-2</v>
      </c>
    </row>
    <row r="2300" spans="1:7" x14ac:dyDescent="0.25">
      <c r="A2300" s="8">
        <v>30</v>
      </c>
      <c r="B2300" s="8">
        <v>49</v>
      </c>
      <c r="C2300" s="8">
        <v>3480.0964359999998</v>
      </c>
      <c r="D2300" s="8">
        <v>119890.375</v>
      </c>
      <c r="E2300" s="8">
        <v>119898.304688</v>
      </c>
      <c r="F2300" s="8">
        <f t="shared" si="70"/>
        <v>7.9296880000038072</v>
      </c>
      <c r="G2300" s="8">
        <f t="shared" si="71"/>
        <v>7.9296880000038067E-3</v>
      </c>
    </row>
    <row r="2301" spans="1:7" x14ac:dyDescent="0.25">
      <c r="A2301" s="8">
        <v>30</v>
      </c>
      <c r="B2301" s="8">
        <v>50</v>
      </c>
      <c r="C2301" s="8">
        <v>647.47192399999994</v>
      </c>
      <c r="D2301" s="8">
        <v>123387</v>
      </c>
      <c r="E2301" s="8">
        <v>123399.03125</v>
      </c>
      <c r="F2301" s="8">
        <f t="shared" si="70"/>
        <v>12.03125</v>
      </c>
      <c r="G2301" s="8">
        <f t="shared" si="71"/>
        <v>1.203125E-2</v>
      </c>
    </row>
    <row r="2302" spans="1:7" x14ac:dyDescent="0.25">
      <c r="A2302" s="8">
        <v>30</v>
      </c>
      <c r="B2302" s="8">
        <v>51</v>
      </c>
      <c r="C2302" s="8">
        <v>1732.69751</v>
      </c>
      <c r="D2302" s="8">
        <v>124048.882813</v>
      </c>
      <c r="E2302" s="8">
        <v>124068.28125</v>
      </c>
      <c r="F2302" s="8">
        <f t="shared" si="70"/>
        <v>19.398436999996193</v>
      </c>
      <c r="G2302" s="8">
        <f t="shared" si="71"/>
        <v>1.9398436999996192E-2</v>
      </c>
    </row>
    <row r="2303" spans="1:7" x14ac:dyDescent="0.25">
      <c r="A2303" s="8">
        <v>30</v>
      </c>
      <c r="B2303" s="8">
        <v>52</v>
      </c>
      <c r="C2303" s="8">
        <v>2820.210693</v>
      </c>
      <c r="D2303" s="8">
        <v>125815.34375</v>
      </c>
      <c r="E2303" s="8">
        <v>125837.71875</v>
      </c>
      <c r="F2303" s="8">
        <f t="shared" si="70"/>
        <v>22.375</v>
      </c>
      <c r="G2303" s="8">
        <f t="shared" si="71"/>
        <v>2.2374999999999999E-2</v>
      </c>
    </row>
    <row r="2304" spans="1:7" x14ac:dyDescent="0.25">
      <c r="A2304" s="8">
        <v>30</v>
      </c>
      <c r="B2304" s="8">
        <v>53</v>
      </c>
      <c r="C2304" s="8">
        <v>663.31170699999996</v>
      </c>
      <c r="D2304" s="8">
        <v>128660.734375</v>
      </c>
      <c r="E2304" s="8">
        <v>128680.601563</v>
      </c>
      <c r="F2304" s="8">
        <f t="shared" si="70"/>
        <v>19.867188000003807</v>
      </c>
      <c r="G2304" s="8">
        <f t="shared" si="71"/>
        <v>1.9867188000003807E-2</v>
      </c>
    </row>
    <row r="2305" spans="1:7" x14ac:dyDescent="0.25">
      <c r="A2305" s="8">
        <v>30</v>
      </c>
      <c r="B2305" s="8">
        <v>54</v>
      </c>
      <c r="C2305" s="8">
        <v>218.760132</v>
      </c>
      <c r="D2305" s="8">
        <v>129348.125</v>
      </c>
      <c r="E2305" s="8">
        <v>129388.953125</v>
      </c>
      <c r="F2305" s="8">
        <f t="shared" si="70"/>
        <v>40.828125</v>
      </c>
      <c r="G2305" s="8">
        <f t="shared" si="71"/>
        <v>4.0828125E-2</v>
      </c>
    </row>
    <row r="2306" spans="1:7" x14ac:dyDescent="0.25">
      <c r="A2306" s="8">
        <v>30</v>
      </c>
      <c r="B2306" s="8">
        <v>55</v>
      </c>
      <c r="C2306" s="8">
        <v>541.65222200000005</v>
      </c>
      <c r="D2306" s="8">
        <v>129613.742188</v>
      </c>
      <c r="E2306" s="8">
        <v>129645.25</v>
      </c>
      <c r="F2306" s="8">
        <f t="shared" si="70"/>
        <v>31.507811999996193</v>
      </c>
      <c r="G2306" s="8">
        <f t="shared" si="71"/>
        <v>3.1507811999996194E-2</v>
      </c>
    </row>
    <row r="2307" spans="1:7" x14ac:dyDescent="0.25">
      <c r="A2307" s="8">
        <v>30</v>
      </c>
      <c r="B2307" s="8">
        <v>56</v>
      </c>
      <c r="C2307" s="8">
        <v>314.14904799999999</v>
      </c>
      <c r="D2307" s="8">
        <v>130192.132813</v>
      </c>
      <c r="E2307" s="8">
        <v>130211.601563</v>
      </c>
      <c r="F2307" s="8">
        <f t="shared" si="70"/>
        <v>19.46875</v>
      </c>
      <c r="G2307" s="8">
        <f t="shared" si="71"/>
        <v>1.946875E-2</v>
      </c>
    </row>
    <row r="2308" spans="1:7" x14ac:dyDescent="0.25">
      <c r="A2308" s="8">
        <v>30</v>
      </c>
      <c r="B2308" s="8">
        <v>57</v>
      </c>
      <c r="C2308" s="8">
        <v>2327.2172850000002</v>
      </c>
      <c r="D2308" s="8">
        <v>130535.898438</v>
      </c>
      <c r="E2308" s="8">
        <v>130556.726563</v>
      </c>
      <c r="F2308" s="8">
        <f t="shared" si="70"/>
        <v>20.828125</v>
      </c>
      <c r="G2308" s="8">
        <f t="shared" si="71"/>
        <v>2.0828124999999999E-2</v>
      </c>
    </row>
    <row r="2309" spans="1:7" x14ac:dyDescent="0.25">
      <c r="A2309" s="8">
        <v>30</v>
      </c>
      <c r="B2309" s="8">
        <v>58</v>
      </c>
      <c r="C2309" s="8">
        <v>395.63241599999998</v>
      </c>
      <c r="D2309" s="8">
        <v>132889.59375</v>
      </c>
      <c r="E2309" s="8">
        <v>132916.59375</v>
      </c>
      <c r="F2309" s="8">
        <f t="shared" si="70"/>
        <v>27</v>
      </c>
      <c r="G2309" s="8">
        <f t="shared" si="71"/>
        <v>2.7E-2</v>
      </c>
    </row>
    <row r="2310" spans="1:7" x14ac:dyDescent="0.25">
      <c r="A2310" s="8">
        <v>30</v>
      </c>
      <c r="B2310" s="8">
        <v>59</v>
      </c>
      <c r="C2310" s="8">
        <v>194.39596599999999</v>
      </c>
      <c r="D2310" s="8">
        <v>133316.171875</v>
      </c>
      <c r="E2310" s="8">
        <v>133337.515625</v>
      </c>
      <c r="F2310" s="8">
        <f t="shared" si="70"/>
        <v>21.34375</v>
      </c>
      <c r="G2310" s="8">
        <f t="shared" si="71"/>
        <v>2.1343750000000002E-2</v>
      </c>
    </row>
    <row r="2311" spans="1:7" x14ac:dyDescent="0.25">
      <c r="A2311" s="8">
        <v>30</v>
      </c>
      <c r="B2311" s="8">
        <v>60</v>
      </c>
      <c r="C2311" s="8">
        <v>1207.4555660000001</v>
      </c>
      <c r="D2311" s="8">
        <v>133534.96875</v>
      </c>
      <c r="E2311" s="8">
        <v>133552.609375</v>
      </c>
      <c r="F2311" s="8">
        <f t="shared" si="70"/>
        <v>17.640625</v>
      </c>
      <c r="G2311" s="8">
        <f t="shared" si="71"/>
        <v>1.7640625E-2</v>
      </c>
    </row>
    <row r="2312" spans="1:7" x14ac:dyDescent="0.25">
      <c r="A2312" s="8">
        <v>30</v>
      </c>
      <c r="B2312" s="8">
        <v>61</v>
      </c>
      <c r="C2312" s="8">
        <v>2966.7155760000001</v>
      </c>
      <c r="D2312" s="8">
        <v>134769.46875</v>
      </c>
      <c r="E2312" s="8">
        <v>134793.609375</v>
      </c>
      <c r="F2312" s="8">
        <f t="shared" si="70"/>
        <v>24.140625</v>
      </c>
      <c r="G2312" s="8">
        <f t="shared" si="71"/>
        <v>2.4140624999999999E-2</v>
      </c>
    </row>
    <row r="2313" spans="1:7" x14ac:dyDescent="0.25">
      <c r="A2313" s="8">
        <v>30</v>
      </c>
      <c r="B2313" s="8">
        <v>62</v>
      </c>
      <c r="C2313" s="8">
        <v>6.664161</v>
      </c>
      <c r="D2313" s="8">
        <v>137765.4375</v>
      </c>
      <c r="E2313" s="8">
        <v>137780.34375</v>
      </c>
      <c r="F2313" s="8">
        <f t="shared" si="70"/>
        <v>14.90625</v>
      </c>
      <c r="G2313" s="8">
        <f t="shared" si="71"/>
        <v>1.4906249999999999E-2</v>
      </c>
    </row>
    <row r="2314" spans="1:7" x14ac:dyDescent="0.25">
      <c r="A2314" s="8">
        <v>30</v>
      </c>
      <c r="B2314" s="8">
        <v>63</v>
      </c>
      <c r="C2314" s="8">
        <v>119.468552</v>
      </c>
      <c r="D2314" s="8">
        <v>137796.796875</v>
      </c>
      <c r="E2314" s="8">
        <v>137804.40625</v>
      </c>
      <c r="F2314" s="8">
        <f t="shared" si="70"/>
        <v>7.609375</v>
      </c>
      <c r="G2314" s="8">
        <f t="shared" si="71"/>
        <v>7.6093749999999998E-3</v>
      </c>
    </row>
    <row r="2315" spans="1:7" x14ac:dyDescent="0.25">
      <c r="A2315" s="8">
        <v>30</v>
      </c>
      <c r="B2315" s="8">
        <v>64</v>
      </c>
      <c r="C2315" s="8">
        <v>479.80096400000002</v>
      </c>
      <c r="D2315" s="8">
        <v>137937.46875</v>
      </c>
      <c r="E2315" s="8">
        <v>137964.515625</v>
      </c>
      <c r="F2315" s="8">
        <f t="shared" ref="F2315:F2378" si="72">E2315-D2315</f>
        <v>27.046875</v>
      </c>
      <c r="G2315" s="8">
        <f t="shared" ref="G2315:G2378" si="73">F2315/1000</f>
        <v>2.7046875000000001E-2</v>
      </c>
    </row>
    <row r="2316" spans="1:7" x14ac:dyDescent="0.25">
      <c r="A2316" s="8">
        <v>30</v>
      </c>
      <c r="B2316" s="8">
        <v>65</v>
      </c>
      <c r="C2316" s="8">
        <v>1957.2076420000001</v>
      </c>
      <c r="D2316" s="8">
        <v>138453.140625</v>
      </c>
      <c r="E2316" s="8">
        <v>138473.21875</v>
      </c>
      <c r="F2316" s="8">
        <f t="shared" si="72"/>
        <v>20.078125</v>
      </c>
      <c r="G2316" s="8">
        <f t="shared" si="73"/>
        <v>2.0078124999999999E-2</v>
      </c>
    </row>
    <row r="2317" spans="1:7" x14ac:dyDescent="0.25">
      <c r="A2317" s="8">
        <v>30</v>
      </c>
      <c r="B2317" s="8">
        <v>66</v>
      </c>
      <c r="C2317" s="8">
        <v>2835.52124</v>
      </c>
      <c r="D2317" s="8">
        <v>140435.75</v>
      </c>
      <c r="E2317" s="8">
        <v>140464.75</v>
      </c>
      <c r="F2317" s="8">
        <f t="shared" si="72"/>
        <v>29</v>
      </c>
      <c r="G2317" s="8">
        <f t="shared" si="73"/>
        <v>2.9000000000000001E-2</v>
      </c>
    </row>
    <row r="2318" spans="1:7" x14ac:dyDescent="0.25">
      <c r="A2318" s="8">
        <v>30</v>
      </c>
      <c r="B2318" s="8">
        <v>67</v>
      </c>
      <c r="C2318" s="8">
        <v>2928.0812989999999</v>
      </c>
      <c r="D2318" s="8">
        <v>143312.21875</v>
      </c>
      <c r="E2318" s="8">
        <v>143320.96875</v>
      </c>
      <c r="F2318" s="8">
        <f t="shared" si="72"/>
        <v>8.75</v>
      </c>
      <c r="G2318" s="8">
        <f t="shared" si="73"/>
        <v>8.7500000000000008E-3</v>
      </c>
    </row>
    <row r="2319" spans="1:7" x14ac:dyDescent="0.25">
      <c r="A2319" s="8">
        <v>30</v>
      </c>
      <c r="B2319" s="8">
        <v>68</v>
      </c>
      <c r="C2319" s="8">
        <v>1270.50647</v>
      </c>
      <c r="D2319" s="8">
        <v>146255.953125</v>
      </c>
      <c r="E2319" s="8">
        <v>146312.53125</v>
      </c>
      <c r="F2319" s="8">
        <f t="shared" si="72"/>
        <v>56.578125</v>
      </c>
      <c r="G2319" s="8">
        <f t="shared" si="73"/>
        <v>5.6578125E-2</v>
      </c>
    </row>
    <row r="2320" spans="1:7" x14ac:dyDescent="0.25">
      <c r="A2320" s="8">
        <v>30</v>
      </c>
      <c r="B2320" s="8">
        <v>69</v>
      </c>
      <c r="C2320" s="8">
        <v>2810.7321780000002</v>
      </c>
      <c r="D2320" s="8">
        <v>147584.25</v>
      </c>
      <c r="E2320" s="8">
        <v>147610.53125</v>
      </c>
      <c r="F2320" s="8">
        <f t="shared" si="72"/>
        <v>26.28125</v>
      </c>
      <c r="G2320" s="8">
        <f t="shared" si="73"/>
        <v>2.6281249999999999E-2</v>
      </c>
    </row>
    <row r="2321" spans="1:7" x14ac:dyDescent="0.25">
      <c r="A2321" s="8">
        <v>30</v>
      </c>
      <c r="B2321" s="8">
        <v>70</v>
      </c>
      <c r="C2321" s="8">
        <v>1221.458496</v>
      </c>
      <c r="D2321" s="8">
        <v>150420.78125</v>
      </c>
      <c r="E2321" s="8">
        <v>150461.921875</v>
      </c>
      <c r="F2321" s="8">
        <f t="shared" si="72"/>
        <v>41.140625</v>
      </c>
      <c r="G2321" s="8">
        <f t="shared" si="73"/>
        <v>4.1140625E-2</v>
      </c>
    </row>
    <row r="2322" spans="1:7" x14ac:dyDescent="0.25">
      <c r="A2322" s="8">
        <v>30</v>
      </c>
      <c r="B2322" s="8">
        <v>71</v>
      </c>
      <c r="C2322" s="8">
        <v>26.234154</v>
      </c>
      <c r="D2322" s="8">
        <v>151686.546875</v>
      </c>
      <c r="E2322" s="8">
        <v>151696.3125</v>
      </c>
      <c r="F2322" s="8">
        <f t="shared" si="72"/>
        <v>9.765625</v>
      </c>
      <c r="G2322" s="8">
        <f t="shared" si="73"/>
        <v>9.765625E-3</v>
      </c>
    </row>
    <row r="2323" spans="1:7" x14ac:dyDescent="0.25">
      <c r="A2323" s="8">
        <v>30</v>
      </c>
      <c r="B2323" s="8">
        <v>72</v>
      </c>
      <c r="C2323" s="8">
        <v>3995.7338869999999</v>
      </c>
      <c r="D2323" s="8">
        <v>151733.359375</v>
      </c>
      <c r="E2323" s="8">
        <v>151758.5</v>
      </c>
      <c r="F2323" s="8">
        <f t="shared" si="72"/>
        <v>25.140625</v>
      </c>
      <c r="G2323" s="8">
        <f t="shared" si="73"/>
        <v>2.5140625E-2</v>
      </c>
    </row>
    <row r="2324" spans="1:7" x14ac:dyDescent="0.25">
      <c r="A2324" s="8">
        <v>30</v>
      </c>
      <c r="B2324" s="8">
        <v>73</v>
      </c>
      <c r="C2324" s="8">
        <v>2601.1311040000001</v>
      </c>
      <c r="D2324" s="8">
        <v>155766.09375</v>
      </c>
      <c r="E2324" s="8">
        <v>155780.96875</v>
      </c>
      <c r="F2324" s="8">
        <f t="shared" si="72"/>
        <v>14.875</v>
      </c>
      <c r="G2324" s="8">
        <f t="shared" si="73"/>
        <v>1.4874999999999999E-2</v>
      </c>
    </row>
    <row r="2325" spans="1:7" x14ac:dyDescent="0.25">
      <c r="A2325" s="8">
        <v>30</v>
      </c>
      <c r="B2325" s="8">
        <v>74</v>
      </c>
      <c r="C2325" s="8">
        <v>1236.3526609999999</v>
      </c>
      <c r="D2325" s="8">
        <v>158391.34375</v>
      </c>
      <c r="E2325" s="8">
        <v>158398.9375</v>
      </c>
      <c r="F2325" s="8">
        <f t="shared" si="72"/>
        <v>7.59375</v>
      </c>
      <c r="G2325" s="8">
        <f t="shared" si="73"/>
        <v>7.5937499999999998E-3</v>
      </c>
    </row>
    <row r="2326" spans="1:7" x14ac:dyDescent="0.25">
      <c r="A2326" s="8">
        <v>30</v>
      </c>
      <c r="B2326" s="8">
        <v>75</v>
      </c>
      <c r="C2326" s="8">
        <v>138.28221099999999</v>
      </c>
      <c r="D2326" s="8">
        <v>159642.40625</v>
      </c>
      <c r="E2326" s="8">
        <v>159665.609375</v>
      </c>
      <c r="F2326" s="8">
        <f t="shared" si="72"/>
        <v>23.203125</v>
      </c>
      <c r="G2326" s="8">
        <f t="shared" si="73"/>
        <v>2.3203125000000002E-2</v>
      </c>
    </row>
    <row r="2327" spans="1:7" x14ac:dyDescent="0.25">
      <c r="A2327" s="8">
        <v>30</v>
      </c>
      <c r="B2327" s="8">
        <v>76</v>
      </c>
      <c r="C2327" s="8">
        <v>7.3379019999999997</v>
      </c>
      <c r="D2327" s="8">
        <v>159814.171875</v>
      </c>
      <c r="E2327" s="8">
        <v>159831.265625</v>
      </c>
      <c r="F2327" s="8">
        <f t="shared" si="72"/>
        <v>17.09375</v>
      </c>
      <c r="G2327" s="8">
        <f t="shared" si="73"/>
        <v>1.7093750000000001E-2</v>
      </c>
    </row>
    <row r="2328" spans="1:7" x14ac:dyDescent="0.25">
      <c r="A2328" s="8">
        <v>30</v>
      </c>
      <c r="B2328" s="8">
        <v>77</v>
      </c>
      <c r="C2328" s="8">
        <v>4903.2436520000001</v>
      </c>
      <c r="D2328" s="8">
        <v>159845.640625</v>
      </c>
      <c r="E2328" s="8">
        <v>159870</v>
      </c>
      <c r="F2328" s="8">
        <f t="shared" si="72"/>
        <v>24.359375</v>
      </c>
      <c r="G2328" s="8">
        <f t="shared" si="73"/>
        <v>2.4359374999999999E-2</v>
      </c>
    </row>
    <row r="2329" spans="1:7" x14ac:dyDescent="0.25">
      <c r="A2329" s="8">
        <v>30</v>
      </c>
      <c r="B2329" s="8">
        <v>78</v>
      </c>
      <c r="C2329" s="8">
        <v>1699.4438479999999</v>
      </c>
      <c r="D2329" s="8">
        <v>164780.328125</v>
      </c>
      <c r="E2329" s="8">
        <v>164795.046875</v>
      </c>
      <c r="F2329" s="8">
        <f t="shared" si="72"/>
        <v>14.71875</v>
      </c>
      <c r="G2329" s="8">
        <f t="shared" si="73"/>
        <v>1.4718749999999999E-2</v>
      </c>
    </row>
    <row r="2330" spans="1:7" x14ac:dyDescent="0.25">
      <c r="A2330" s="8">
        <v>30</v>
      </c>
      <c r="B2330" s="8">
        <v>79</v>
      </c>
      <c r="C2330" s="8">
        <v>644.26831100000004</v>
      </c>
      <c r="D2330" s="8">
        <v>166505.140625</v>
      </c>
      <c r="E2330" s="8">
        <v>166522.359375</v>
      </c>
      <c r="F2330" s="8">
        <f t="shared" si="72"/>
        <v>17.21875</v>
      </c>
      <c r="G2330" s="8">
        <f t="shared" si="73"/>
        <v>1.7218750000000001E-2</v>
      </c>
    </row>
    <row r="2331" spans="1:7" x14ac:dyDescent="0.25">
      <c r="A2331" s="8">
        <v>30</v>
      </c>
      <c r="B2331" s="8">
        <v>80</v>
      </c>
      <c r="C2331" s="8">
        <v>191.90867600000001</v>
      </c>
      <c r="D2331" s="8">
        <v>167181.6875</v>
      </c>
      <c r="E2331" s="8">
        <v>167198.8125</v>
      </c>
      <c r="F2331" s="8">
        <f t="shared" si="72"/>
        <v>17.125</v>
      </c>
      <c r="G2331" s="8">
        <f t="shared" si="73"/>
        <v>1.7125000000000001E-2</v>
      </c>
    </row>
    <row r="2332" spans="1:7" x14ac:dyDescent="0.25">
      <c r="A2332" s="8">
        <v>30</v>
      </c>
      <c r="B2332" s="8">
        <v>81</v>
      </c>
      <c r="C2332" s="8">
        <v>1323.2701420000001</v>
      </c>
      <c r="D2332" s="8">
        <v>167400.46875</v>
      </c>
      <c r="E2332" s="8">
        <v>167426.28125</v>
      </c>
      <c r="F2332" s="8">
        <f t="shared" si="72"/>
        <v>25.8125</v>
      </c>
      <c r="G2332" s="8">
        <f t="shared" si="73"/>
        <v>2.5812499999999999E-2</v>
      </c>
    </row>
    <row r="2333" spans="1:7" x14ac:dyDescent="0.25">
      <c r="A2333" s="8">
        <v>30</v>
      </c>
      <c r="B2333" s="8">
        <v>82</v>
      </c>
      <c r="C2333" s="8">
        <v>1148.9320070000001</v>
      </c>
      <c r="D2333" s="8">
        <v>168763.078125</v>
      </c>
      <c r="E2333" s="8">
        <v>168778.40625</v>
      </c>
      <c r="F2333" s="8">
        <f t="shared" si="72"/>
        <v>15.328125</v>
      </c>
      <c r="G2333" s="8">
        <f t="shared" si="73"/>
        <v>1.5328125E-2</v>
      </c>
    </row>
    <row r="2334" spans="1:7" x14ac:dyDescent="0.25">
      <c r="A2334" s="8">
        <v>30</v>
      </c>
      <c r="B2334" s="8">
        <v>83</v>
      </c>
      <c r="C2334" s="8">
        <v>2605.6179200000001</v>
      </c>
      <c r="D2334" s="8">
        <v>169939.140625</v>
      </c>
      <c r="E2334" s="8">
        <v>169949.59375</v>
      </c>
      <c r="F2334" s="8">
        <f t="shared" si="72"/>
        <v>10.453125</v>
      </c>
      <c r="G2334" s="8">
        <f t="shared" si="73"/>
        <v>1.0453125000000001E-2</v>
      </c>
    </row>
    <row r="2335" spans="1:7" x14ac:dyDescent="0.25">
      <c r="A2335" s="8">
        <v>31</v>
      </c>
      <c r="B2335" s="8">
        <v>0</v>
      </c>
      <c r="C2335" s="8">
        <v>3500.0178219999998</v>
      </c>
      <c r="D2335" s="8">
        <v>20197.568359000001</v>
      </c>
      <c r="E2335" s="8">
        <v>20213.482422000001</v>
      </c>
      <c r="F2335" s="8">
        <f t="shared" si="72"/>
        <v>15.914063000000169</v>
      </c>
      <c r="G2335" s="8">
        <f t="shared" si="73"/>
        <v>1.5914063000000169E-2</v>
      </c>
    </row>
    <row r="2336" spans="1:7" x14ac:dyDescent="0.25">
      <c r="A2336" s="8">
        <v>31</v>
      </c>
      <c r="B2336" s="8">
        <v>1</v>
      </c>
      <c r="C2336" s="8">
        <v>447.55407700000001</v>
      </c>
      <c r="D2336" s="8">
        <v>23724.845702999999</v>
      </c>
      <c r="E2336" s="8">
        <v>23736.160156000002</v>
      </c>
      <c r="F2336" s="8">
        <f t="shared" si="72"/>
        <v>11.314453000002686</v>
      </c>
      <c r="G2336" s="8">
        <f t="shared" si="73"/>
        <v>1.1314453000002686E-2</v>
      </c>
    </row>
    <row r="2337" spans="1:7" x14ac:dyDescent="0.25">
      <c r="A2337" s="8">
        <v>31</v>
      </c>
      <c r="B2337" s="8">
        <v>2</v>
      </c>
      <c r="C2337" s="8">
        <v>59.911228000000001</v>
      </c>
      <c r="D2337" s="8">
        <v>24193.533202999999</v>
      </c>
      <c r="E2337" s="8">
        <v>24204.519531000002</v>
      </c>
      <c r="F2337" s="8">
        <f t="shared" si="72"/>
        <v>10.986328000002686</v>
      </c>
      <c r="G2337" s="8">
        <f t="shared" si="73"/>
        <v>1.0986328000002685E-2</v>
      </c>
    </row>
    <row r="2338" spans="1:7" x14ac:dyDescent="0.25">
      <c r="A2338" s="8">
        <v>31</v>
      </c>
      <c r="B2338" s="8">
        <v>3</v>
      </c>
      <c r="C2338" s="8">
        <v>478.09484900000001</v>
      </c>
      <c r="D2338" s="8">
        <v>24271.763672000001</v>
      </c>
      <c r="E2338" s="8">
        <v>24280.326172000001</v>
      </c>
      <c r="F2338" s="8">
        <f t="shared" si="72"/>
        <v>8.5625</v>
      </c>
      <c r="G2338" s="8">
        <f t="shared" si="73"/>
        <v>8.5625000000000007E-3</v>
      </c>
    </row>
    <row r="2339" spans="1:7" x14ac:dyDescent="0.25">
      <c r="A2339" s="8">
        <v>31</v>
      </c>
      <c r="B2339" s="8">
        <v>4</v>
      </c>
      <c r="C2339" s="8">
        <v>1712.7653809999999</v>
      </c>
      <c r="D2339" s="8">
        <v>24771.789063</v>
      </c>
      <c r="E2339" s="8">
        <v>24788.994140999999</v>
      </c>
      <c r="F2339" s="8">
        <f t="shared" si="72"/>
        <v>17.205077999999048</v>
      </c>
      <c r="G2339" s="8">
        <f t="shared" si="73"/>
        <v>1.7205077999999048E-2</v>
      </c>
    </row>
    <row r="2340" spans="1:7" x14ac:dyDescent="0.25">
      <c r="A2340" s="8">
        <v>31</v>
      </c>
      <c r="B2340" s="8">
        <v>5</v>
      </c>
      <c r="C2340" s="8">
        <v>1323.861572</v>
      </c>
      <c r="D2340" s="8">
        <v>26508.572265999999</v>
      </c>
      <c r="E2340" s="8">
        <v>26637.59375</v>
      </c>
      <c r="F2340" s="8">
        <f t="shared" si="72"/>
        <v>129.02148400000078</v>
      </c>
      <c r="G2340" s="8">
        <f t="shared" si="73"/>
        <v>0.12902148400000077</v>
      </c>
    </row>
    <row r="2341" spans="1:7" x14ac:dyDescent="0.25">
      <c r="A2341" s="8">
        <v>31</v>
      </c>
      <c r="B2341" s="8">
        <v>6</v>
      </c>
      <c r="C2341" s="8">
        <v>141.55523700000001</v>
      </c>
      <c r="D2341" s="8">
        <v>27962.892577999999</v>
      </c>
      <c r="E2341" s="8">
        <v>27975.40625</v>
      </c>
      <c r="F2341" s="8">
        <f t="shared" si="72"/>
        <v>12.513672000000952</v>
      </c>
      <c r="G2341" s="8">
        <f t="shared" si="73"/>
        <v>1.2513672000000952E-2</v>
      </c>
    </row>
    <row r="2342" spans="1:7" x14ac:dyDescent="0.25">
      <c r="A2342" s="8">
        <v>31</v>
      </c>
      <c r="B2342" s="8">
        <v>7</v>
      </c>
      <c r="C2342" s="8">
        <v>7797.7900390000004</v>
      </c>
      <c r="D2342" s="8">
        <v>28119.082031000002</v>
      </c>
      <c r="E2342" s="8">
        <v>28140.164063</v>
      </c>
      <c r="F2342" s="8">
        <f t="shared" si="72"/>
        <v>21.082031999998435</v>
      </c>
      <c r="G2342" s="8">
        <f t="shared" si="73"/>
        <v>2.1082031999998436E-2</v>
      </c>
    </row>
    <row r="2343" spans="1:7" x14ac:dyDescent="0.25">
      <c r="A2343" s="8">
        <v>31</v>
      </c>
      <c r="B2343" s="8">
        <v>8</v>
      </c>
      <c r="C2343" s="8">
        <v>6716.7871089999999</v>
      </c>
      <c r="D2343" s="8">
        <v>35952.027344000002</v>
      </c>
      <c r="E2343" s="8">
        <v>35963.433594000002</v>
      </c>
      <c r="F2343" s="8">
        <f t="shared" si="72"/>
        <v>11.40625</v>
      </c>
      <c r="G2343" s="8">
        <f t="shared" si="73"/>
        <v>1.140625E-2</v>
      </c>
    </row>
    <row r="2344" spans="1:7" x14ac:dyDescent="0.25">
      <c r="A2344" s="8">
        <v>31</v>
      </c>
      <c r="B2344" s="8">
        <v>9</v>
      </c>
      <c r="C2344" s="8">
        <v>485.47271699999999</v>
      </c>
      <c r="D2344" s="8">
        <v>42688.984375</v>
      </c>
      <c r="E2344" s="8">
        <v>42708.871094000002</v>
      </c>
      <c r="F2344" s="8">
        <f t="shared" si="72"/>
        <v>19.886719000001904</v>
      </c>
      <c r="G2344" s="8">
        <f t="shared" si="73"/>
        <v>1.9886719000001905E-2</v>
      </c>
    </row>
    <row r="2345" spans="1:7" x14ac:dyDescent="0.25">
      <c r="A2345" s="8">
        <v>31</v>
      </c>
      <c r="B2345" s="8">
        <v>10</v>
      </c>
      <c r="C2345" s="8">
        <v>567.50579800000003</v>
      </c>
      <c r="D2345" s="8">
        <v>43209.1875</v>
      </c>
      <c r="E2345" s="8">
        <v>43241.023437999997</v>
      </c>
      <c r="F2345" s="8">
        <f t="shared" si="72"/>
        <v>31.835937999996531</v>
      </c>
      <c r="G2345" s="8">
        <f t="shared" si="73"/>
        <v>3.1835937999996532E-2</v>
      </c>
    </row>
    <row r="2346" spans="1:7" x14ac:dyDescent="0.25">
      <c r="A2346" s="8">
        <v>31</v>
      </c>
      <c r="B2346" s="8">
        <v>11</v>
      </c>
      <c r="C2346" s="8">
        <v>202.889679</v>
      </c>
      <c r="D2346" s="8">
        <v>43818.628905999998</v>
      </c>
      <c r="E2346" s="8">
        <v>43836.085937999997</v>
      </c>
      <c r="F2346" s="8">
        <f t="shared" si="72"/>
        <v>17.457031999998435</v>
      </c>
      <c r="G2346" s="8">
        <f t="shared" si="73"/>
        <v>1.7457031999998436E-2</v>
      </c>
    </row>
    <row r="2347" spans="1:7" x14ac:dyDescent="0.25">
      <c r="A2347" s="8">
        <v>31</v>
      </c>
      <c r="B2347" s="8">
        <v>12</v>
      </c>
      <c r="C2347" s="8">
        <v>836.23687700000005</v>
      </c>
      <c r="D2347" s="8">
        <v>44053.035155999998</v>
      </c>
      <c r="E2347" s="8">
        <v>44064.605469000002</v>
      </c>
      <c r="F2347" s="8">
        <f t="shared" si="72"/>
        <v>11.570313000003807</v>
      </c>
      <c r="G2347" s="8">
        <f t="shared" si="73"/>
        <v>1.1570313000003806E-2</v>
      </c>
    </row>
    <row r="2348" spans="1:7" x14ac:dyDescent="0.25">
      <c r="A2348" s="8">
        <v>31</v>
      </c>
      <c r="B2348" s="8">
        <v>13</v>
      </c>
      <c r="C2348" s="8">
        <v>3780.4726559999999</v>
      </c>
      <c r="D2348" s="8">
        <v>44912.539062999997</v>
      </c>
      <c r="E2348" s="8">
        <v>44926.6875</v>
      </c>
      <c r="F2348" s="8">
        <f t="shared" si="72"/>
        <v>14.148437000003469</v>
      </c>
      <c r="G2348" s="8">
        <f t="shared" si="73"/>
        <v>1.4148437000003469E-2</v>
      </c>
    </row>
    <row r="2349" spans="1:7" x14ac:dyDescent="0.25">
      <c r="A2349" s="8">
        <v>31</v>
      </c>
      <c r="B2349" s="8">
        <v>14</v>
      </c>
      <c r="C2349" s="8">
        <v>516.602844</v>
      </c>
      <c r="D2349" s="8">
        <v>48720.675780999998</v>
      </c>
      <c r="E2349" s="8">
        <v>48748.808594000002</v>
      </c>
      <c r="F2349" s="8">
        <f t="shared" si="72"/>
        <v>28.132813000003807</v>
      </c>
      <c r="G2349" s="8">
        <f t="shared" si="73"/>
        <v>2.8132813000003806E-2</v>
      </c>
    </row>
    <row r="2350" spans="1:7" x14ac:dyDescent="0.25">
      <c r="A2350" s="8">
        <v>31</v>
      </c>
      <c r="B2350" s="8">
        <v>15</v>
      </c>
      <c r="C2350" s="8">
        <v>4.6441790000000003</v>
      </c>
      <c r="D2350" s="8">
        <v>49279.902344000002</v>
      </c>
      <c r="E2350" s="8">
        <v>49300.859375</v>
      </c>
      <c r="F2350" s="8">
        <f t="shared" si="72"/>
        <v>20.957030999998096</v>
      </c>
      <c r="G2350" s="8">
        <f t="shared" si="73"/>
        <v>2.0957030999998096E-2</v>
      </c>
    </row>
    <row r="2351" spans="1:7" x14ac:dyDescent="0.25">
      <c r="A2351" s="8">
        <v>31</v>
      </c>
      <c r="B2351" s="8">
        <v>16</v>
      </c>
      <c r="C2351" s="8">
        <v>1886.8402100000001</v>
      </c>
      <c r="D2351" s="8">
        <v>49310.972655999998</v>
      </c>
      <c r="E2351" s="8">
        <v>49322.496094000002</v>
      </c>
      <c r="F2351" s="8">
        <f t="shared" si="72"/>
        <v>11.523438000003807</v>
      </c>
      <c r="G2351" s="8">
        <f t="shared" si="73"/>
        <v>1.1523438000003806E-2</v>
      </c>
    </row>
    <row r="2352" spans="1:7" x14ac:dyDescent="0.25">
      <c r="A2352" s="8">
        <v>31</v>
      </c>
      <c r="B2352" s="8">
        <v>17</v>
      </c>
      <c r="C2352" s="8">
        <v>1364.9842530000001</v>
      </c>
      <c r="D2352" s="8">
        <v>51209.683594000002</v>
      </c>
      <c r="E2352" s="8">
        <v>51217.613280999998</v>
      </c>
      <c r="F2352" s="8">
        <f t="shared" si="72"/>
        <v>7.9296869999961928</v>
      </c>
      <c r="G2352" s="8">
        <f t="shared" si="73"/>
        <v>7.9296869999961935E-3</v>
      </c>
    </row>
    <row r="2353" spans="1:7" x14ac:dyDescent="0.25">
      <c r="A2353" s="8">
        <v>31</v>
      </c>
      <c r="B2353" s="8">
        <v>18</v>
      </c>
      <c r="C2353" s="8">
        <v>2385.3073730000001</v>
      </c>
      <c r="D2353" s="8">
        <v>52592.175780999998</v>
      </c>
      <c r="E2353" s="8">
        <v>52604.949219000002</v>
      </c>
      <c r="F2353" s="8">
        <f t="shared" si="72"/>
        <v>12.773438000003807</v>
      </c>
      <c r="G2353" s="8">
        <f t="shared" si="73"/>
        <v>1.2773438000003808E-2</v>
      </c>
    </row>
    <row r="2354" spans="1:7" x14ac:dyDescent="0.25">
      <c r="A2354" s="8">
        <v>31</v>
      </c>
      <c r="B2354" s="8">
        <v>19</v>
      </c>
      <c r="C2354" s="8">
        <v>180.85386700000001</v>
      </c>
      <c r="D2354" s="8">
        <v>55003.609375</v>
      </c>
      <c r="E2354" s="8">
        <v>55017.476562999997</v>
      </c>
      <c r="F2354" s="8">
        <f t="shared" si="72"/>
        <v>13.867187999996531</v>
      </c>
      <c r="G2354" s="8">
        <f t="shared" si="73"/>
        <v>1.3867187999996531E-2</v>
      </c>
    </row>
    <row r="2355" spans="1:7" x14ac:dyDescent="0.25">
      <c r="A2355" s="8">
        <v>31</v>
      </c>
      <c r="B2355" s="8">
        <v>20</v>
      </c>
      <c r="C2355" s="8">
        <v>2840.3139649999998</v>
      </c>
      <c r="D2355" s="8">
        <v>55206.652344000002</v>
      </c>
      <c r="E2355" s="8">
        <v>55226.90625</v>
      </c>
      <c r="F2355" s="8">
        <f t="shared" si="72"/>
        <v>20.253905999998096</v>
      </c>
      <c r="G2355" s="8">
        <f t="shared" si="73"/>
        <v>2.0253905999998097E-2</v>
      </c>
    </row>
    <row r="2356" spans="1:7" x14ac:dyDescent="0.25">
      <c r="A2356" s="8">
        <v>31</v>
      </c>
      <c r="B2356" s="8">
        <v>21</v>
      </c>
      <c r="C2356" s="8">
        <v>529.20752000000005</v>
      </c>
      <c r="D2356" s="8">
        <v>58070.242187999997</v>
      </c>
      <c r="E2356" s="8">
        <v>58087.441405999998</v>
      </c>
      <c r="F2356" s="8">
        <f t="shared" si="72"/>
        <v>17.199218000001565</v>
      </c>
      <c r="G2356" s="8">
        <f t="shared" si="73"/>
        <v>1.7199218000001563E-2</v>
      </c>
    </row>
    <row r="2357" spans="1:7" x14ac:dyDescent="0.25">
      <c r="A2357" s="8">
        <v>31</v>
      </c>
      <c r="B2357" s="8">
        <v>22</v>
      </c>
      <c r="C2357" s="8">
        <v>3203.4926759999998</v>
      </c>
      <c r="D2357" s="8">
        <v>58622.226562999997</v>
      </c>
      <c r="E2357" s="8">
        <v>58630.816405999998</v>
      </c>
      <c r="F2357" s="8">
        <f t="shared" si="72"/>
        <v>8.5898430000015651</v>
      </c>
      <c r="G2357" s="8">
        <f t="shared" si="73"/>
        <v>8.5898430000015645E-3</v>
      </c>
    </row>
    <row r="2358" spans="1:7" x14ac:dyDescent="0.25">
      <c r="A2358" s="8">
        <v>31</v>
      </c>
      <c r="B2358" s="8">
        <v>23</v>
      </c>
      <c r="C2358" s="8">
        <v>608.86767599999996</v>
      </c>
      <c r="D2358" s="8">
        <v>61841.390625</v>
      </c>
      <c r="E2358" s="8">
        <v>61855.644530999998</v>
      </c>
      <c r="F2358" s="8">
        <f t="shared" si="72"/>
        <v>14.253905999998096</v>
      </c>
      <c r="G2358" s="8">
        <f t="shared" si="73"/>
        <v>1.4253905999998097E-2</v>
      </c>
    </row>
    <row r="2359" spans="1:7" x14ac:dyDescent="0.25">
      <c r="A2359" s="8">
        <v>31</v>
      </c>
      <c r="B2359" s="8">
        <v>24</v>
      </c>
      <c r="C2359" s="8">
        <v>1396.022827</v>
      </c>
      <c r="D2359" s="8">
        <v>62469.746094000002</v>
      </c>
      <c r="E2359" s="8">
        <v>62481.554687999997</v>
      </c>
      <c r="F2359" s="8">
        <f t="shared" si="72"/>
        <v>11.808593999994628</v>
      </c>
      <c r="G2359" s="8">
        <f t="shared" si="73"/>
        <v>1.1808593999994628E-2</v>
      </c>
    </row>
    <row r="2360" spans="1:7" x14ac:dyDescent="0.25">
      <c r="A2360" s="8">
        <v>31</v>
      </c>
      <c r="B2360" s="8">
        <v>25</v>
      </c>
      <c r="C2360" s="8">
        <v>67.914642000000001</v>
      </c>
      <c r="D2360" s="8">
        <v>63886.367187999997</v>
      </c>
      <c r="E2360" s="8">
        <v>63900.398437999997</v>
      </c>
      <c r="F2360" s="8">
        <f t="shared" si="72"/>
        <v>14.03125</v>
      </c>
      <c r="G2360" s="8">
        <f t="shared" si="73"/>
        <v>1.403125E-2</v>
      </c>
    </row>
    <row r="2361" spans="1:7" x14ac:dyDescent="0.25">
      <c r="A2361" s="8">
        <v>31</v>
      </c>
      <c r="B2361" s="8">
        <v>26</v>
      </c>
      <c r="C2361" s="8">
        <v>2748.7438959999999</v>
      </c>
      <c r="D2361" s="8">
        <v>63980.140625</v>
      </c>
      <c r="E2361" s="8">
        <v>64000.609375</v>
      </c>
      <c r="F2361" s="8">
        <f t="shared" si="72"/>
        <v>20.46875</v>
      </c>
      <c r="G2361" s="8">
        <f t="shared" si="73"/>
        <v>2.0468750000000001E-2</v>
      </c>
    </row>
    <row r="2362" spans="1:7" x14ac:dyDescent="0.25">
      <c r="A2362" s="8">
        <v>31</v>
      </c>
      <c r="B2362" s="8">
        <v>27</v>
      </c>
      <c r="C2362" s="8">
        <v>19.196432000000001</v>
      </c>
      <c r="D2362" s="8">
        <v>66762.375</v>
      </c>
      <c r="E2362" s="8">
        <v>66776.148438000004</v>
      </c>
      <c r="F2362" s="8">
        <f t="shared" si="72"/>
        <v>13.773438000003807</v>
      </c>
      <c r="G2362" s="8">
        <f t="shared" si="73"/>
        <v>1.3773438000003807E-2</v>
      </c>
    </row>
    <row r="2363" spans="1:7" x14ac:dyDescent="0.25">
      <c r="A2363" s="8">
        <v>31</v>
      </c>
      <c r="B2363" s="8">
        <v>28</v>
      </c>
      <c r="C2363" s="8">
        <v>1568.2176509999999</v>
      </c>
      <c r="D2363" s="8">
        <v>66809.273438000004</v>
      </c>
      <c r="E2363" s="8">
        <v>66819.195313000004</v>
      </c>
      <c r="F2363" s="8">
        <f t="shared" si="72"/>
        <v>9.921875</v>
      </c>
      <c r="G2363" s="8">
        <f t="shared" si="73"/>
        <v>9.9218750000000001E-3</v>
      </c>
    </row>
    <row r="2364" spans="1:7" x14ac:dyDescent="0.25">
      <c r="A2364" s="8">
        <v>31</v>
      </c>
      <c r="B2364" s="8">
        <v>29</v>
      </c>
      <c r="C2364" s="8">
        <v>4268.720703</v>
      </c>
      <c r="D2364" s="8">
        <v>68389.148438000004</v>
      </c>
      <c r="E2364" s="8">
        <v>68410.445313000004</v>
      </c>
      <c r="F2364" s="8">
        <f t="shared" si="72"/>
        <v>21.296875</v>
      </c>
      <c r="G2364" s="8">
        <f t="shared" si="73"/>
        <v>2.1296875E-2</v>
      </c>
    </row>
    <row r="2365" spans="1:7" x14ac:dyDescent="0.25">
      <c r="A2365" s="8">
        <v>31</v>
      </c>
      <c r="B2365" s="8">
        <v>30</v>
      </c>
      <c r="C2365" s="8">
        <v>3578.8244629999999</v>
      </c>
      <c r="D2365" s="8">
        <v>72685.296875</v>
      </c>
      <c r="E2365" s="8">
        <v>72712.492188000004</v>
      </c>
      <c r="F2365" s="8">
        <f t="shared" si="72"/>
        <v>27.195313000003807</v>
      </c>
      <c r="G2365" s="8">
        <f t="shared" si="73"/>
        <v>2.7195313000003808E-2</v>
      </c>
    </row>
    <row r="2366" spans="1:7" x14ac:dyDescent="0.25">
      <c r="A2366" s="8">
        <v>31</v>
      </c>
      <c r="B2366" s="8">
        <v>31</v>
      </c>
      <c r="C2366" s="8">
        <v>508.95178199999998</v>
      </c>
      <c r="D2366" s="8">
        <v>76303.929688000004</v>
      </c>
      <c r="E2366" s="8">
        <v>76315.492188000004</v>
      </c>
      <c r="F2366" s="8">
        <f t="shared" si="72"/>
        <v>11.5625</v>
      </c>
      <c r="G2366" s="8">
        <f t="shared" si="73"/>
        <v>1.15625E-2</v>
      </c>
    </row>
    <row r="2367" spans="1:7" x14ac:dyDescent="0.25">
      <c r="A2367" s="8">
        <v>31</v>
      </c>
      <c r="B2367" s="8">
        <v>32</v>
      </c>
      <c r="C2367" s="8">
        <v>967.47851600000001</v>
      </c>
      <c r="D2367" s="8">
        <v>76835.179688000004</v>
      </c>
      <c r="E2367" s="8">
        <v>76848.703125</v>
      </c>
      <c r="F2367" s="8">
        <f t="shared" si="72"/>
        <v>13.523436999996193</v>
      </c>
      <c r="G2367" s="8">
        <f t="shared" si="73"/>
        <v>1.3523436999996193E-2</v>
      </c>
    </row>
    <row r="2368" spans="1:7" x14ac:dyDescent="0.25">
      <c r="A2368" s="8">
        <v>31</v>
      </c>
      <c r="B2368" s="8">
        <v>33</v>
      </c>
      <c r="C2368" s="8">
        <v>427.348816</v>
      </c>
      <c r="D2368" s="8">
        <v>77820.1875</v>
      </c>
      <c r="E2368" s="8">
        <v>77827.625</v>
      </c>
      <c r="F2368" s="8">
        <f t="shared" si="72"/>
        <v>7.4375</v>
      </c>
      <c r="G2368" s="8">
        <f t="shared" si="73"/>
        <v>7.4374999999999997E-3</v>
      </c>
    </row>
    <row r="2369" spans="1:7" x14ac:dyDescent="0.25">
      <c r="A2369" s="8">
        <v>31</v>
      </c>
      <c r="B2369" s="8">
        <v>34</v>
      </c>
      <c r="C2369" s="8">
        <v>1582.97876</v>
      </c>
      <c r="D2369" s="8">
        <v>78260.398438000004</v>
      </c>
      <c r="E2369" s="8">
        <v>78270.171875</v>
      </c>
      <c r="F2369" s="8">
        <f t="shared" si="72"/>
        <v>9.7734369999961928</v>
      </c>
      <c r="G2369" s="8">
        <f t="shared" si="73"/>
        <v>9.7734369999961934E-3</v>
      </c>
    </row>
    <row r="2370" spans="1:7" x14ac:dyDescent="0.25">
      <c r="A2370" s="8">
        <v>31</v>
      </c>
      <c r="B2370" s="8">
        <v>35</v>
      </c>
      <c r="C2370" s="8">
        <v>2608.7646479999999</v>
      </c>
      <c r="D2370" s="8">
        <v>79863.515625</v>
      </c>
      <c r="E2370" s="8">
        <v>79884.226563000004</v>
      </c>
      <c r="F2370" s="8">
        <f t="shared" si="72"/>
        <v>20.710938000003807</v>
      </c>
      <c r="G2370" s="8">
        <f t="shared" si="73"/>
        <v>2.0710938000003808E-2</v>
      </c>
    </row>
    <row r="2371" spans="1:7" x14ac:dyDescent="0.25">
      <c r="A2371" s="8">
        <v>31</v>
      </c>
      <c r="B2371" s="8">
        <v>36</v>
      </c>
      <c r="C2371" s="8">
        <v>403.458527</v>
      </c>
      <c r="D2371" s="8">
        <v>82495.59375</v>
      </c>
      <c r="E2371" s="8">
        <v>82517.96875</v>
      </c>
      <c r="F2371" s="8">
        <f t="shared" si="72"/>
        <v>22.375</v>
      </c>
      <c r="G2371" s="8">
        <f t="shared" si="73"/>
        <v>2.2374999999999999E-2</v>
      </c>
    </row>
    <row r="2372" spans="1:7" x14ac:dyDescent="0.25">
      <c r="A2372" s="8">
        <v>31</v>
      </c>
      <c r="B2372" s="8">
        <v>37</v>
      </c>
      <c r="C2372" s="8">
        <v>249.98448200000001</v>
      </c>
      <c r="D2372" s="8">
        <v>82933.101563000004</v>
      </c>
      <c r="E2372" s="8">
        <v>82951.570313000004</v>
      </c>
      <c r="F2372" s="8">
        <f t="shared" si="72"/>
        <v>18.46875</v>
      </c>
      <c r="G2372" s="8">
        <f t="shared" si="73"/>
        <v>1.8468749999999999E-2</v>
      </c>
    </row>
    <row r="2373" spans="1:7" x14ac:dyDescent="0.25">
      <c r="A2373" s="8">
        <v>31</v>
      </c>
      <c r="B2373" s="8">
        <v>38</v>
      </c>
      <c r="C2373" s="8">
        <v>73.289169000000001</v>
      </c>
      <c r="D2373" s="8">
        <v>83214.367188000004</v>
      </c>
      <c r="E2373" s="8">
        <v>83225.148438000004</v>
      </c>
      <c r="F2373" s="8">
        <f t="shared" si="72"/>
        <v>10.78125</v>
      </c>
      <c r="G2373" s="8">
        <f t="shared" si="73"/>
        <v>1.0781249999999999E-2</v>
      </c>
    </row>
    <row r="2374" spans="1:7" x14ac:dyDescent="0.25">
      <c r="A2374" s="8">
        <v>31</v>
      </c>
      <c r="B2374" s="8">
        <v>39</v>
      </c>
      <c r="C2374" s="8">
        <v>2942.913818</v>
      </c>
      <c r="D2374" s="8">
        <v>83308.117188000004</v>
      </c>
      <c r="E2374" s="8">
        <v>83336.421875</v>
      </c>
      <c r="F2374" s="8">
        <f t="shared" si="72"/>
        <v>28.304686999996193</v>
      </c>
      <c r="G2374" s="8">
        <f t="shared" si="73"/>
        <v>2.8304686999996193E-2</v>
      </c>
    </row>
    <row r="2375" spans="1:7" x14ac:dyDescent="0.25">
      <c r="A2375" s="8">
        <v>31</v>
      </c>
      <c r="B2375" s="8">
        <v>40</v>
      </c>
      <c r="C2375" s="8">
        <v>1942.4832759999999</v>
      </c>
      <c r="D2375" s="8">
        <v>86283.992188000004</v>
      </c>
      <c r="E2375" s="8">
        <v>86301.710938000004</v>
      </c>
      <c r="F2375" s="8">
        <f t="shared" si="72"/>
        <v>17.71875</v>
      </c>
      <c r="G2375" s="8">
        <f t="shared" si="73"/>
        <v>1.7718749999999998E-2</v>
      </c>
    </row>
    <row r="2376" spans="1:7" x14ac:dyDescent="0.25">
      <c r="A2376" s="8">
        <v>31</v>
      </c>
      <c r="B2376" s="8">
        <v>41</v>
      </c>
      <c r="C2376" s="8">
        <v>3593.4926759999998</v>
      </c>
      <c r="D2376" s="8">
        <v>88256.070313000004</v>
      </c>
      <c r="E2376" s="8">
        <v>88286.609375</v>
      </c>
      <c r="F2376" s="8">
        <f t="shared" si="72"/>
        <v>30.539061999996193</v>
      </c>
      <c r="G2376" s="8">
        <f t="shared" si="73"/>
        <v>3.0539061999996193E-2</v>
      </c>
    </row>
    <row r="2377" spans="1:7" x14ac:dyDescent="0.25">
      <c r="A2377" s="8">
        <v>31</v>
      </c>
      <c r="B2377" s="8">
        <v>42</v>
      </c>
      <c r="C2377" s="8">
        <v>1904.7945560000001</v>
      </c>
      <c r="D2377" s="8">
        <v>91886.28125</v>
      </c>
      <c r="E2377" s="8">
        <v>91900.601563000004</v>
      </c>
      <c r="F2377" s="8">
        <f t="shared" si="72"/>
        <v>14.320313000003807</v>
      </c>
      <c r="G2377" s="8">
        <f t="shared" si="73"/>
        <v>1.4320313000003807E-2</v>
      </c>
    </row>
    <row r="2378" spans="1:7" x14ac:dyDescent="0.25">
      <c r="A2378" s="8">
        <v>31</v>
      </c>
      <c r="B2378" s="8">
        <v>43</v>
      </c>
      <c r="C2378" s="8">
        <v>934.09539800000005</v>
      </c>
      <c r="D2378" s="8">
        <v>93810.703125</v>
      </c>
      <c r="E2378" s="8">
        <v>93822.578125</v>
      </c>
      <c r="F2378" s="8">
        <f t="shared" si="72"/>
        <v>11.875</v>
      </c>
      <c r="G2378" s="8">
        <f t="shared" si="73"/>
        <v>1.1875E-2</v>
      </c>
    </row>
    <row r="2379" spans="1:7" x14ac:dyDescent="0.25">
      <c r="A2379" s="8">
        <v>31</v>
      </c>
      <c r="B2379" s="8">
        <v>44</v>
      </c>
      <c r="C2379" s="8">
        <v>540.85211200000003</v>
      </c>
      <c r="D2379" s="8">
        <v>94764.609375</v>
      </c>
      <c r="E2379" s="8">
        <v>94778.859375</v>
      </c>
      <c r="F2379" s="8">
        <f t="shared" ref="F2379:F2442" si="74">E2379-D2379</f>
        <v>14.25</v>
      </c>
      <c r="G2379" s="8">
        <f t="shared" ref="G2379:G2442" si="75">F2379/1000</f>
        <v>1.4250000000000001E-2</v>
      </c>
    </row>
    <row r="2380" spans="1:7" x14ac:dyDescent="0.25">
      <c r="A2380" s="8">
        <v>31</v>
      </c>
      <c r="B2380" s="8">
        <v>45</v>
      </c>
      <c r="C2380" s="8">
        <v>1053.045654</v>
      </c>
      <c r="D2380" s="8">
        <v>95327.976563000004</v>
      </c>
      <c r="E2380" s="8">
        <v>95358.21875</v>
      </c>
      <c r="F2380" s="8">
        <f t="shared" si="74"/>
        <v>30.242186999996193</v>
      </c>
      <c r="G2380" s="8">
        <f t="shared" si="75"/>
        <v>3.0242186999996194E-2</v>
      </c>
    </row>
    <row r="2381" spans="1:7" x14ac:dyDescent="0.25">
      <c r="A2381" s="8">
        <v>31</v>
      </c>
      <c r="B2381" s="8">
        <v>46</v>
      </c>
      <c r="C2381" s="8">
        <v>1564.344116</v>
      </c>
      <c r="D2381" s="8">
        <v>96412.851563000004</v>
      </c>
      <c r="E2381" s="8">
        <v>96436.453125</v>
      </c>
      <c r="F2381" s="8">
        <f t="shared" si="74"/>
        <v>23.601561999996193</v>
      </c>
      <c r="G2381" s="8">
        <f t="shared" si="75"/>
        <v>2.3601561999996194E-2</v>
      </c>
    </row>
    <row r="2382" spans="1:7" x14ac:dyDescent="0.25">
      <c r="A2382" s="8">
        <v>31</v>
      </c>
      <c r="B2382" s="8">
        <v>47</v>
      </c>
      <c r="C2382" s="8">
        <v>4018.3640140000002</v>
      </c>
      <c r="D2382" s="8">
        <v>98003.90625</v>
      </c>
      <c r="E2382" s="8">
        <v>98024</v>
      </c>
      <c r="F2382" s="8">
        <f t="shared" si="74"/>
        <v>20.09375</v>
      </c>
      <c r="G2382" s="8">
        <f t="shared" si="75"/>
        <v>2.009375E-2</v>
      </c>
    </row>
    <row r="2383" spans="1:7" x14ac:dyDescent="0.25">
      <c r="A2383" s="8">
        <v>31</v>
      </c>
      <c r="B2383" s="8">
        <v>48</v>
      </c>
      <c r="C2383" s="8">
        <v>456.27624500000002</v>
      </c>
      <c r="D2383" s="8">
        <v>102057.515625</v>
      </c>
      <c r="E2383" s="8">
        <v>102074.617188</v>
      </c>
      <c r="F2383" s="8">
        <f t="shared" si="74"/>
        <v>17.101563000003807</v>
      </c>
      <c r="G2383" s="8">
        <f t="shared" si="75"/>
        <v>1.7101563000003806E-2</v>
      </c>
    </row>
    <row r="2384" spans="1:7" x14ac:dyDescent="0.25">
      <c r="A2384" s="8">
        <v>31</v>
      </c>
      <c r="B2384" s="8">
        <v>49</v>
      </c>
      <c r="C2384" s="8">
        <v>814.84033199999999</v>
      </c>
      <c r="D2384" s="8">
        <v>102531.609375</v>
      </c>
      <c r="E2384" s="8">
        <v>102554.679688</v>
      </c>
      <c r="F2384" s="8">
        <f t="shared" si="74"/>
        <v>23.070313000003807</v>
      </c>
      <c r="G2384" s="8">
        <f t="shared" si="75"/>
        <v>2.3070313000003808E-2</v>
      </c>
    </row>
    <row r="2385" spans="1:7" x14ac:dyDescent="0.25">
      <c r="A2385" s="8">
        <v>31</v>
      </c>
      <c r="B2385" s="8">
        <v>50</v>
      </c>
      <c r="C2385" s="8">
        <v>3233.3940429999998</v>
      </c>
      <c r="D2385" s="8">
        <v>103369.570313</v>
      </c>
      <c r="E2385" s="8">
        <v>103377.257813</v>
      </c>
      <c r="F2385" s="8">
        <f t="shared" si="74"/>
        <v>7.6875</v>
      </c>
      <c r="G2385" s="8">
        <f t="shared" si="75"/>
        <v>7.6874999999999999E-3</v>
      </c>
    </row>
    <row r="2386" spans="1:7" x14ac:dyDescent="0.25">
      <c r="A2386" s="8">
        <v>31</v>
      </c>
      <c r="B2386" s="8">
        <v>51</v>
      </c>
      <c r="C2386" s="8">
        <v>1175.4514160000001</v>
      </c>
      <c r="D2386" s="8">
        <v>106625.328125</v>
      </c>
      <c r="E2386" s="8">
        <v>106648.015625</v>
      </c>
      <c r="F2386" s="8">
        <f t="shared" si="74"/>
        <v>22.6875</v>
      </c>
      <c r="G2386" s="8">
        <f t="shared" si="75"/>
        <v>2.2687499999999999E-2</v>
      </c>
    </row>
    <row r="2387" spans="1:7" x14ac:dyDescent="0.25">
      <c r="A2387" s="8">
        <v>31</v>
      </c>
      <c r="B2387" s="8">
        <v>52</v>
      </c>
      <c r="C2387" s="8">
        <v>53.506473999999997</v>
      </c>
      <c r="D2387" s="8">
        <v>107829.210938</v>
      </c>
      <c r="E2387" s="8">
        <v>107841.34375</v>
      </c>
      <c r="F2387" s="8">
        <f t="shared" si="74"/>
        <v>12.132811999996193</v>
      </c>
      <c r="G2387" s="8">
        <f t="shared" si="75"/>
        <v>1.2132811999996192E-2</v>
      </c>
    </row>
    <row r="2388" spans="1:7" x14ac:dyDescent="0.25">
      <c r="A2388" s="8">
        <v>31</v>
      </c>
      <c r="B2388" s="8">
        <v>53</v>
      </c>
      <c r="C2388" s="8">
        <v>783.43975799999998</v>
      </c>
      <c r="D2388" s="8">
        <v>107907.382813</v>
      </c>
      <c r="E2388" s="8">
        <v>107918.882813</v>
      </c>
      <c r="F2388" s="8">
        <f t="shared" si="74"/>
        <v>11.5</v>
      </c>
      <c r="G2388" s="8">
        <f t="shared" si="75"/>
        <v>1.15E-2</v>
      </c>
    </row>
    <row r="2389" spans="1:7" x14ac:dyDescent="0.25">
      <c r="A2389" s="8">
        <v>31</v>
      </c>
      <c r="B2389" s="8">
        <v>54</v>
      </c>
      <c r="C2389" s="8">
        <v>145.227386</v>
      </c>
      <c r="D2389" s="8">
        <v>108704.320313</v>
      </c>
      <c r="E2389" s="8">
        <v>108724.625</v>
      </c>
      <c r="F2389" s="8">
        <f t="shared" si="74"/>
        <v>20.304686999996193</v>
      </c>
      <c r="G2389" s="8">
        <f t="shared" si="75"/>
        <v>2.0304686999996192E-2</v>
      </c>
    </row>
    <row r="2390" spans="1:7" x14ac:dyDescent="0.25">
      <c r="A2390" s="8">
        <v>31</v>
      </c>
      <c r="B2390" s="8">
        <v>55</v>
      </c>
      <c r="C2390" s="8">
        <v>222.304092</v>
      </c>
      <c r="D2390" s="8">
        <v>108876.179688</v>
      </c>
      <c r="E2390" s="8">
        <v>108897.429688</v>
      </c>
      <c r="F2390" s="8">
        <f t="shared" si="74"/>
        <v>21.25</v>
      </c>
      <c r="G2390" s="8">
        <f t="shared" si="75"/>
        <v>2.1250000000000002E-2</v>
      </c>
    </row>
    <row r="2391" spans="1:7" x14ac:dyDescent="0.25">
      <c r="A2391" s="8">
        <v>31</v>
      </c>
      <c r="B2391" s="8">
        <v>56</v>
      </c>
      <c r="C2391" s="8">
        <v>234.89480599999999</v>
      </c>
      <c r="D2391" s="8">
        <v>109126.1875</v>
      </c>
      <c r="E2391" s="8">
        <v>109140.125</v>
      </c>
      <c r="F2391" s="8">
        <f t="shared" si="74"/>
        <v>13.9375</v>
      </c>
      <c r="G2391" s="8">
        <f t="shared" si="75"/>
        <v>1.39375E-2</v>
      </c>
    </row>
    <row r="2392" spans="1:7" x14ac:dyDescent="0.25">
      <c r="A2392" s="8">
        <v>31</v>
      </c>
      <c r="B2392" s="8">
        <v>57</v>
      </c>
      <c r="C2392" s="8">
        <v>1270.3912350000001</v>
      </c>
      <c r="D2392" s="8">
        <v>109376.296875</v>
      </c>
      <c r="E2392" s="8">
        <v>109390.015625</v>
      </c>
      <c r="F2392" s="8">
        <f t="shared" si="74"/>
        <v>13.71875</v>
      </c>
      <c r="G2392" s="8">
        <f t="shared" si="75"/>
        <v>1.371875E-2</v>
      </c>
    </row>
    <row r="2393" spans="1:7" x14ac:dyDescent="0.25">
      <c r="A2393" s="8">
        <v>31</v>
      </c>
      <c r="B2393" s="8">
        <v>58</v>
      </c>
      <c r="C2393" s="8">
        <v>2016.8790280000001</v>
      </c>
      <c r="D2393" s="8">
        <v>110674.046875</v>
      </c>
      <c r="E2393" s="8">
        <v>110685.226563</v>
      </c>
      <c r="F2393" s="8">
        <f t="shared" si="74"/>
        <v>11.179688000003807</v>
      </c>
      <c r="G2393" s="8">
        <f t="shared" si="75"/>
        <v>1.1179688000003808E-2</v>
      </c>
    </row>
    <row r="2394" spans="1:7" x14ac:dyDescent="0.25">
      <c r="A2394" s="8">
        <v>31</v>
      </c>
      <c r="B2394" s="8">
        <v>59</v>
      </c>
      <c r="C2394" s="8">
        <v>3181.5063479999999</v>
      </c>
      <c r="D2394" s="8">
        <v>112712.234375</v>
      </c>
      <c r="E2394" s="8">
        <v>112721.757813</v>
      </c>
      <c r="F2394" s="8">
        <f t="shared" si="74"/>
        <v>9.5234380000038072</v>
      </c>
      <c r="G2394" s="8">
        <f t="shared" si="75"/>
        <v>9.5234380000038081E-3</v>
      </c>
    </row>
    <row r="2395" spans="1:7" x14ac:dyDescent="0.25">
      <c r="A2395" s="8">
        <v>31</v>
      </c>
      <c r="B2395" s="8">
        <v>60</v>
      </c>
      <c r="C2395" s="8">
        <v>2336.0302729999999</v>
      </c>
      <c r="D2395" s="8">
        <v>115911.34375</v>
      </c>
      <c r="E2395" s="8">
        <v>115922.804688</v>
      </c>
      <c r="F2395" s="8">
        <f t="shared" si="74"/>
        <v>11.460938000003807</v>
      </c>
      <c r="G2395" s="8">
        <f t="shared" si="75"/>
        <v>1.1460938000003808E-2</v>
      </c>
    </row>
    <row r="2396" spans="1:7" x14ac:dyDescent="0.25">
      <c r="A2396" s="8">
        <v>31</v>
      </c>
      <c r="B2396" s="8">
        <v>61</v>
      </c>
      <c r="C2396" s="8">
        <v>862.65063499999997</v>
      </c>
      <c r="D2396" s="8">
        <v>118259.984375</v>
      </c>
      <c r="E2396" s="8">
        <v>118271.976563</v>
      </c>
      <c r="F2396" s="8">
        <f t="shared" si="74"/>
        <v>11.992188000003807</v>
      </c>
      <c r="G2396" s="8">
        <f t="shared" si="75"/>
        <v>1.1992188000003807E-2</v>
      </c>
    </row>
    <row r="2397" spans="1:7" x14ac:dyDescent="0.25">
      <c r="A2397" s="8">
        <v>31</v>
      </c>
      <c r="B2397" s="8">
        <v>62</v>
      </c>
      <c r="C2397" s="8">
        <v>1179.1899410000001</v>
      </c>
      <c r="D2397" s="8">
        <v>119141.390625</v>
      </c>
      <c r="E2397" s="8">
        <v>119168.976563</v>
      </c>
      <c r="F2397" s="8">
        <f t="shared" si="74"/>
        <v>27.585938000003807</v>
      </c>
      <c r="G2397" s="8">
        <f t="shared" si="75"/>
        <v>2.7585938000003807E-2</v>
      </c>
    </row>
    <row r="2398" spans="1:7" x14ac:dyDescent="0.25">
      <c r="A2398" s="8">
        <v>31</v>
      </c>
      <c r="B2398" s="8">
        <v>63</v>
      </c>
      <c r="C2398" s="8">
        <v>274.33947799999999</v>
      </c>
      <c r="D2398" s="8">
        <v>120359.078125</v>
      </c>
      <c r="E2398" s="8">
        <v>120369.609375</v>
      </c>
      <c r="F2398" s="8">
        <f t="shared" si="74"/>
        <v>10.53125</v>
      </c>
      <c r="G2398" s="8">
        <f t="shared" si="75"/>
        <v>1.0531250000000001E-2</v>
      </c>
    </row>
    <row r="2399" spans="1:7" x14ac:dyDescent="0.25">
      <c r="A2399" s="8">
        <v>31</v>
      </c>
      <c r="B2399" s="8">
        <v>64</v>
      </c>
      <c r="C2399" s="8">
        <v>121.86731</v>
      </c>
      <c r="D2399" s="8">
        <v>120656.070313</v>
      </c>
      <c r="E2399" s="8">
        <v>120683.851563</v>
      </c>
      <c r="F2399" s="8">
        <f t="shared" si="74"/>
        <v>27.78125</v>
      </c>
      <c r="G2399" s="8">
        <f t="shared" si="75"/>
        <v>2.778125E-2</v>
      </c>
    </row>
    <row r="2400" spans="1:7" x14ac:dyDescent="0.25">
      <c r="A2400" s="8">
        <v>31</v>
      </c>
      <c r="B2400" s="8">
        <v>65</v>
      </c>
      <c r="C2400" s="8">
        <v>394.44262700000002</v>
      </c>
      <c r="D2400" s="8">
        <v>120813.164063</v>
      </c>
      <c r="E2400" s="8">
        <v>120824.320313</v>
      </c>
      <c r="F2400" s="8">
        <f t="shared" si="74"/>
        <v>11.15625</v>
      </c>
      <c r="G2400" s="8">
        <f t="shared" si="75"/>
        <v>1.115625E-2</v>
      </c>
    </row>
    <row r="2401" spans="1:7" x14ac:dyDescent="0.25">
      <c r="A2401" s="8">
        <v>31</v>
      </c>
      <c r="B2401" s="8">
        <v>66</v>
      </c>
      <c r="C2401" s="8">
        <v>63.184372000000003</v>
      </c>
      <c r="D2401" s="8">
        <v>121220.632813</v>
      </c>
      <c r="E2401" s="8">
        <v>121231.039063</v>
      </c>
      <c r="F2401" s="8">
        <f t="shared" si="74"/>
        <v>10.40625</v>
      </c>
      <c r="G2401" s="8">
        <f t="shared" si="75"/>
        <v>1.0406250000000001E-2</v>
      </c>
    </row>
    <row r="2402" spans="1:7" x14ac:dyDescent="0.25">
      <c r="A2402" s="8">
        <v>31</v>
      </c>
      <c r="B2402" s="8">
        <v>67</v>
      </c>
      <c r="C2402" s="8">
        <v>1347.6671140000001</v>
      </c>
      <c r="D2402" s="8">
        <v>121298.9375</v>
      </c>
      <c r="E2402" s="8">
        <v>121320.992188</v>
      </c>
      <c r="F2402" s="8">
        <f t="shared" si="74"/>
        <v>22.054688000003807</v>
      </c>
      <c r="G2402" s="8">
        <f t="shared" si="75"/>
        <v>2.2054688000003809E-2</v>
      </c>
    </row>
    <row r="2403" spans="1:7" x14ac:dyDescent="0.25">
      <c r="A2403" s="8">
        <v>31</v>
      </c>
      <c r="B2403" s="8">
        <v>68</v>
      </c>
      <c r="C2403" s="8">
        <v>1903.529419</v>
      </c>
      <c r="D2403" s="8">
        <v>122674.070313</v>
      </c>
      <c r="E2403" s="8">
        <v>122683.601563</v>
      </c>
      <c r="F2403" s="8">
        <f t="shared" si="74"/>
        <v>9.53125</v>
      </c>
      <c r="G2403" s="8">
        <f t="shared" si="75"/>
        <v>9.5312499999999998E-3</v>
      </c>
    </row>
    <row r="2404" spans="1:7" x14ac:dyDescent="0.25">
      <c r="A2404" s="8">
        <v>31</v>
      </c>
      <c r="B2404" s="8">
        <v>69</v>
      </c>
      <c r="C2404" s="8">
        <v>1821.2910159999999</v>
      </c>
      <c r="D2404" s="8">
        <v>124595.84375</v>
      </c>
      <c r="E2404" s="8">
        <v>124618.992188</v>
      </c>
      <c r="F2404" s="8">
        <f t="shared" si="74"/>
        <v>23.148438000003807</v>
      </c>
      <c r="G2404" s="8">
        <f t="shared" si="75"/>
        <v>2.3148438000003806E-2</v>
      </c>
    </row>
    <row r="2405" spans="1:7" x14ac:dyDescent="0.25">
      <c r="A2405" s="8">
        <v>31</v>
      </c>
      <c r="B2405" s="8">
        <v>70</v>
      </c>
      <c r="C2405" s="8">
        <v>1418.4742429999999</v>
      </c>
      <c r="D2405" s="8">
        <v>126440.429688</v>
      </c>
      <c r="E2405" s="8">
        <v>126458.539063</v>
      </c>
      <c r="F2405" s="8">
        <f t="shared" si="74"/>
        <v>18.109375</v>
      </c>
      <c r="G2405" s="8">
        <f t="shared" si="75"/>
        <v>1.8109375E-2</v>
      </c>
    </row>
    <row r="2406" spans="1:7" x14ac:dyDescent="0.25">
      <c r="A2406" s="8">
        <v>31</v>
      </c>
      <c r="B2406" s="8">
        <v>71</v>
      </c>
      <c r="C2406" s="8">
        <v>4894.0541990000002</v>
      </c>
      <c r="D2406" s="8">
        <v>127878.09375</v>
      </c>
      <c r="E2406" s="8">
        <v>127905.132813</v>
      </c>
      <c r="F2406" s="8">
        <f t="shared" si="74"/>
        <v>27.039063000003807</v>
      </c>
      <c r="G2406" s="8">
        <f t="shared" si="75"/>
        <v>2.7039063000003808E-2</v>
      </c>
    </row>
    <row r="2407" spans="1:7" x14ac:dyDescent="0.25">
      <c r="A2407" s="8">
        <v>31</v>
      </c>
      <c r="B2407" s="8">
        <v>72</v>
      </c>
      <c r="C2407" s="8">
        <v>1960.6210940000001</v>
      </c>
      <c r="D2407" s="8">
        <v>132811.46875</v>
      </c>
      <c r="E2407" s="8">
        <v>132831.234375</v>
      </c>
      <c r="F2407" s="8">
        <f t="shared" si="74"/>
        <v>19.765625</v>
      </c>
      <c r="G2407" s="8">
        <f t="shared" si="75"/>
        <v>1.9765624999999998E-2</v>
      </c>
    </row>
    <row r="2408" spans="1:7" x14ac:dyDescent="0.25">
      <c r="A2408" s="8">
        <v>31</v>
      </c>
      <c r="B2408" s="8">
        <v>73</v>
      </c>
      <c r="C2408" s="8">
        <v>441.68405200000001</v>
      </c>
      <c r="D2408" s="8">
        <v>134800.703125</v>
      </c>
      <c r="E2408" s="8">
        <v>134820.203125</v>
      </c>
      <c r="F2408" s="8">
        <f t="shared" si="74"/>
        <v>19.5</v>
      </c>
      <c r="G2408" s="8">
        <f t="shared" si="75"/>
        <v>1.95E-2</v>
      </c>
    </row>
    <row r="2409" spans="1:7" x14ac:dyDescent="0.25">
      <c r="A2409" s="8">
        <v>31</v>
      </c>
      <c r="B2409" s="8">
        <v>74</v>
      </c>
      <c r="C2409" s="8">
        <v>968.17169200000001</v>
      </c>
      <c r="D2409" s="8">
        <v>135272.609375</v>
      </c>
      <c r="E2409" s="8">
        <v>135289.4375</v>
      </c>
      <c r="F2409" s="8">
        <f t="shared" si="74"/>
        <v>16.828125</v>
      </c>
      <c r="G2409" s="8">
        <f t="shared" si="75"/>
        <v>1.6828124999999999E-2</v>
      </c>
    </row>
    <row r="2410" spans="1:7" x14ac:dyDescent="0.25">
      <c r="A2410" s="8">
        <v>31</v>
      </c>
      <c r="B2410" s="8">
        <v>75</v>
      </c>
      <c r="C2410" s="8">
        <v>1494.971436</v>
      </c>
      <c r="D2410" s="8">
        <v>136272.6875</v>
      </c>
      <c r="E2410" s="8">
        <v>136283.09375</v>
      </c>
      <c r="F2410" s="8">
        <f t="shared" si="74"/>
        <v>10.40625</v>
      </c>
      <c r="G2410" s="8">
        <f t="shared" si="75"/>
        <v>1.0406250000000001E-2</v>
      </c>
    </row>
    <row r="2411" spans="1:7" x14ac:dyDescent="0.25">
      <c r="A2411" s="8">
        <v>31</v>
      </c>
      <c r="B2411" s="8">
        <v>76</v>
      </c>
      <c r="C2411" s="8">
        <v>576.36132799999996</v>
      </c>
      <c r="D2411" s="8">
        <v>137780.984375</v>
      </c>
      <c r="E2411" s="8">
        <v>137798.390625</v>
      </c>
      <c r="F2411" s="8">
        <f t="shared" si="74"/>
        <v>17.40625</v>
      </c>
      <c r="G2411" s="8">
        <f t="shared" si="75"/>
        <v>1.7406250000000002E-2</v>
      </c>
    </row>
    <row r="2412" spans="1:7" x14ac:dyDescent="0.25">
      <c r="A2412" s="8">
        <v>31</v>
      </c>
      <c r="B2412" s="8">
        <v>77</v>
      </c>
      <c r="C2412" s="8">
        <v>927.29101600000001</v>
      </c>
      <c r="D2412" s="8">
        <v>138374.96875</v>
      </c>
      <c r="E2412" s="8">
        <v>138395.109375</v>
      </c>
      <c r="F2412" s="8">
        <f t="shared" si="74"/>
        <v>20.140625</v>
      </c>
      <c r="G2412" s="8">
        <f t="shared" si="75"/>
        <v>2.0140624999999999E-2</v>
      </c>
    </row>
    <row r="2413" spans="1:7" x14ac:dyDescent="0.25">
      <c r="A2413" s="8">
        <v>31</v>
      </c>
      <c r="B2413" s="8">
        <v>78</v>
      </c>
      <c r="C2413" s="8">
        <v>976.21057099999996</v>
      </c>
      <c r="D2413" s="8">
        <v>139334.40625</v>
      </c>
      <c r="E2413" s="8">
        <v>139345.375</v>
      </c>
      <c r="F2413" s="8">
        <f t="shared" si="74"/>
        <v>10.96875</v>
      </c>
      <c r="G2413" s="8">
        <f t="shared" si="75"/>
        <v>1.0968749999999999E-2</v>
      </c>
    </row>
    <row r="2414" spans="1:7" x14ac:dyDescent="0.25">
      <c r="A2414" s="8">
        <v>31</v>
      </c>
      <c r="B2414" s="8">
        <v>79</v>
      </c>
      <c r="C2414" s="8">
        <v>5848.2158200000003</v>
      </c>
      <c r="D2414" s="8">
        <v>140334.75</v>
      </c>
      <c r="E2414" s="8">
        <v>140349.265625</v>
      </c>
      <c r="F2414" s="8">
        <f t="shared" si="74"/>
        <v>14.515625</v>
      </c>
      <c r="G2414" s="8">
        <f t="shared" si="75"/>
        <v>1.4515625000000001E-2</v>
      </c>
    </row>
    <row r="2415" spans="1:7" x14ac:dyDescent="0.25">
      <c r="A2415" s="8">
        <v>31</v>
      </c>
      <c r="B2415" s="8">
        <v>80</v>
      </c>
      <c r="C2415" s="8">
        <v>2684.1762699999999</v>
      </c>
      <c r="D2415" s="8">
        <v>146209.078125</v>
      </c>
      <c r="E2415" s="8">
        <v>146222.375</v>
      </c>
      <c r="F2415" s="8">
        <f t="shared" si="74"/>
        <v>13.296875</v>
      </c>
      <c r="G2415" s="8">
        <f t="shared" si="75"/>
        <v>1.3296875E-2</v>
      </c>
    </row>
    <row r="2416" spans="1:7" x14ac:dyDescent="0.25">
      <c r="A2416" s="8">
        <v>31</v>
      </c>
      <c r="B2416" s="8">
        <v>81</v>
      </c>
      <c r="C2416" s="8">
        <v>1711.3286129999999</v>
      </c>
      <c r="D2416" s="8">
        <v>148916.03125</v>
      </c>
      <c r="E2416" s="8">
        <v>148927.3125</v>
      </c>
      <c r="F2416" s="8">
        <f t="shared" si="74"/>
        <v>11.28125</v>
      </c>
      <c r="G2416" s="8">
        <f t="shared" si="75"/>
        <v>1.128125E-2</v>
      </c>
    </row>
    <row r="2417" spans="1:7" x14ac:dyDescent="0.25">
      <c r="A2417" s="8">
        <v>31</v>
      </c>
      <c r="B2417" s="8">
        <v>82</v>
      </c>
      <c r="C2417" s="8">
        <v>63.625380999999997</v>
      </c>
      <c r="D2417" s="8">
        <v>150639.5625</v>
      </c>
      <c r="E2417" s="8">
        <v>150662.640625</v>
      </c>
      <c r="F2417" s="8">
        <f t="shared" si="74"/>
        <v>23.078125</v>
      </c>
      <c r="G2417" s="8">
        <f t="shared" si="75"/>
        <v>2.3078125000000001E-2</v>
      </c>
    </row>
    <row r="2418" spans="1:7" x14ac:dyDescent="0.25">
      <c r="A2418" s="8">
        <v>31</v>
      </c>
      <c r="B2418" s="8">
        <v>83</v>
      </c>
      <c r="C2418" s="8">
        <v>1190.8911129999999</v>
      </c>
      <c r="D2418" s="8">
        <v>150733.125</v>
      </c>
      <c r="E2418" s="8">
        <v>150754.5</v>
      </c>
      <c r="F2418" s="8">
        <f t="shared" si="74"/>
        <v>21.375</v>
      </c>
      <c r="G2418" s="8">
        <f t="shared" si="75"/>
        <v>2.1375000000000002E-2</v>
      </c>
    </row>
    <row r="2419" spans="1:7" x14ac:dyDescent="0.25">
      <c r="A2419" s="8">
        <v>31</v>
      </c>
      <c r="B2419" s="8">
        <v>84</v>
      </c>
      <c r="C2419" s="8">
        <v>688.04077099999995</v>
      </c>
      <c r="D2419" s="8">
        <v>151952.203125</v>
      </c>
      <c r="E2419" s="8">
        <v>152007</v>
      </c>
      <c r="F2419" s="8">
        <f t="shared" si="74"/>
        <v>54.796875</v>
      </c>
      <c r="G2419" s="8">
        <f t="shared" si="75"/>
        <v>5.4796875000000002E-2</v>
      </c>
    </row>
    <row r="2420" spans="1:7" x14ac:dyDescent="0.25">
      <c r="A2420" s="8">
        <v>31</v>
      </c>
      <c r="B2420" s="8">
        <v>85</v>
      </c>
      <c r="C2420" s="8">
        <v>1932.0318600000001</v>
      </c>
      <c r="D2420" s="8">
        <v>152703.28125</v>
      </c>
      <c r="E2420" s="8">
        <v>152721.109375</v>
      </c>
      <c r="F2420" s="8">
        <f t="shared" si="74"/>
        <v>17.828125</v>
      </c>
      <c r="G2420" s="8">
        <f t="shared" si="75"/>
        <v>1.7828125E-2</v>
      </c>
    </row>
    <row r="2421" spans="1:7" x14ac:dyDescent="0.25">
      <c r="A2421" s="8">
        <v>31</v>
      </c>
      <c r="B2421" s="8">
        <v>86</v>
      </c>
      <c r="C2421" s="8">
        <v>326.25537100000003</v>
      </c>
      <c r="D2421" s="8">
        <v>154656.609375</v>
      </c>
      <c r="E2421" s="8">
        <v>154679.203125</v>
      </c>
      <c r="F2421" s="8">
        <f t="shared" si="74"/>
        <v>22.59375</v>
      </c>
      <c r="G2421" s="8">
        <f t="shared" si="75"/>
        <v>2.2593749999999999E-2</v>
      </c>
    </row>
    <row r="2422" spans="1:7" x14ac:dyDescent="0.25">
      <c r="A2422" s="8">
        <v>31</v>
      </c>
      <c r="B2422" s="8">
        <v>87</v>
      </c>
      <c r="C2422" s="8">
        <v>606.55181900000002</v>
      </c>
      <c r="D2422" s="8">
        <v>155016</v>
      </c>
      <c r="E2422" s="8">
        <v>155030.59375</v>
      </c>
      <c r="F2422" s="8">
        <f t="shared" si="74"/>
        <v>14.59375</v>
      </c>
      <c r="G2422" s="8">
        <f t="shared" si="75"/>
        <v>1.4593750000000001E-2</v>
      </c>
    </row>
    <row r="2423" spans="1:7" x14ac:dyDescent="0.25">
      <c r="A2423" s="8">
        <v>31</v>
      </c>
      <c r="B2423" s="8">
        <v>88</v>
      </c>
      <c r="C2423" s="8">
        <v>1630.822388</v>
      </c>
      <c r="D2423" s="8">
        <v>155641.296875</v>
      </c>
      <c r="E2423" s="8">
        <v>155677.71875</v>
      </c>
      <c r="F2423" s="8">
        <f t="shared" si="74"/>
        <v>36.421875</v>
      </c>
      <c r="G2423" s="8">
        <f t="shared" si="75"/>
        <v>3.6421874999999999E-2</v>
      </c>
    </row>
    <row r="2424" spans="1:7" x14ac:dyDescent="0.25">
      <c r="A2424" s="8">
        <v>31</v>
      </c>
      <c r="B2424" s="8">
        <v>89</v>
      </c>
      <c r="C2424" s="8">
        <v>111.19206200000001</v>
      </c>
      <c r="D2424" s="8">
        <v>157313.109375</v>
      </c>
      <c r="E2424" s="8">
        <v>157332.765625</v>
      </c>
      <c r="F2424" s="8">
        <f t="shared" si="74"/>
        <v>19.65625</v>
      </c>
      <c r="G2424" s="8">
        <f t="shared" si="75"/>
        <v>1.965625E-2</v>
      </c>
    </row>
    <row r="2425" spans="1:7" x14ac:dyDescent="0.25">
      <c r="A2425" s="8">
        <v>31</v>
      </c>
      <c r="B2425" s="8">
        <v>90</v>
      </c>
      <c r="C2425" s="8">
        <v>201.06662</v>
      </c>
      <c r="D2425" s="8">
        <v>157453.78125</v>
      </c>
      <c r="E2425" s="8">
        <v>157585.796875</v>
      </c>
      <c r="F2425" s="8">
        <f t="shared" si="74"/>
        <v>132.015625</v>
      </c>
      <c r="G2425" s="8">
        <f t="shared" si="75"/>
        <v>0.132015625</v>
      </c>
    </row>
    <row r="2426" spans="1:7" x14ac:dyDescent="0.25">
      <c r="A2426" s="8">
        <v>31</v>
      </c>
      <c r="B2426" s="8">
        <v>91</v>
      </c>
      <c r="C2426" s="8">
        <v>3487.4125979999999</v>
      </c>
      <c r="D2426" s="8">
        <v>157797.515625</v>
      </c>
      <c r="E2426" s="8">
        <v>157815.59375</v>
      </c>
      <c r="F2426" s="8">
        <f t="shared" si="74"/>
        <v>18.078125</v>
      </c>
      <c r="G2426" s="8">
        <f t="shared" si="75"/>
        <v>1.8078125E-2</v>
      </c>
    </row>
    <row r="2427" spans="1:7" x14ac:dyDescent="0.25">
      <c r="A2427" s="8">
        <v>31</v>
      </c>
      <c r="B2427" s="8">
        <v>92</v>
      </c>
      <c r="C2427" s="8">
        <v>525.07647699999995</v>
      </c>
      <c r="D2427" s="8">
        <v>161314.53125</v>
      </c>
      <c r="E2427" s="8">
        <v>161324.515625</v>
      </c>
      <c r="F2427" s="8">
        <f t="shared" si="74"/>
        <v>9.984375</v>
      </c>
      <c r="G2427" s="8">
        <f t="shared" si="75"/>
        <v>9.9843750000000002E-3</v>
      </c>
    </row>
    <row r="2428" spans="1:7" x14ac:dyDescent="0.25">
      <c r="A2428" s="8">
        <v>31</v>
      </c>
      <c r="B2428" s="8">
        <v>93</v>
      </c>
      <c r="C2428" s="8">
        <v>604.15600600000005</v>
      </c>
      <c r="D2428" s="8">
        <v>161861.484375</v>
      </c>
      <c r="E2428" s="8">
        <v>161877.1875</v>
      </c>
      <c r="F2428" s="8">
        <f t="shared" si="74"/>
        <v>15.703125</v>
      </c>
      <c r="G2428" s="8">
        <f t="shared" si="75"/>
        <v>1.5703124999999998E-2</v>
      </c>
    </row>
    <row r="2429" spans="1:7" x14ac:dyDescent="0.25">
      <c r="A2429" s="8">
        <v>31</v>
      </c>
      <c r="B2429" s="8">
        <v>94</v>
      </c>
      <c r="C2429" s="8">
        <v>3670.4038089999999</v>
      </c>
      <c r="D2429" s="8">
        <v>162487.078125</v>
      </c>
      <c r="E2429" s="8">
        <v>162516.40625</v>
      </c>
      <c r="F2429" s="8">
        <f t="shared" si="74"/>
        <v>29.328125</v>
      </c>
      <c r="G2429" s="8">
        <f t="shared" si="75"/>
        <v>2.9328125E-2</v>
      </c>
    </row>
    <row r="2430" spans="1:7" x14ac:dyDescent="0.25">
      <c r="A2430" s="8">
        <v>31</v>
      </c>
      <c r="B2430" s="8">
        <v>95</v>
      </c>
      <c r="C2430" s="8">
        <v>899.34539800000005</v>
      </c>
      <c r="D2430" s="8">
        <v>166192.5625</v>
      </c>
      <c r="E2430" s="8">
        <v>166209.875</v>
      </c>
      <c r="F2430" s="8">
        <f t="shared" si="74"/>
        <v>17.3125</v>
      </c>
      <c r="G2430" s="8">
        <f t="shared" si="75"/>
        <v>1.7312500000000001E-2</v>
      </c>
    </row>
    <row r="2431" spans="1:7" x14ac:dyDescent="0.25">
      <c r="A2431" s="8">
        <v>31</v>
      </c>
      <c r="B2431" s="8">
        <v>96</v>
      </c>
      <c r="C2431" s="8">
        <v>2477.102539</v>
      </c>
      <c r="D2431" s="8">
        <v>167119.171875</v>
      </c>
      <c r="E2431" s="8">
        <v>167128.390625</v>
      </c>
      <c r="F2431" s="8">
        <f t="shared" si="74"/>
        <v>9.21875</v>
      </c>
      <c r="G2431" s="8">
        <f t="shared" si="75"/>
        <v>9.2187499999999995E-3</v>
      </c>
    </row>
    <row r="2432" spans="1:7" x14ac:dyDescent="0.25">
      <c r="A2432" s="8">
        <v>31</v>
      </c>
      <c r="B2432" s="8">
        <v>97</v>
      </c>
      <c r="C2432" s="8">
        <v>827.447632</v>
      </c>
      <c r="D2432" s="8">
        <v>169611.015625</v>
      </c>
      <c r="E2432" s="8">
        <v>169631.484375</v>
      </c>
      <c r="F2432" s="8">
        <f t="shared" si="74"/>
        <v>20.46875</v>
      </c>
      <c r="G2432" s="8">
        <f t="shared" si="75"/>
        <v>2.0468750000000001E-2</v>
      </c>
    </row>
    <row r="2433" spans="1:7" x14ac:dyDescent="0.25">
      <c r="A2433" s="8">
        <v>32</v>
      </c>
      <c r="B2433" s="8">
        <v>0</v>
      </c>
      <c r="C2433" s="8">
        <v>1210.471802</v>
      </c>
      <c r="D2433" s="8">
        <v>22610.068359000001</v>
      </c>
      <c r="E2433" s="8">
        <v>22621.714843999998</v>
      </c>
      <c r="F2433" s="8">
        <f t="shared" si="74"/>
        <v>11.646484999997483</v>
      </c>
      <c r="G2433" s="8">
        <f t="shared" si="75"/>
        <v>1.1646484999997483E-2</v>
      </c>
    </row>
    <row r="2434" spans="1:7" x14ac:dyDescent="0.25">
      <c r="A2434" s="8">
        <v>32</v>
      </c>
      <c r="B2434" s="8">
        <v>1</v>
      </c>
      <c r="C2434" s="8">
        <v>2223.6442870000001</v>
      </c>
      <c r="D2434" s="8">
        <v>23834.160156000002</v>
      </c>
      <c r="E2434" s="8">
        <v>23846.146484000001</v>
      </c>
      <c r="F2434" s="8">
        <f t="shared" si="74"/>
        <v>11.986327999999048</v>
      </c>
      <c r="G2434" s="8">
        <f t="shared" si="75"/>
        <v>1.1986327999999049E-2</v>
      </c>
    </row>
    <row r="2435" spans="1:7" x14ac:dyDescent="0.25">
      <c r="A2435" s="8">
        <v>32</v>
      </c>
      <c r="B2435" s="8">
        <v>2</v>
      </c>
      <c r="C2435" s="8">
        <v>1873.2460940000001</v>
      </c>
      <c r="D2435" s="8">
        <v>26084.435547000001</v>
      </c>
      <c r="E2435" s="8">
        <v>26102.080077999999</v>
      </c>
      <c r="F2435" s="8">
        <f t="shared" si="74"/>
        <v>17.644530999998096</v>
      </c>
      <c r="G2435" s="8">
        <f t="shared" si="75"/>
        <v>1.7644530999998097E-2</v>
      </c>
    </row>
    <row r="2436" spans="1:7" x14ac:dyDescent="0.25">
      <c r="A2436" s="8">
        <v>32</v>
      </c>
      <c r="B2436" s="8">
        <v>3</v>
      </c>
      <c r="C2436" s="8">
        <v>3795.888672</v>
      </c>
      <c r="D2436" s="8">
        <v>27978.425781000002</v>
      </c>
      <c r="E2436" s="8">
        <v>27999.019531000002</v>
      </c>
      <c r="F2436" s="8">
        <f t="shared" si="74"/>
        <v>20.59375</v>
      </c>
      <c r="G2436" s="8">
        <f t="shared" si="75"/>
        <v>2.0593750000000001E-2</v>
      </c>
    </row>
    <row r="2437" spans="1:7" x14ac:dyDescent="0.25">
      <c r="A2437" s="8">
        <v>32</v>
      </c>
      <c r="B2437" s="8">
        <v>4</v>
      </c>
      <c r="C2437" s="8">
        <v>27.842666999999999</v>
      </c>
      <c r="D2437" s="8">
        <v>31801.228515999999</v>
      </c>
      <c r="E2437" s="8">
        <v>31813.193359000001</v>
      </c>
      <c r="F2437" s="8">
        <f t="shared" si="74"/>
        <v>11.964843000001565</v>
      </c>
      <c r="G2437" s="8">
        <f t="shared" si="75"/>
        <v>1.1964843000001566E-2</v>
      </c>
    </row>
    <row r="2438" spans="1:7" x14ac:dyDescent="0.25">
      <c r="A2438" s="8">
        <v>32</v>
      </c>
      <c r="B2438" s="8">
        <v>5</v>
      </c>
      <c r="C2438" s="8">
        <v>458.88507099999998</v>
      </c>
      <c r="D2438" s="8">
        <v>31848.113281000002</v>
      </c>
      <c r="E2438" s="8">
        <v>31859.875</v>
      </c>
      <c r="F2438" s="8">
        <f t="shared" si="74"/>
        <v>11.761718999998266</v>
      </c>
      <c r="G2438" s="8">
        <f t="shared" si="75"/>
        <v>1.1761718999998266E-2</v>
      </c>
    </row>
    <row r="2439" spans="1:7" x14ac:dyDescent="0.25">
      <c r="A2439" s="8">
        <v>32</v>
      </c>
      <c r="B2439" s="8">
        <v>6</v>
      </c>
      <c r="C2439" s="8">
        <v>57.145809</v>
      </c>
      <c r="D2439" s="8">
        <v>32332.558593999998</v>
      </c>
      <c r="E2439" s="8">
        <v>32355.527343999998</v>
      </c>
      <c r="F2439" s="8">
        <f t="shared" si="74"/>
        <v>22.96875</v>
      </c>
      <c r="G2439" s="8">
        <f t="shared" si="75"/>
        <v>2.296875E-2</v>
      </c>
    </row>
    <row r="2440" spans="1:7" x14ac:dyDescent="0.25">
      <c r="A2440" s="8">
        <v>32</v>
      </c>
      <c r="B2440" s="8">
        <v>7</v>
      </c>
      <c r="C2440" s="8">
        <v>1540.072388</v>
      </c>
      <c r="D2440" s="8">
        <v>32426.242188</v>
      </c>
      <c r="E2440" s="8">
        <v>32443.679688</v>
      </c>
      <c r="F2440" s="8">
        <f t="shared" si="74"/>
        <v>17.4375</v>
      </c>
      <c r="G2440" s="8">
        <f t="shared" si="75"/>
        <v>1.7437500000000002E-2</v>
      </c>
    </row>
    <row r="2441" spans="1:7" x14ac:dyDescent="0.25">
      <c r="A2441" s="8">
        <v>32</v>
      </c>
      <c r="B2441" s="8">
        <v>8</v>
      </c>
      <c r="C2441" s="8">
        <v>145.818161</v>
      </c>
      <c r="D2441" s="8">
        <v>33993.917969000002</v>
      </c>
      <c r="E2441" s="8">
        <v>34016.28125</v>
      </c>
      <c r="F2441" s="8">
        <f t="shared" si="74"/>
        <v>22.363280999998096</v>
      </c>
      <c r="G2441" s="8">
        <f t="shared" si="75"/>
        <v>2.2363280999998097E-2</v>
      </c>
    </row>
    <row r="2442" spans="1:7" x14ac:dyDescent="0.25">
      <c r="A2442" s="8">
        <v>32</v>
      </c>
      <c r="B2442" s="8">
        <v>9</v>
      </c>
      <c r="C2442" s="8">
        <v>3289.1914059999999</v>
      </c>
      <c r="D2442" s="8">
        <v>34170.527344000002</v>
      </c>
      <c r="E2442" s="8">
        <v>34195.273437999997</v>
      </c>
      <c r="F2442" s="8">
        <f t="shared" si="74"/>
        <v>24.746093999994628</v>
      </c>
      <c r="G2442" s="8">
        <f t="shared" si="75"/>
        <v>2.4746093999994629E-2</v>
      </c>
    </row>
    <row r="2443" spans="1:7" x14ac:dyDescent="0.25">
      <c r="A2443" s="8">
        <v>32</v>
      </c>
      <c r="B2443" s="8">
        <v>10</v>
      </c>
      <c r="C2443" s="8">
        <v>1549.7192379999999</v>
      </c>
      <c r="D2443" s="8">
        <v>37487.878905999998</v>
      </c>
      <c r="E2443" s="8">
        <v>37495.742187999997</v>
      </c>
      <c r="F2443" s="8">
        <f t="shared" ref="F2443:F2506" si="76">E2443-D2443</f>
        <v>7.8632819999984349</v>
      </c>
      <c r="G2443" s="8">
        <f t="shared" ref="G2443:G2506" si="77">F2443/1000</f>
        <v>7.8632819999984345E-3</v>
      </c>
    </row>
    <row r="2444" spans="1:7" x14ac:dyDescent="0.25">
      <c r="A2444" s="8">
        <v>32</v>
      </c>
      <c r="B2444" s="8">
        <v>11</v>
      </c>
      <c r="C2444" s="8">
        <v>351.78140300000001</v>
      </c>
      <c r="D2444" s="8">
        <v>39058.574219000002</v>
      </c>
      <c r="E2444" s="8">
        <v>39072.558594000002</v>
      </c>
      <c r="F2444" s="8">
        <f t="shared" si="76"/>
        <v>13.984375</v>
      </c>
      <c r="G2444" s="8">
        <f t="shared" si="77"/>
        <v>1.3984375E-2</v>
      </c>
    </row>
    <row r="2445" spans="1:7" x14ac:dyDescent="0.25">
      <c r="A2445" s="8">
        <v>32</v>
      </c>
      <c r="B2445" s="8">
        <v>12</v>
      </c>
      <c r="C2445" s="8">
        <v>1031.3592530000001</v>
      </c>
      <c r="D2445" s="8">
        <v>39433.542969000002</v>
      </c>
      <c r="E2445" s="8">
        <v>39456.347655999998</v>
      </c>
      <c r="F2445" s="8">
        <f t="shared" si="76"/>
        <v>22.804686999996193</v>
      </c>
      <c r="G2445" s="8">
        <f t="shared" si="77"/>
        <v>2.2804686999996191E-2</v>
      </c>
    </row>
    <row r="2446" spans="1:7" x14ac:dyDescent="0.25">
      <c r="A2446" s="8">
        <v>32</v>
      </c>
      <c r="B2446" s="8">
        <v>13</v>
      </c>
      <c r="C2446" s="8">
        <v>347.85537699999998</v>
      </c>
      <c r="D2446" s="8">
        <v>40496.917969000002</v>
      </c>
      <c r="E2446" s="8">
        <v>40508.664062999997</v>
      </c>
      <c r="F2446" s="8">
        <f t="shared" si="76"/>
        <v>11.746093999994628</v>
      </c>
      <c r="G2446" s="8">
        <f t="shared" si="77"/>
        <v>1.1746093999994628E-2</v>
      </c>
    </row>
    <row r="2447" spans="1:7" x14ac:dyDescent="0.25">
      <c r="A2447" s="8">
        <v>32</v>
      </c>
      <c r="B2447" s="8">
        <v>14</v>
      </c>
      <c r="C2447" s="8">
        <v>1506.3460689999999</v>
      </c>
      <c r="D2447" s="8">
        <v>40856.335937999997</v>
      </c>
      <c r="E2447" s="8">
        <v>40879.753905999998</v>
      </c>
      <c r="F2447" s="8">
        <f t="shared" si="76"/>
        <v>23.417968000001565</v>
      </c>
      <c r="G2447" s="8">
        <f t="shared" si="77"/>
        <v>2.3417968000001566E-2</v>
      </c>
    </row>
    <row r="2448" spans="1:7" x14ac:dyDescent="0.25">
      <c r="A2448" s="8">
        <v>32</v>
      </c>
      <c r="B2448" s="8">
        <v>15</v>
      </c>
      <c r="C2448" s="8">
        <v>2757.4479980000001</v>
      </c>
      <c r="D2448" s="8">
        <v>42392.058594000002</v>
      </c>
      <c r="E2448" s="8">
        <v>42419.035155999998</v>
      </c>
      <c r="F2448" s="8">
        <f t="shared" si="76"/>
        <v>26.976561999996193</v>
      </c>
      <c r="G2448" s="8">
        <f t="shared" si="77"/>
        <v>2.6976561999996193E-2</v>
      </c>
    </row>
    <row r="2449" spans="1:7" x14ac:dyDescent="0.25">
      <c r="A2449" s="8">
        <v>32</v>
      </c>
      <c r="B2449" s="8">
        <v>16</v>
      </c>
      <c r="C2449" s="8">
        <v>4069.5361330000001</v>
      </c>
      <c r="D2449" s="8">
        <v>45178.191405999998</v>
      </c>
      <c r="E2449" s="8">
        <v>45197.511719000002</v>
      </c>
      <c r="F2449" s="8">
        <f t="shared" si="76"/>
        <v>19.320313000003807</v>
      </c>
      <c r="G2449" s="8">
        <f t="shared" si="77"/>
        <v>1.9320313000003808E-2</v>
      </c>
    </row>
    <row r="2450" spans="1:7" x14ac:dyDescent="0.25">
      <c r="A2450" s="8">
        <v>32</v>
      </c>
      <c r="B2450" s="8">
        <v>17</v>
      </c>
      <c r="C2450" s="8">
        <v>991.08264199999996</v>
      </c>
      <c r="D2450" s="8">
        <v>49279.886719000002</v>
      </c>
      <c r="E2450" s="8">
        <v>49303.25</v>
      </c>
      <c r="F2450" s="8">
        <f t="shared" si="76"/>
        <v>23.363280999998096</v>
      </c>
      <c r="G2450" s="8">
        <f t="shared" si="77"/>
        <v>2.3363280999998095E-2</v>
      </c>
    </row>
    <row r="2451" spans="1:7" x14ac:dyDescent="0.25">
      <c r="A2451" s="8">
        <v>32</v>
      </c>
      <c r="B2451" s="8">
        <v>18</v>
      </c>
      <c r="C2451" s="8">
        <v>27.285727999999999</v>
      </c>
      <c r="D2451" s="8">
        <v>50299.6875</v>
      </c>
      <c r="E2451" s="8">
        <v>50314.464844000002</v>
      </c>
      <c r="F2451" s="8">
        <f t="shared" si="76"/>
        <v>14.777344000001904</v>
      </c>
      <c r="G2451" s="8">
        <f t="shared" si="77"/>
        <v>1.4777344000001904E-2</v>
      </c>
    </row>
    <row r="2452" spans="1:7" x14ac:dyDescent="0.25">
      <c r="A2452" s="8">
        <v>32</v>
      </c>
      <c r="B2452" s="8">
        <v>19</v>
      </c>
      <c r="C2452" s="8">
        <v>1626.963501</v>
      </c>
      <c r="D2452" s="8">
        <v>50346.542969000002</v>
      </c>
      <c r="E2452" s="8">
        <v>50370.824219000002</v>
      </c>
      <c r="F2452" s="8">
        <f t="shared" si="76"/>
        <v>24.28125</v>
      </c>
      <c r="G2452" s="8">
        <f t="shared" si="77"/>
        <v>2.4281250000000001E-2</v>
      </c>
    </row>
    <row r="2453" spans="1:7" x14ac:dyDescent="0.25">
      <c r="A2453" s="8">
        <v>32</v>
      </c>
      <c r="B2453" s="8">
        <v>20</v>
      </c>
      <c r="C2453" s="8">
        <v>638.21258499999999</v>
      </c>
      <c r="D2453" s="8">
        <v>51998.375</v>
      </c>
      <c r="E2453" s="8">
        <v>52016.355469000002</v>
      </c>
      <c r="F2453" s="8">
        <f t="shared" si="76"/>
        <v>17.980469000001904</v>
      </c>
      <c r="G2453" s="8">
        <f t="shared" si="77"/>
        <v>1.7980469000001904E-2</v>
      </c>
    </row>
    <row r="2454" spans="1:7" x14ac:dyDescent="0.25">
      <c r="A2454" s="8">
        <v>32</v>
      </c>
      <c r="B2454" s="8">
        <v>21</v>
      </c>
      <c r="C2454" s="8">
        <v>3720.7548830000001</v>
      </c>
      <c r="D2454" s="8">
        <v>52654.628905999998</v>
      </c>
      <c r="E2454" s="8">
        <v>52670.925780999998</v>
      </c>
      <c r="F2454" s="8">
        <f t="shared" si="76"/>
        <v>16.296875</v>
      </c>
      <c r="G2454" s="8">
        <f t="shared" si="77"/>
        <v>1.6296874999999999E-2</v>
      </c>
    </row>
    <row r="2455" spans="1:7" x14ac:dyDescent="0.25">
      <c r="A2455" s="8">
        <v>32</v>
      </c>
      <c r="B2455" s="8">
        <v>22</v>
      </c>
      <c r="C2455" s="8">
        <v>430.75259399999999</v>
      </c>
      <c r="D2455" s="8">
        <v>56394.335937999997</v>
      </c>
      <c r="E2455" s="8">
        <v>56403.261719000002</v>
      </c>
      <c r="F2455" s="8">
        <f t="shared" si="76"/>
        <v>8.9257810000053723</v>
      </c>
      <c r="G2455" s="8">
        <f t="shared" si="77"/>
        <v>8.9257810000053731E-3</v>
      </c>
    </row>
    <row r="2456" spans="1:7" x14ac:dyDescent="0.25">
      <c r="A2456" s="8">
        <v>32</v>
      </c>
      <c r="B2456" s="8">
        <v>23</v>
      </c>
      <c r="C2456" s="8">
        <v>3042.1032709999999</v>
      </c>
      <c r="D2456" s="8">
        <v>56847.542969000002</v>
      </c>
      <c r="E2456" s="8">
        <v>56867.757812999997</v>
      </c>
      <c r="F2456" s="8">
        <f t="shared" si="76"/>
        <v>20.214843999994628</v>
      </c>
      <c r="G2456" s="8">
        <f t="shared" si="77"/>
        <v>2.0214843999994628E-2</v>
      </c>
    </row>
    <row r="2457" spans="1:7" x14ac:dyDescent="0.25">
      <c r="A2457" s="8">
        <v>32</v>
      </c>
      <c r="B2457" s="8">
        <v>24</v>
      </c>
      <c r="C2457" s="8">
        <v>292.76693699999998</v>
      </c>
      <c r="D2457" s="8">
        <v>59919.308594000002</v>
      </c>
      <c r="E2457" s="8">
        <v>59937.21875</v>
      </c>
      <c r="F2457" s="8">
        <f t="shared" si="76"/>
        <v>17.910155999998096</v>
      </c>
      <c r="G2457" s="8">
        <f t="shared" si="77"/>
        <v>1.7910155999998095E-2</v>
      </c>
    </row>
    <row r="2458" spans="1:7" x14ac:dyDescent="0.25">
      <c r="A2458" s="8">
        <v>32</v>
      </c>
      <c r="B2458" s="8">
        <v>25</v>
      </c>
      <c r="C2458" s="8">
        <v>303.74908399999998</v>
      </c>
      <c r="D2458" s="8">
        <v>60231.773437999997</v>
      </c>
      <c r="E2458" s="8">
        <v>60254.664062999997</v>
      </c>
      <c r="F2458" s="8">
        <f t="shared" si="76"/>
        <v>22.890625</v>
      </c>
      <c r="G2458" s="8">
        <f t="shared" si="77"/>
        <v>2.2890625000000001E-2</v>
      </c>
    </row>
    <row r="2459" spans="1:7" x14ac:dyDescent="0.25">
      <c r="A2459" s="8">
        <v>32</v>
      </c>
      <c r="B2459" s="8">
        <v>26</v>
      </c>
      <c r="C2459" s="8">
        <v>333.02096599999999</v>
      </c>
      <c r="D2459" s="8">
        <v>60559.992187999997</v>
      </c>
      <c r="E2459" s="8">
        <v>60589.167969000002</v>
      </c>
      <c r="F2459" s="8">
        <f t="shared" si="76"/>
        <v>29.175781000005372</v>
      </c>
      <c r="G2459" s="8">
        <f t="shared" si="77"/>
        <v>2.9175781000005372E-2</v>
      </c>
    </row>
    <row r="2460" spans="1:7" x14ac:dyDescent="0.25">
      <c r="A2460" s="8">
        <v>32</v>
      </c>
      <c r="B2460" s="8">
        <v>27</v>
      </c>
      <c r="C2460" s="8">
        <v>3632.141357</v>
      </c>
      <c r="D2460" s="8">
        <v>60935.089844000002</v>
      </c>
      <c r="E2460" s="8">
        <v>60958.671875</v>
      </c>
      <c r="F2460" s="8">
        <f t="shared" si="76"/>
        <v>23.582030999998096</v>
      </c>
      <c r="G2460" s="8">
        <f t="shared" si="77"/>
        <v>2.3582030999998095E-2</v>
      </c>
    </row>
    <row r="2461" spans="1:7" x14ac:dyDescent="0.25">
      <c r="A2461" s="8">
        <v>32</v>
      </c>
      <c r="B2461" s="8">
        <v>28</v>
      </c>
      <c r="C2461" s="8">
        <v>2528.5161130000001</v>
      </c>
      <c r="D2461" s="8">
        <v>64605.867187999997</v>
      </c>
      <c r="E2461" s="8">
        <v>64619.855469000002</v>
      </c>
      <c r="F2461" s="8">
        <f t="shared" si="76"/>
        <v>13.988281000005372</v>
      </c>
      <c r="G2461" s="8">
        <f t="shared" si="77"/>
        <v>1.3988281000005372E-2</v>
      </c>
    </row>
    <row r="2462" spans="1:7" x14ac:dyDescent="0.25">
      <c r="A2462" s="8">
        <v>32</v>
      </c>
      <c r="B2462" s="8">
        <v>29</v>
      </c>
      <c r="C2462" s="8">
        <v>1355.8260499999999</v>
      </c>
      <c r="D2462" s="8">
        <v>67153.757813000004</v>
      </c>
      <c r="E2462" s="8">
        <v>67167.1875</v>
      </c>
      <c r="F2462" s="8">
        <f t="shared" si="76"/>
        <v>13.429686999996193</v>
      </c>
      <c r="G2462" s="8">
        <f t="shared" si="77"/>
        <v>1.3429686999996193E-2</v>
      </c>
    </row>
    <row r="2463" spans="1:7" x14ac:dyDescent="0.25">
      <c r="A2463" s="8">
        <v>32</v>
      </c>
      <c r="B2463" s="8">
        <v>30</v>
      </c>
      <c r="C2463" s="8">
        <v>3096.7614749999998</v>
      </c>
      <c r="D2463" s="8">
        <v>68529.710938000004</v>
      </c>
      <c r="E2463" s="8">
        <v>68556.007813000004</v>
      </c>
      <c r="F2463" s="8">
        <f t="shared" si="76"/>
        <v>26.296875</v>
      </c>
      <c r="G2463" s="8">
        <f t="shared" si="77"/>
        <v>2.6296875000000001E-2</v>
      </c>
    </row>
    <row r="2464" spans="1:7" x14ac:dyDescent="0.25">
      <c r="A2464" s="8">
        <v>32</v>
      </c>
      <c r="B2464" s="8">
        <v>31</v>
      </c>
      <c r="C2464" s="8">
        <v>5868.7758789999998</v>
      </c>
      <c r="D2464" s="8">
        <v>71666.984375</v>
      </c>
      <c r="E2464" s="8">
        <v>71674.6875</v>
      </c>
      <c r="F2464" s="8">
        <f t="shared" si="76"/>
        <v>7.703125</v>
      </c>
      <c r="G2464" s="8">
        <f t="shared" si="77"/>
        <v>7.7031249999999999E-3</v>
      </c>
    </row>
    <row r="2465" spans="1:7" x14ac:dyDescent="0.25">
      <c r="A2465" s="8">
        <v>32</v>
      </c>
      <c r="B2465" s="8">
        <v>32</v>
      </c>
      <c r="C2465" s="8">
        <v>269.23507699999999</v>
      </c>
      <c r="D2465" s="8">
        <v>77554.585938000004</v>
      </c>
      <c r="E2465" s="8">
        <v>77577.289063000004</v>
      </c>
      <c r="F2465" s="8">
        <f t="shared" si="76"/>
        <v>22.703125</v>
      </c>
      <c r="G2465" s="8">
        <f t="shared" si="77"/>
        <v>2.2703125000000001E-2</v>
      </c>
    </row>
    <row r="2466" spans="1:7" x14ac:dyDescent="0.25">
      <c r="A2466" s="8">
        <v>32</v>
      </c>
      <c r="B2466" s="8">
        <v>33</v>
      </c>
      <c r="C2466" s="8">
        <v>2709.0913089999999</v>
      </c>
      <c r="D2466" s="8">
        <v>77853.851563000004</v>
      </c>
      <c r="E2466" s="8">
        <v>77868.234375</v>
      </c>
      <c r="F2466" s="8">
        <f t="shared" si="76"/>
        <v>14.382811999996193</v>
      </c>
      <c r="G2466" s="8">
        <f t="shared" si="77"/>
        <v>1.4382811999996192E-2</v>
      </c>
    </row>
    <row r="2467" spans="1:7" x14ac:dyDescent="0.25">
      <c r="A2467" s="8">
        <v>32</v>
      </c>
      <c r="B2467" s="8">
        <v>34</v>
      </c>
      <c r="C2467" s="8">
        <v>1630.4086910000001</v>
      </c>
      <c r="D2467" s="8">
        <v>80583.132813000004</v>
      </c>
      <c r="E2467" s="8">
        <v>80591</v>
      </c>
      <c r="F2467" s="8">
        <f t="shared" si="76"/>
        <v>7.8671869999961928</v>
      </c>
      <c r="G2467" s="8">
        <f t="shared" si="77"/>
        <v>7.8671869999961935E-3</v>
      </c>
    </row>
    <row r="2468" spans="1:7" x14ac:dyDescent="0.25">
      <c r="A2468" s="8">
        <v>32</v>
      </c>
      <c r="B2468" s="8">
        <v>35</v>
      </c>
      <c r="C2468" s="8">
        <v>575.30316200000004</v>
      </c>
      <c r="D2468" s="8">
        <v>82229.898438000004</v>
      </c>
      <c r="E2468" s="8">
        <v>82246.117188000004</v>
      </c>
      <c r="F2468" s="8">
        <f t="shared" si="76"/>
        <v>16.21875</v>
      </c>
      <c r="G2468" s="8">
        <f t="shared" si="77"/>
        <v>1.6218750000000001E-2</v>
      </c>
    </row>
    <row r="2469" spans="1:7" x14ac:dyDescent="0.25">
      <c r="A2469" s="8">
        <v>32</v>
      </c>
      <c r="B2469" s="8">
        <v>36</v>
      </c>
      <c r="C2469" s="8">
        <v>4031.6076659999999</v>
      </c>
      <c r="D2469" s="8">
        <v>82823.773438000004</v>
      </c>
      <c r="E2469" s="8">
        <v>82882.507813000004</v>
      </c>
      <c r="F2469" s="8">
        <f t="shared" si="76"/>
        <v>58.734375</v>
      </c>
      <c r="G2469" s="8">
        <f t="shared" si="77"/>
        <v>5.8734374999999998E-2</v>
      </c>
    </row>
    <row r="2470" spans="1:7" x14ac:dyDescent="0.25">
      <c r="A2470" s="8">
        <v>32</v>
      </c>
      <c r="B2470" s="8">
        <v>37</v>
      </c>
      <c r="C2470" s="8">
        <v>205.796661</v>
      </c>
      <c r="D2470" s="8">
        <v>86924.625</v>
      </c>
      <c r="E2470" s="8">
        <v>86935.460938000004</v>
      </c>
      <c r="F2470" s="8">
        <f t="shared" si="76"/>
        <v>10.835938000003807</v>
      </c>
      <c r="G2470" s="8">
        <f t="shared" si="77"/>
        <v>1.0835938000003808E-2</v>
      </c>
    </row>
    <row r="2471" spans="1:7" x14ac:dyDescent="0.25">
      <c r="A2471" s="8">
        <v>32</v>
      </c>
      <c r="B2471" s="8">
        <v>38</v>
      </c>
      <c r="C2471" s="8">
        <v>365.36343399999998</v>
      </c>
      <c r="D2471" s="8">
        <v>87143.296875</v>
      </c>
      <c r="E2471" s="8">
        <v>87167.929688000004</v>
      </c>
      <c r="F2471" s="8">
        <f t="shared" si="76"/>
        <v>24.632813000003807</v>
      </c>
      <c r="G2471" s="8">
        <f t="shared" si="77"/>
        <v>2.4632813000003806E-2</v>
      </c>
    </row>
    <row r="2472" spans="1:7" x14ac:dyDescent="0.25">
      <c r="A2472" s="8">
        <v>32</v>
      </c>
      <c r="B2472" s="8">
        <v>39</v>
      </c>
      <c r="C2472" s="8">
        <v>333.38146999999998</v>
      </c>
      <c r="D2472" s="8">
        <v>87536.445313000004</v>
      </c>
      <c r="E2472" s="8">
        <v>87550.289063000004</v>
      </c>
      <c r="F2472" s="8">
        <f t="shared" si="76"/>
        <v>13.84375</v>
      </c>
      <c r="G2472" s="8">
        <f t="shared" si="77"/>
        <v>1.384375E-2</v>
      </c>
    </row>
    <row r="2473" spans="1:7" x14ac:dyDescent="0.25">
      <c r="A2473" s="8">
        <v>32</v>
      </c>
      <c r="B2473" s="8">
        <v>40</v>
      </c>
      <c r="C2473" s="8">
        <v>2208.4870609999998</v>
      </c>
      <c r="D2473" s="8">
        <v>87896.625</v>
      </c>
      <c r="E2473" s="8">
        <v>87910.695313000004</v>
      </c>
      <c r="F2473" s="8">
        <f t="shared" si="76"/>
        <v>14.070313000003807</v>
      </c>
      <c r="G2473" s="8">
        <f t="shared" si="77"/>
        <v>1.4070313000003807E-2</v>
      </c>
    </row>
    <row r="2474" spans="1:7" x14ac:dyDescent="0.25">
      <c r="A2474" s="8">
        <v>32</v>
      </c>
      <c r="B2474" s="8">
        <v>41</v>
      </c>
      <c r="C2474" s="8">
        <v>56.957405000000001</v>
      </c>
      <c r="D2474" s="8">
        <v>90120.421875</v>
      </c>
      <c r="E2474" s="8">
        <v>90142.132813000004</v>
      </c>
      <c r="F2474" s="8">
        <f t="shared" si="76"/>
        <v>21.710938000003807</v>
      </c>
      <c r="G2474" s="8">
        <f t="shared" si="77"/>
        <v>2.1710938000003809E-2</v>
      </c>
    </row>
    <row r="2475" spans="1:7" x14ac:dyDescent="0.25">
      <c r="A2475" s="8">
        <v>32</v>
      </c>
      <c r="B2475" s="8">
        <v>42</v>
      </c>
      <c r="C2475" s="8">
        <v>2773.5043949999999</v>
      </c>
      <c r="D2475" s="8">
        <v>90198.523438000004</v>
      </c>
      <c r="E2475" s="8">
        <v>90209.070313000004</v>
      </c>
      <c r="F2475" s="8">
        <f t="shared" si="76"/>
        <v>10.546875</v>
      </c>
      <c r="G2475" s="8">
        <f t="shared" si="77"/>
        <v>1.0546875000000001E-2</v>
      </c>
    </row>
    <row r="2476" spans="1:7" x14ac:dyDescent="0.25">
      <c r="A2476" s="8">
        <v>32</v>
      </c>
      <c r="B2476" s="8">
        <v>43</v>
      </c>
      <c r="C2476" s="8">
        <v>300.412598</v>
      </c>
      <c r="D2476" s="8">
        <v>92997.828125</v>
      </c>
      <c r="E2476" s="8">
        <v>93023.132813000004</v>
      </c>
      <c r="F2476" s="8">
        <f t="shared" si="76"/>
        <v>25.304688000003807</v>
      </c>
      <c r="G2476" s="8">
        <f t="shared" si="77"/>
        <v>2.5304688000003808E-2</v>
      </c>
    </row>
    <row r="2477" spans="1:7" x14ac:dyDescent="0.25">
      <c r="A2477" s="8">
        <v>32</v>
      </c>
      <c r="B2477" s="8">
        <v>44</v>
      </c>
      <c r="C2477" s="8">
        <v>5394.6694340000004</v>
      </c>
      <c r="D2477" s="8">
        <v>93326</v>
      </c>
      <c r="E2477" s="8">
        <v>93350.851563000004</v>
      </c>
      <c r="F2477" s="8">
        <f t="shared" si="76"/>
        <v>24.851563000003807</v>
      </c>
      <c r="G2477" s="8">
        <f t="shared" si="77"/>
        <v>2.4851563000003806E-2</v>
      </c>
    </row>
    <row r="2478" spans="1:7" x14ac:dyDescent="0.25">
      <c r="A2478" s="8">
        <v>32</v>
      </c>
      <c r="B2478" s="8">
        <v>45</v>
      </c>
      <c r="C2478" s="8">
        <v>677.39288299999998</v>
      </c>
      <c r="D2478" s="8">
        <v>98754.023438000004</v>
      </c>
      <c r="E2478" s="8">
        <v>98781.84375</v>
      </c>
      <c r="F2478" s="8">
        <f t="shared" si="76"/>
        <v>27.820311999996193</v>
      </c>
      <c r="G2478" s="8">
        <f t="shared" si="77"/>
        <v>2.7820311999996194E-2</v>
      </c>
    </row>
    <row r="2479" spans="1:7" x14ac:dyDescent="0.25">
      <c r="A2479" s="8">
        <v>32</v>
      </c>
      <c r="B2479" s="8">
        <v>46</v>
      </c>
      <c r="C2479" s="8">
        <v>2204.623779</v>
      </c>
      <c r="D2479" s="8">
        <v>99463.851563000004</v>
      </c>
      <c r="E2479" s="8">
        <v>99491.148438000004</v>
      </c>
      <c r="F2479" s="8">
        <f t="shared" si="76"/>
        <v>27.296875</v>
      </c>
      <c r="G2479" s="8">
        <f t="shared" si="77"/>
        <v>2.7296875000000002E-2</v>
      </c>
    </row>
    <row r="2480" spans="1:7" x14ac:dyDescent="0.25">
      <c r="A2480" s="8">
        <v>32</v>
      </c>
      <c r="B2480" s="8">
        <v>47</v>
      </c>
      <c r="C2480" s="8">
        <v>2781.5812989999999</v>
      </c>
      <c r="D2480" s="8">
        <v>101698.054688</v>
      </c>
      <c r="E2480" s="8">
        <v>101720.304688</v>
      </c>
      <c r="F2480" s="8">
        <f t="shared" si="76"/>
        <v>22.25</v>
      </c>
      <c r="G2480" s="8">
        <f t="shared" si="77"/>
        <v>2.2249999999999999E-2</v>
      </c>
    </row>
    <row r="2481" spans="1:7" x14ac:dyDescent="0.25">
      <c r="A2481" s="8">
        <v>32</v>
      </c>
      <c r="B2481" s="8">
        <v>48</v>
      </c>
      <c r="C2481" s="8">
        <v>2096.5859380000002</v>
      </c>
      <c r="D2481" s="8">
        <v>104503.351563</v>
      </c>
      <c r="E2481" s="8">
        <v>104520.679688</v>
      </c>
      <c r="F2481" s="8">
        <f t="shared" si="76"/>
        <v>17.328125</v>
      </c>
      <c r="G2481" s="8">
        <f t="shared" si="77"/>
        <v>1.7328125E-2</v>
      </c>
    </row>
    <row r="2482" spans="1:7" x14ac:dyDescent="0.25">
      <c r="A2482" s="8">
        <v>32</v>
      </c>
      <c r="B2482" s="8">
        <v>49</v>
      </c>
      <c r="C2482" s="8">
        <v>1562.3435059999999</v>
      </c>
      <c r="D2482" s="8">
        <v>106625.335938</v>
      </c>
      <c r="E2482" s="8">
        <v>106638.476563</v>
      </c>
      <c r="F2482" s="8">
        <f t="shared" si="76"/>
        <v>13.140625</v>
      </c>
      <c r="G2482" s="8">
        <f t="shared" si="77"/>
        <v>1.3140625E-2</v>
      </c>
    </row>
    <row r="2483" spans="1:7" x14ac:dyDescent="0.25">
      <c r="A2483" s="8">
        <v>32</v>
      </c>
      <c r="B2483" s="8">
        <v>50</v>
      </c>
      <c r="C2483" s="8">
        <v>1409.0683590000001</v>
      </c>
      <c r="D2483" s="8">
        <v>108204.296875</v>
      </c>
      <c r="E2483" s="8">
        <v>108218.4375</v>
      </c>
      <c r="F2483" s="8">
        <f t="shared" si="76"/>
        <v>14.140625</v>
      </c>
      <c r="G2483" s="8">
        <f t="shared" si="77"/>
        <v>1.4140625E-2</v>
      </c>
    </row>
    <row r="2484" spans="1:7" x14ac:dyDescent="0.25">
      <c r="A2484" s="8">
        <v>32</v>
      </c>
      <c r="B2484" s="8">
        <v>51</v>
      </c>
      <c r="C2484" s="8">
        <v>7455.3579099999997</v>
      </c>
      <c r="D2484" s="8">
        <v>109642.46875</v>
      </c>
      <c r="E2484" s="8">
        <v>109653.617188</v>
      </c>
      <c r="F2484" s="8">
        <f t="shared" si="76"/>
        <v>11.148438000003807</v>
      </c>
      <c r="G2484" s="8">
        <f t="shared" si="77"/>
        <v>1.1148438000003808E-2</v>
      </c>
    </row>
    <row r="2485" spans="1:7" x14ac:dyDescent="0.25">
      <c r="A2485" s="8">
        <v>32</v>
      </c>
      <c r="B2485" s="8">
        <v>52</v>
      </c>
      <c r="C2485" s="8">
        <v>268.60668900000002</v>
      </c>
      <c r="D2485" s="8">
        <v>117122.242188</v>
      </c>
      <c r="E2485" s="8">
        <v>117136.039063</v>
      </c>
      <c r="F2485" s="8">
        <f t="shared" si="76"/>
        <v>13.796875</v>
      </c>
      <c r="G2485" s="8">
        <f t="shared" si="77"/>
        <v>1.3796875E-2</v>
      </c>
    </row>
    <row r="2486" spans="1:7" x14ac:dyDescent="0.25">
      <c r="A2486" s="8">
        <v>32</v>
      </c>
      <c r="B2486" s="8">
        <v>53</v>
      </c>
      <c r="C2486" s="8">
        <v>1667.8579099999999</v>
      </c>
      <c r="D2486" s="8">
        <v>117410.609375</v>
      </c>
      <c r="E2486" s="8">
        <v>117428.515625</v>
      </c>
      <c r="F2486" s="8">
        <f t="shared" si="76"/>
        <v>17.90625</v>
      </c>
      <c r="G2486" s="8">
        <f t="shared" si="77"/>
        <v>1.7906249999999999E-2</v>
      </c>
    </row>
    <row r="2487" spans="1:7" x14ac:dyDescent="0.25">
      <c r="A2487" s="8">
        <v>32</v>
      </c>
      <c r="B2487" s="8">
        <v>54</v>
      </c>
      <c r="C2487" s="8">
        <v>910.09198000000004</v>
      </c>
      <c r="D2487" s="8">
        <v>119103.828125</v>
      </c>
      <c r="E2487" s="8">
        <v>119112.195313</v>
      </c>
      <c r="F2487" s="8">
        <f t="shared" si="76"/>
        <v>8.3671880000038072</v>
      </c>
      <c r="G2487" s="8">
        <f t="shared" si="77"/>
        <v>8.3671880000038071E-3</v>
      </c>
    </row>
    <row r="2488" spans="1:7" x14ac:dyDescent="0.25">
      <c r="A2488" s="8">
        <v>32</v>
      </c>
      <c r="B2488" s="8">
        <v>55</v>
      </c>
      <c r="C2488" s="8">
        <v>2720.952393</v>
      </c>
      <c r="D2488" s="8">
        <v>120031.039063</v>
      </c>
      <c r="E2488" s="8">
        <v>120046.875</v>
      </c>
      <c r="F2488" s="8">
        <f t="shared" si="76"/>
        <v>15.835936999996193</v>
      </c>
      <c r="G2488" s="8">
        <f t="shared" si="77"/>
        <v>1.5835936999996192E-2</v>
      </c>
    </row>
    <row r="2489" spans="1:7" x14ac:dyDescent="0.25">
      <c r="A2489" s="8">
        <v>32</v>
      </c>
      <c r="B2489" s="8">
        <v>56</v>
      </c>
      <c r="C2489" s="8">
        <v>908.93786599999999</v>
      </c>
      <c r="D2489" s="8">
        <v>122769.40625</v>
      </c>
      <c r="E2489" s="8">
        <v>122825.40625</v>
      </c>
      <c r="F2489" s="8">
        <f t="shared" si="76"/>
        <v>56</v>
      </c>
      <c r="G2489" s="8">
        <f t="shared" si="77"/>
        <v>5.6000000000000001E-2</v>
      </c>
    </row>
    <row r="2490" spans="1:7" x14ac:dyDescent="0.25">
      <c r="A2490" s="8">
        <v>32</v>
      </c>
      <c r="B2490" s="8">
        <v>57</v>
      </c>
      <c r="C2490" s="8">
        <v>1264.869263</v>
      </c>
      <c r="D2490" s="8">
        <v>123746.398438</v>
      </c>
      <c r="E2490" s="8">
        <v>123764.34375</v>
      </c>
      <c r="F2490" s="8">
        <f t="shared" si="76"/>
        <v>17.945311999996193</v>
      </c>
      <c r="G2490" s="8">
        <f t="shared" si="77"/>
        <v>1.7945311999996192E-2</v>
      </c>
    </row>
    <row r="2491" spans="1:7" x14ac:dyDescent="0.25">
      <c r="A2491" s="8">
        <v>32</v>
      </c>
      <c r="B2491" s="8">
        <v>58</v>
      </c>
      <c r="C2491" s="8">
        <v>97.238510000000005</v>
      </c>
      <c r="D2491" s="8">
        <v>125033.289063</v>
      </c>
      <c r="E2491" s="8">
        <v>125046.890625</v>
      </c>
      <c r="F2491" s="8">
        <f t="shared" si="76"/>
        <v>13.601561999996193</v>
      </c>
      <c r="G2491" s="8">
        <f t="shared" si="77"/>
        <v>1.3601561999996193E-2</v>
      </c>
    </row>
    <row r="2492" spans="1:7" x14ac:dyDescent="0.25">
      <c r="A2492" s="8">
        <v>32</v>
      </c>
      <c r="B2492" s="8">
        <v>59</v>
      </c>
      <c r="C2492" s="8">
        <v>2830.9909670000002</v>
      </c>
      <c r="D2492" s="8">
        <v>125158.195313</v>
      </c>
      <c r="E2492" s="8">
        <v>125177.460938</v>
      </c>
      <c r="F2492" s="8">
        <f t="shared" si="76"/>
        <v>19.265625</v>
      </c>
      <c r="G2492" s="8">
        <f t="shared" si="77"/>
        <v>1.9265625000000001E-2</v>
      </c>
    </row>
    <row r="2493" spans="1:7" x14ac:dyDescent="0.25">
      <c r="A2493" s="8">
        <v>32</v>
      </c>
      <c r="B2493" s="8">
        <v>60</v>
      </c>
      <c r="C2493" s="8">
        <v>1190.3376459999999</v>
      </c>
      <c r="D2493" s="8">
        <v>128018.703125</v>
      </c>
      <c r="E2493" s="8">
        <v>128036.5</v>
      </c>
      <c r="F2493" s="8">
        <f t="shared" si="76"/>
        <v>17.796875</v>
      </c>
      <c r="G2493" s="8">
        <f t="shared" si="77"/>
        <v>1.7796875E-2</v>
      </c>
    </row>
    <row r="2494" spans="1:7" x14ac:dyDescent="0.25">
      <c r="A2494" s="8">
        <v>32</v>
      </c>
      <c r="B2494" s="8">
        <v>61</v>
      </c>
      <c r="C2494" s="8">
        <v>5529.5517579999996</v>
      </c>
      <c r="D2494" s="8">
        <v>129238.921875</v>
      </c>
      <c r="E2494" s="8">
        <v>129256.78125</v>
      </c>
      <c r="F2494" s="8">
        <f t="shared" si="76"/>
        <v>17.859375</v>
      </c>
      <c r="G2494" s="8">
        <f t="shared" si="77"/>
        <v>1.7859375E-2</v>
      </c>
    </row>
    <row r="2495" spans="1:7" x14ac:dyDescent="0.25">
      <c r="A2495" s="8">
        <v>32</v>
      </c>
      <c r="B2495" s="8">
        <v>62</v>
      </c>
      <c r="C2495" s="8">
        <v>477.47482300000001</v>
      </c>
      <c r="D2495" s="8">
        <v>134800.8125</v>
      </c>
      <c r="E2495" s="8">
        <v>134823.28125</v>
      </c>
      <c r="F2495" s="8">
        <f t="shared" si="76"/>
        <v>22.46875</v>
      </c>
      <c r="G2495" s="8">
        <f t="shared" si="77"/>
        <v>2.2468749999999999E-2</v>
      </c>
    </row>
    <row r="2496" spans="1:7" x14ac:dyDescent="0.25">
      <c r="A2496" s="8">
        <v>32</v>
      </c>
      <c r="B2496" s="8">
        <v>63</v>
      </c>
      <c r="C2496" s="8">
        <v>953.37005599999998</v>
      </c>
      <c r="D2496" s="8">
        <v>135303.90625</v>
      </c>
      <c r="E2496" s="8">
        <v>135327.328125</v>
      </c>
      <c r="F2496" s="8">
        <f t="shared" si="76"/>
        <v>23.421875</v>
      </c>
      <c r="G2496" s="8">
        <f t="shared" si="77"/>
        <v>2.3421875000000002E-2</v>
      </c>
    </row>
    <row r="2497" spans="1:7" x14ac:dyDescent="0.25">
      <c r="A2497" s="8">
        <v>32</v>
      </c>
      <c r="B2497" s="8">
        <v>64</v>
      </c>
      <c r="C2497" s="8">
        <v>2803.5285640000002</v>
      </c>
      <c r="D2497" s="8">
        <v>136288.34375</v>
      </c>
      <c r="E2497" s="8">
        <v>136307.40625</v>
      </c>
      <c r="F2497" s="8">
        <f t="shared" si="76"/>
        <v>19.0625</v>
      </c>
      <c r="G2497" s="8">
        <f t="shared" si="77"/>
        <v>1.90625E-2</v>
      </c>
    </row>
    <row r="2498" spans="1:7" x14ac:dyDescent="0.25">
      <c r="A2498" s="8">
        <v>32</v>
      </c>
      <c r="B2498" s="8">
        <v>65</v>
      </c>
      <c r="C2498" s="8">
        <v>5729.107422</v>
      </c>
      <c r="D2498" s="8">
        <v>139115.671875</v>
      </c>
      <c r="E2498" s="8">
        <v>139132.25</v>
      </c>
      <c r="F2498" s="8">
        <f t="shared" si="76"/>
        <v>16.578125</v>
      </c>
      <c r="G2498" s="8">
        <f t="shared" si="77"/>
        <v>1.6578124999999999E-2</v>
      </c>
    </row>
    <row r="2499" spans="1:7" x14ac:dyDescent="0.25">
      <c r="A2499" s="8">
        <v>32</v>
      </c>
      <c r="B2499" s="8">
        <v>66</v>
      </c>
      <c r="C2499" s="8">
        <v>260.73373400000003</v>
      </c>
      <c r="D2499" s="8">
        <v>144862.625</v>
      </c>
      <c r="E2499" s="8">
        <v>144883.96875</v>
      </c>
      <c r="F2499" s="8">
        <f t="shared" si="76"/>
        <v>21.34375</v>
      </c>
      <c r="G2499" s="8">
        <f t="shared" si="77"/>
        <v>2.1343750000000002E-2</v>
      </c>
    </row>
    <row r="2500" spans="1:7" x14ac:dyDescent="0.25">
      <c r="A2500" s="8">
        <v>32</v>
      </c>
      <c r="B2500" s="8">
        <v>67</v>
      </c>
      <c r="C2500" s="8">
        <v>3085.3100589999999</v>
      </c>
      <c r="D2500" s="8">
        <v>145146.25</v>
      </c>
      <c r="E2500" s="8">
        <v>145168.640625</v>
      </c>
      <c r="F2500" s="8">
        <f t="shared" si="76"/>
        <v>22.390625</v>
      </c>
      <c r="G2500" s="8">
        <f t="shared" si="77"/>
        <v>2.2390625000000001E-2</v>
      </c>
    </row>
    <row r="2501" spans="1:7" x14ac:dyDescent="0.25">
      <c r="A2501" s="8">
        <v>32</v>
      </c>
      <c r="B2501" s="8">
        <v>68</v>
      </c>
      <c r="C2501" s="8">
        <v>903.56048599999997</v>
      </c>
      <c r="D2501" s="8">
        <v>148258.890625</v>
      </c>
      <c r="E2501" s="8">
        <v>148276.421875</v>
      </c>
      <c r="F2501" s="8">
        <f t="shared" si="76"/>
        <v>17.53125</v>
      </c>
      <c r="G2501" s="8">
        <f t="shared" si="77"/>
        <v>1.7531250000000002E-2</v>
      </c>
    </row>
    <row r="2502" spans="1:7" x14ac:dyDescent="0.25">
      <c r="A2502" s="8">
        <v>32</v>
      </c>
      <c r="B2502" s="8">
        <v>69</v>
      </c>
      <c r="C2502" s="8">
        <v>4625.2294920000004</v>
      </c>
      <c r="D2502" s="8">
        <v>149181.65625</v>
      </c>
      <c r="E2502" s="8">
        <v>149206.984375</v>
      </c>
      <c r="F2502" s="8">
        <f t="shared" si="76"/>
        <v>25.328125</v>
      </c>
      <c r="G2502" s="8">
        <f t="shared" si="77"/>
        <v>2.5328125E-2</v>
      </c>
    </row>
    <row r="2503" spans="1:7" x14ac:dyDescent="0.25">
      <c r="A2503" s="8">
        <v>32</v>
      </c>
      <c r="B2503" s="8">
        <v>70</v>
      </c>
      <c r="C2503" s="8">
        <v>100.830116</v>
      </c>
      <c r="D2503" s="8">
        <v>153843.90625</v>
      </c>
      <c r="E2503" s="8">
        <v>153861.359375</v>
      </c>
      <c r="F2503" s="8">
        <f t="shared" si="76"/>
        <v>17.453125</v>
      </c>
      <c r="G2503" s="8">
        <f t="shared" si="77"/>
        <v>1.7453125E-2</v>
      </c>
    </row>
    <row r="2504" spans="1:7" x14ac:dyDescent="0.25">
      <c r="A2504" s="8">
        <v>32</v>
      </c>
      <c r="B2504" s="8">
        <v>71</v>
      </c>
      <c r="C2504" s="8">
        <v>246.805466</v>
      </c>
      <c r="D2504" s="8">
        <v>153969.015625</v>
      </c>
      <c r="E2504" s="8">
        <v>153987.234375</v>
      </c>
      <c r="F2504" s="8">
        <f t="shared" si="76"/>
        <v>18.21875</v>
      </c>
      <c r="G2504" s="8">
        <f t="shared" si="77"/>
        <v>1.8218749999999999E-2</v>
      </c>
    </row>
    <row r="2505" spans="1:7" x14ac:dyDescent="0.25">
      <c r="A2505" s="8">
        <v>32</v>
      </c>
      <c r="B2505" s="8">
        <v>72</v>
      </c>
      <c r="C2505" s="8">
        <v>1387.2100829999999</v>
      </c>
      <c r="D2505" s="8">
        <v>154234.671875</v>
      </c>
      <c r="E2505" s="8">
        <v>154246.078125</v>
      </c>
      <c r="F2505" s="8">
        <f t="shared" si="76"/>
        <v>11.40625</v>
      </c>
      <c r="G2505" s="8">
        <f t="shared" si="77"/>
        <v>1.140625E-2</v>
      </c>
    </row>
    <row r="2506" spans="1:7" x14ac:dyDescent="0.25">
      <c r="A2506" s="8">
        <v>32</v>
      </c>
      <c r="B2506" s="8">
        <v>73</v>
      </c>
      <c r="C2506" s="8">
        <v>2651.5083009999998</v>
      </c>
      <c r="D2506" s="8">
        <v>155641.109375</v>
      </c>
      <c r="E2506" s="8">
        <v>155673.515625</v>
      </c>
      <c r="F2506" s="8">
        <f t="shared" si="76"/>
        <v>32.40625</v>
      </c>
      <c r="G2506" s="8">
        <f t="shared" si="77"/>
        <v>3.2406249999999998E-2</v>
      </c>
    </row>
    <row r="2507" spans="1:7" x14ac:dyDescent="0.25">
      <c r="A2507" s="8">
        <v>32</v>
      </c>
      <c r="B2507" s="8">
        <v>74</v>
      </c>
      <c r="C2507" s="8">
        <v>5957.9926759999998</v>
      </c>
      <c r="D2507" s="8">
        <v>158328.765625</v>
      </c>
      <c r="E2507" s="8">
        <v>158336.453125</v>
      </c>
      <c r="F2507" s="8">
        <f t="shared" ref="F2507:F2570" si="78">E2507-D2507</f>
        <v>7.6875</v>
      </c>
      <c r="G2507" s="8">
        <f t="shared" ref="G2507:G2570" si="79">F2507/1000</f>
        <v>7.6874999999999999E-3</v>
      </c>
    </row>
    <row r="2508" spans="1:7" x14ac:dyDescent="0.25">
      <c r="A2508" s="8">
        <v>32</v>
      </c>
      <c r="B2508" s="8">
        <v>75</v>
      </c>
      <c r="C2508" s="8">
        <v>3465.8884280000002</v>
      </c>
      <c r="D2508" s="8">
        <v>164299.75</v>
      </c>
      <c r="E2508" s="8">
        <v>164310.296875</v>
      </c>
      <c r="F2508" s="8">
        <f t="shared" si="78"/>
        <v>10.546875</v>
      </c>
      <c r="G2508" s="8">
        <f t="shared" si="79"/>
        <v>1.0546875000000001E-2</v>
      </c>
    </row>
    <row r="2509" spans="1:7" x14ac:dyDescent="0.25">
      <c r="A2509" s="8">
        <v>32</v>
      </c>
      <c r="B2509" s="8">
        <v>76</v>
      </c>
      <c r="C2509" s="8">
        <v>818.23748799999998</v>
      </c>
      <c r="D2509" s="8">
        <v>167791.15625</v>
      </c>
      <c r="E2509" s="8">
        <v>167800.25</v>
      </c>
      <c r="F2509" s="8">
        <f t="shared" si="78"/>
        <v>9.09375</v>
      </c>
      <c r="G2509" s="8">
        <f t="shared" si="79"/>
        <v>9.0937499999999994E-3</v>
      </c>
    </row>
    <row r="2510" spans="1:7" x14ac:dyDescent="0.25">
      <c r="A2510" s="8">
        <v>32</v>
      </c>
      <c r="B2510" s="8">
        <v>77</v>
      </c>
      <c r="C2510" s="8">
        <v>3473.1530760000001</v>
      </c>
      <c r="D2510" s="8">
        <v>168622.359375</v>
      </c>
      <c r="E2510" s="8">
        <v>168639.5</v>
      </c>
      <c r="F2510" s="8">
        <f t="shared" si="78"/>
        <v>17.140625</v>
      </c>
      <c r="G2510" s="8">
        <f t="shared" si="79"/>
        <v>1.7140625E-2</v>
      </c>
    </row>
    <row r="2511" spans="1:7" x14ac:dyDescent="0.25">
      <c r="A2511" s="8">
        <v>33</v>
      </c>
      <c r="B2511" s="8">
        <v>0</v>
      </c>
      <c r="C2511" s="8">
        <v>2390.5446780000002</v>
      </c>
      <c r="D2511" s="8">
        <v>20281.714843999998</v>
      </c>
      <c r="E2511" s="8">
        <v>20294.248047000001</v>
      </c>
      <c r="F2511" s="8">
        <f t="shared" si="78"/>
        <v>12.533203000002686</v>
      </c>
      <c r="G2511" s="8">
        <f t="shared" si="79"/>
        <v>1.2533203000002687E-2</v>
      </c>
    </row>
    <row r="2512" spans="1:7" x14ac:dyDescent="0.25">
      <c r="A2512" s="8">
        <v>33</v>
      </c>
      <c r="B2512" s="8">
        <v>1</v>
      </c>
      <c r="C2512" s="8">
        <v>849.91351299999997</v>
      </c>
      <c r="D2512" s="8">
        <v>22687.974609000001</v>
      </c>
      <c r="E2512" s="8">
        <v>22708.421875</v>
      </c>
      <c r="F2512" s="8">
        <f t="shared" si="78"/>
        <v>20.447265999999217</v>
      </c>
      <c r="G2512" s="8">
        <f t="shared" si="79"/>
        <v>2.0447265999999218E-2</v>
      </c>
    </row>
    <row r="2513" spans="1:7" x14ac:dyDescent="0.25">
      <c r="A2513" s="8">
        <v>33</v>
      </c>
      <c r="B2513" s="8">
        <v>2</v>
      </c>
      <c r="C2513" s="8">
        <v>449.92208900000003</v>
      </c>
      <c r="D2513" s="8">
        <v>23568.484375</v>
      </c>
      <c r="E2513" s="8">
        <v>23585.033202999999</v>
      </c>
      <c r="F2513" s="8">
        <f t="shared" si="78"/>
        <v>16.548827999999048</v>
      </c>
      <c r="G2513" s="8">
        <f t="shared" si="79"/>
        <v>1.6548827999999047E-2</v>
      </c>
    </row>
    <row r="2514" spans="1:7" x14ac:dyDescent="0.25">
      <c r="A2514" s="8">
        <v>33</v>
      </c>
      <c r="B2514" s="8">
        <v>3</v>
      </c>
      <c r="C2514" s="8">
        <v>470.28060900000003</v>
      </c>
      <c r="D2514" s="8">
        <v>24037.341797000001</v>
      </c>
      <c r="E2514" s="8">
        <v>24057.996093999998</v>
      </c>
      <c r="F2514" s="8">
        <f t="shared" si="78"/>
        <v>20.654296999997314</v>
      </c>
      <c r="G2514" s="8">
        <f t="shared" si="79"/>
        <v>2.0654296999997313E-2</v>
      </c>
    </row>
    <row r="2515" spans="1:7" x14ac:dyDescent="0.25">
      <c r="A2515" s="8">
        <v>33</v>
      </c>
      <c r="B2515" s="8">
        <v>4</v>
      </c>
      <c r="C2515" s="8">
        <v>54.321612999999999</v>
      </c>
      <c r="D2515" s="8">
        <v>24537.386718999998</v>
      </c>
      <c r="E2515" s="8">
        <v>24546.041015999999</v>
      </c>
      <c r="F2515" s="8">
        <f t="shared" si="78"/>
        <v>8.6542970000009518</v>
      </c>
      <c r="G2515" s="8">
        <f t="shared" si="79"/>
        <v>8.6542970000009524E-3</v>
      </c>
    </row>
    <row r="2516" spans="1:7" x14ac:dyDescent="0.25">
      <c r="A2516" s="8">
        <v>33</v>
      </c>
      <c r="B2516" s="8">
        <v>5</v>
      </c>
      <c r="C2516" s="8">
        <v>3952.1088869999999</v>
      </c>
      <c r="D2516" s="8">
        <v>24615.539063</v>
      </c>
      <c r="E2516" s="8">
        <v>24624.501952999999</v>
      </c>
      <c r="F2516" s="8">
        <f t="shared" si="78"/>
        <v>8.9628899999988789</v>
      </c>
      <c r="G2516" s="8">
        <f t="shared" si="79"/>
        <v>8.9628899999988788E-3</v>
      </c>
    </row>
    <row r="2517" spans="1:7" x14ac:dyDescent="0.25">
      <c r="A2517" s="8">
        <v>33</v>
      </c>
      <c r="B2517" s="8">
        <v>6</v>
      </c>
      <c r="C2517" s="8">
        <v>1666.5935059999999</v>
      </c>
      <c r="D2517" s="8">
        <v>28590.125</v>
      </c>
      <c r="E2517" s="8">
        <v>28617.226563</v>
      </c>
      <c r="F2517" s="8">
        <f t="shared" si="78"/>
        <v>27.101563000000169</v>
      </c>
      <c r="G2517" s="8">
        <f t="shared" si="79"/>
        <v>2.7101563000000169E-2</v>
      </c>
    </row>
    <row r="2518" spans="1:7" x14ac:dyDescent="0.25">
      <c r="A2518" s="8">
        <v>33</v>
      </c>
      <c r="B2518" s="8">
        <v>7</v>
      </c>
      <c r="C2518" s="8">
        <v>277.70272799999998</v>
      </c>
      <c r="D2518" s="8">
        <v>30296.642577999999</v>
      </c>
      <c r="E2518" s="8">
        <v>30307.662109000001</v>
      </c>
      <c r="F2518" s="8">
        <f t="shared" si="78"/>
        <v>11.019531000001734</v>
      </c>
      <c r="G2518" s="8">
        <f t="shared" si="79"/>
        <v>1.1019531000001734E-2</v>
      </c>
    </row>
    <row r="2519" spans="1:7" x14ac:dyDescent="0.25">
      <c r="A2519" s="8">
        <v>33</v>
      </c>
      <c r="B2519" s="8">
        <v>8</v>
      </c>
      <c r="C2519" s="8">
        <v>20.244312000000001</v>
      </c>
      <c r="D2519" s="8">
        <v>30593.5625</v>
      </c>
      <c r="E2519" s="8">
        <v>30608.488281000002</v>
      </c>
      <c r="F2519" s="8">
        <f t="shared" si="78"/>
        <v>14.925781000001734</v>
      </c>
      <c r="G2519" s="8">
        <f t="shared" si="79"/>
        <v>1.4925781000001734E-2</v>
      </c>
    </row>
    <row r="2520" spans="1:7" x14ac:dyDescent="0.25">
      <c r="A2520" s="8">
        <v>33</v>
      </c>
      <c r="B2520" s="8">
        <v>9</v>
      </c>
      <c r="C2520" s="8">
        <v>839.76355000000001</v>
      </c>
      <c r="D2520" s="8">
        <v>30641.761718999998</v>
      </c>
      <c r="E2520" s="8">
        <v>30657.601563</v>
      </c>
      <c r="F2520" s="8">
        <f t="shared" si="78"/>
        <v>15.839844000001904</v>
      </c>
      <c r="G2520" s="8">
        <f t="shared" si="79"/>
        <v>1.5839844000001903E-2</v>
      </c>
    </row>
    <row r="2521" spans="1:7" x14ac:dyDescent="0.25">
      <c r="A2521" s="8">
        <v>33</v>
      </c>
      <c r="B2521" s="8">
        <v>10</v>
      </c>
      <c r="C2521" s="8">
        <v>3673.0830080000001</v>
      </c>
      <c r="D2521" s="8">
        <v>31504.404297000001</v>
      </c>
      <c r="E2521" s="8">
        <v>31519.755859000001</v>
      </c>
      <c r="F2521" s="8">
        <f t="shared" si="78"/>
        <v>15.351561999999831</v>
      </c>
      <c r="G2521" s="8">
        <f t="shared" si="79"/>
        <v>1.5351561999999831E-2</v>
      </c>
    </row>
    <row r="2522" spans="1:7" x14ac:dyDescent="0.25">
      <c r="A2522" s="8">
        <v>33</v>
      </c>
      <c r="B2522" s="8">
        <v>11</v>
      </c>
      <c r="C2522" s="8">
        <v>219.16871599999999</v>
      </c>
      <c r="D2522" s="8">
        <v>35201.933594000002</v>
      </c>
      <c r="E2522" s="8">
        <v>35218.46875</v>
      </c>
      <c r="F2522" s="8">
        <f t="shared" si="78"/>
        <v>16.535155999998096</v>
      </c>
      <c r="G2522" s="8">
        <f t="shared" si="79"/>
        <v>1.6535155999998098E-2</v>
      </c>
    </row>
    <row r="2523" spans="1:7" x14ac:dyDescent="0.25">
      <c r="A2523" s="8">
        <v>33</v>
      </c>
      <c r="B2523" s="8">
        <v>12</v>
      </c>
      <c r="C2523" s="8">
        <v>3334.5895999999998</v>
      </c>
      <c r="D2523" s="8">
        <v>35451.996094000002</v>
      </c>
      <c r="E2523" s="8">
        <v>35471.527344000002</v>
      </c>
      <c r="F2523" s="8">
        <f t="shared" si="78"/>
        <v>19.53125</v>
      </c>
      <c r="G2523" s="8">
        <f t="shared" si="79"/>
        <v>1.953125E-2</v>
      </c>
    </row>
    <row r="2524" spans="1:7" x14ac:dyDescent="0.25">
      <c r="A2524" s="8">
        <v>33</v>
      </c>
      <c r="B2524" s="8">
        <v>13</v>
      </c>
      <c r="C2524" s="8">
        <v>1020.756348</v>
      </c>
      <c r="D2524" s="8">
        <v>38808.382812999997</v>
      </c>
      <c r="E2524" s="8">
        <v>38829.332030999998</v>
      </c>
      <c r="F2524" s="8">
        <f t="shared" si="78"/>
        <v>20.949218000001565</v>
      </c>
      <c r="G2524" s="8">
        <f t="shared" si="79"/>
        <v>2.0949218000001567E-2</v>
      </c>
    </row>
    <row r="2525" spans="1:7" x14ac:dyDescent="0.25">
      <c r="A2525" s="8">
        <v>33</v>
      </c>
      <c r="B2525" s="8">
        <v>14</v>
      </c>
      <c r="C2525" s="8">
        <v>1011.119629</v>
      </c>
      <c r="D2525" s="8">
        <v>39855.382812999997</v>
      </c>
      <c r="E2525" s="8">
        <v>39862.882812999997</v>
      </c>
      <c r="F2525" s="8">
        <f t="shared" si="78"/>
        <v>7.5</v>
      </c>
      <c r="G2525" s="8">
        <f t="shared" si="79"/>
        <v>7.4999999999999997E-3</v>
      </c>
    </row>
    <row r="2526" spans="1:7" x14ac:dyDescent="0.25">
      <c r="A2526" s="8">
        <v>33</v>
      </c>
      <c r="B2526" s="8">
        <v>15</v>
      </c>
      <c r="C2526" s="8">
        <v>5392.8588870000003</v>
      </c>
      <c r="D2526" s="8">
        <v>40887.601562999997</v>
      </c>
      <c r="E2526" s="8">
        <v>40903.8125</v>
      </c>
      <c r="F2526" s="8">
        <f t="shared" si="78"/>
        <v>16.210937000003469</v>
      </c>
      <c r="G2526" s="8">
        <f t="shared" si="79"/>
        <v>1.6210937000003468E-2</v>
      </c>
    </row>
    <row r="2527" spans="1:7" x14ac:dyDescent="0.25">
      <c r="A2527" s="8">
        <v>33</v>
      </c>
      <c r="B2527" s="8">
        <v>16</v>
      </c>
      <c r="C2527" s="8">
        <v>3213.8161620000001</v>
      </c>
      <c r="D2527" s="8">
        <v>46311.328125</v>
      </c>
      <c r="E2527" s="8">
        <v>46329.566405999998</v>
      </c>
      <c r="F2527" s="8">
        <f t="shared" si="78"/>
        <v>18.238280999998096</v>
      </c>
      <c r="G2527" s="8">
        <f t="shared" si="79"/>
        <v>1.8238280999998097E-2</v>
      </c>
    </row>
    <row r="2528" spans="1:7" x14ac:dyDescent="0.25">
      <c r="A2528" s="8">
        <v>33</v>
      </c>
      <c r="B2528" s="8">
        <v>17</v>
      </c>
      <c r="C2528" s="8">
        <v>235.37536600000001</v>
      </c>
      <c r="D2528" s="8">
        <v>49545.566405999998</v>
      </c>
      <c r="E2528" s="8">
        <v>49564.324219000002</v>
      </c>
      <c r="F2528" s="8">
        <f t="shared" si="78"/>
        <v>18.757813000003807</v>
      </c>
      <c r="G2528" s="8">
        <f t="shared" si="79"/>
        <v>1.8757813000003808E-2</v>
      </c>
    </row>
    <row r="2529" spans="1:7" x14ac:dyDescent="0.25">
      <c r="A2529" s="8">
        <v>33</v>
      </c>
      <c r="B2529" s="8">
        <v>18</v>
      </c>
      <c r="C2529" s="8">
        <v>5489.2631840000004</v>
      </c>
      <c r="D2529" s="8">
        <v>49811.128905999998</v>
      </c>
      <c r="E2529" s="8">
        <v>49819.628905999998</v>
      </c>
      <c r="F2529" s="8">
        <f t="shared" si="78"/>
        <v>8.5</v>
      </c>
      <c r="G2529" s="8">
        <f t="shared" si="79"/>
        <v>8.5000000000000006E-3</v>
      </c>
    </row>
    <row r="2530" spans="1:7" x14ac:dyDescent="0.25">
      <c r="A2530" s="8">
        <v>33</v>
      </c>
      <c r="B2530" s="8">
        <v>19</v>
      </c>
      <c r="C2530" s="8">
        <v>431.50979599999999</v>
      </c>
      <c r="D2530" s="8">
        <v>55316.054687999997</v>
      </c>
      <c r="E2530" s="8">
        <v>55343.402344000002</v>
      </c>
      <c r="F2530" s="8">
        <f t="shared" si="78"/>
        <v>27.347656000005372</v>
      </c>
      <c r="G2530" s="8">
        <f t="shared" si="79"/>
        <v>2.7347656000005372E-2</v>
      </c>
    </row>
    <row r="2531" spans="1:7" x14ac:dyDescent="0.25">
      <c r="A2531" s="8">
        <v>33</v>
      </c>
      <c r="B2531" s="8">
        <v>20</v>
      </c>
      <c r="C2531" s="8">
        <v>2348.828857</v>
      </c>
      <c r="D2531" s="8">
        <v>55784.855469000002</v>
      </c>
      <c r="E2531" s="8">
        <v>55796.066405999998</v>
      </c>
      <c r="F2531" s="8">
        <f t="shared" si="78"/>
        <v>11.210936999996193</v>
      </c>
      <c r="G2531" s="8">
        <f t="shared" si="79"/>
        <v>1.1210936999996193E-2</v>
      </c>
    </row>
    <row r="2532" spans="1:7" x14ac:dyDescent="0.25">
      <c r="A2532" s="8">
        <v>33</v>
      </c>
      <c r="B2532" s="8">
        <v>21</v>
      </c>
      <c r="C2532" s="8">
        <v>1294.6141359999999</v>
      </c>
      <c r="D2532" s="8">
        <v>58148.460937999997</v>
      </c>
      <c r="E2532" s="8">
        <v>58162.886719000002</v>
      </c>
      <c r="F2532" s="8">
        <f t="shared" si="78"/>
        <v>14.425781000005372</v>
      </c>
      <c r="G2532" s="8">
        <f t="shared" si="79"/>
        <v>1.4425781000005373E-2</v>
      </c>
    </row>
    <row r="2533" spans="1:7" x14ac:dyDescent="0.25">
      <c r="A2533" s="8">
        <v>33</v>
      </c>
      <c r="B2533" s="8">
        <v>22</v>
      </c>
      <c r="C2533" s="8">
        <v>1443.440186</v>
      </c>
      <c r="D2533" s="8">
        <v>59466.117187999997</v>
      </c>
      <c r="E2533" s="8">
        <v>59482.90625</v>
      </c>
      <c r="F2533" s="8">
        <f t="shared" si="78"/>
        <v>16.789062000003469</v>
      </c>
      <c r="G2533" s="8">
        <f t="shared" si="79"/>
        <v>1.678906200000347E-2</v>
      </c>
    </row>
    <row r="2534" spans="1:7" x14ac:dyDescent="0.25">
      <c r="A2534" s="8">
        <v>33</v>
      </c>
      <c r="B2534" s="8">
        <v>23</v>
      </c>
      <c r="C2534" s="8">
        <v>101.151093</v>
      </c>
      <c r="D2534" s="8">
        <v>60935.089844000002</v>
      </c>
      <c r="E2534" s="8">
        <v>60956.160155999998</v>
      </c>
      <c r="F2534" s="8">
        <f t="shared" si="78"/>
        <v>21.070311999996193</v>
      </c>
      <c r="G2534" s="8">
        <f t="shared" si="79"/>
        <v>2.1070311999996191E-2</v>
      </c>
    </row>
    <row r="2535" spans="1:7" x14ac:dyDescent="0.25">
      <c r="A2535" s="8">
        <v>33</v>
      </c>
      <c r="B2535" s="8">
        <v>24</v>
      </c>
      <c r="C2535" s="8">
        <v>1419.963501</v>
      </c>
      <c r="D2535" s="8">
        <v>61060.121094000002</v>
      </c>
      <c r="E2535" s="8">
        <v>61080.496094000002</v>
      </c>
      <c r="F2535" s="8">
        <f t="shared" si="78"/>
        <v>20.375</v>
      </c>
      <c r="G2535" s="8">
        <f t="shared" si="79"/>
        <v>2.0375000000000001E-2</v>
      </c>
    </row>
    <row r="2536" spans="1:7" x14ac:dyDescent="0.25">
      <c r="A2536" s="8">
        <v>33</v>
      </c>
      <c r="B2536" s="8">
        <v>25</v>
      </c>
      <c r="C2536" s="8">
        <v>1062.6791989999999</v>
      </c>
      <c r="D2536" s="8">
        <v>62501.066405999998</v>
      </c>
      <c r="E2536" s="8">
        <v>62509.296875</v>
      </c>
      <c r="F2536" s="8">
        <f t="shared" si="78"/>
        <v>8.2304690000019036</v>
      </c>
      <c r="G2536" s="8">
        <f t="shared" si="79"/>
        <v>8.2304690000019037E-3</v>
      </c>
    </row>
    <row r="2537" spans="1:7" x14ac:dyDescent="0.25">
      <c r="A2537" s="8">
        <v>33</v>
      </c>
      <c r="B2537" s="8">
        <v>26</v>
      </c>
      <c r="C2537" s="8">
        <v>5396.4819340000004</v>
      </c>
      <c r="D2537" s="8">
        <v>63586.898437999997</v>
      </c>
      <c r="E2537" s="8">
        <v>63605.925780999998</v>
      </c>
      <c r="F2537" s="8">
        <f t="shared" si="78"/>
        <v>19.027343000001565</v>
      </c>
      <c r="G2537" s="8">
        <f t="shared" si="79"/>
        <v>1.9027343000001563E-2</v>
      </c>
    </row>
    <row r="2538" spans="1:7" x14ac:dyDescent="0.25">
      <c r="A2538" s="8">
        <v>33</v>
      </c>
      <c r="B2538" s="8">
        <v>27</v>
      </c>
      <c r="C2538" s="8">
        <v>6041.3378910000001</v>
      </c>
      <c r="D2538" s="8">
        <v>69014.210938000004</v>
      </c>
      <c r="E2538" s="8">
        <v>69036.539063000004</v>
      </c>
      <c r="F2538" s="8">
        <f t="shared" si="78"/>
        <v>22.328125</v>
      </c>
      <c r="G2538" s="8">
        <f t="shared" si="79"/>
        <v>2.2328125000000001E-2</v>
      </c>
    </row>
    <row r="2539" spans="1:7" x14ac:dyDescent="0.25">
      <c r="A2539" s="8">
        <v>33</v>
      </c>
      <c r="B2539" s="8">
        <v>28</v>
      </c>
      <c r="C2539" s="8">
        <v>3518.7211910000001</v>
      </c>
      <c r="D2539" s="8">
        <v>75087.734375</v>
      </c>
      <c r="E2539" s="8">
        <v>75101.90625</v>
      </c>
      <c r="F2539" s="8">
        <f t="shared" si="78"/>
        <v>14.171875</v>
      </c>
      <c r="G2539" s="8">
        <f t="shared" si="79"/>
        <v>1.4171875E-2</v>
      </c>
    </row>
    <row r="2540" spans="1:7" x14ac:dyDescent="0.25">
      <c r="A2540" s="8">
        <v>33</v>
      </c>
      <c r="B2540" s="8">
        <v>29</v>
      </c>
      <c r="C2540" s="8">
        <v>4309.8945309999999</v>
      </c>
      <c r="D2540" s="8">
        <v>78622.820313000004</v>
      </c>
      <c r="E2540" s="8">
        <v>78645.546875</v>
      </c>
      <c r="F2540" s="8">
        <f t="shared" si="78"/>
        <v>22.726561999996193</v>
      </c>
      <c r="G2540" s="8">
        <f t="shared" si="79"/>
        <v>2.2726561999996193E-2</v>
      </c>
    </row>
    <row r="2541" spans="1:7" x14ac:dyDescent="0.25">
      <c r="A2541" s="8">
        <v>33</v>
      </c>
      <c r="B2541" s="8">
        <v>30</v>
      </c>
      <c r="C2541" s="8">
        <v>2465.1333009999998</v>
      </c>
      <c r="D2541" s="8">
        <v>82964.351563000004</v>
      </c>
      <c r="E2541" s="8">
        <v>82977.140625</v>
      </c>
      <c r="F2541" s="8">
        <f t="shared" si="78"/>
        <v>12.789061999996193</v>
      </c>
      <c r="G2541" s="8">
        <f t="shared" si="79"/>
        <v>1.2789061999996193E-2</v>
      </c>
    </row>
    <row r="2542" spans="1:7" x14ac:dyDescent="0.25">
      <c r="A2542" s="8">
        <v>33</v>
      </c>
      <c r="B2542" s="8">
        <v>31</v>
      </c>
      <c r="C2542" s="8">
        <v>1843.567749</v>
      </c>
      <c r="D2542" s="8">
        <v>85455.59375</v>
      </c>
      <c r="E2542" s="8">
        <v>85479.789063000004</v>
      </c>
      <c r="F2542" s="8">
        <f t="shared" si="78"/>
        <v>24.195313000003807</v>
      </c>
      <c r="G2542" s="8">
        <f t="shared" si="79"/>
        <v>2.4195313000003806E-2</v>
      </c>
    </row>
    <row r="2543" spans="1:7" x14ac:dyDescent="0.25">
      <c r="A2543" s="8">
        <v>33</v>
      </c>
      <c r="B2543" s="8">
        <v>32</v>
      </c>
      <c r="C2543" s="8">
        <v>662.461365</v>
      </c>
      <c r="D2543" s="8">
        <v>87332.632813000004</v>
      </c>
      <c r="E2543" s="8">
        <v>87350.046875</v>
      </c>
      <c r="F2543" s="8">
        <f t="shared" si="78"/>
        <v>17.414061999996193</v>
      </c>
      <c r="G2543" s="8">
        <f t="shared" si="79"/>
        <v>1.7414061999996192E-2</v>
      </c>
    </row>
    <row r="2544" spans="1:7" x14ac:dyDescent="0.25">
      <c r="A2544" s="8">
        <v>33</v>
      </c>
      <c r="B2544" s="8">
        <v>33</v>
      </c>
      <c r="C2544" s="8">
        <v>644.015625</v>
      </c>
      <c r="D2544" s="8">
        <v>88021.664063000004</v>
      </c>
      <c r="E2544" s="8">
        <v>88028.929688000004</v>
      </c>
      <c r="F2544" s="8">
        <f t="shared" si="78"/>
        <v>7.265625</v>
      </c>
      <c r="G2544" s="8">
        <f t="shared" si="79"/>
        <v>7.2656250000000004E-3</v>
      </c>
    </row>
    <row r="2545" spans="1:7" x14ac:dyDescent="0.25">
      <c r="A2545" s="8">
        <v>33</v>
      </c>
      <c r="B2545" s="8">
        <v>34</v>
      </c>
      <c r="C2545" s="8">
        <v>861.61743200000001</v>
      </c>
      <c r="D2545" s="8">
        <v>88677.890625</v>
      </c>
      <c r="E2545" s="8">
        <v>88690.523438000004</v>
      </c>
      <c r="F2545" s="8">
        <f t="shared" si="78"/>
        <v>12.632813000003807</v>
      </c>
      <c r="G2545" s="8">
        <f t="shared" si="79"/>
        <v>1.2632813000003807E-2</v>
      </c>
    </row>
    <row r="2546" spans="1:7" x14ac:dyDescent="0.25">
      <c r="A2546" s="8">
        <v>33</v>
      </c>
      <c r="B2546" s="8">
        <v>35</v>
      </c>
      <c r="C2546" s="8">
        <v>6.35799</v>
      </c>
      <c r="D2546" s="8">
        <v>89553.117188000004</v>
      </c>
      <c r="E2546" s="8">
        <v>89572.40625</v>
      </c>
      <c r="F2546" s="8">
        <f t="shared" si="78"/>
        <v>19.289061999996193</v>
      </c>
      <c r="G2546" s="8">
        <f t="shared" si="79"/>
        <v>1.9289061999996193E-2</v>
      </c>
    </row>
    <row r="2547" spans="1:7" x14ac:dyDescent="0.25">
      <c r="A2547" s="8">
        <v>33</v>
      </c>
      <c r="B2547" s="8">
        <v>36</v>
      </c>
      <c r="C2547" s="8">
        <v>3094.1791990000002</v>
      </c>
      <c r="D2547" s="8">
        <v>89584.335938000004</v>
      </c>
      <c r="E2547" s="8">
        <v>89595.101563000004</v>
      </c>
      <c r="F2547" s="8">
        <f t="shared" si="78"/>
        <v>10.765625</v>
      </c>
      <c r="G2547" s="8">
        <f t="shared" si="79"/>
        <v>1.0765624999999999E-2</v>
      </c>
    </row>
    <row r="2548" spans="1:7" x14ac:dyDescent="0.25">
      <c r="A2548" s="8">
        <v>33</v>
      </c>
      <c r="B2548" s="8">
        <v>37</v>
      </c>
      <c r="C2548" s="8">
        <v>1727.768188</v>
      </c>
      <c r="D2548" s="8">
        <v>92700.929688000004</v>
      </c>
      <c r="E2548" s="8">
        <v>92719.851563000004</v>
      </c>
      <c r="F2548" s="8">
        <f t="shared" si="78"/>
        <v>18.921875</v>
      </c>
      <c r="G2548" s="8">
        <f t="shared" si="79"/>
        <v>1.8921875000000001E-2</v>
      </c>
    </row>
    <row r="2549" spans="1:7" x14ac:dyDescent="0.25">
      <c r="A2549" s="8">
        <v>33</v>
      </c>
      <c r="B2549" s="8">
        <v>38</v>
      </c>
      <c r="C2549" s="8">
        <v>335.32925399999999</v>
      </c>
      <c r="D2549" s="8">
        <v>94452.046875</v>
      </c>
      <c r="E2549" s="8">
        <v>94460.5625</v>
      </c>
      <c r="F2549" s="8">
        <f t="shared" si="78"/>
        <v>8.515625</v>
      </c>
      <c r="G2549" s="8">
        <f t="shared" si="79"/>
        <v>8.5156250000000006E-3</v>
      </c>
    </row>
    <row r="2550" spans="1:7" x14ac:dyDescent="0.25">
      <c r="A2550" s="8">
        <v>33</v>
      </c>
      <c r="B2550" s="8">
        <v>39</v>
      </c>
      <c r="C2550" s="8">
        <v>5584.5654299999997</v>
      </c>
      <c r="D2550" s="8">
        <v>94795.8125</v>
      </c>
      <c r="E2550" s="8">
        <v>94819.273438000004</v>
      </c>
      <c r="F2550" s="8">
        <f t="shared" si="78"/>
        <v>23.460938000003807</v>
      </c>
      <c r="G2550" s="8">
        <f t="shared" si="79"/>
        <v>2.3460938000003807E-2</v>
      </c>
    </row>
    <row r="2551" spans="1:7" x14ac:dyDescent="0.25">
      <c r="A2551" s="8">
        <v>33</v>
      </c>
      <c r="B2551" s="8">
        <v>40</v>
      </c>
      <c r="C2551" s="8">
        <v>1248.0523679999999</v>
      </c>
      <c r="D2551" s="8">
        <v>100417.046875</v>
      </c>
      <c r="E2551" s="8">
        <v>100425.445313</v>
      </c>
      <c r="F2551" s="8">
        <f t="shared" si="78"/>
        <v>8.3984380000038072</v>
      </c>
      <c r="G2551" s="8">
        <f t="shared" si="79"/>
        <v>8.3984380000038071E-3</v>
      </c>
    </row>
    <row r="2552" spans="1:7" x14ac:dyDescent="0.25">
      <c r="A2552" s="8">
        <v>33</v>
      </c>
      <c r="B2552" s="8">
        <v>41</v>
      </c>
      <c r="C2552" s="8">
        <v>1420.8326420000001</v>
      </c>
      <c r="D2552" s="8">
        <v>101682.476563</v>
      </c>
      <c r="E2552" s="8">
        <v>101699.007813</v>
      </c>
      <c r="F2552" s="8">
        <f t="shared" si="78"/>
        <v>16.53125</v>
      </c>
      <c r="G2552" s="8">
        <f t="shared" si="79"/>
        <v>1.6531250000000001E-2</v>
      </c>
    </row>
    <row r="2553" spans="1:7" x14ac:dyDescent="0.25">
      <c r="A2553" s="8">
        <v>33</v>
      </c>
      <c r="B2553" s="8">
        <v>42</v>
      </c>
      <c r="C2553" s="8">
        <v>558.93151899999998</v>
      </c>
      <c r="D2553" s="8">
        <v>103119.539063</v>
      </c>
      <c r="E2553" s="8">
        <v>103131.15625</v>
      </c>
      <c r="F2553" s="8">
        <f t="shared" si="78"/>
        <v>11.617186999996193</v>
      </c>
      <c r="G2553" s="8">
        <f t="shared" si="79"/>
        <v>1.1617186999996193E-2</v>
      </c>
    </row>
    <row r="2554" spans="1:7" x14ac:dyDescent="0.25">
      <c r="A2554" s="8">
        <v>33</v>
      </c>
      <c r="B2554" s="8">
        <v>43</v>
      </c>
      <c r="C2554" s="8">
        <v>2698.005615</v>
      </c>
      <c r="D2554" s="8">
        <v>103700.492188</v>
      </c>
      <c r="E2554" s="8">
        <v>103720.296875</v>
      </c>
      <c r="F2554" s="8">
        <f t="shared" si="78"/>
        <v>19.804686999996193</v>
      </c>
      <c r="G2554" s="8">
        <f t="shared" si="79"/>
        <v>1.9804686999996192E-2</v>
      </c>
    </row>
    <row r="2555" spans="1:7" x14ac:dyDescent="0.25">
      <c r="A2555" s="8">
        <v>33</v>
      </c>
      <c r="B2555" s="8">
        <v>44</v>
      </c>
      <c r="C2555" s="8">
        <v>2557.4658199999999</v>
      </c>
      <c r="D2555" s="8">
        <v>106422.273438</v>
      </c>
      <c r="E2555" s="8">
        <v>106429.5625</v>
      </c>
      <c r="F2555" s="8">
        <f t="shared" si="78"/>
        <v>7.2890619999961928</v>
      </c>
      <c r="G2555" s="8">
        <f t="shared" si="79"/>
        <v>7.2890619999961929E-3</v>
      </c>
    </row>
    <row r="2556" spans="1:7" x14ac:dyDescent="0.25">
      <c r="A2556" s="8">
        <v>33</v>
      </c>
      <c r="B2556" s="8">
        <v>45</v>
      </c>
      <c r="C2556" s="8">
        <v>276.300659</v>
      </c>
      <c r="D2556" s="8">
        <v>109001.210938</v>
      </c>
      <c r="E2556" s="8">
        <v>109022.085938</v>
      </c>
      <c r="F2556" s="8">
        <f t="shared" si="78"/>
        <v>20.875</v>
      </c>
      <c r="G2556" s="8">
        <f t="shared" si="79"/>
        <v>2.0875000000000001E-2</v>
      </c>
    </row>
    <row r="2557" spans="1:7" x14ac:dyDescent="0.25">
      <c r="A2557" s="8">
        <v>33</v>
      </c>
      <c r="B2557" s="8">
        <v>46</v>
      </c>
      <c r="C2557" s="8">
        <v>127.84451300000001</v>
      </c>
      <c r="D2557" s="8">
        <v>109313.757813</v>
      </c>
      <c r="E2557" s="8">
        <v>109338.046875</v>
      </c>
      <c r="F2557" s="8">
        <f t="shared" si="78"/>
        <v>24.289061999996193</v>
      </c>
      <c r="G2557" s="8">
        <f t="shared" si="79"/>
        <v>2.4289061999996194E-2</v>
      </c>
    </row>
    <row r="2558" spans="1:7" x14ac:dyDescent="0.25">
      <c r="A2558" s="8">
        <v>33</v>
      </c>
      <c r="B2558" s="8">
        <v>47</v>
      </c>
      <c r="C2558" s="8">
        <v>2247.3486330000001</v>
      </c>
      <c r="D2558" s="8">
        <v>109470.03125</v>
      </c>
      <c r="E2558" s="8">
        <v>109496.578125</v>
      </c>
      <c r="F2558" s="8">
        <f t="shared" si="78"/>
        <v>26.546875</v>
      </c>
      <c r="G2558" s="8">
        <f t="shared" si="79"/>
        <v>2.6546875000000001E-2</v>
      </c>
    </row>
    <row r="2559" spans="1:7" x14ac:dyDescent="0.25">
      <c r="A2559" s="8">
        <v>33</v>
      </c>
      <c r="B2559" s="8">
        <v>48</v>
      </c>
      <c r="C2559" s="8">
        <v>1264.9841309999999</v>
      </c>
      <c r="D2559" s="8">
        <v>111752.289063</v>
      </c>
      <c r="E2559" s="8">
        <v>111769.53125</v>
      </c>
      <c r="F2559" s="8">
        <f t="shared" si="78"/>
        <v>17.242186999996193</v>
      </c>
      <c r="G2559" s="8">
        <f t="shared" si="79"/>
        <v>1.7242186999996193E-2</v>
      </c>
    </row>
    <row r="2560" spans="1:7" x14ac:dyDescent="0.25">
      <c r="A2560" s="8">
        <v>33</v>
      </c>
      <c r="B2560" s="8">
        <v>49</v>
      </c>
      <c r="C2560" s="8">
        <v>179.71838399999999</v>
      </c>
      <c r="D2560" s="8">
        <v>113041.140625</v>
      </c>
      <c r="E2560" s="8">
        <v>113052.179688</v>
      </c>
      <c r="F2560" s="8">
        <f t="shared" si="78"/>
        <v>11.039063000003807</v>
      </c>
      <c r="G2560" s="8">
        <f t="shared" si="79"/>
        <v>1.1039063000003808E-2</v>
      </c>
    </row>
    <row r="2561" spans="1:7" x14ac:dyDescent="0.25">
      <c r="A2561" s="8">
        <v>33</v>
      </c>
      <c r="B2561" s="8">
        <v>50</v>
      </c>
      <c r="C2561" s="8">
        <v>97.046295000000001</v>
      </c>
      <c r="D2561" s="8">
        <v>113237.492188</v>
      </c>
      <c r="E2561" s="8">
        <v>113252.421875</v>
      </c>
      <c r="F2561" s="8">
        <f t="shared" si="78"/>
        <v>14.929686999996193</v>
      </c>
      <c r="G2561" s="8">
        <f t="shared" si="79"/>
        <v>1.4929686999996193E-2</v>
      </c>
    </row>
    <row r="2562" spans="1:7" x14ac:dyDescent="0.25">
      <c r="A2562" s="8">
        <v>33</v>
      </c>
      <c r="B2562" s="8">
        <v>51</v>
      </c>
      <c r="C2562" s="8">
        <v>3186.0043949999999</v>
      </c>
      <c r="D2562" s="8">
        <v>113362.492188</v>
      </c>
      <c r="E2562" s="8">
        <v>113441.726563</v>
      </c>
      <c r="F2562" s="8">
        <f t="shared" si="78"/>
        <v>79.234375</v>
      </c>
      <c r="G2562" s="8">
        <f t="shared" si="79"/>
        <v>7.9234374999999996E-2</v>
      </c>
    </row>
    <row r="2563" spans="1:7" x14ac:dyDescent="0.25">
      <c r="A2563" s="8">
        <v>33</v>
      </c>
      <c r="B2563" s="8">
        <v>52</v>
      </c>
      <c r="C2563" s="8">
        <v>5311.2871089999999</v>
      </c>
      <c r="D2563" s="8">
        <v>116630.132813</v>
      </c>
      <c r="E2563" s="8">
        <v>116680.703125</v>
      </c>
      <c r="F2563" s="8">
        <f t="shared" si="78"/>
        <v>50.570311999996193</v>
      </c>
      <c r="G2563" s="8">
        <f t="shared" si="79"/>
        <v>5.057031199999619E-2</v>
      </c>
    </row>
    <row r="2564" spans="1:7" x14ac:dyDescent="0.25">
      <c r="A2564" s="8">
        <v>33</v>
      </c>
      <c r="B2564" s="8">
        <v>53</v>
      </c>
      <c r="C2564" s="8">
        <v>86.821060000000003</v>
      </c>
      <c r="D2564" s="8">
        <v>122002.09375</v>
      </c>
      <c r="E2564" s="8">
        <v>122012.546875</v>
      </c>
      <c r="F2564" s="8">
        <f t="shared" si="78"/>
        <v>10.453125</v>
      </c>
      <c r="G2564" s="8">
        <f t="shared" si="79"/>
        <v>1.0453125000000001E-2</v>
      </c>
    </row>
    <row r="2565" spans="1:7" x14ac:dyDescent="0.25">
      <c r="A2565" s="8">
        <v>33</v>
      </c>
      <c r="B2565" s="8">
        <v>54</v>
      </c>
      <c r="C2565" s="8">
        <v>2434.7983399999998</v>
      </c>
      <c r="D2565" s="8">
        <v>122111.476563</v>
      </c>
      <c r="E2565" s="8">
        <v>122132.617188</v>
      </c>
      <c r="F2565" s="8">
        <f t="shared" si="78"/>
        <v>21.140625</v>
      </c>
      <c r="G2565" s="8">
        <f t="shared" si="79"/>
        <v>2.1140625E-2</v>
      </c>
    </row>
    <row r="2566" spans="1:7" x14ac:dyDescent="0.25">
      <c r="A2566" s="8">
        <v>33</v>
      </c>
      <c r="B2566" s="8">
        <v>55</v>
      </c>
      <c r="C2566" s="8">
        <v>1900.211914</v>
      </c>
      <c r="D2566" s="8">
        <v>124580.25</v>
      </c>
      <c r="E2566" s="8">
        <v>124591.34375</v>
      </c>
      <c r="F2566" s="8">
        <f t="shared" si="78"/>
        <v>11.09375</v>
      </c>
      <c r="G2566" s="8">
        <f t="shared" si="79"/>
        <v>1.1093749999999999E-2</v>
      </c>
    </row>
    <row r="2567" spans="1:7" x14ac:dyDescent="0.25">
      <c r="A2567" s="8">
        <v>33</v>
      </c>
      <c r="B2567" s="8">
        <v>56</v>
      </c>
      <c r="C2567" s="8">
        <v>50.374302</v>
      </c>
      <c r="D2567" s="8">
        <v>126502.84375</v>
      </c>
      <c r="E2567" s="8">
        <v>126519.867188</v>
      </c>
      <c r="F2567" s="8">
        <f t="shared" si="78"/>
        <v>17.023438000003807</v>
      </c>
      <c r="G2567" s="8">
        <f t="shared" si="79"/>
        <v>1.7023438000003808E-2</v>
      </c>
    </row>
    <row r="2568" spans="1:7" x14ac:dyDescent="0.25">
      <c r="A2568" s="8">
        <v>33</v>
      </c>
      <c r="B2568" s="8">
        <v>57</v>
      </c>
      <c r="C2568" s="8">
        <v>1052.4255370000001</v>
      </c>
      <c r="D2568" s="8">
        <v>126581.007813</v>
      </c>
      <c r="E2568" s="8">
        <v>126588.640625</v>
      </c>
      <c r="F2568" s="8">
        <f t="shared" si="78"/>
        <v>7.6328119999961928</v>
      </c>
      <c r="G2568" s="8">
        <f t="shared" si="79"/>
        <v>7.6328119999961924E-3</v>
      </c>
    </row>
    <row r="2569" spans="1:7" x14ac:dyDescent="0.25">
      <c r="A2569" s="8">
        <v>33</v>
      </c>
      <c r="B2569" s="8">
        <v>58</v>
      </c>
      <c r="C2569" s="8">
        <v>3085.8811040000001</v>
      </c>
      <c r="D2569" s="8">
        <v>127643.585938</v>
      </c>
      <c r="E2569" s="8">
        <v>127650.984375</v>
      </c>
      <c r="F2569" s="8">
        <f t="shared" si="78"/>
        <v>7.3984369999961928</v>
      </c>
      <c r="G2569" s="8">
        <f t="shared" si="79"/>
        <v>7.398436999996193E-3</v>
      </c>
    </row>
    <row r="2570" spans="1:7" x14ac:dyDescent="0.25">
      <c r="A2570" s="8">
        <v>33</v>
      </c>
      <c r="B2570" s="8">
        <v>59</v>
      </c>
      <c r="C2570" s="8">
        <v>1034.3260499999999</v>
      </c>
      <c r="D2570" s="8">
        <v>130739.117188</v>
      </c>
      <c r="E2570" s="8">
        <v>130765.109375</v>
      </c>
      <c r="F2570" s="8">
        <f t="shared" si="78"/>
        <v>25.992186999996193</v>
      </c>
      <c r="G2570" s="8">
        <f t="shared" si="79"/>
        <v>2.5992186999996194E-2</v>
      </c>
    </row>
    <row r="2571" spans="1:7" x14ac:dyDescent="0.25">
      <c r="A2571" s="8">
        <v>33</v>
      </c>
      <c r="B2571" s="8">
        <v>60</v>
      </c>
      <c r="C2571" s="8">
        <v>3117.5407709999999</v>
      </c>
      <c r="D2571" s="8">
        <v>131811.390625</v>
      </c>
      <c r="E2571" s="8">
        <v>131832.90625</v>
      </c>
      <c r="F2571" s="8">
        <f t="shared" ref="F2571:F2634" si="80">E2571-D2571</f>
        <v>21.515625</v>
      </c>
      <c r="G2571" s="8">
        <f t="shared" ref="G2571:G2634" si="81">F2571/1000</f>
        <v>2.1515625E-2</v>
      </c>
    </row>
    <row r="2572" spans="1:7" x14ac:dyDescent="0.25">
      <c r="A2572" s="8">
        <v>33</v>
      </c>
      <c r="B2572" s="8">
        <v>61</v>
      </c>
      <c r="C2572" s="8">
        <v>6547.0087890000004</v>
      </c>
      <c r="D2572" s="8">
        <v>134959.140625</v>
      </c>
      <c r="E2572" s="8">
        <v>134967.640625</v>
      </c>
      <c r="F2572" s="8">
        <f t="shared" si="80"/>
        <v>8.5</v>
      </c>
      <c r="G2572" s="8">
        <f t="shared" si="81"/>
        <v>8.5000000000000006E-3</v>
      </c>
    </row>
    <row r="2573" spans="1:7" x14ac:dyDescent="0.25">
      <c r="A2573" s="8">
        <v>33</v>
      </c>
      <c r="B2573" s="8">
        <v>62</v>
      </c>
      <c r="C2573" s="8">
        <v>3414.7521969999998</v>
      </c>
      <c r="D2573" s="8">
        <v>141516.78125</v>
      </c>
      <c r="E2573" s="8">
        <v>141535.59375</v>
      </c>
      <c r="F2573" s="8">
        <f t="shared" si="80"/>
        <v>18.8125</v>
      </c>
      <c r="G2573" s="8">
        <f t="shared" si="81"/>
        <v>1.8812499999999999E-2</v>
      </c>
    </row>
    <row r="2574" spans="1:7" x14ac:dyDescent="0.25">
      <c r="A2574" s="8">
        <v>33</v>
      </c>
      <c r="B2574" s="8">
        <v>63</v>
      </c>
      <c r="C2574" s="8">
        <v>1534.0173339999999</v>
      </c>
      <c r="D2574" s="8">
        <v>144957.203125</v>
      </c>
      <c r="E2574" s="8">
        <v>144969.921875</v>
      </c>
      <c r="F2574" s="8">
        <f t="shared" si="80"/>
        <v>12.71875</v>
      </c>
      <c r="G2574" s="8">
        <f t="shared" si="81"/>
        <v>1.2718749999999999E-2</v>
      </c>
    </row>
    <row r="2575" spans="1:7" x14ac:dyDescent="0.25">
      <c r="A2575" s="8">
        <v>33</v>
      </c>
      <c r="B2575" s="8">
        <v>64</v>
      </c>
      <c r="C2575" s="8">
        <v>3208.9514159999999</v>
      </c>
      <c r="D2575" s="8">
        <v>146505.984375</v>
      </c>
      <c r="E2575" s="8">
        <v>146520.5</v>
      </c>
      <c r="F2575" s="8">
        <f t="shared" si="80"/>
        <v>14.515625</v>
      </c>
      <c r="G2575" s="8">
        <f t="shared" si="81"/>
        <v>1.4515625000000001E-2</v>
      </c>
    </row>
    <row r="2576" spans="1:7" x14ac:dyDescent="0.25">
      <c r="A2576" s="8">
        <v>33</v>
      </c>
      <c r="B2576" s="8">
        <v>65</v>
      </c>
      <c r="C2576" s="8">
        <v>1174.57251</v>
      </c>
      <c r="D2576" s="8">
        <v>149732.984375</v>
      </c>
      <c r="E2576" s="8">
        <v>149742.5625</v>
      </c>
      <c r="F2576" s="8">
        <f t="shared" si="80"/>
        <v>9.578125</v>
      </c>
      <c r="G2576" s="8">
        <f t="shared" si="81"/>
        <v>9.5781249999999998E-3</v>
      </c>
    </row>
    <row r="2577" spans="1:7" x14ac:dyDescent="0.25">
      <c r="A2577" s="8">
        <v>33</v>
      </c>
      <c r="B2577" s="8">
        <v>66</v>
      </c>
      <c r="C2577" s="8">
        <v>2204.623779</v>
      </c>
      <c r="D2577" s="8">
        <v>150920.78125</v>
      </c>
      <c r="E2577" s="8">
        <v>150934.109375</v>
      </c>
      <c r="F2577" s="8">
        <f t="shared" si="80"/>
        <v>13.328125</v>
      </c>
      <c r="G2577" s="8">
        <f t="shared" si="81"/>
        <v>1.3328125E-2</v>
      </c>
    </row>
    <row r="2578" spans="1:7" x14ac:dyDescent="0.25">
      <c r="A2578" s="8">
        <v>33</v>
      </c>
      <c r="B2578" s="8">
        <v>67</v>
      </c>
      <c r="C2578" s="8">
        <v>1950.722168</v>
      </c>
      <c r="D2578" s="8">
        <v>153140.78125</v>
      </c>
      <c r="E2578" s="8">
        <v>153153.234375</v>
      </c>
      <c r="F2578" s="8">
        <f t="shared" si="80"/>
        <v>12.453125</v>
      </c>
      <c r="G2578" s="8">
        <f t="shared" si="81"/>
        <v>1.2453125000000001E-2</v>
      </c>
    </row>
    <row r="2579" spans="1:7" x14ac:dyDescent="0.25">
      <c r="A2579" s="8">
        <v>33</v>
      </c>
      <c r="B2579" s="8">
        <v>68</v>
      </c>
      <c r="C2579" s="8">
        <v>139.26350400000001</v>
      </c>
      <c r="D2579" s="8">
        <v>155109.6875</v>
      </c>
      <c r="E2579" s="8">
        <v>155118.09375</v>
      </c>
      <c r="F2579" s="8">
        <f t="shared" si="80"/>
        <v>8.40625</v>
      </c>
      <c r="G2579" s="8">
        <f t="shared" si="81"/>
        <v>8.4062500000000005E-3</v>
      </c>
    </row>
    <row r="2580" spans="1:7" x14ac:dyDescent="0.25">
      <c r="A2580" s="8">
        <v>33</v>
      </c>
      <c r="B2580" s="8">
        <v>69</v>
      </c>
      <c r="C2580" s="8">
        <v>2709.564453</v>
      </c>
      <c r="D2580" s="8">
        <v>155265.953125</v>
      </c>
      <c r="E2580" s="8">
        <v>155276.65625</v>
      </c>
      <c r="F2580" s="8">
        <f t="shared" si="80"/>
        <v>10.703125</v>
      </c>
      <c r="G2580" s="8">
        <f t="shared" si="81"/>
        <v>1.0703125000000001E-2</v>
      </c>
    </row>
    <row r="2581" spans="1:7" x14ac:dyDescent="0.25">
      <c r="A2581" s="8">
        <v>33</v>
      </c>
      <c r="B2581" s="8">
        <v>70</v>
      </c>
      <c r="C2581" s="8">
        <v>977.20519999999999</v>
      </c>
      <c r="D2581" s="8">
        <v>158000.640625</v>
      </c>
      <c r="E2581" s="8">
        <v>158010.34375</v>
      </c>
      <c r="F2581" s="8">
        <f t="shared" si="80"/>
        <v>9.703125</v>
      </c>
      <c r="G2581" s="8">
        <f t="shared" si="81"/>
        <v>9.7031249999999999E-3</v>
      </c>
    </row>
    <row r="2582" spans="1:7" x14ac:dyDescent="0.25">
      <c r="A2582" s="8">
        <v>33</v>
      </c>
      <c r="B2582" s="8">
        <v>71</v>
      </c>
      <c r="C2582" s="8">
        <v>4096.8051759999998</v>
      </c>
      <c r="D2582" s="8">
        <v>159001.75</v>
      </c>
      <c r="E2582" s="8">
        <v>159012.84375</v>
      </c>
      <c r="F2582" s="8">
        <f t="shared" si="80"/>
        <v>11.09375</v>
      </c>
      <c r="G2582" s="8">
        <f t="shared" si="81"/>
        <v>1.1093749999999999E-2</v>
      </c>
    </row>
    <row r="2583" spans="1:7" x14ac:dyDescent="0.25">
      <c r="A2583" s="8">
        <v>33</v>
      </c>
      <c r="B2583" s="8">
        <v>72</v>
      </c>
      <c r="C2583" s="8">
        <v>989.58050500000002</v>
      </c>
      <c r="D2583" s="8">
        <v>163112.125</v>
      </c>
      <c r="E2583" s="8">
        <v>163236.5625</v>
      </c>
      <c r="F2583" s="8">
        <f t="shared" si="80"/>
        <v>124.4375</v>
      </c>
      <c r="G2583" s="8">
        <f t="shared" si="81"/>
        <v>0.12443750000000001</v>
      </c>
    </row>
    <row r="2584" spans="1:7" x14ac:dyDescent="0.25">
      <c r="A2584" s="8">
        <v>33</v>
      </c>
      <c r="B2584" s="8">
        <v>73</v>
      </c>
      <c r="C2584" s="8">
        <v>2641.1936040000001</v>
      </c>
      <c r="D2584" s="8">
        <v>164237.28125</v>
      </c>
      <c r="E2584" s="8">
        <v>164246.859375</v>
      </c>
      <c r="F2584" s="8">
        <f t="shared" si="80"/>
        <v>9.578125</v>
      </c>
      <c r="G2584" s="8">
        <f t="shared" si="81"/>
        <v>9.5781249999999998E-3</v>
      </c>
    </row>
    <row r="2585" spans="1:7" x14ac:dyDescent="0.25">
      <c r="A2585" s="8">
        <v>33</v>
      </c>
      <c r="B2585" s="8">
        <v>74</v>
      </c>
      <c r="C2585" s="8">
        <v>95.701279</v>
      </c>
      <c r="D2585" s="8">
        <v>166895.78125</v>
      </c>
      <c r="E2585" s="8">
        <v>166923.875</v>
      </c>
      <c r="F2585" s="8">
        <f t="shared" si="80"/>
        <v>28.09375</v>
      </c>
      <c r="G2585" s="8">
        <f t="shared" si="81"/>
        <v>2.8093750000000001E-2</v>
      </c>
    </row>
    <row r="2586" spans="1:7" x14ac:dyDescent="0.25">
      <c r="A2586" s="8">
        <v>33</v>
      </c>
      <c r="B2586" s="8">
        <v>75</v>
      </c>
      <c r="C2586" s="8">
        <v>1194.10437</v>
      </c>
      <c r="D2586" s="8">
        <v>167020.796875</v>
      </c>
      <c r="E2586" s="8">
        <v>167041.25</v>
      </c>
      <c r="F2586" s="8">
        <f t="shared" si="80"/>
        <v>20.453125</v>
      </c>
      <c r="G2586" s="8">
        <f t="shared" si="81"/>
        <v>2.0453124999999999E-2</v>
      </c>
    </row>
    <row r="2587" spans="1:7" x14ac:dyDescent="0.25">
      <c r="A2587" s="8">
        <v>33</v>
      </c>
      <c r="B2587" s="8">
        <v>76</v>
      </c>
      <c r="C2587" s="8">
        <v>1834.841187</v>
      </c>
      <c r="D2587" s="8">
        <v>168244.8125</v>
      </c>
      <c r="E2587" s="8">
        <v>168280.21875</v>
      </c>
      <c r="F2587" s="8">
        <f t="shared" si="80"/>
        <v>35.40625</v>
      </c>
      <c r="G2587" s="8">
        <f t="shared" si="81"/>
        <v>3.540625E-2</v>
      </c>
    </row>
    <row r="2588" spans="1:7" x14ac:dyDescent="0.25">
      <c r="A2588" s="8">
        <v>34</v>
      </c>
      <c r="B2588" s="8">
        <v>0</v>
      </c>
      <c r="C2588" s="8">
        <v>3090.455078</v>
      </c>
      <c r="D2588" s="8">
        <v>20766.175781000002</v>
      </c>
      <c r="E2588" s="8">
        <v>20790.835938</v>
      </c>
      <c r="F2588" s="8">
        <f t="shared" si="80"/>
        <v>24.660156999998435</v>
      </c>
      <c r="G2588" s="8">
        <f t="shared" si="81"/>
        <v>2.4660156999998434E-2</v>
      </c>
    </row>
    <row r="2589" spans="1:7" x14ac:dyDescent="0.25">
      <c r="A2589" s="8">
        <v>34</v>
      </c>
      <c r="B2589" s="8">
        <v>1</v>
      </c>
      <c r="C2589" s="8">
        <v>3694.64624</v>
      </c>
      <c r="D2589" s="8">
        <v>23881.076172000001</v>
      </c>
      <c r="E2589" s="8">
        <v>23894.484375</v>
      </c>
      <c r="F2589" s="8">
        <f t="shared" si="80"/>
        <v>13.408202999999048</v>
      </c>
      <c r="G2589" s="8">
        <f t="shared" si="81"/>
        <v>1.3408202999999048E-2</v>
      </c>
    </row>
    <row r="2590" spans="1:7" x14ac:dyDescent="0.25">
      <c r="A2590" s="8">
        <v>34</v>
      </c>
      <c r="B2590" s="8">
        <v>2</v>
      </c>
      <c r="C2590" s="8">
        <v>985.580017</v>
      </c>
      <c r="D2590" s="8">
        <v>27603.421875</v>
      </c>
      <c r="E2590" s="8">
        <v>27618.158202999999</v>
      </c>
      <c r="F2590" s="8">
        <f t="shared" si="80"/>
        <v>14.736327999999048</v>
      </c>
      <c r="G2590" s="8">
        <f t="shared" si="81"/>
        <v>1.4736327999999048E-2</v>
      </c>
    </row>
    <row r="2591" spans="1:7" x14ac:dyDescent="0.25">
      <c r="A2591" s="8">
        <v>34</v>
      </c>
      <c r="B2591" s="8">
        <v>3</v>
      </c>
      <c r="C2591" s="8">
        <v>481.74163800000002</v>
      </c>
      <c r="D2591" s="8">
        <v>28605.769531000002</v>
      </c>
      <c r="E2591" s="8">
        <v>28629.369140999999</v>
      </c>
      <c r="F2591" s="8">
        <f t="shared" si="80"/>
        <v>23.599609999997483</v>
      </c>
      <c r="G2591" s="8">
        <f t="shared" si="81"/>
        <v>2.3599609999997485E-2</v>
      </c>
    </row>
    <row r="2592" spans="1:7" x14ac:dyDescent="0.25">
      <c r="A2592" s="8">
        <v>34</v>
      </c>
      <c r="B2592" s="8">
        <v>4</v>
      </c>
      <c r="C2592" s="8">
        <v>51.563904000000001</v>
      </c>
      <c r="D2592" s="8">
        <v>29121.488281000002</v>
      </c>
      <c r="E2592" s="8">
        <v>29146.398438</v>
      </c>
      <c r="F2592" s="8">
        <f t="shared" si="80"/>
        <v>24.910156999998435</v>
      </c>
      <c r="G2592" s="8">
        <f t="shared" si="81"/>
        <v>2.4910156999998434E-2</v>
      </c>
    </row>
    <row r="2593" spans="1:7" x14ac:dyDescent="0.25">
      <c r="A2593" s="8">
        <v>34</v>
      </c>
      <c r="B2593" s="8">
        <v>5</v>
      </c>
      <c r="C2593" s="8">
        <v>410.94039900000001</v>
      </c>
      <c r="D2593" s="8">
        <v>29199.615234000001</v>
      </c>
      <c r="E2593" s="8">
        <v>29213.414063</v>
      </c>
      <c r="F2593" s="8">
        <f t="shared" si="80"/>
        <v>13.798828999999387</v>
      </c>
      <c r="G2593" s="8">
        <f t="shared" si="81"/>
        <v>1.3798828999999386E-2</v>
      </c>
    </row>
    <row r="2594" spans="1:7" x14ac:dyDescent="0.25">
      <c r="A2594" s="8">
        <v>34</v>
      </c>
      <c r="B2594" s="8">
        <v>6</v>
      </c>
      <c r="C2594" s="8">
        <v>124.658783</v>
      </c>
      <c r="D2594" s="8">
        <v>29637.144531000002</v>
      </c>
      <c r="E2594" s="8">
        <v>29656.832031000002</v>
      </c>
      <c r="F2594" s="8">
        <f t="shared" si="80"/>
        <v>19.6875</v>
      </c>
      <c r="G2594" s="8">
        <f t="shared" si="81"/>
        <v>1.96875E-2</v>
      </c>
    </row>
    <row r="2595" spans="1:7" x14ac:dyDescent="0.25">
      <c r="A2595" s="8">
        <v>34</v>
      </c>
      <c r="B2595" s="8">
        <v>7</v>
      </c>
      <c r="C2595" s="8">
        <v>1204.4438479999999</v>
      </c>
      <c r="D2595" s="8">
        <v>29793.427734000001</v>
      </c>
      <c r="E2595" s="8">
        <v>29804.765625</v>
      </c>
      <c r="F2595" s="8">
        <f t="shared" si="80"/>
        <v>11.337890999999217</v>
      </c>
      <c r="G2595" s="8">
        <f t="shared" si="81"/>
        <v>1.1337890999999217E-2</v>
      </c>
    </row>
    <row r="2596" spans="1:7" x14ac:dyDescent="0.25">
      <c r="A2596" s="8">
        <v>34</v>
      </c>
      <c r="B2596" s="8">
        <v>8</v>
      </c>
      <c r="C2596" s="8">
        <v>1311.59375</v>
      </c>
      <c r="D2596" s="8">
        <v>31019.101563</v>
      </c>
      <c r="E2596" s="8">
        <v>31026.994140999999</v>
      </c>
      <c r="F2596" s="8">
        <f t="shared" si="80"/>
        <v>7.8925779999990482</v>
      </c>
      <c r="G2596" s="8">
        <f t="shared" si="81"/>
        <v>7.8925779999990484E-3</v>
      </c>
    </row>
    <row r="2597" spans="1:7" x14ac:dyDescent="0.25">
      <c r="A2597" s="8">
        <v>34</v>
      </c>
      <c r="B2597" s="8">
        <v>9</v>
      </c>
      <c r="C2597" s="8">
        <v>1486.610962</v>
      </c>
      <c r="D2597" s="8">
        <v>32348.191406000002</v>
      </c>
      <c r="E2597" s="8">
        <v>32365.800781000002</v>
      </c>
      <c r="F2597" s="8">
        <f t="shared" si="80"/>
        <v>17.609375</v>
      </c>
      <c r="G2597" s="8">
        <f t="shared" si="81"/>
        <v>1.7609375E-2</v>
      </c>
    </row>
    <row r="2598" spans="1:7" x14ac:dyDescent="0.25">
      <c r="A2598" s="8">
        <v>34</v>
      </c>
      <c r="B2598" s="8">
        <v>10</v>
      </c>
      <c r="C2598" s="8">
        <v>652.371399</v>
      </c>
      <c r="D2598" s="8">
        <v>33853.21875</v>
      </c>
      <c r="E2598" s="8">
        <v>33879.195312999997</v>
      </c>
      <c r="F2598" s="8">
        <f t="shared" si="80"/>
        <v>25.976562999996531</v>
      </c>
      <c r="G2598" s="8">
        <f t="shared" si="81"/>
        <v>2.5976562999996532E-2</v>
      </c>
    </row>
    <row r="2599" spans="1:7" x14ac:dyDescent="0.25">
      <c r="A2599" s="8">
        <v>34</v>
      </c>
      <c r="B2599" s="8">
        <v>11</v>
      </c>
      <c r="C2599" s="8">
        <v>98.200005000000004</v>
      </c>
      <c r="D2599" s="8">
        <v>34545.675780999998</v>
      </c>
      <c r="E2599" s="8">
        <v>34553.460937999997</v>
      </c>
      <c r="F2599" s="8">
        <f t="shared" si="80"/>
        <v>7.7851569999984349</v>
      </c>
      <c r="G2599" s="8">
        <f t="shared" si="81"/>
        <v>7.7851569999984353E-3</v>
      </c>
    </row>
    <row r="2600" spans="1:7" x14ac:dyDescent="0.25">
      <c r="A2600" s="8">
        <v>34</v>
      </c>
      <c r="B2600" s="8">
        <v>12</v>
      </c>
      <c r="C2600" s="8">
        <v>195.87647999999999</v>
      </c>
      <c r="D2600" s="8">
        <v>34654.953125</v>
      </c>
      <c r="E2600" s="8">
        <v>34669.332030999998</v>
      </c>
      <c r="F2600" s="8">
        <f t="shared" si="80"/>
        <v>14.378905999998096</v>
      </c>
      <c r="G2600" s="8">
        <f t="shared" si="81"/>
        <v>1.4378905999998096E-2</v>
      </c>
    </row>
    <row r="2601" spans="1:7" x14ac:dyDescent="0.25">
      <c r="A2601" s="8">
        <v>34</v>
      </c>
      <c r="B2601" s="8">
        <v>13</v>
      </c>
      <c r="C2601" s="8">
        <v>105.393013</v>
      </c>
      <c r="D2601" s="8">
        <v>34873.796875</v>
      </c>
      <c r="E2601" s="8">
        <v>34891.980469000002</v>
      </c>
      <c r="F2601" s="8">
        <f t="shared" si="80"/>
        <v>18.183594000001904</v>
      </c>
      <c r="G2601" s="8">
        <f t="shared" si="81"/>
        <v>1.8183594000001902E-2</v>
      </c>
    </row>
    <row r="2602" spans="1:7" x14ac:dyDescent="0.25">
      <c r="A2602" s="8">
        <v>34</v>
      </c>
      <c r="B2602" s="8">
        <v>14</v>
      </c>
      <c r="C2602" s="8">
        <v>5165.5551759999998</v>
      </c>
      <c r="D2602" s="8">
        <v>34998.839844000002</v>
      </c>
      <c r="E2602" s="8">
        <v>35010.8125</v>
      </c>
      <c r="F2602" s="8">
        <f t="shared" si="80"/>
        <v>11.972655999998096</v>
      </c>
      <c r="G2602" s="8">
        <f t="shared" si="81"/>
        <v>1.1972655999998097E-2</v>
      </c>
    </row>
    <row r="2603" spans="1:7" x14ac:dyDescent="0.25">
      <c r="A2603" s="8">
        <v>34</v>
      </c>
      <c r="B2603" s="8">
        <v>15</v>
      </c>
      <c r="C2603" s="8">
        <v>1286.1201169999999</v>
      </c>
      <c r="D2603" s="8">
        <v>40183.664062999997</v>
      </c>
      <c r="E2603" s="8">
        <v>40209.8125</v>
      </c>
      <c r="F2603" s="8">
        <f t="shared" si="80"/>
        <v>26.148437000003469</v>
      </c>
      <c r="G2603" s="8">
        <f t="shared" si="81"/>
        <v>2.614843700000347E-2</v>
      </c>
    </row>
    <row r="2604" spans="1:7" x14ac:dyDescent="0.25">
      <c r="A2604" s="8">
        <v>34</v>
      </c>
      <c r="B2604" s="8">
        <v>16</v>
      </c>
      <c r="C2604" s="8">
        <v>1761.0584719999999</v>
      </c>
      <c r="D2604" s="8">
        <v>41496.960937999997</v>
      </c>
      <c r="E2604" s="8">
        <v>41508.28125</v>
      </c>
      <c r="F2604" s="8">
        <f t="shared" si="80"/>
        <v>11.320312000003469</v>
      </c>
      <c r="G2604" s="8">
        <f t="shared" si="81"/>
        <v>1.1320312000003468E-2</v>
      </c>
    </row>
    <row r="2605" spans="1:7" x14ac:dyDescent="0.25">
      <c r="A2605" s="8">
        <v>34</v>
      </c>
      <c r="B2605" s="8">
        <v>17</v>
      </c>
      <c r="C2605" s="8">
        <v>2189.609375</v>
      </c>
      <c r="D2605" s="8">
        <v>43271.671875</v>
      </c>
      <c r="E2605" s="8">
        <v>43292.527344000002</v>
      </c>
      <c r="F2605" s="8">
        <f t="shared" si="80"/>
        <v>20.855469000001904</v>
      </c>
      <c r="G2605" s="8">
        <f t="shared" si="81"/>
        <v>2.0855469000001903E-2</v>
      </c>
    </row>
    <row r="2606" spans="1:7" x14ac:dyDescent="0.25">
      <c r="A2606" s="8">
        <v>34</v>
      </c>
      <c r="B2606" s="8">
        <v>18</v>
      </c>
      <c r="C2606" s="8">
        <v>1823.720337</v>
      </c>
      <c r="D2606" s="8">
        <v>45490.691405999998</v>
      </c>
      <c r="E2606" s="8">
        <v>45502.613280999998</v>
      </c>
      <c r="F2606" s="8">
        <f t="shared" si="80"/>
        <v>11.921875</v>
      </c>
      <c r="G2606" s="8">
        <f t="shared" si="81"/>
        <v>1.1921875E-2</v>
      </c>
    </row>
    <row r="2607" spans="1:7" x14ac:dyDescent="0.25">
      <c r="A2607" s="8">
        <v>34</v>
      </c>
      <c r="B2607" s="8">
        <v>19</v>
      </c>
      <c r="C2607" s="8">
        <v>1569.5550539999999</v>
      </c>
      <c r="D2607" s="8">
        <v>47329.105469000002</v>
      </c>
      <c r="E2607" s="8">
        <v>47340.972655999998</v>
      </c>
      <c r="F2607" s="8">
        <f t="shared" si="80"/>
        <v>11.867186999996193</v>
      </c>
      <c r="G2607" s="8">
        <f t="shared" si="81"/>
        <v>1.1867186999996194E-2</v>
      </c>
    </row>
    <row r="2608" spans="1:7" x14ac:dyDescent="0.25">
      <c r="A2608" s="8">
        <v>34</v>
      </c>
      <c r="B2608" s="8">
        <v>20</v>
      </c>
      <c r="C2608" s="8">
        <v>416.94613600000002</v>
      </c>
      <c r="D2608" s="8">
        <v>48918.457030999998</v>
      </c>
      <c r="E2608" s="8">
        <v>48933.558594000002</v>
      </c>
      <c r="F2608" s="8">
        <f t="shared" si="80"/>
        <v>15.101563000003807</v>
      </c>
      <c r="G2608" s="8">
        <f t="shared" si="81"/>
        <v>1.5101563000003808E-2</v>
      </c>
    </row>
    <row r="2609" spans="1:7" x14ac:dyDescent="0.25">
      <c r="A2609" s="8">
        <v>34</v>
      </c>
      <c r="B2609" s="8">
        <v>21</v>
      </c>
      <c r="C2609" s="8">
        <v>376.458099</v>
      </c>
      <c r="D2609" s="8">
        <v>49358.03125</v>
      </c>
      <c r="E2609" s="8">
        <v>49365.621094000002</v>
      </c>
      <c r="F2609" s="8">
        <f t="shared" si="80"/>
        <v>7.5898440000019036</v>
      </c>
      <c r="G2609" s="8">
        <f t="shared" si="81"/>
        <v>7.589844000001904E-3</v>
      </c>
    </row>
    <row r="2610" spans="1:7" x14ac:dyDescent="0.25">
      <c r="A2610" s="8">
        <v>34</v>
      </c>
      <c r="B2610" s="8">
        <v>22</v>
      </c>
      <c r="C2610" s="8">
        <v>4451.1557620000003</v>
      </c>
      <c r="D2610" s="8">
        <v>49748.644530999998</v>
      </c>
      <c r="E2610" s="8">
        <v>49766.8125</v>
      </c>
      <c r="F2610" s="8">
        <f t="shared" si="80"/>
        <v>18.167969000001904</v>
      </c>
      <c r="G2610" s="8">
        <f t="shared" si="81"/>
        <v>1.8167969000001904E-2</v>
      </c>
    </row>
    <row r="2611" spans="1:7" x14ac:dyDescent="0.25">
      <c r="A2611" s="8">
        <v>34</v>
      </c>
      <c r="B2611" s="8">
        <v>23</v>
      </c>
      <c r="C2611" s="8">
        <v>6328.8876950000003</v>
      </c>
      <c r="D2611" s="8">
        <v>54221.96875</v>
      </c>
      <c r="E2611" s="8">
        <v>54236.296875</v>
      </c>
      <c r="F2611" s="8">
        <f t="shared" si="80"/>
        <v>14.328125</v>
      </c>
      <c r="G2611" s="8">
        <f t="shared" si="81"/>
        <v>1.4328125000000001E-2</v>
      </c>
    </row>
    <row r="2612" spans="1:7" x14ac:dyDescent="0.25">
      <c r="A2612" s="8">
        <v>34</v>
      </c>
      <c r="B2612" s="8">
        <v>24</v>
      </c>
      <c r="C2612" s="8">
        <v>3980.4907229999999</v>
      </c>
      <c r="D2612" s="8">
        <v>60575.691405999998</v>
      </c>
      <c r="E2612" s="8">
        <v>60600.742187999997</v>
      </c>
      <c r="F2612" s="8">
        <f t="shared" si="80"/>
        <v>25.050781999998435</v>
      </c>
      <c r="G2612" s="8">
        <f t="shared" si="81"/>
        <v>2.5050781999998436E-2</v>
      </c>
    </row>
    <row r="2613" spans="1:7" x14ac:dyDescent="0.25">
      <c r="A2613" s="8">
        <v>34</v>
      </c>
      <c r="B2613" s="8">
        <v>25</v>
      </c>
      <c r="C2613" s="8">
        <v>8694.8867190000001</v>
      </c>
      <c r="D2613" s="8">
        <v>64590.289062999997</v>
      </c>
      <c r="E2613" s="8">
        <v>64603.542969000002</v>
      </c>
      <c r="F2613" s="8">
        <f t="shared" si="80"/>
        <v>13.253906000005372</v>
      </c>
      <c r="G2613" s="8">
        <f t="shared" si="81"/>
        <v>1.3253906000005372E-2</v>
      </c>
    </row>
    <row r="2614" spans="1:7" x14ac:dyDescent="0.25">
      <c r="A2614" s="8">
        <v>34</v>
      </c>
      <c r="B2614" s="8">
        <v>26</v>
      </c>
      <c r="C2614" s="8">
        <v>319.799194</v>
      </c>
      <c r="D2614" s="8">
        <v>73310.632813000004</v>
      </c>
      <c r="E2614" s="8">
        <v>73356.429688000004</v>
      </c>
      <c r="F2614" s="8">
        <f t="shared" si="80"/>
        <v>45.796875</v>
      </c>
      <c r="G2614" s="8">
        <f t="shared" si="81"/>
        <v>4.5796875000000001E-2</v>
      </c>
    </row>
    <row r="2615" spans="1:7" x14ac:dyDescent="0.25">
      <c r="A2615" s="8">
        <v>34</v>
      </c>
      <c r="B2615" s="8">
        <v>27</v>
      </c>
      <c r="C2615" s="8">
        <v>1055.7341309999999</v>
      </c>
      <c r="D2615" s="8">
        <v>73685.5625</v>
      </c>
      <c r="E2615" s="8">
        <v>73696.617188000004</v>
      </c>
      <c r="F2615" s="8">
        <f t="shared" si="80"/>
        <v>11.054688000003807</v>
      </c>
      <c r="G2615" s="8">
        <f t="shared" si="81"/>
        <v>1.1054688000003808E-2</v>
      </c>
    </row>
    <row r="2616" spans="1:7" x14ac:dyDescent="0.25">
      <c r="A2616" s="8">
        <v>34</v>
      </c>
      <c r="B2616" s="8">
        <v>28</v>
      </c>
      <c r="C2616" s="8">
        <v>4053.7224120000001</v>
      </c>
      <c r="D2616" s="8">
        <v>74758.1875</v>
      </c>
      <c r="E2616" s="8">
        <v>74773.867188000004</v>
      </c>
      <c r="F2616" s="8">
        <f t="shared" si="80"/>
        <v>15.679688000003807</v>
      </c>
      <c r="G2616" s="8">
        <f t="shared" si="81"/>
        <v>1.5679688000003807E-2</v>
      </c>
    </row>
    <row r="2617" spans="1:7" x14ac:dyDescent="0.25">
      <c r="A2617" s="8">
        <v>34</v>
      </c>
      <c r="B2617" s="8">
        <v>29</v>
      </c>
      <c r="C2617" s="8">
        <v>3444.5935060000002</v>
      </c>
      <c r="D2617" s="8">
        <v>78841.382813000004</v>
      </c>
      <c r="E2617" s="8">
        <v>78849.09375</v>
      </c>
      <c r="F2617" s="8">
        <f t="shared" si="80"/>
        <v>7.7109369999961928</v>
      </c>
      <c r="G2617" s="8">
        <f t="shared" si="81"/>
        <v>7.7109369999961925E-3</v>
      </c>
    </row>
    <row r="2618" spans="1:7" x14ac:dyDescent="0.25">
      <c r="A2618" s="8">
        <v>34</v>
      </c>
      <c r="B2618" s="8">
        <v>30</v>
      </c>
      <c r="C2618" s="8">
        <v>687.52429199999995</v>
      </c>
      <c r="D2618" s="8">
        <v>82308.039063000004</v>
      </c>
      <c r="E2618" s="8">
        <v>82321.554688000004</v>
      </c>
      <c r="F2618" s="8">
        <f t="shared" si="80"/>
        <v>13.515625</v>
      </c>
      <c r="G2618" s="8">
        <f t="shared" si="81"/>
        <v>1.3515625E-2</v>
      </c>
    </row>
    <row r="2619" spans="1:7" x14ac:dyDescent="0.25">
      <c r="A2619" s="8">
        <v>34</v>
      </c>
      <c r="B2619" s="8">
        <v>31</v>
      </c>
      <c r="C2619" s="8">
        <v>1241.455811</v>
      </c>
      <c r="D2619" s="8">
        <v>83011.234375</v>
      </c>
      <c r="E2619" s="8">
        <v>83019.40625</v>
      </c>
      <c r="F2619" s="8">
        <f t="shared" si="80"/>
        <v>8.171875</v>
      </c>
      <c r="G2619" s="8">
        <f t="shared" si="81"/>
        <v>8.1718750000000003E-3</v>
      </c>
    </row>
    <row r="2620" spans="1:7" x14ac:dyDescent="0.25">
      <c r="A2620" s="8">
        <v>34</v>
      </c>
      <c r="B2620" s="8">
        <v>32</v>
      </c>
      <c r="C2620" s="8">
        <v>12.981852</v>
      </c>
      <c r="D2620" s="8">
        <v>84265.539063000004</v>
      </c>
      <c r="E2620" s="8">
        <v>84279.664063000004</v>
      </c>
      <c r="F2620" s="8">
        <f t="shared" si="80"/>
        <v>14.125</v>
      </c>
      <c r="G2620" s="8">
        <f t="shared" si="81"/>
        <v>1.4125E-2</v>
      </c>
    </row>
    <row r="2621" spans="1:7" x14ac:dyDescent="0.25">
      <c r="A2621" s="8">
        <v>34</v>
      </c>
      <c r="B2621" s="8">
        <v>33</v>
      </c>
      <c r="C2621" s="8">
        <v>715.08587599999998</v>
      </c>
      <c r="D2621" s="8">
        <v>84296.796875</v>
      </c>
      <c r="E2621" s="8">
        <v>84308.179688000004</v>
      </c>
      <c r="F2621" s="8">
        <f t="shared" si="80"/>
        <v>11.382813000003807</v>
      </c>
      <c r="G2621" s="8">
        <f t="shared" si="81"/>
        <v>1.1382813000003808E-2</v>
      </c>
    </row>
    <row r="2622" spans="1:7" x14ac:dyDescent="0.25">
      <c r="A2622" s="8">
        <v>34</v>
      </c>
      <c r="B2622" s="8">
        <v>34</v>
      </c>
      <c r="C2622" s="8">
        <v>3582.8479000000002</v>
      </c>
      <c r="D2622" s="8">
        <v>85032.28125</v>
      </c>
      <c r="E2622" s="8">
        <v>85055.007813000004</v>
      </c>
      <c r="F2622" s="8">
        <f t="shared" si="80"/>
        <v>22.726563000003807</v>
      </c>
      <c r="G2622" s="8">
        <f t="shared" si="81"/>
        <v>2.2726563000003808E-2</v>
      </c>
    </row>
    <row r="2623" spans="1:7" x14ac:dyDescent="0.25">
      <c r="A2623" s="8">
        <v>34</v>
      </c>
      <c r="B2623" s="8">
        <v>35</v>
      </c>
      <c r="C2623" s="8">
        <v>4785.623047</v>
      </c>
      <c r="D2623" s="8">
        <v>88646.742188000004</v>
      </c>
      <c r="E2623" s="8">
        <v>88668.234375</v>
      </c>
      <c r="F2623" s="8">
        <f t="shared" si="80"/>
        <v>21.492186999996193</v>
      </c>
      <c r="G2623" s="8">
        <f t="shared" si="81"/>
        <v>2.1492186999996193E-2</v>
      </c>
    </row>
    <row r="2624" spans="1:7" x14ac:dyDescent="0.25">
      <c r="A2624" s="8">
        <v>34</v>
      </c>
      <c r="B2624" s="8">
        <v>36</v>
      </c>
      <c r="C2624" s="8">
        <v>1046.134033</v>
      </c>
      <c r="D2624" s="8">
        <v>93466.945313000004</v>
      </c>
      <c r="E2624" s="8">
        <v>93480.9375</v>
      </c>
      <c r="F2624" s="8">
        <f t="shared" si="80"/>
        <v>13.992186999996193</v>
      </c>
      <c r="G2624" s="8">
        <f t="shared" si="81"/>
        <v>1.3992186999996192E-2</v>
      </c>
    </row>
    <row r="2625" spans="1:7" x14ac:dyDescent="0.25">
      <c r="A2625" s="8">
        <v>34</v>
      </c>
      <c r="B2625" s="8">
        <v>37</v>
      </c>
      <c r="C2625" s="8">
        <v>6.7866429999999998</v>
      </c>
      <c r="D2625" s="8">
        <v>94530.171875</v>
      </c>
      <c r="E2625" s="8">
        <v>94545.148438000004</v>
      </c>
      <c r="F2625" s="8">
        <f t="shared" si="80"/>
        <v>14.976563000003807</v>
      </c>
      <c r="G2625" s="8">
        <f t="shared" si="81"/>
        <v>1.4976563000003808E-2</v>
      </c>
    </row>
    <row r="2626" spans="1:7" x14ac:dyDescent="0.25">
      <c r="A2626" s="8">
        <v>34</v>
      </c>
      <c r="B2626" s="8">
        <v>38</v>
      </c>
      <c r="C2626" s="8">
        <v>2044.5101320000001</v>
      </c>
      <c r="D2626" s="8">
        <v>94561.4375</v>
      </c>
      <c r="E2626" s="8">
        <v>94572.765625</v>
      </c>
      <c r="F2626" s="8">
        <f t="shared" si="80"/>
        <v>11.328125</v>
      </c>
      <c r="G2626" s="8">
        <f t="shared" si="81"/>
        <v>1.1328125E-2</v>
      </c>
    </row>
    <row r="2627" spans="1:7" x14ac:dyDescent="0.25">
      <c r="A2627" s="8">
        <v>34</v>
      </c>
      <c r="B2627" s="8">
        <v>39</v>
      </c>
      <c r="C2627" s="8">
        <v>3784.923096</v>
      </c>
      <c r="D2627" s="8">
        <v>96632.304688000004</v>
      </c>
      <c r="E2627" s="8">
        <v>96653.828125</v>
      </c>
      <c r="F2627" s="8">
        <f t="shared" si="80"/>
        <v>21.523436999996193</v>
      </c>
      <c r="G2627" s="8">
        <f t="shared" si="81"/>
        <v>2.1523436999996193E-2</v>
      </c>
    </row>
    <row r="2628" spans="1:7" x14ac:dyDescent="0.25">
      <c r="A2628" s="8">
        <v>34</v>
      </c>
      <c r="B2628" s="8">
        <v>40</v>
      </c>
      <c r="C2628" s="8">
        <v>392.80761699999999</v>
      </c>
      <c r="D2628" s="8">
        <v>100448.296875</v>
      </c>
      <c r="E2628" s="8">
        <v>100471.773438</v>
      </c>
      <c r="F2628" s="8">
        <f t="shared" si="80"/>
        <v>23.476563000003807</v>
      </c>
      <c r="G2628" s="8">
        <f t="shared" si="81"/>
        <v>2.3476563000003808E-2</v>
      </c>
    </row>
    <row r="2629" spans="1:7" x14ac:dyDescent="0.25">
      <c r="A2629" s="8">
        <v>34</v>
      </c>
      <c r="B2629" s="8">
        <v>41</v>
      </c>
      <c r="C2629" s="8">
        <v>4201.2617190000001</v>
      </c>
      <c r="D2629" s="8">
        <v>100870.21875</v>
      </c>
      <c r="E2629" s="8">
        <v>100894.515625</v>
      </c>
      <c r="F2629" s="8">
        <f t="shared" si="80"/>
        <v>24.296875</v>
      </c>
      <c r="G2629" s="8">
        <f t="shared" si="81"/>
        <v>2.4296874999999999E-2</v>
      </c>
    </row>
    <row r="2630" spans="1:7" x14ac:dyDescent="0.25">
      <c r="A2630" s="8">
        <v>34</v>
      </c>
      <c r="B2630" s="8">
        <v>42</v>
      </c>
      <c r="C2630" s="8">
        <v>1619.5423579999999</v>
      </c>
      <c r="D2630" s="8">
        <v>105097.148438</v>
      </c>
      <c r="E2630" s="8">
        <v>105112.492188</v>
      </c>
      <c r="F2630" s="8">
        <f t="shared" si="80"/>
        <v>15.34375</v>
      </c>
      <c r="G2630" s="8">
        <f t="shared" si="81"/>
        <v>1.534375E-2</v>
      </c>
    </row>
    <row r="2631" spans="1:7" x14ac:dyDescent="0.25">
      <c r="A2631" s="8">
        <v>34</v>
      </c>
      <c r="B2631" s="8">
        <v>43</v>
      </c>
      <c r="C2631" s="8">
        <v>430.52551299999999</v>
      </c>
      <c r="D2631" s="8">
        <v>106734.703125</v>
      </c>
      <c r="E2631" s="8">
        <v>106748.65625</v>
      </c>
      <c r="F2631" s="8">
        <f t="shared" si="80"/>
        <v>13.953125</v>
      </c>
      <c r="G2631" s="8">
        <f t="shared" si="81"/>
        <v>1.3953125E-2</v>
      </c>
    </row>
    <row r="2632" spans="1:7" x14ac:dyDescent="0.25">
      <c r="A2632" s="8">
        <v>34</v>
      </c>
      <c r="B2632" s="8">
        <v>44</v>
      </c>
      <c r="C2632" s="8">
        <v>2986.180664</v>
      </c>
      <c r="D2632" s="8">
        <v>107187.851563</v>
      </c>
      <c r="E2632" s="8">
        <v>107210.960938</v>
      </c>
      <c r="F2632" s="8">
        <f t="shared" si="80"/>
        <v>23.109375</v>
      </c>
      <c r="G2632" s="8">
        <f t="shared" si="81"/>
        <v>2.3109375000000001E-2</v>
      </c>
    </row>
    <row r="2633" spans="1:7" x14ac:dyDescent="0.25">
      <c r="A2633" s="8">
        <v>34</v>
      </c>
      <c r="B2633" s="8">
        <v>45</v>
      </c>
      <c r="C2633" s="8">
        <v>1414.508423</v>
      </c>
      <c r="D2633" s="8">
        <v>110205.21875</v>
      </c>
      <c r="E2633" s="8">
        <v>110219.3125</v>
      </c>
      <c r="F2633" s="8">
        <f t="shared" si="80"/>
        <v>14.09375</v>
      </c>
      <c r="G2633" s="8">
        <f t="shared" si="81"/>
        <v>1.409375E-2</v>
      </c>
    </row>
    <row r="2634" spans="1:7" x14ac:dyDescent="0.25">
      <c r="A2634" s="8">
        <v>34</v>
      </c>
      <c r="B2634" s="8">
        <v>46</v>
      </c>
      <c r="C2634" s="8">
        <v>1286.584717</v>
      </c>
      <c r="D2634" s="8">
        <v>111642.90625</v>
      </c>
      <c r="E2634" s="8">
        <v>111664.359375</v>
      </c>
      <c r="F2634" s="8">
        <f t="shared" si="80"/>
        <v>21.453125</v>
      </c>
      <c r="G2634" s="8">
        <f t="shared" si="81"/>
        <v>2.1453125E-2</v>
      </c>
    </row>
    <row r="2635" spans="1:7" x14ac:dyDescent="0.25">
      <c r="A2635" s="8">
        <v>34</v>
      </c>
      <c r="B2635" s="8">
        <v>47</v>
      </c>
      <c r="C2635" s="8">
        <v>3297.4272460000002</v>
      </c>
      <c r="D2635" s="8">
        <v>112963.03125</v>
      </c>
      <c r="E2635" s="8">
        <v>112978.648438</v>
      </c>
      <c r="F2635" s="8">
        <f t="shared" ref="F2635:F2698" si="82">E2635-D2635</f>
        <v>15.617188000003807</v>
      </c>
      <c r="G2635" s="8">
        <f t="shared" ref="G2635:G2698" si="83">F2635/1000</f>
        <v>1.5617188000003807E-2</v>
      </c>
    </row>
    <row r="2636" spans="1:7" x14ac:dyDescent="0.25">
      <c r="A2636" s="8">
        <v>34</v>
      </c>
      <c r="B2636" s="8">
        <v>48</v>
      </c>
      <c r="C2636" s="8">
        <v>1130.586182</v>
      </c>
      <c r="D2636" s="8">
        <v>116286.335938</v>
      </c>
      <c r="E2636" s="8">
        <v>116307.554688</v>
      </c>
      <c r="F2636" s="8">
        <f t="shared" si="82"/>
        <v>21.21875</v>
      </c>
      <c r="G2636" s="8">
        <f t="shared" si="83"/>
        <v>2.1218750000000001E-2</v>
      </c>
    </row>
    <row r="2637" spans="1:7" x14ac:dyDescent="0.25">
      <c r="A2637" s="8">
        <v>34</v>
      </c>
      <c r="B2637" s="8">
        <v>49</v>
      </c>
      <c r="C2637" s="8">
        <v>436.210846</v>
      </c>
      <c r="D2637" s="8">
        <v>117441.882813</v>
      </c>
      <c r="E2637" s="8">
        <v>117464.914063</v>
      </c>
      <c r="F2637" s="8">
        <f t="shared" si="82"/>
        <v>23.03125</v>
      </c>
      <c r="G2637" s="8">
        <f t="shared" si="83"/>
        <v>2.303125E-2</v>
      </c>
    </row>
    <row r="2638" spans="1:7" x14ac:dyDescent="0.25">
      <c r="A2638" s="8">
        <v>34</v>
      </c>
      <c r="B2638" s="8">
        <v>50</v>
      </c>
      <c r="C2638" s="8">
        <v>6954.986328</v>
      </c>
      <c r="D2638" s="8">
        <v>117916.21875</v>
      </c>
      <c r="E2638" s="8">
        <v>117937.09375</v>
      </c>
      <c r="F2638" s="8">
        <f t="shared" si="82"/>
        <v>20.875</v>
      </c>
      <c r="G2638" s="8">
        <f t="shared" si="83"/>
        <v>2.0875000000000001E-2</v>
      </c>
    </row>
    <row r="2639" spans="1:7" x14ac:dyDescent="0.25">
      <c r="A2639" s="8">
        <v>34</v>
      </c>
      <c r="B2639" s="8">
        <v>51</v>
      </c>
      <c r="C2639" s="8">
        <v>56.141193000000001</v>
      </c>
      <c r="D2639" s="8">
        <v>124892.804688</v>
      </c>
      <c r="E2639" s="8">
        <v>124912.484375</v>
      </c>
      <c r="F2639" s="8">
        <f t="shared" si="82"/>
        <v>19.679686999996193</v>
      </c>
      <c r="G2639" s="8">
        <f t="shared" si="83"/>
        <v>1.9679686999996192E-2</v>
      </c>
    </row>
    <row r="2640" spans="1:7" x14ac:dyDescent="0.25">
      <c r="A2640" s="8">
        <v>34</v>
      </c>
      <c r="B2640" s="8">
        <v>52</v>
      </c>
      <c r="C2640" s="8">
        <v>1362.087769</v>
      </c>
      <c r="D2640" s="8">
        <v>124970.867188</v>
      </c>
      <c r="E2640" s="8">
        <v>124989.835938</v>
      </c>
      <c r="F2640" s="8">
        <f t="shared" si="82"/>
        <v>18.96875</v>
      </c>
      <c r="G2640" s="8">
        <f t="shared" si="83"/>
        <v>1.896875E-2</v>
      </c>
    </row>
    <row r="2641" spans="1:7" x14ac:dyDescent="0.25">
      <c r="A2641" s="8">
        <v>34</v>
      </c>
      <c r="B2641" s="8">
        <v>53</v>
      </c>
      <c r="C2641" s="8">
        <v>835.68066399999998</v>
      </c>
      <c r="D2641" s="8">
        <v>126362.335938</v>
      </c>
      <c r="E2641" s="8">
        <v>126376.023438</v>
      </c>
      <c r="F2641" s="8">
        <f t="shared" si="82"/>
        <v>13.6875</v>
      </c>
      <c r="G2641" s="8">
        <f t="shared" si="83"/>
        <v>1.36875E-2</v>
      </c>
    </row>
    <row r="2642" spans="1:7" x14ac:dyDescent="0.25">
      <c r="A2642" s="8">
        <v>34</v>
      </c>
      <c r="B2642" s="8">
        <v>54</v>
      </c>
      <c r="C2642" s="8">
        <v>87.394829000000001</v>
      </c>
      <c r="D2642" s="8">
        <v>127221.765625</v>
      </c>
      <c r="E2642" s="8">
        <v>127235.890625</v>
      </c>
      <c r="F2642" s="8">
        <f t="shared" si="82"/>
        <v>14.125</v>
      </c>
      <c r="G2642" s="8">
        <f t="shared" si="83"/>
        <v>1.4125E-2</v>
      </c>
    </row>
    <row r="2643" spans="1:7" x14ac:dyDescent="0.25">
      <c r="A2643" s="8">
        <v>34</v>
      </c>
      <c r="B2643" s="8">
        <v>55</v>
      </c>
      <c r="C2643" s="8">
        <v>2836.78125</v>
      </c>
      <c r="D2643" s="8">
        <v>127331.15625</v>
      </c>
      <c r="E2643" s="8">
        <v>127345.34375</v>
      </c>
      <c r="F2643" s="8">
        <f t="shared" si="82"/>
        <v>14.1875</v>
      </c>
      <c r="G2643" s="8">
        <f t="shared" si="83"/>
        <v>1.41875E-2</v>
      </c>
    </row>
    <row r="2644" spans="1:7" x14ac:dyDescent="0.25">
      <c r="A2644" s="8">
        <v>34</v>
      </c>
      <c r="B2644" s="8">
        <v>56</v>
      </c>
      <c r="C2644" s="8">
        <v>4.6441790000000003</v>
      </c>
      <c r="D2644" s="8">
        <v>130192.140625</v>
      </c>
      <c r="E2644" s="8">
        <v>130218.046875</v>
      </c>
      <c r="F2644" s="8">
        <f t="shared" si="82"/>
        <v>25.90625</v>
      </c>
      <c r="G2644" s="8">
        <f t="shared" si="83"/>
        <v>2.5906249999999999E-2</v>
      </c>
    </row>
    <row r="2645" spans="1:7" x14ac:dyDescent="0.25">
      <c r="A2645" s="8">
        <v>34</v>
      </c>
      <c r="B2645" s="8">
        <v>57</v>
      </c>
      <c r="C2645" s="8">
        <v>126.153442</v>
      </c>
      <c r="D2645" s="8">
        <v>130223.367188</v>
      </c>
      <c r="E2645" s="8">
        <v>130235.8125</v>
      </c>
      <c r="F2645" s="8">
        <f t="shared" si="82"/>
        <v>12.445311999996193</v>
      </c>
      <c r="G2645" s="8">
        <f t="shared" si="83"/>
        <v>1.2445311999996192E-2</v>
      </c>
    </row>
    <row r="2646" spans="1:7" x14ac:dyDescent="0.25">
      <c r="A2646" s="8">
        <v>34</v>
      </c>
      <c r="B2646" s="8">
        <v>58</v>
      </c>
      <c r="C2646" s="8">
        <v>264.631439</v>
      </c>
      <c r="D2646" s="8">
        <v>130363.804688</v>
      </c>
      <c r="E2646" s="8">
        <v>130371.234375</v>
      </c>
      <c r="F2646" s="8">
        <f t="shared" si="82"/>
        <v>7.4296869999961928</v>
      </c>
      <c r="G2646" s="8">
        <f t="shared" si="83"/>
        <v>7.4296869999961931E-3</v>
      </c>
    </row>
    <row r="2647" spans="1:7" x14ac:dyDescent="0.25">
      <c r="A2647" s="8">
        <v>34</v>
      </c>
      <c r="B2647" s="8">
        <v>59</v>
      </c>
      <c r="C2647" s="8">
        <v>4090.1889649999998</v>
      </c>
      <c r="D2647" s="8">
        <v>130645.320313</v>
      </c>
      <c r="E2647" s="8">
        <v>130668.007813</v>
      </c>
      <c r="F2647" s="8">
        <f t="shared" si="82"/>
        <v>22.6875</v>
      </c>
      <c r="G2647" s="8">
        <f t="shared" si="83"/>
        <v>2.2687499999999999E-2</v>
      </c>
    </row>
    <row r="2648" spans="1:7" x14ac:dyDescent="0.25">
      <c r="A2648" s="8">
        <v>34</v>
      </c>
      <c r="B2648" s="8">
        <v>60</v>
      </c>
      <c r="C2648" s="8">
        <v>913.94415300000003</v>
      </c>
      <c r="D2648" s="8">
        <v>134769.625</v>
      </c>
      <c r="E2648" s="8">
        <v>134793.609375</v>
      </c>
      <c r="F2648" s="8">
        <f t="shared" si="82"/>
        <v>23.984375</v>
      </c>
      <c r="G2648" s="8">
        <f t="shared" si="83"/>
        <v>2.3984374999999999E-2</v>
      </c>
    </row>
    <row r="2649" spans="1:7" x14ac:dyDescent="0.25">
      <c r="A2649" s="8">
        <v>34</v>
      </c>
      <c r="B2649" s="8">
        <v>61</v>
      </c>
      <c r="C2649" s="8">
        <v>1575.1820070000001</v>
      </c>
      <c r="D2649" s="8">
        <v>135710.25</v>
      </c>
      <c r="E2649" s="8">
        <v>135826.40625</v>
      </c>
      <c r="F2649" s="8">
        <f t="shared" si="82"/>
        <v>116.15625</v>
      </c>
      <c r="G2649" s="8">
        <f t="shared" si="83"/>
        <v>0.11615625</v>
      </c>
    </row>
    <row r="2650" spans="1:7" x14ac:dyDescent="0.25">
      <c r="A2650" s="8">
        <v>34</v>
      </c>
      <c r="B2650" s="8">
        <v>62</v>
      </c>
      <c r="C2650" s="8">
        <v>4299.3901370000003</v>
      </c>
      <c r="D2650" s="8">
        <v>137406.171875</v>
      </c>
      <c r="E2650" s="8">
        <v>137418.890625</v>
      </c>
      <c r="F2650" s="8">
        <f t="shared" si="82"/>
        <v>12.71875</v>
      </c>
      <c r="G2650" s="8">
        <f t="shared" si="83"/>
        <v>1.2718749999999999E-2</v>
      </c>
    </row>
    <row r="2651" spans="1:7" x14ac:dyDescent="0.25">
      <c r="A2651" s="8">
        <v>34</v>
      </c>
      <c r="B2651" s="8">
        <v>63</v>
      </c>
      <c r="C2651" s="8">
        <v>274.40948500000002</v>
      </c>
      <c r="D2651" s="8">
        <v>141727.5</v>
      </c>
      <c r="E2651" s="8">
        <v>141748.46875</v>
      </c>
      <c r="F2651" s="8">
        <f t="shared" si="82"/>
        <v>20.96875</v>
      </c>
      <c r="G2651" s="8">
        <f t="shared" si="83"/>
        <v>2.0968750000000001E-2</v>
      </c>
    </row>
    <row r="2652" spans="1:7" x14ac:dyDescent="0.25">
      <c r="A2652" s="8">
        <v>34</v>
      </c>
      <c r="B2652" s="8">
        <v>64</v>
      </c>
      <c r="C2652" s="8">
        <v>1291.584961</v>
      </c>
      <c r="D2652" s="8">
        <v>142030.796875</v>
      </c>
      <c r="E2652" s="8">
        <v>142048.375</v>
      </c>
      <c r="F2652" s="8">
        <f t="shared" si="82"/>
        <v>17.578125</v>
      </c>
      <c r="G2652" s="8">
        <f t="shared" si="83"/>
        <v>1.7578125E-2</v>
      </c>
    </row>
    <row r="2653" spans="1:7" x14ac:dyDescent="0.25">
      <c r="A2653" s="8">
        <v>34</v>
      </c>
      <c r="B2653" s="8">
        <v>65</v>
      </c>
      <c r="C2653" s="8">
        <v>215.49435399999999</v>
      </c>
      <c r="D2653" s="8">
        <v>143343.40625</v>
      </c>
      <c r="E2653" s="8">
        <v>143357.296875</v>
      </c>
      <c r="F2653" s="8">
        <f t="shared" si="82"/>
        <v>13.890625</v>
      </c>
      <c r="G2653" s="8">
        <f t="shared" si="83"/>
        <v>1.3890625E-2</v>
      </c>
    </row>
    <row r="2654" spans="1:7" x14ac:dyDescent="0.25">
      <c r="A2654" s="8">
        <v>34</v>
      </c>
      <c r="B2654" s="8">
        <v>66</v>
      </c>
      <c r="C2654" s="8">
        <v>7171.8652339999999</v>
      </c>
      <c r="D2654" s="8">
        <v>143587.90625</v>
      </c>
      <c r="E2654" s="8">
        <v>143608.625</v>
      </c>
      <c r="F2654" s="8">
        <f t="shared" si="82"/>
        <v>20.71875</v>
      </c>
      <c r="G2654" s="8">
        <f t="shared" si="83"/>
        <v>2.0718750000000001E-2</v>
      </c>
    </row>
    <row r="2655" spans="1:7" x14ac:dyDescent="0.25">
      <c r="A2655" s="8">
        <v>34</v>
      </c>
      <c r="B2655" s="8">
        <v>67</v>
      </c>
      <c r="C2655" s="8">
        <v>845.90332000000001</v>
      </c>
      <c r="D2655" s="8">
        <v>150780.171875</v>
      </c>
      <c r="E2655" s="8">
        <v>150804.71875</v>
      </c>
      <c r="F2655" s="8">
        <f t="shared" si="82"/>
        <v>24.546875</v>
      </c>
      <c r="G2655" s="8">
        <f t="shared" si="83"/>
        <v>2.4546874999999999E-2</v>
      </c>
    </row>
    <row r="2656" spans="1:7" x14ac:dyDescent="0.25">
      <c r="A2656" s="8">
        <v>34</v>
      </c>
      <c r="B2656" s="8">
        <v>68</v>
      </c>
      <c r="C2656" s="8">
        <v>178.38336200000001</v>
      </c>
      <c r="D2656" s="8">
        <v>151655.265625</v>
      </c>
      <c r="E2656" s="8">
        <v>151670.828125</v>
      </c>
      <c r="F2656" s="8">
        <f t="shared" si="82"/>
        <v>15.5625</v>
      </c>
      <c r="G2656" s="8">
        <f t="shared" si="83"/>
        <v>1.55625E-2</v>
      </c>
    </row>
    <row r="2657" spans="1:7" x14ac:dyDescent="0.25">
      <c r="A2657" s="8">
        <v>34</v>
      </c>
      <c r="B2657" s="8">
        <v>69</v>
      </c>
      <c r="C2657" s="8">
        <v>917.32074</v>
      </c>
      <c r="D2657" s="8">
        <v>151858.21875</v>
      </c>
      <c r="E2657" s="8">
        <v>151870.4375</v>
      </c>
      <c r="F2657" s="8">
        <f t="shared" si="82"/>
        <v>12.21875</v>
      </c>
      <c r="G2657" s="8">
        <f t="shared" si="83"/>
        <v>1.221875E-2</v>
      </c>
    </row>
    <row r="2658" spans="1:7" x14ac:dyDescent="0.25">
      <c r="A2658" s="8">
        <v>34</v>
      </c>
      <c r="B2658" s="8">
        <v>70</v>
      </c>
      <c r="C2658" s="8">
        <v>637.20507799999996</v>
      </c>
      <c r="D2658" s="8">
        <v>152797.015625</v>
      </c>
      <c r="E2658" s="8">
        <v>152821.84375</v>
      </c>
      <c r="F2658" s="8">
        <f t="shared" si="82"/>
        <v>24.828125</v>
      </c>
      <c r="G2658" s="8">
        <f t="shared" si="83"/>
        <v>2.4828125E-2</v>
      </c>
    </row>
    <row r="2659" spans="1:7" x14ac:dyDescent="0.25">
      <c r="A2659" s="8">
        <v>34</v>
      </c>
      <c r="B2659" s="8">
        <v>71</v>
      </c>
      <c r="C2659" s="8">
        <v>15.379281000000001</v>
      </c>
      <c r="D2659" s="8">
        <v>153468.953125</v>
      </c>
      <c r="E2659" s="8">
        <v>153489.71875</v>
      </c>
      <c r="F2659" s="8">
        <f t="shared" si="82"/>
        <v>20.765625</v>
      </c>
      <c r="G2659" s="8">
        <f t="shared" si="83"/>
        <v>2.0765624999999999E-2</v>
      </c>
    </row>
    <row r="2660" spans="1:7" x14ac:dyDescent="0.25">
      <c r="A2660" s="8">
        <v>34</v>
      </c>
      <c r="B2660" s="8">
        <v>72</v>
      </c>
      <c r="C2660" s="8">
        <v>3561.3637699999999</v>
      </c>
      <c r="D2660" s="8">
        <v>153515.796875</v>
      </c>
      <c r="E2660" s="8">
        <v>153542.546875</v>
      </c>
      <c r="F2660" s="8">
        <f t="shared" si="82"/>
        <v>26.75</v>
      </c>
      <c r="G2660" s="8">
        <f t="shared" si="83"/>
        <v>2.6749999999999999E-2</v>
      </c>
    </row>
    <row r="2661" spans="1:7" x14ac:dyDescent="0.25">
      <c r="A2661" s="8">
        <v>34</v>
      </c>
      <c r="B2661" s="8">
        <v>73</v>
      </c>
      <c r="C2661" s="8">
        <v>2058.982422</v>
      </c>
      <c r="D2661" s="8">
        <v>157109.953125</v>
      </c>
      <c r="E2661" s="8">
        <v>157122.484375</v>
      </c>
      <c r="F2661" s="8">
        <f t="shared" si="82"/>
        <v>12.53125</v>
      </c>
      <c r="G2661" s="8">
        <f t="shared" si="83"/>
        <v>1.2531250000000001E-2</v>
      </c>
    </row>
    <row r="2662" spans="1:7" x14ac:dyDescent="0.25">
      <c r="A2662" s="8">
        <v>34</v>
      </c>
      <c r="B2662" s="8">
        <v>74</v>
      </c>
      <c r="C2662" s="8">
        <v>2835.0170899999998</v>
      </c>
      <c r="D2662" s="8">
        <v>159189.359375</v>
      </c>
      <c r="E2662" s="8">
        <v>159216.765625</v>
      </c>
      <c r="F2662" s="8">
        <f t="shared" si="82"/>
        <v>27.40625</v>
      </c>
      <c r="G2662" s="8">
        <f t="shared" si="83"/>
        <v>2.740625E-2</v>
      </c>
    </row>
    <row r="2663" spans="1:7" x14ac:dyDescent="0.25">
      <c r="A2663" s="8">
        <v>34</v>
      </c>
      <c r="B2663" s="8">
        <v>75</v>
      </c>
      <c r="C2663" s="8">
        <v>156.41644299999999</v>
      </c>
      <c r="D2663" s="8">
        <v>162065.046875</v>
      </c>
      <c r="E2663" s="8">
        <v>162085.421875</v>
      </c>
      <c r="F2663" s="8">
        <f t="shared" si="82"/>
        <v>20.375</v>
      </c>
      <c r="G2663" s="8">
        <f t="shared" si="83"/>
        <v>2.0375000000000001E-2</v>
      </c>
    </row>
    <row r="2664" spans="1:7" x14ac:dyDescent="0.25">
      <c r="A2664" s="8">
        <v>34</v>
      </c>
      <c r="B2664" s="8">
        <v>76</v>
      </c>
      <c r="C2664" s="8">
        <v>2467.4377439999998</v>
      </c>
      <c r="D2664" s="8">
        <v>162252.71875</v>
      </c>
      <c r="E2664" s="8">
        <v>162273.546875</v>
      </c>
      <c r="F2664" s="8">
        <f t="shared" si="82"/>
        <v>20.828125</v>
      </c>
      <c r="G2664" s="8">
        <f t="shared" si="83"/>
        <v>2.0828124999999999E-2</v>
      </c>
    </row>
    <row r="2665" spans="1:7" x14ac:dyDescent="0.25">
      <c r="A2665" s="8">
        <v>34</v>
      </c>
      <c r="B2665" s="8">
        <v>77</v>
      </c>
      <c r="C2665" s="8">
        <v>3558.468018</v>
      </c>
      <c r="D2665" s="8">
        <v>164749.078125</v>
      </c>
      <c r="E2665" s="8">
        <v>164774.03125</v>
      </c>
      <c r="F2665" s="8">
        <f t="shared" si="82"/>
        <v>24.953125</v>
      </c>
      <c r="G2665" s="8">
        <f t="shared" si="83"/>
        <v>2.4953125E-2</v>
      </c>
    </row>
    <row r="2666" spans="1:7" x14ac:dyDescent="0.25">
      <c r="A2666" s="8">
        <v>34</v>
      </c>
      <c r="B2666" s="8">
        <v>78</v>
      </c>
      <c r="C2666" s="8">
        <v>1595.2733149999999</v>
      </c>
      <c r="D2666" s="8">
        <v>168338.609375</v>
      </c>
      <c r="E2666" s="8">
        <v>168350.453125</v>
      </c>
      <c r="F2666" s="8">
        <f t="shared" si="82"/>
        <v>11.84375</v>
      </c>
      <c r="G2666" s="8">
        <f t="shared" si="83"/>
        <v>1.184375E-2</v>
      </c>
    </row>
    <row r="2667" spans="1:7" x14ac:dyDescent="0.25">
      <c r="A2667" s="8">
        <v>34</v>
      </c>
      <c r="B2667" s="8">
        <v>79</v>
      </c>
      <c r="C2667" s="8">
        <v>379.92404199999999</v>
      </c>
      <c r="D2667" s="8">
        <v>169954.78125</v>
      </c>
      <c r="E2667" s="8">
        <v>169967.390625</v>
      </c>
      <c r="F2667" s="8">
        <f t="shared" si="82"/>
        <v>12.609375</v>
      </c>
      <c r="G2667" s="8">
        <f t="shared" si="83"/>
        <v>1.2609375000000001E-2</v>
      </c>
    </row>
    <row r="2668" spans="1:7" x14ac:dyDescent="0.25">
      <c r="A2668" s="8">
        <v>35</v>
      </c>
      <c r="B2668" s="8">
        <v>0</v>
      </c>
      <c r="C2668" s="8">
        <v>826.24792500000001</v>
      </c>
      <c r="D2668" s="8">
        <v>21500.738281000002</v>
      </c>
      <c r="E2668" s="8">
        <v>21530.71875</v>
      </c>
      <c r="F2668" s="8">
        <f t="shared" si="82"/>
        <v>29.980468999998266</v>
      </c>
      <c r="G2668" s="8">
        <f t="shared" si="83"/>
        <v>2.9980468999998264E-2</v>
      </c>
    </row>
    <row r="2669" spans="1:7" x14ac:dyDescent="0.25">
      <c r="A2669" s="8">
        <v>35</v>
      </c>
      <c r="B2669" s="8">
        <v>1</v>
      </c>
      <c r="C2669" s="8">
        <v>1719.3874510000001</v>
      </c>
      <c r="D2669" s="8">
        <v>22360.056640999999</v>
      </c>
      <c r="E2669" s="8">
        <v>22373.958984000001</v>
      </c>
      <c r="F2669" s="8">
        <f t="shared" si="82"/>
        <v>13.902343000001565</v>
      </c>
      <c r="G2669" s="8">
        <f t="shared" si="83"/>
        <v>1.3902343000001566E-2</v>
      </c>
    </row>
    <row r="2670" spans="1:7" x14ac:dyDescent="0.25">
      <c r="A2670" s="8">
        <v>35</v>
      </c>
      <c r="B2670" s="8">
        <v>2</v>
      </c>
      <c r="C2670" s="8">
        <v>493.26855499999999</v>
      </c>
      <c r="D2670" s="8">
        <v>24099.884765999999</v>
      </c>
      <c r="E2670" s="8">
        <v>24114.974609000001</v>
      </c>
      <c r="F2670" s="8">
        <f t="shared" si="82"/>
        <v>15.089843000001565</v>
      </c>
      <c r="G2670" s="8">
        <f t="shared" si="83"/>
        <v>1.5089843000001565E-2</v>
      </c>
    </row>
    <row r="2671" spans="1:7" x14ac:dyDescent="0.25">
      <c r="A2671" s="8">
        <v>35</v>
      </c>
      <c r="B2671" s="8">
        <v>3</v>
      </c>
      <c r="C2671" s="8">
        <v>48.809989999999999</v>
      </c>
      <c r="D2671" s="8">
        <v>24615.546875</v>
      </c>
      <c r="E2671" s="8">
        <v>24629.490234000001</v>
      </c>
      <c r="F2671" s="8">
        <f t="shared" si="82"/>
        <v>13.943359000000783</v>
      </c>
      <c r="G2671" s="8">
        <f t="shared" si="83"/>
        <v>1.3943359000000783E-2</v>
      </c>
    </row>
    <row r="2672" spans="1:7" x14ac:dyDescent="0.25">
      <c r="A2672" s="8">
        <v>35</v>
      </c>
      <c r="B2672" s="8">
        <v>4</v>
      </c>
      <c r="C2672" s="8">
        <v>1427.301514</v>
      </c>
      <c r="D2672" s="8">
        <v>24678.078125</v>
      </c>
      <c r="E2672" s="8">
        <v>24706.232422000001</v>
      </c>
      <c r="F2672" s="8">
        <f t="shared" si="82"/>
        <v>28.154297000000952</v>
      </c>
      <c r="G2672" s="8">
        <f t="shared" si="83"/>
        <v>2.8154297000000952E-2</v>
      </c>
    </row>
    <row r="2673" spans="1:7" x14ac:dyDescent="0.25">
      <c r="A2673" s="8">
        <v>35</v>
      </c>
      <c r="B2673" s="8">
        <v>5</v>
      </c>
      <c r="C2673" s="8">
        <v>1621.463745</v>
      </c>
      <c r="D2673" s="8">
        <v>26148.501952999999</v>
      </c>
      <c r="E2673" s="8">
        <v>26157.583984000001</v>
      </c>
      <c r="F2673" s="8">
        <f t="shared" si="82"/>
        <v>9.0820310000017344</v>
      </c>
      <c r="G2673" s="8">
        <f t="shared" si="83"/>
        <v>9.0820310000017338E-3</v>
      </c>
    </row>
    <row r="2674" spans="1:7" x14ac:dyDescent="0.25">
      <c r="A2674" s="8">
        <v>35</v>
      </c>
      <c r="B2674" s="8">
        <v>6</v>
      </c>
      <c r="C2674" s="8">
        <v>2984.8227539999998</v>
      </c>
      <c r="D2674" s="8">
        <v>27790.962890999999</v>
      </c>
      <c r="E2674" s="8">
        <v>27814.914063</v>
      </c>
      <c r="F2674" s="8">
        <f t="shared" si="82"/>
        <v>23.951172000000952</v>
      </c>
      <c r="G2674" s="8">
        <f t="shared" si="83"/>
        <v>2.395117200000095E-2</v>
      </c>
    </row>
    <row r="2675" spans="1:7" x14ac:dyDescent="0.25">
      <c r="A2675" s="8">
        <v>35</v>
      </c>
      <c r="B2675" s="8">
        <v>7</v>
      </c>
      <c r="C2675" s="8">
        <v>6067.7954099999997</v>
      </c>
      <c r="D2675" s="8">
        <v>30813.898438</v>
      </c>
      <c r="E2675" s="8">
        <v>30835.005859000001</v>
      </c>
      <c r="F2675" s="8">
        <f t="shared" si="82"/>
        <v>21.107421000000613</v>
      </c>
      <c r="G2675" s="8">
        <f t="shared" si="83"/>
        <v>2.1107421000000612E-2</v>
      </c>
    </row>
    <row r="2676" spans="1:7" x14ac:dyDescent="0.25">
      <c r="A2676" s="8">
        <v>35</v>
      </c>
      <c r="B2676" s="8">
        <v>8</v>
      </c>
      <c r="C2676" s="8">
        <v>2448.6621089999999</v>
      </c>
      <c r="D2676" s="8">
        <v>36909.71875</v>
      </c>
      <c r="E2676" s="8">
        <v>36921.976562999997</v>
      </c>
      <c r="F2676" s="8">
        <f t="shared" si="82"/>
        <v>12.257812999996531</v>
      </c>
      <c r="G2676" s="8">
        <f t="shared" si="83"/>
        <v>1.2257812999996532E-2</v>
      </c>
    </row>
    <row r="2677" spans="1:7" x14ac:dyDescent="0.25">
      <c r="A2677" s="8">
        <v>35</v>
      </c>
      <c r="B2677" s="8">
        <v>9</v>
      </c>
      <c r="C2677" s="8">
        <v>2517.73999</v>
      </c>
      <c r="D2677" s="8">
        <v>39371.09375</v>
      </c>
      <c r="E2677" s="8">
        <v>39388.949219000002</v>
      </c>
      <c r="F2677" s="8">
        <f t="shared" si="82"/>
        <v>17.855469000001904</v>
      </c>
      <c r="G2677" s="8">
        <f t="shared" si="83"/>
        <v>1.7855469000001904E-2</v>
      </c>
    </row>
    <row r="2678" spans="1:7" x14ac:dyDescent="0.25">
      <c r="A2678" s="8">
        <v>35</v>
      </c>
      <c r="B2678" s="8">
        <v>10</v>
      </c>
      <c r="C2678" s="8">
        <v>9672.9912110000005</v>
      </c>
      <c r="D2678" s="8">
        <v>41918.988280999998</v>
      </c>
      <c r="E2678" s="8">
        <v>41943.042969000002</v>
      </c>
      <c r="F2678" s="8">
        <f t="shared" si="82"/>
        <v>24.054688000003807</v>
      </c>
      <c r="G2678" s="8">
        <f t="shared" si="83"/>
        <v>2.4054688000003807E-2</v>
      </c>
    </row>
    <row r="2679" spans="1:7" x14ac:dyDescent="0.25">
      <c r="A2679" s="8">
        <v>35</v>
      </c>
      <c r="B2679" s="8">
        <v>11</v>
      </c>
      <c r="C2679" s="8">
        <v>941.21612500000003</v>
      </c>
      <c r="D2679" s="8">
        <v>51623.082030999998</v>
      </c>
      <c r="E2679" s="8">
        <v>51635.066405999998</v>
      </c>
      <c r="F2679" s="8">
        <f t="shared" si="82"/>
        <v>11.984375</v>
      </c>
      <c r="G2679" s="8">
        <f t="shared" si="83"/>
        <v>1.1984375E-2</v>
      </c>
    </row>
    <row r="2680" spans="1:7" x14ac:dyDescent="0.25">
      <c r="A2680" s="8">
        <v>35</v>
      </c>
      <c r="B2680" s="8">
        <v>12</v>
      </c>
      <c r="C2680" s="8">
        <v>2428.0048830000001</v>
      </c>
      <c r="D2680" s="8">
        <v>52576.347655999998</v>
      </c>
      <c r="E2680" s="8">
        <v>52604.953125</v>
      </c>
      <c r="F2680" s="8">
        <f t="shared" si="82"/>
        <v>28.605469000001904</v>
      </c>
      <c r="G2680" s="8">
        <f t="shared" si="83"/>
        <v>2.8605469000001903E-2</v>
      </c>
    </row>
    <row r="2681" spans="1:7" x14ac:dyDescent="0.25">
      <c r="A2681" s="8">
        <v>35</v>
      </c>
      <c r="B2681" s="8">
        <v>13</v>
      </c>
      <c r="C2681" s="8">
        <v>1202.8836670000001</v>
      </c>
      <c r="D2681" s="8">
        <v>55034.816405999998</v>
      </c>
      <c r="E2681" s="8">
        <v>55048.238280999998</v>
      </c>
      <c r="F2681" s="8">
        <f t="shared" si="82"/>
        <v>13.421875</v>
      </c>
      <c r="G2681" s="8">
        <f t="shared" si="83"/>
        <v>1.3421875E-2</v>
      </c>
    </row>
    <row r="2682" spans="1:7" x14ac:dyDescent="0.25">
      <c r="A2682" s="8">
        <v>35</v>
      </c>
      <c r="B2682" s="8">
        <v>14</v>
      </c>
      <c r="C2682" s="8">
        <v>32.427959000000001</v>
      </c>
      <c r="D2682" s="8">
        <v>56253.75</v>
      </c>
      <c r="E2682" s="8">
        <v>56265.273437999997</v>
      </c>
      <c r="F2682" s="8">
        <f t="shared" si="82"/>
        <v>11.523437999996531</v>
      </c>
      <c r="G2682" s="8">
        <f t="shared" si="83"/>
        <v>1.1523437999996531E-2</v>
      </c>
    </row>
    <row r="2683" spans="1:7" x14ac:dyDescent="0.25">
      <c r="A2683" s="8">
        <v>35</v>
      </c>
      <c r="B2683" s="8">
        <v>15</v>
      </c>
      <c r="C2683" s="8">
        <v>928.35870399999999</v>
      </c>
      <c r="D2683" s="8">
        <v>56300.625</v>
      </c>
      <c r="E2683" s="8">
        <v>56317.433594000002</v>
      </c>
      <c r="F2683" s="8">
        <f t="shared" si="82"/>
        <v>16.808594000001904</v>
      </c>
      <c r="G2683" s="8">
        <f t="shared" si="83"/>
        <v>1.6808594000001904E-2</v>
      </c>
    </row>
    <row r="2684" spans="1:7" x14ac:dyDescent="0.25">
      <c r="A2684" s="8">
        <v>35</v>
      </c>
      <c r="B2684" s="8">
        <v>16</v>
      </c>
      <c r="C2684" s="8">
        <v>496.23898300000002</v>
      </c>
      <c r="D2684" s="8">
        <v>57254.527344000002</v>
      </c>
      <c r="E2684" s="8">
        <v>57288.324219000002</v>
      </c>
      <c r="F2684" s="8">
        <f t="shared" si="82"/>
        <v>33.796875</v>
      </c>
      <c r="G2684" s="8">
        <f t="shared" si="83"/>
        <v>3.3796874999999997E-2</v>
      </c>
    </row>
    <row r="2685" spans="1:7" x14ac:dyDescent="0.25">
      <c r="A2685" s="8">
        <v>35</v>
      </c>
      <c r="B2685" s="8">
        <v>17</v>
      </c>
      <c r="C2685" s="8">
        <v>604.15600600000005</v>
      </c>
      <c r="D2685" s="8">
        <v>57789.105469000002</v>
      </c>
      <c r="E2685" s="8">
        <v>57796.941405999998</v>
      </c>
      <c r="F2685" s="8">
        <f t="shared" si="82"/>
        <v>7.8359369999961928</v>
      </c>
      <c r="G2685" s="8">
        <f t="shared" si="83"/>
        <v>7.8359369999961934E-3</v>
      </c>
    </row>
    <row r="2686" spans="1:7" x14ac:dyDescent="0.25">
      <c r="A2686" s="8">
        <v>35</v>
      </c>
      <c r="B2686" s="8">
        <v>18</v>
      </c>
      <c r="C2686" s="8">
        <v>4479.6132809999999</v>
      </c>
      <c r="D2686" s="8">
        <v>58415.949219000002</v>
      </c>
      <c r="E2686" s="8">
        <v>58429.519530999998</v>
      </c>
      <c r="F2686" s="8">
        <f t="shared" si="82"/>
        <v>13.570311999996193</v>
      </c>
      <c r="G2686" s="8">
        <f t="shared" si="83"/>
        <v>1.3570311999996193E-2</v>
      </c>
    </row>
    <row r="2687" spans="1:7" x14ac:dyDescent="0.25">
      <c r="A2687" s="8">
        <v>35</v>
      </c>
      <c r="B2687" s="8">
        <v>19</v>
      </c>
      <c r="C2687" s="8">
        <v>2312.8093260000001</v>
      </c>
      <c r="D2687" s="8">
        <v>62922.972655999998</v>
      </c>
      <c r="E2687" s="8">
        <v>62950.75</v>
      </c>
      <c r="F2687" s="8">
        <f t="shared" si="82"/>
        <v>27.777344000001904</v>
      </c>
      <c r="G2687" s="8">
        <f t="shared" si="83"/>
        <v>2.7777344000001904E-2</v>
      </c>
    </row>
    <row r="2688" spans="1:7" x14ac:dyDescent="0.25">
      <c r="A2688" s="8">
        <v>35</v>
      </c>
      <c r="B2688" s="8">
        <v>20</v>
      </c>
      <c r="C2688" s="8">
        <v>4029.3178710000002</v>
      </c>
      <c r="D2688" s="8">
        <v>65277.855469000002</v>
      </c>
      <c r="E2688" s="8">
        <v>65285.5625</v>
      </c>
      <c r="F2688" s="8">
        <f t="shared" si="82"/>
        <v>7.7070309999980964</v>
      </c>
      <c r="G2688" s="8">
        <f t="shared" si="83"/>
        <v>7.7070309999980966E-3</v>
      </c>
    </row>
    <row r="2689" spans="1:7" x14ac:dyDescent="0.25">
      <c r="A2689" s="8">
        <v>35</v>
      </c>
      <c r="B2689" s="8">
        <v>21</v>
      </c>
      <c r="C2689" s="8">
        <v>629.07952899999998</v>
      </c>
      <c r="D2689" s="8">
        <v>69327.0625</v>
      </c>
      <c r="E2689" s="8">
        <v>69353.484375</v>
      </c>
      <c r="F2689" s="8">
        <f t="shared" si="82"/>
        <v>26.421875</v>
      </c>
      <c r="G2689" s="8">
        <f t="shared" si="83"/>
        <v>2.6421875000000001E-2</v>
      </c>
    </row>
    <row r="2690" spans="1:7" x14ac:dyDescent="0.25">
      <c r="A2690" s="8">
        <v>35</v>
      </c>
      <c r="B2690" s="8">
        <v>22</v>
      </c>
      <c r="C2690" s="8">
        <v>4022.4648440000001</v>
      </c>
      <c r="D2690" s="8">
        <v>69983.398438000004</v>
      </c>
      <c r="E2690" s="8">
        <v>70008.53125</v>
      </c>
      <c r="F2690" s="8">
        <f t="shared" si="82"/>
        <v>25.132811999996193</v>
      </c>
      <c r="G2690" s="8">
        <f t="shared" si="83"/>
        <v>2.5132811999996191E-2</v>
      </c>
    </row>
    <row r="2691" spans="1:7" x14ac:dyDescent="0.25">
      <c r="A2691" s="8">
        <v>35</v>
      </c>
      <c r="B2691" s="8">
        <v>23</v>
      </c>
      <c r="C2691" s="8">
        <v>492.48764</v>
      </c>
      <c r="D2691" s="8">
        <v>74031.335938000004</v>
      </c>
      <c r="E2691" s="8">
        <v>74038.851563000004</v>
      </c>
      <c r="F2691" s="8">
        <f t="shared" si="82"/>
        <v>7.515625</v>
      </c>
      <c r="G2691" s="8">
        <f t="shared" si="83"/>
        <v>7.5156249999999997E-3</v>
      </c>
    </row>
    <row r="2692" spans="1:7" x14ac:dyDescent="0.25">
      <c r="A2692" s="8">
        <v>35</v>
      </c>
      <c r="B2692" s="8">
        <v>24</v>
      </c>
      <c r="C2692" s="8">
        <v>1650.647217</v>
      </c>
      <c r="D2692" s="8">
        <v>74539.351563000004</v>
      </c>
      <c r="E2692" s="8">
        <v>74565.210938000004</v>
      </c>
      <c r="F2692" s="8">
        <f t="shared" si="82"/>
        <v>25.859375</v>
      </c>
      <c r="G2692" s="8">
        <f t="shared" si="83"/>
        <v>2.5859375E-2</v>
      </c>
    </row>
    <row r="2693" spans="1:7" x14ac:dyDescent="0.25">
      <c r="A2693" s="8">
        <v>35</v>
      </c>
      <c r="B2693" s="8">
        <v>25</v>
      </c>
      <c r="C2693" s="8">
        <v>901.64349400000003</v>
      </c>
      <c r="D2693" s="8">
        <v>76225.757813000004</v>
      </c>
      <c r="E2693" s="8">
        <v>76238.445313000004</v>
      </c>
      <c r="F2693" s="8">
        <f t="shared" si="82"/>
        <v>12.6875</v>
      </c>
      <c r="G2693" s="8">
        <f t="shared" si="83"/>
        <v>1.2687500000000001E-2</v>
      </c>
    </row>
    <row r="2694" spans="1:7" x14ac:dyDescent="0.25">
      <c r="A2694" s="8">
        <v>35</v>
      </c>
      <c r="B2694" s="8">
        <v>26</v>
      </c>
      <c r="C2694" s="8">
        <v>4066.2702640000002</v>
      </c>
      <c r="D2694" s="8">
        <v>77147.6875</v>
      </c>
      <c r="E2694" s="8">
        <v>77171.445313000004</v>
      </c>
      <c r="F2694" s="8">
        <f t="shared" si="82"/>
        <v>23.757813000003807</v>
      </c>
      <c r="G2694" s="8">
        <f t="shared" si="83"/>
        <v>2.3757813000003809E-2</v>
      </c>
    </row>
    <row r="2695" spans="1:7" x14ac:dyDescent="0.25">
      <c r="A2695" s="8">
        <v>35</v>
      </c>
      <c r="B2695" s="8">
        <v>27</v>
      </c>
      <c r="C2695" s="8">
        <v>4786.9594729999999</v>
      </c>
      <c r="D2695" s="8">
        <v>81239.515625</v>
      </c>
      <c r="E2695" s="8">
        <v>81250.945313000004</v>
      </c>
      <c r="F2695" s="8">
        <f t="shared" si="82"/>
        <v>11.429688000003807</v>
      </c>
      <c r="G2695" s="8">
        <f t="shared" si="83"/>
        <v>1.1429688000003808E-2</v>
      </c>
    </row>
    <row r="2696" spans="1:7" x14ac:dyDescent="0.25">
      <c r="A2696" s="8">
        <v>35</v>
      </c>
      <c r="B2696" s="8">
        <v>28</v>
      </c>
      <c r="C2696" s="8">
        <v>2842.8410640000002</v>
      </c>
      <c r="D2696" s="8">
        <v>86049.585938000004</v>
      </c>
      <c r="E2696" s="8">
        <v>86064.96875</v>
      </c>
      <c r="F2696" s="8">
        <f t="shared" si="82"/>
        <v>15.382811999996193</v>
      </c>
      <c r="G2696" s="8">
        <f t="shared" si="83"/>
        <v>1.5382811999996193E-2</v>
      </c>
    </row>
    <row r="2697" spans="1:7" x14ac:dyDescent="0.25">
      <c r="A2697" s="8">
        <v>35</v>
      </c>
      <c r="B2697" s="8">
        <v>29</v>
      </c>
      <c r="C2697" s="8">
        <v>4133.5913090000004</v>
      </c>
      <c r="D2697" s="8">
        <v>88912.398438000004</v>
      </c>
      <c r="E2697" s="8">
        <v>88929.9375</v>
      </c>
      <c r="F2697" s="8">
        <f t="shared" si="82"/>
        <v>17.539061999996193</v>
      </c>
      <c r="G2697" s="8">
        <f t="shared" si="83"/>
        <v>1.7539061999996192E-2</v>
      </c>
    </row>
    <row r="2698" spans="1:7" x14ac:dyDescent="0.25">
      <c r="A2698" s="8">
        <v>35</v>
      </c>
      <c r="B2698" s="8">
        <v>30</v>
      </c>
      <c r="C2698" s="8">
        <v>779.28997800000002</v>
      </c>
      <c r="D2698" s="8">
        <v>93075.882813000004</v>
      </c>
      <c r="E2698" s="8">
        <v>93091.304688000004</v>
      </c>
      <c r="F2698" s="8">
        <f t="shared" si="82"/>
        <v>15.421875</v>
      </c>
      <c r="G2698" s="8">
        <f t="shared" si="83"/>
        <v>1.5421875E-2</v>
      </c>
    </row>
    <row r="2699" spans="1:7" x14ac:dyDescent="0.25">
      <c r="A2699" s="8">
        <v>35</v>
      </c>
      <c r="B2699" s="8">
        <v>31</v>
      </c>
      <c r="C2699" s="8">
        <v>2626.1611330000001</v>
      </c>
      <c r="D2699" s="8">
        <v>93873.21875</v>
      </c>
      <c r="E2699" s="8">
        <v>93890.546875</v>
      </c>
      <c r="F2699" s="8">
        <f t="shared" ref="F2699:F2762" si="84">E2699-D2699</f>
        <v>17.328125</v>
      </c>
      <c r="G2699" s="8">
        <f t="shared" ref="G2699:G2762" si="85">F2699/1000</f>
        <v>1.7328125E-2</v>
      </c>
    </row>
    <row r="2700" spans="1:7" x14ac:dyDescent="0.25">
      <c r="A2700" s="8">
        <v>35</v>
      </c>
      <c r="B2700" s="8">
        <v>32</v>
      </c>
      <c r="C2700" s="8">
        <v>788.774902</v>
      </c>
      <c r="D2700" s="8">
        <v>96522.898438000004</v>
      </c>
      <c r="E2700" s="8">
        <v>96532.164063000004</v>
      </c>
      <c r="F2700" s="8">
        <f t="shared" si="84"/>
        <v>9.265625</v>
      </c>
      <c r="G2700" s="8">
        <f t="shared" si="85"/>
        <v>9.2656249999999996E-3</v>
      </c>
    </row>
    <row r="2701" spans="1:7" x14ac:dyDescent="0.25">
      <c r="A2701" s="8">
        <v>35</v>
      </c>
      <c r="B2701" s="8">
        <v>33</v>
      </c>
      <c r="C2701" s="8">
        <v>761.16833499999996</v>
      </c>
      <c r="D2701" s="8">
        <v>97325.390625</v>
      </c>
      <c r="E2701" s="8">
        <v>97350.46875</v>
      </c>
      <c r="F2701" s="8">
        <f t="shared" si="84"/>
        <v>25.078125</v>
      </c>
      <c r="G2701" s="8">
        <f t="shared" si="85"/>
        <v>2.5078125E-2</v>
      </c>
    </row>
    <row r="2702" spans="1:7" x14ac:dyDescent="0.25">
      <c r="A2702" s="8">
        <v>35</v>
      </c>
      <c r="B2702" s="8">
        <v>34</v>
      </c>
      <c r="C2702" s="8">
        <v>3364.234375</v>
      </c>
      <c r="D2702" s="8">
        <v>98113.28125</v>
      </c>
      <c r="E2702" s="8">
        <v>98124.492188000004</v>
      </c>
      <c r="F2702" s="8">
        <f t="shared" si="84"/>
        <v>11.210938000003807</v>
      </c>
      <c r="G2702" s="8">
        <f t="shared" si="85"/>
        <v>1.1210938000003808E-2</v>
      </c>
    </row>
    <row r="2703" spans="1:7" x14ac:dyDescent="0.25">
      <c r="A2703" s="8">
        <v>35</v>
      </c>
      <c r="B2703" s="8">
        <v>35</v>
      </c>
      <c r="C2703" s="8">
        <v>55.639071999999999</v>
      </c>
      <c r="D2703" s="8">
        <v>101503.492188</v>
      </c>
      <c r="E2703" s="8">
        <v>101514.851563</v>
      </c>
      <c r="F2703" s="8">
        <f t="shared" si="84"/>
        <v>11.359375</v>
      </c>
      <c r="G2703" s="8">
        <f t="shared" si="85"/>
        <v>1.1359375E-2</v>
      </c>
    </row>
    <row r="2704" spans="1:7" x14ac:dyDescent="0.25">
      <c r="A2704" s="8">
        <v>35</v>
      </c>
      <c r="B2704" s="8">
        <v>36</v>
      </c>
      <c r="C2704" s="8">
        <v>1118.2703859999999</v>
      </c>
      <c r="D2704" s="8">
        <v>101581.609375</v>
      </c>
      <c r="E2704" s="8">
        <v>101598.914063</v>
      </c>
      <c r="F2704" s="8">
        <f t="shared" si="84"/>
        <v>17.304688000003807</v>
      </c>
      <c r="G2704" s="8">
        <f t="shared" si="85"/>
        <v>1.7304688000003808E-2</v>
      </c>
    </row>
    <row r="2705" spans="1:7" x14ac:dyDescent="0.25">
      <c r="A2705" s="8">
        <v>35</v>
      </c>
      <c r="B2705" s="8">
        <v>37</v>
      </c>
      <c r="C2705" s="8">
        <v>269.51455700000002</v>
      </c>
      <c r="D2705" s="8">
        <v>102719.210938</v>
      </c>
      <c r="E2705" s="8">
        <v>102782.328125</v>
      </c>
      <c r="F2705" s="8">
        <f t="shared" si="84"/>
        <v>63.117186999996193</v>
      </c>
      <c r="G2705" s="8">
        <f t="shared" si="85"/>
        <v>6.3117186999996189E-2</v>
      </c>
    </row>
    <row r="2706" spans="1:7" x14ac:dyDescent="0.25">
      <c r="A2706" s="8">
        <v>35</v>
      </c>
      <c r="B2706" s="8">
        <v>38</v>
      </c>
      <c r="C2706" s="8">
        <v>2853.4902339999999</v>
      </c>
      <c r="D2706" s="8">
        <v>103057.03125</v>
      </c>
      <c r="E2706" s="8">
        <v>103069.15625</v>
      </c>
      <c r="F2706" s="8">
        <f t="shared" si="84"/>
        <v>12.125</v>
      </c>
      <c r="G2706" s="8">
        <f t="shared" si="85"/>
        <v>1.2125E-2</v>
      </c>
    </row>
    <row r="2707" spans="1:7" x14ac:dyDescent="0.25">
      <c r="A2707" s="8">
        <v>35</v>
      </c>
      <c r="B2707" s="8">
        <v>39</v>
      </c>
      <c r="C2707" s="8">
        <v>4460.2177730000003</v>
      </c>
      <c r="D2707" s="8">
        <v>105937.75</v>
      </c>
      <c r="E2707" s="8">
        <v>105959.757813</v>
      </c>
      <c r="F2707" s="8">
        <f t="shared" si="84"/>
        <v>22.007813000003807</v>
      </c>
      <c r="G2707" s="8">
        <f t="shared" si="85"/>
        <v>2.2007813000003807E-2</v>
      </c>
    </row>
    <row r="2708" spans="1:7" x14ac:dyDescent="0.25">
      <c r="A2708" s="8">
        <v>35</v>
      </c>
      <c r="B2708" s="8">
        <v>40</v>
      </c>
      <c r="C2708" s="8">
        <v>566.53326400000003</v>
      </c>
      <c r="D2708" s="8">
        <v>110424</v>
      </c>
      <c r="E2708" s="8">
        <v>110444.945313</v>
      </c>
      <c r="F2708" s="8">
        <f t="shared" si="84"/>
        <v>20.945313000003807</v>
      </c>
      <c r="G2708" s="8">
        <f t="shared" si="85"/>
        <v>2.0945313000003806E-2</v>
      </c>
    </row>
    <row r="2709" spans="1:7" x14ac:dyDescent="0.25">
      <c r="A2709" s="8">
        <v>35</v>
      </c>
      <c r="B2709" s="8">
        <v>41</v>
      </c>
      <c r="C2709" s="8">
        <v>4023.8332519999999</v>
      </c>
      <c r="D2709" s="8">
        <v>111017.8125</v>
      </c>
      <c r="E2709" s="8">
        <v>111037.5</v>
      </c>
      <c r="F2709" s="8">
        <f t="shared" si="84"/>
        <v>19.6875</v>
      </c>
      <c r="G2709" s="8">
        <f t="shared" si="85"/>
        <v>1.96875E-2</v>
      </c>
    </row>
    <row r="2710" spans="1:7" x14ac:dyDescent="0.25">
      <c r="A2710" s="8">
        <v>35</v>
      </c>
      <c r="B2710" s="8">
        <v>42</v>
      </c>
      <c r="C2710" s="8">
        <v>2081.8398440000001</v>
      </c>
      <c r="D2710" s="8">
        <v>115067.445313</v>
      </c>
      <c r="E2710" s="8">
        <v>115076.585938</v>
      </c>
      <c r="F2710" s="8">
        <f t="shared" si="84"/>
        <v>9.140625</v>
      </c>
      <c r="G2710" s="8">
        <f t="shared" si="85"/>
        <v>9.1406249999999994E-3</v>
      </c>
    </row>
    <row r="2711" spans="1:7" x14ac:dyDescent="0.25">
      <c r="A2711" s="8">
        <v>35</v>
      </c>
      <c r="B2711" s="8">
        <v>43</v>
      </c>
      <c r="C2711" s="8">
        <v>3532.2395019999999</v>
      </c>
      <c r="D2711" s="8">
        <v>117169.140625</v>
      </c>
      <c r="E2711" s="8">
        <v>117177.710938</v>
      </c>
      <c r="F2711" s="8">
        <f t="shared" si="84"/>
        <v>8.5703130000038072</v>
      </c>
      <c r="G2711" s="8">
        <f t="shared" si="85"/>
        <v>8.5703130000038073E-3</v>
      </c>
    </row>
    <row r="2712" spans="1:7" x14ac:dyDescent="0.25">
      <c r="A2712" s="8">
        <v>35</v>
      </c>
      <c r="B2712" s="8">
        <v>44</v>
      </c>
      <c r="C2712" s="8">
        <v>4325.2246089999999</v>
      </c>
      <c r="D2712" s="8">
        <v>120718.578125</v>
      </c>
      <c r="E2712" s="8">
        <v>120739.171875</v>
      </c>
      <c r="F2712" s="8">
        <f t="shared" si="84"/>
        <v>20.59375</v>
      </c>
      <c r="G2712" s="8">
        <f t="shared" si="85"/>
        <v>2.0593750000000001E-2</v>
      </c>
    </row>
    <row r="2713" spans="1:7" x14ac:dyDescent="0.25">
      <c r="A2713" s="8">
        <v>35</v>
      </c>
      <c r="B2713" s="8">
        <v>45</v>
      </c>
      <c r="C2713" s="8">
        <v>4359.4775390000004</v>
      </c>
      <c r="D2713" s="8">
        <v>125064.492188</v>
      </c>
      <c r="E2713" s="8">
        <v>125079.53125</v>
      </c>
      <c r="F2713" s="8">
        <f t="shared" si="84"/>
        <v>15.039061999996193</v>
      </c>
      <c r="G2713" s="8">
        <f t="shared" si="85"/>
        <v>1.5039061999996193E-2</v>
      </c>
    </row>
    <row r="2714" spans="1:7" x14ac:dyDescent="0.25">
      <c r="A2714" s="8">
        <v>35</v>
      </c>
      <c r="B2714" s="8">
        <v>46</v>
      </c>
      <c r="C2714" s="8">
        <v>5643.1850590000004</v>
      </c>
      <c r="D2714" s="8">
        <v>129441.90625</v>
      </c>
      <c r="E2714" s="8">
        <v>129449.34375</v>
      </c>
      <c r="F2714" s="8">
        <f t="shared" si="84"/>
        <v>7.4375</v>
      </c>
      <c r="G2714" s="8">
        <f t="shared" si="85"/>
        <v>7.4374999999999997E-3</v>
      </c>
    </row>
    <row r="2715" spans="1:7" x14ac:dyDescent="0.25">
      <c r="A2715" s="8">
        <v>35</v>
      </c>
      <c r="B2715" s="8">
        <v>47</v>
      </c>
      <c r="C2715" s="8">
        <v>1004.653564</v>
      </c>
      <c r="D2715" s="8">
        <v>135100.78125</v>
      </c>
      <c r="E2715" s="8">
        <v>135181.953125</v>
      </c>
      <c r="F2715" s="8">
        <f t="shared" si="84"/>
        <v>81.171875</v>
      </c>
      <c r="G2715" s="8">
        <f t="shared" si="85"/>
        <v>8.1171875000000004E-2</v>
      </c>
    </row>
    <row r="2716" spans="1:7" x14ac:dyDescent="0.25">
      <c r="A2716" s="8">
        <v>35</v>
      </c>
      <c r="B2716" s="8">
        <v>48</v>
      </c>
      <c r="C2716" s="8">
        <v>730.50494400000002</v>
      </c>
      <c r="D2716" s="8">
        <v>136194.578125</v>
      </c>
      <c r="E2716" s="8">
        <v>136208.28125</v>
      </c>
      <c r="F2716" s="8">
        <f t="shared" si="84"/>
        <v>13.703125</v>
      </c>
      <c r="G2716" s="8">
        <f t="shared" si="85"/>
        <v>1.3703125E-2</v>
      </c>
    </row>
    <row r="2717" spans="1:7" x14ac:dyDescent="0.25">
      <c r="A2717" s="8">
        <v>35</v>
      </c>
      <c r="B2717" s="8">
        <v>49</v>
      </c>
      <c r="C2717" s="8">
        <v>4429.2358400000003</v>
      </c>
      <c r="D2717" s="8">
        <v>136950.4375</v>
      </c>
      <c r="E2717" s="8">
        <v>136978.921875</v>
      </c>
      <c r="F2717" s="8">
        <f t="shared" si="84"/>
        <v>28.484375</v>
      </c>
      <c r="G2717" s="8">
        <f t="shared" si="85"/>
        <v>2.8484374999999999E-2</v>
      </c>
    </row>
    <row r="2718" spans="1:7" x14ac:dyDescent="0.25">
      <c r="A2718" s="8">
        <v>35</v>
      </c>
      <c r="B2718" s="8">
        <v>50</v>
      </c>
      <c r="C2718" s="8">
        <v>598.714294</v>
      </c>
      <c r="D2718" s="8">
        <v>141423.078125</v>
      </c>
      <c r="E2718" s="8">
        <v>141430.71875</v>
      </c>
      <c r="F2718" s="8">
        <f t="shared" si="84"/>
        <v>7.640625</v>
      </c>
      <c r="G2718" s="8">
        <f t="shared" si="85"/>
        <v>7.6406249999999998E-3</v>
      </c>
    </row>
    <row r="2719" spans="1:7" x14ac:dyDescent="0.25">
      <c r="A2719" s="8">
        <v>35</v>
      </c>
      <c r="B2719" s="8">
        <v>51</v>
      </c>
      <c r="C2719" s="8">
        <v>119.598152</v>
      </c>
      <c r="D2719" s="8">
        <v>142030.796875</v>
      </c>
      <c r="E2719" s="8">
        <v>142040.609375</v>
      </c>
      <c r="F2719" s="8">
        <f t="shared" si="84"/>
        <v>9.8125</v>
      </c>
      <c r="G2719" s="8">
        <f t="shared" si="85"/>
        <v>9.8125E-3</v>
      </c>
    </row>
    <row r="2720" spans="1:7" x14ac:dyDescent="0.25">
      <c r="A2720" s="8">
        <v>35</v>
      </c>
      <c r="B2720" s="8">
        <v>52</v>
      </c>
      <c r="C2720" s="8">
        <v>2046.546875</v>
      </c>
      <c r="D2720" s="8">
        <v>142171.453125</v>
      </c>
      <c r="E2720" s="8">
        <v>142191.296875</v>
      </c>
      <c r="F2720" s="8">
        <f t="shared" si="84"/>
        <v>19.84375</v>
      </c>
      <c r="G2720" s="8">
        <f t="shared" si="85"/>
        <v>1.984375E-2</v>
      </c>
    </row>
    <row r="2721" spans="1:7" x14ac:dyDescent="0.25">
      <c r="A2721" s="8">
        <v>35</v>
      </c>
      <c r="B2721" s="8">
        <v>53</v>
      </c>
      <c r="C2721" s="8">
        <v>961.053223</v>
      </c>
      <c r="D2721" s="8">
        <v>144244.359375</v>
      </c>
      <c r="E2721" s="8">
        <v>144264.984375</v>
      </c>
      <c r="F2721" s="8">
        <f t="shared" si="84"/>
        <v>20.625</v>
      </c>
      <c r="G2721" s="8">
        <f t="shared" si="85"/>
        <v>2.0625000000000001E-2</v>
      </c>
    </row>
    <row r="2722" spans="1:7" x14ac:dyDescent="0.25">
      <c r="A2722" s="8">
        <v>35</v>
      </c>
      <c r="B2722" s="8">
        <v>54</v>
      </c>
      <c r="C2722" s="8">
        <v>4655.669922</v>
      </c>
      <c r="D2722" s="8">
        <v>145240.28125</v>
      </c>
      <c r="E2722" s="8">
        <v>145258.5625</v>
      </c>
      <c r="F2722" s="8">
        <f t="shared" si="84"/>
        <v>18.28125</v>
      </c>
      <c r="G2722" s="8">
        <f t="shared" si="85"/>
        <v>1.8281249999999999E-2</v>
      </c>
    </row>
    <row r="2723" spans="1:7" x14ac:dyDescent="0.25">
      <c r="A2723" s="8">
        <v>35</v>
      </c>
      <c r="B2723" s="8">
        <v>55</v>
      </c>
      <c r="C2723" s="8">
        <v>7800.8041990000002</v>
      </c>
      <c r="D2723" s="8">
        <v>149920.703125</v>
      </c>
      <c r="E2723" s="8">
        <v>149929.21875</v>
      </c>
      <c r="F2723" s="8">
        <f t="shared" si="84"/>
        <v>8.515625</v>
      </c>
      <c r="G2723" s="8">
        <f t="shared" si="85"/>
        <v>8.5156250000000006E-3</v>
      </c>
    </row>
    <row r="2724" spans="1:7" x14ac:dyDescent="0.25">
      <c r="A2724" s="8">
        <v>35</v>
      </c>
      <c r="B2724" s="8">
        <v>56</v>
      </c>
      <c r="C2724" s="8">
        <v>2497.4243160000001</v>
      </c>
      <c r="D2724" s="8">
        <v>157735.03125</v>
      </c>
      <c r="E2724" s="8">
        <v>157746.453125</v>
      </c>
      <c r="F2724" s="8">
        <f t="shared" si="84"/>
        <v>11.421875</v>
      </c>
      <c r="G2724" s="8">
        <f t="shared" si="85"/>
        <v>1.1421875E-2</v>
      </c>
    </row>
    <row r="2725" spans="1:7" x14ac:dyDescent="0.25">
      <c r="A2725" s="8">
        <v>35</v>
      </c>
      <c r="B2725" s="8">
        <v>57</v>
      </c>
      <c r="C2725" s="8">
        <v>1238.505615</v>
      </c>
      <c r="D2725" s="8">
        <v>160251.9375</v>
      </c>
      <c r="E2725" s="8">
        <v>160275.84375</v>
      </c>
      <c r="F2725" s="8">
        <f t="shared" si="84"/>
        <v>23.90625</v>
      </c>
      <c r="G2725" s="8">
        <f t="shared" si="85"/>
        <v>2.390625E-2</v>
      </c>
    </row>
    <row r="2726" spans="1:7" x14ac:dyDescent="0.25">
      <c r="A2726" s="8">
        <v>35</v>
      </c>
      <c r="B2726" s="8">
        <v>58</v>
      </c>
      <c r="C2726" s="8">
        <v>823.29791299999999</v>
      </c>
      <c r="D2726" s="8">
        <v>161517.6875</v>
      </c>
      <c r="E2726" s="8">
        <v>161533.5</v>
      </c>
      <c r="F2726" s="8">
        <f t="shared" si="84"/>
        <v>15.8125</v>
      </c>
      <c r="G2726" s="8">
        <f t="shared" si="85"/>
        <v>1.58125E-2</v>
      </c>
    </row>
    <row r="2727" spans="1:7" x14ac:dyDescent="0.25">
      <c r="A2727" s="8">
        <v>35</v>
      </c>
      <c r="B2727" s="8">
        <v>59</v>
      </c>
      <c r="C2727" s="8">
        <v>5765.8447269999997</v>
      </c>
      <c r="D2727" s="8">
        <v>162362.015625</v>
      </c>
      <c r="E2727" s="8">
        <v>162379.234375</v>
      </c>
      <c r="F2727" s="8">
        <f t="shared" si="84"/>
        <v>17.21875</v>
      </c>
      <c r="G2727" s="8">
        <f t="shared" si="85"/>
        <v>1.7218750000000001E-2</v>
      </c>
    </row>
    <row r="2728" spans="1:7" x14ac:dyDescent="0.25">
      <c r="A2728" s="8">
        <v>35</v>
      </c>
      <c r="B2728" s="8">
        <v>60</v>
      </c>
      <c r="C2728" s="8">
        <v>273.919464</v>
      </c>
      <c r="D2728" s="8">
        <v>168151.140625</v>
      </c>
      <c r="E2728" s="8">
        <v>168269.75</v>
      </c>
      <c r="F2728" s="8">
        <f t="shared" si="84"/>
        <v>118.609375</v>
      </c>
      <c r="G2728" s="8">
        <f t="shared" si="85"/>
        <v>0.118609375</v>
      </c>
    </row>
    <row r="2729" spans="1:7" x14ac:dyDescent="0.25">
      <c r="A2729" s="8">
        <v>35</v>
      </c>
      <c r="B2729" s="8">
        <v>61</v>
      </c>
      <c r="C2729" s="8">
        <v>5924.6586909999996</v>
      </c>
      <c r="D2729" s="8">
        <v>168544.28125</v>
      </c>
      <c r="E2729" s="8">
        <v>168569.265625</v>
      </c>
      <c r="F2729" s="8">
        <f t="shared" si="84"/>
        <v>24.984375</v>
      </c>
      <c r="G2729" s="8">
        <f t="shared" si="85"/>
        <v>2.4984375E-2</v>
      </c>
    </row>
    <row r="2730" spans="1:7" x14ac:dyDescent="0.25">
      <c r="A2730" s="8">
        <v>36</v>
      </c>
      <c r="B2730" s="8">
        <v>0</v>
      </c>
      <c r="C2730" s="8">
        <v>688.04077099999995</v>
      </c>
      <c r="D2730" s="8">
        <v>26352.464843999998</v>
      </c>
      <c r="E2730" s="8">
        <v>26379.435547000001</v>
      </c>
      <c r="F2730" s="8">
        <f t="shared" si="84"/>
        <v>26.970703000002686</v>
      </c>
      <c r="G2730" s="8">
        <f t="shared" si="85"/>
        <v>2.6970703000002687E-2</v>
      </c>
    </row>
    <row r="2731" spans="1:7" x14ac:dyDescent="0.25">
      <c r="A2731" s="8">
        <v>36</v>
      </c>
      <c r="B2731" s="8">
        <v>1</v>
      </c>
      <c r="C2731" s="8">
        <v>6727.3413090000004</v>
      </c>
      <c r="D2731" s="8">
        <v>27071.269531000002</v>
      </c>
      <c r="E2731" s="8">
        <v>27088.53125</v>
      </c>
      <c r="F2731" s="8">
        <f t="shared" si="84"/>
        <v>17.261718999998266</v>
      </c>
      <c r="G2731" s="8">
        <f t="shared" si="85"/>
        <v>1.7261718999998267E-2</v>
      </c>
    </row>
    <row r="2732" spans="1:7" x14ac:dyDescent="0.25">
      <c r="A2732" s="8">
        <v>36</v>
      </c>
      <c r="B2732" s="8">
        <v>2</v>
      </c>
      <c r="C2732" s="8">
        <v>3597.914307</v>
      </c>
      <c r="D2732" s="8">
        <v>33821.863280999998</v>
      </c>
      <c r="E2732" s="8">
        <v>33843.328125</v>
      </c>
      <c r="F2732" s="8">
        <f t="shared" si="84"/>
        <v>21.464844000001904</v>
      </c>
      <c r="G2732" s="8">
        <f t="shared" si="85"/>
        <v>2.1464844000001905E-2</v>
      </c>
    </row>
    <row r="2733" spans="1:7" x14ac:dyDescent="0.25">
      <c r="A2733" s="8">
        <v>36</v>
      </c>
      <c r="B2733" s="8">
        <v>3</v>
      </c>
      <c r="C2733" s="8">
        <v>2890.6970209999999</v>
      </c>
      <c r="D2733" s="8">
        <v>37440.949219000002</v>
      </c>
      <c r="E2733" s="8">
        <v>37452.90625</v>
      </c>
      <c r="F2733" s="8">
        <f t="shared" si="84"/>
        <v>11.957030999998096</v>
      </c>
      <c r="G2733" s="8">
        <f t="shared" si="85"/>
        <v>1.1957030999998097E-2</v>
      </c>
    </row>
    <row r="2734" spans="1:7" x14ac:dyDescent="0.25">
      <c r="A2734" s="8">
        <v>36</v>
      </c>
      <c r="B2734" s="8">
        <v>4</v>
      </c>
      <c r="C2734" s="8">
        <v>504.86230499999999</v>
      </c>
      <c r="D2734" s="8">
        <v>40355.570312999997</v>
      </c>
      <c r="E2734" s="8">
        <v>40369.738280999998</v>
      </c>
      <c r="F2734" s="8">
        <f t="shared" si="84"/>
        <v>14.167968000001565</v>
      </c>
      <c r="G2734" s="8">
        <f t="shared" si="85"/>
        <v>1.4167968000001564E-2</v>
      </c>
    </row>
    <row r="2735" spans="1:7" x14ac:dyDescent="0.25">
      <c r="A2735" s="8">
        <v>36</v>
      </c>
      <c r="B2735" s="8">
        <v>5</v>
      </c>
      <c r="C2735" s="8">
        <v>46.059989999999999</v>
      </c>
      <c r="D2735" s="8">
        <v>40887.578125</v>
      </c>
      <c r="E2735" s="8">
        <v>40901.90625</v>
      </c>
      <c r="F2735" s="8">
        <f t="shared" si="84"/>
        <v>14.328125</v>
      </c>
      <c r="G2735" s="8">
        <f t="shared" si="85"/>
        <v>1.4328125000000001E-2</v>
      </c>
    </row>
    <row r="2736" spans="1:7" x14ac:dyDescent="0.25">
      <c r="A2736" s="8">
        <v>36</v>
      </c>
      <c r="B2736" s="8">
        <v>6</v>
      </c>
      <c r="C2736" s="8">
        <v>3597.914307</v>
      </c>
      <c r="D2736" s="8">
        <v>40950.117187999997</v>
      </c>
      <c r="E2736" s="8">
        <v>41005.757812999997</v>
      </c>
      <c r="F2736" s="8">
        <f t="shared" si="84"/>
        <v>55.640625</v>
      </c>
      <c r="G2736" s="8">
        <f t="shared" si="85"/>
        <v>5.5640624999999999E-2</v>
      </c>
    </row>
    <row r="2737" spans="1:7" x14ac:dyDescent="0.25">
      <c r="A2737" s="8">
        <v>36</v>
      </c>
      <c r="B2737" s="8">
        <v>7</v>
      </c>
      <c r="C2737" s="8">
        <v>103.65664700000001</v>
      </c>
      <c r="D2737" s="8">
        <v>44615.625</v>
      </c>
      <c r="E2737" s="8">
        <v>44627.066405999998</v>
      </c>
      <c r="F2737" s="8">
        <f t="shared" si="84"/>
        <v>11.441405999998096</v>
      </c>
      <c r="G2737" s="8">
        <f t="shared" si="85"/>
        <v>1.1441405999998096E-2</v>
      </c>
    </row>
    <row r="2738" spans="1:7" x14ac:dyDescent="0.25">
      <c r="A2738" s="8">
        <v>36</v>
      </c>
      <c r="B2738" s="8">
        <v>8</v>
      </c>
      <c r="C2738" s="8">
        <v>205.999619</v>
      </c>
      <c r="D2738" s="8">
        <v>44740.632812999997</v>
      </c>
      <c r="E2738" s="8">
        <v>44752.660155999998</v>
      </c>
      <c r="F2738" s="8">
        <f t="shared" si="84"/>
        <v>12.027343000001565</v>
      </c>
      <c r="G2738" s="8">
        <f t="shared" si="85"/>
        <v>1.2027343000001566E-2</v>
      </c>
    </row>
    <row r="2739" spans="1:7" x14ac:dyDescent="0.25">
      <c r="A2739" s="8">
        <v>36</v>
      </c>
      <c r="B2739" s="8">
        <v>9</v>
      </c>
      <c r="C2739" s="8">
        <v>1098.9332280000001</v>
      </c>
      <c r="D2739" s="8">
        <v>44959.410155999998</v>
      </c>
      <c r="E2739" s="8">
        <v>44967.0625</v>
      </c>
      <c r="F2739" s="8">
        <f t="shared" si="84"/>
        <v>7.6523440000019036</v>
      </c>
      <c r="G2739" s="8">
        <f t="shared" si="85"/>
        <v>7.652344000001904E-3</v>
      </c>
    </row>
    <row r="2740" spans="1:7" x14ac:dyDescent="0.25">
      <c r="A2740" s="8">
        <v>36</v>
      </c>
      <c r="B2740" s="8">
        <v>10</v>
      </c>
      <c r="C2740" s="8">
        <v>4371.9316410000001</v>
      </c>
      <c r="D2740" s="8">
        <v>46069.859375</v>
      </c>
      <c r="E2740" s="8">
        <v>46087.265625</v>
      </c>
      <c r="F2740" s="8">
        <f t="shared" si="84"/>
        <v>17.40625</v>
      </c>
      <c r="G2740" s="8">
        <f t="shared" si="85"/>
        <v>1.7406250000000002E-2</v>
      </c>
    </row>
    <row r="2741" spans="1:7" x14ac:dyDescent="0.25">
      <c r="A2741" s="8">
        <v>36</v>
      </c>
      <c r="B2741" s="8">
        <v>11</v>
      </c>
      <c r="C2741" s="8">
        <v>333.81414799999999</v>
      </c>
      <c r="D2741" s="8">
        <v>50471.597655999998</v>
      </c>
      <c r="E2741" s="8">
        <v>50485.691405999998</v>
      </c>
      <c r="F2741" s="8">
        <f t="shared" si="84"/>
        <v>14.09375</v>
      </c>
      <c r="G2741" s="8">
        <f t="shared" si="85"/>
        <v>1.409375E-2</v>
      </c>
    </row>
    <row r="2742" spans="1:7" x14ac:dyDescent="0.25">
      <c r="A2742" s="8">
        <v>36</v>
      </c>
      <c r="B2742" s="8">
        <v>12</v>
      </c>
      <c r="C2742" s="8">
        <v>5503.5590819999998</v>
      </c>
      <c r="D2742" s="8">
        <v>50830.792969000002</v>
      </c>
      <c r="E2742" s="8">
        <v>50848.269530999998</v>
      </c>
      <c r="F2742" s="8">
        <f t="shared" si="84"/>
        <v>17.476561999996193</v>
      </c>
      <c r="G2742" s="8">
        <f t="shared" si="85"/>
        <v>1.7476561999996192E-2</v>
      </c>
    </row>
    <row r="2743" spans="1:7" x14ac:dyDescent="0.25">
      <c r="A2743" s="8">
        <v>36</v>
      </c>
      <c r="B2743" s="8">
        <v>13</v>
      </c>
      <c r="C2743" s="8">
        <v>2142.9133299999999</v>
      </c>
      <c r="D2743" s="8">
        <v>56363.152344000002</v>
      </c>
      <c r="E2743" s="8">
        <v>56378.613280999998</v>
      </c>
      <c r="F2743" s="8">
        <f t="shared" si="84"/>
        <v>15.460936999996193</v>
      </c>
      <c r="G2743" s="8">
        <f t="shared" si="85"/>
        <v>1.5460936999996193E-2</v>
      </c>
    </row>
    <row r="2744" spans="1:7" x14ac:dyDescent="0.25">
      <c r="A2744" s="8">
        <v>36</v>
      </c>
      <c r="B2744" s="8">
        <v>14</v>
      </c>
      <c r="C2744" s="8">
        <v>875.75323500000002</v>
      </c>
      <c r="D2744" s="8">
        <v>58528.488280999998</v>
      </c>
      <c r="E2744" s="8">
        <v>58540.039062999997</v>
      </c>
      <c r="F2744" s="8">
        <f t="shared" si="84"/>
        <v>11.550781999998435</v>
      </c>
      <c r="G2744" s="8">
        <f t="shared" si="85"/>
        <v>1.1550781999998434E-2</v>
      </c>
    </row>
    <row r="2745" spans="1:7" x14ac:dyDescent="0.25">
      <c r="A2745" s="8">
        <v>36</v>
      </c>
      <c r="B2745" s="8">
        <v>15</v>
      </c>
      <c r="C2745" s="8">
        <v>7779.798828</v>
      </c>
      <c r="D2745" s="8">
        <v>59419.226562999997</v>
      </c>
      <c r="E2745" s="8">
        <v>59430.460937999997</v>
      </c>
      <c r="F2745" s="8">
        <f t="shared" si="84"/>
        <v>11.234375</v>
      </c>
      <c r="G2745" s="8">
        <f t="shared" si="85"/>
        <v>1.1234375E-2</v>
      </c>
    </row>
    <row r="2746" spans="1:7" x14ac:dyDescent="0.25">
      <c r="A2746" s="8">
        <v>36</v>
      </c>
      <c r="B2746" s="8">
        <v>16</v>
      </c>
      <c r="C2746" s="8">
        <v>1632.3404539999999</v>
      </c>
      <c r="D2746" s="8">
        <v>67216.273438000004</v>
      </c>
      <c r="E2746" s="8">
        <v>67233.554688000004</v>
      </c>
      <c r="F2746" s="8">
        <f t="shared" si="84"/>
        <v>17.28125</v>
      </c>
      <c r="G2746" s="8">
        <f t="shared" si="85"/>
        <v>1.7281250000000001E-2</v>
      </c>
    </row>
    <row r="2747" spans="1:7" x14ac:dyDescent="0.25">
      <c r="A2747" s="8">
        <v>36</v>
      </c>
      <c r="B2747" s="8">
        <v>17</v>
      </c>
      <c r="C2747" s="8">
        <v>342.27053799999999</v>
      </c>
      <c r="D2747" s="8">
        <v>68873.507813000004</v>
      </c>
      <c r="E2747" s="8">
        <v>68894.085938000004</v>
      </c>
      <c r="F2747" s="8">
        <f t="shared" si="84"/>
        <v>20.578125</v>
      </c>
      <c r="G2747" s="8">
        <f t="shared" si="85"/>
        <v>2.0578124999999999E-2</v>
      </c>
    </row>
    <row r="2748" spans="1:7" x14ac:dyDescent="0.25">
      <c r="A2748" s="8">
        <v>36</v>
      </c>
      <c r="B2748" s="8">
        <v>18</v>
      </c>
      <c r="C2748" s="8">
        <v>2975.3432619999999</v>
      </c>
      <c r="D2748" s="8">
        <v>69248.90625</v>
      </c>
      <c r="E2748" s="8">
        <v>69266.132813000004</v>
      </c>
      <c r="F2748" s="8">
        <f t="shared" si="84"/>
        <v>17.226563000003807</v>
      </c>
      <c r="G2748" s="8">
        <f t="shared" si="85"/>
        <v>1.7226563000003806E-2</v>
      </c>
    </row>
    <row r="2749" spans="1:7" x14ac:dyDescent="0.25">
      <c r="A2749" s="8">
        <v>36</v>
      </c>
      <c r="B2749" s="8">
        <v>19</v>
      </c>
      <c r="C2749" s="8">
        <v>5135.09375</v>
      </c>
      <c r="D2749" s="8">
        <v>72247.984375</v>
      </c>
      <c r="E2749" s="8">
        <v>72266.796875</v>
      </c>
      <c r="F2749" s="8">
        <f t="shared" si="84"/>
        <v>18.8125</v>
      </c>
      <c r="G2749" s="8">
        <f t="shared" si="85"/>
        <v>1.8812499999999999E-2</v>
      </c>
    </row>
    <row r="2750" spans="1:7" x14ac:dyDescent="0.25">
      <c r="A2750" s="8">
        <v>36</v>
      </c>
      <c r="B2750" s="8">
        <v>20</v>
      </c>
      <c r="C2750" s="8">
        <v>557.31793200000004</v>
      </c>
      <c r="D2750" s="8">
        <v>77413.351563000004</v>
      </c>
      <c r="E2750" s="8">
        <v>77440.390625</v>
      </c>
      <c r="F2750" s="8">
        <f t="shared" si="84"/>
        <v>27.039061999996193</v>
      </c>
      <c r="G2750" s="8">
        <f t="shared" si="85"/>
        <v>2.7039061999996193E-2</v>
      </c>
    </row>
    <row r="2751" spans="1:7" x14ac:dyDescent="0.25">
      <c r="A2751" s="8">
        <v>36</v>
      </c>
      <c r="B2751" s="8">
        <v>21</v>
      </c>
      <c r="C2751" s="8">
        <v>403.234375</v>
      </c>
      <c r="D2751" s="8">
        <v>78010.335938000004</v>
      </c>
      <c r="E2751" s="8">
        <v>78018.507813000004</v>
      </c>
      <c r="F2751" s="8">
        <f t="shared" si="84"/>
        <v>8.171875</v>
      </c>
      <c r="G2751" s="8">
        <f t="shared" si="85"/>
        <v>8.1718750000000003E-3</v>
      </c>
    </row>
    <row r="2752" spans="1:7" x14ac:dyDescent="0.25">
      <c r="A2752" s="8">
        <v>36</v>
      </c>
      <c r="B2752" s="8">
        <v>22</v>
      </c>
      <c r="C2752" s="8">
        <v>1649.5329589999999</v>
      </c>
      <c r="D2752" s="8">
        <v>78435.257813000004</v>
      </c>
      <c r="E2752" s="8">
        <v>78442.757813000004</v>
      </c>
      <c r="F2752" s="8">
        <f t="shared" si="84"/>
        <v>7.5</v>
      </c>
      <c r="G2752" s="8">
        <f t="shared" si="85"/>
        <v>7.4999999999999997E-3</v>
      </c>
    </row>
    <row r="2753" spans="1:7" x14ac:dyDescent="0.25">
      <c r="A2753" s="8">
        <v>36</v>
      </c>
      <c r="B2753" s="8">
        <v>23</v>
      </c>
      <c r="C2753" s="8">
        <v>2087.0317380000001</v>
      </c>
      <c r="D2753" s="8">
        <v>80097.875</v>
      </c>
      <c r="E2753" s="8">
        <v>80127.976563000004</v>
      </c>
      <c r="F2753" s="8">
        <f t="shared" si="84"/>
        <v>30.101563000003807</v>
      </c>
      <c r="G2753" s="8">
        <f t="shared" si="85"/>
        <v>3.0101563000003807E-2</v>
      </c>
    </row>
    <row r="2754" spans="1:7" x14ac:dyDescent="0.25">
      <c r="A2754" s="8">
        <v>36</v>
      </c>
      <c r="B2754" s="8">
        <v>24</v>
      </c>
      <c r="C2754" s="8">
        <v>2979.671143</v>
      </c>
      <c r="D2754" s="8">
        <v>82229.898438000004</v>
      </c>
      <c r="E2754" s="8">
        <v>82258.125</v>
      </c>
      <c r="F2754" s="8">
        <f t="shared" si="84"/>
        <v>28.226561999996193</v>
      </c>
      <c r="G2754" s="8">
        <f t="shared" si="85"/>
        <v>2.8226561999996194E-2</v>
      </c>
    </row>
    <row r="2755" spans="1:7" x14ac:dyDescent="0.25">
      <c r="A2755" s="8">
        <v>36</v>
      </c>
      <c r="B2755" s="8">
        <v>25</v>
      </c>
      <c r="C2755" s="8">
        <v>1703.0161129999999</v>
      </c>
      <c r="D2755" s="8">
        <v>85251.070313000004</v>
      </c>
      <c r="E2755" s="8">
        <v>85261.84375</v>
      </c>
      <c r="F2755" s="8">
        <f t="shared" si="84"/>
        <v>10.773436999996193</v>
      </c>
      <c r="G2755" s="8">
        <f t="shared" si="85"/>
        <v>1.0773436999996193E-2</v>
      </c>
    </row>
    <row r="2756" spans="1:7" x14ac:dyDescent="0.25">
      <c r="A2756" s="8">
        <v>36</v>
      </c>
      <c r="B2756" s="8">
        <v>26</v>
      </c>
      <c r="C2756" s="8">
        <v>294.10986300000002</v>
      </c>
      <c r="D2756" s="8">
        <v>86971.53125</v>
      </c>
      <c r="E2756" s="8">
        <v>86985.34375</v>
      </c>
      <c r="F2756" s="8">
        <f t="shared" si="84"/>
        <v>13.8125</v>
      </c>
      <c r="G2756" s="8">
        <f t="shared" si="85"/>
        <v>1.38125E-2</v>
      </c>
    </row>
    <row r="2757" spans="1:7" x14ac:dyDescent="0.25">
      <c r="A2757" s="8">
        <v>36</v>
      </c>
      <c r="B2757" s="8">
        <v>27</v>
      </c>
      <c r="C2757" s="8">
        <v>1725.5974120000001</v>
      </c>
      <c r="D2757" s="8">
        <v>87285.710938000004</v>
      </c>
      <c r="E2757" s="8">
        <v>87312.164063000004</v>
      </c>
      <c r="F2757" s="8">
        <f t="shared" si="84"/>
        <v>26.453125</v>
      </c>
      <c r="G2757" s="8">
        <f t="shared" si="85"/>
        <v>2.6453125000000001E-2</v>
      </c>
    </row>
    <row r="2758" spans="1:7" x14ac:dyDescent="0.25">
      <c r="A2758" s="8">
        <v>36</v>
      </c>
      <c r="B2758" s="8">
        <v>28</v>
      </c>
      <c r="C2758" s="8">
        <v>794.94152799999995</v>
      </c>
      <c r="D2758" s="8">
        <v>89037.390625</v>
      </c>
      <c r="E2758" s="8">
        <v>89048.835938000004</v>
      </c>
      <c r="F2758" s="8">
        <f t="shared" si="84"/>
        <v>11.445313000003807</v>
      </c>
      <c r="G2758" s="8">
        <f t="shared" si="85"/>
        <v>1.1445313000003808E-2</v>
      </c>
    </row>
    <row r="2759" spans="1:7" x14ac:dyDescent="0.25">
      <c r="A2759" s="8">
        <v>36</v>
      </c>
      <c r="B2759" s="8">
        <v>29</v>
      </c>
      <c r="C2759" s="8">
        <v>5955.5932620000003</v>
      </c>
      <c r="D2759" s="8">
        <v>89854.75</v>
      </c>
      <c r="E2759" s="8">
        <v>89877.984375</v>
      </c>
      <c r="F2759" s="8">
        <f t="shared" si="84"/>
        <v>23.234375</v>
      </c>
      <c r="G2759" s="8">
        <f t="shared" si="85"/>
        <v>2.3234375000000002E-2</v>
      </c>
    </row>
    <row r="2760" spans="1:7" x14ac:dyDescent="0.25">
      <c r="A2760" s="8">
        <v>36</v>
      </c>
      <c r="B2760" s="8">
        <v>30</v>
      </c>
      <c r="C2760" s="8">
        <v>2380.6860350000002</v>
      </c>
      <c r="D2760" s="8">
        <v>95834.609375</v>
      </c>
      <c r="E2760" s="8">
        <v>95841.960938000004</v>
      </c>
      <c r="F2760" s="8">
        <f t="shared" si="84"/>
        <v>7.3515630000038072</v>
      </c>
      <c r="G2760" s="8">
        <f t="shared" si="85"/>
        <v>7.351563000003807E-3</v>
      </c>
    </row>
    <row r="2761" spans="1:7" x14ac:dyDescent="0.25">
      <c r="A2761" s="8">
        <v>36</v>
      </c>
      <c r="B2761" s="8">
        <v>31</v>
      </c>
      <c r="C2761" s="8">
        <v>1217.1910399999999</v>
      </c>
      <c r="D2761" s="8">
        <v>98222.742188000004</v>
      </c>
      <c r="E2761" s="8">
        <v>98234.453125</v>
      </c>
      <c r="F2761" s="8">
        <f t="shared" si="84"/>
        <v>11.710936999996193</v>
      </c>
      <c r="G2761" s="8">
        <f t="shared" si="85"/>
        <v>1.1710936999996193E-2</v>
      </c>
    </row>
    <row r="2762" spans="1:7" x14ac:dyDescent="0.25">
      <c r="A2762" s="8">
        <v>36</v>
      </c>
      <c r="B2762" s="8">
        <v>32</v>
      </c>
      <c r="C2762" s="8">
        <v>404.13073700000001</v>
      </c>
      <c r="D2762" s="8">
        <v>99463.828125</v>
      </c>
      <c r="E2762" s="8">
        <v>99492.710938000004</v>
      </c>
      <c r="F2762" s="8">
        <f t="shared" si="84"/>
        <v>28.882813000003807</v>
      </c>
      <c r="G2762" s="8">
        <f t="shared" si="85"/>
        <v>2.8882813000003806E-2</v>
      </c>
    </row>
    <row r="2763" spans="1:7" x14ac:dyDescent="0.25">
      <c r="A2763" s="8">
        <v>36</v>
      </c>
      <c r="B2763" s="8">
        <v>33</v>
      </c>
      <c r="C2763" s="8">
        <v>1215.8454589999999</v>
      </c>
      <c r="D2763" s="8">
        <v>99901.375</v>
      </c>
      <c r="E2763" s="8">
        <v>99909.25</v>
      </c>
      <c r="F2763" s="8">
        <f t="shared" ref="F2763:F2826" si="86">E2763-D2763</f>
        <v>7.875</v>
      </c>
      <c r="G2763" s="8">
        <f t="shared" ref="G2763:G2826" si="87">F2763/1000</f>
        <v>7.8750000000000001E-3</v>
      </c>
    </row>
    <row r="2764" spans="1:7" x14ac:dyDescent="0.25">
      <c r="A2764" s="8">
        <v>36</v>
      </c>
      <c r="B2764" s="8">
        <v>34</v>
      </c>
      <c r="C2764" s="8">
        <v>865.37725799999998</v>
      </c>
      <c r="D2764" s="8">
        <v>101137.585938</v>
      </c>
      <c r="E2764" s="8">
        <v>101154.203125</v>
      </c>
      <c r="F2764" s="8">
        <f t="shared" si="86"/>
        <v>16.617186999996193</v>
      </c>
      <c r="G2764" s="8">
        <f t="shared" si="87"/>
        <v>1.6617186999996193E-2</v>
      </c>
    </row>
    <row r="2765" spans="1:7" x14ac:dyDescent="0.25">
      <c r="A2765" s="8">
        <v>36</v>
      </c>
      <c r="B2765" s="8">
        <v>35</v>
      </c>
      <c r="C2765" s="8">
        <v>3216.8627929999998</v>
      </c>
      <c r="D2765" s="8">
        <v>102026.234375</v>
      </c>
      <c r="E2765" s="8">
        <v>102036.789063</v>
      </c>
      <c r="F2765" s="8">
        <f t="shared" si="86"/>
        <v>10.554688000003807</v>
      </c>
      <c r="G2765" s="8">
        <f t="shared" si="87"/>
        <v>1.0554688000003807E-2</v>
      </c>
    </row>
    <row r="2766" spans="1:7" x14ac:dyDescent="0.25">
      <c r="A2766" s="8">
        <v>36</v>
      </c>
      <c r="B2766" s="8">
        <v>36</v>
      </c>
      <c r="C2766" s="8">
        <v>2541.7416990000002</v>
      </c>
      <c r="D2766" s="8">
        <v>105253.445313</v>
      </c>
      <c r="E2766" s="8">
        <v>105262.578125</v>
      </c>
      <c r="F2766" s="8">
        <f t="shared" si="86"/>
        <v>9.1328119999961928</v>
      </c>
      <c r="G2766" s="8">
        <f t="shared" si="87"/>
        <v>9.1328119999961929E-3</v>
      </c>
    </row>
    <row r="2767" spans="1:7" x14ac:dyDescent="0.25">
      <c r="A2767" s="8">
        <v>36</v>
      </c>
      <c r="B2767" s="8">
        <v>37</v>
      </c>
      <c r="C2767" s="8">
        <v>2085.9926759999998</v>
      </c>
      <c r="D2767" s="8">
        <v>107813.390625</v>
      </c>
      <c r="E2767" s="8">
        <v>107821.234375</v>
      </c>
      <c r="F2767" s="8">
        <f t="shared" si="86"/>
        <v>7.84375</v>
      </c>
      <c r="G2767" s="8">
        <f t="shared" si="87"/>
        <v>7.84375E-3</v>
      </c>
    </row>
    <row r="2768" spans="1:7" x14ac:dyDescent="0.25">
      <c r="A2768" s="8">
        <v>36</v>
      </c>
      <c r="B2768" s="8">
        <v>38</v>
      </c>
      <c r="C2768" s="8">
        <v>3837.8652339999999</v>
      </c>
      <c r="D2768" s="8">
        <v>109908.289063</v>
      </c>
      <c r="E2768" s="8">
        <v>109961.578125</v>
      </c>
      <c r="F2768" s="8">
        <f t="shared" si="86"/>
        <v>53.289061999996193</v>
      </c>
      <c r="G2768" s="8">
        <f t="shared" si="87"/>
        <v>5.3289061999996196E-2</v>
      </c>
    </row>
    <row r="2769" spans="1:7" x14ac:dyDescent="0.25">
      <c r="A2769" s="8">
        <v>36</v>
      </c>
      <c r="B2769" s="8">
        <v>39</v>
      </c>
      <c r="C2769" s="8">
        <v>1893.1218260000001</v>
      </c>
      <c r="D2769" s="8">
        <v>113800</v>
      </c>
      <c r="E2769" s="8">
        <v>113814.210938</v>
      </c>
      <c r="F2769" s="8">
        <f t="shared" si="86"/>
        <v>14.210938000003807</v>
      </c>
      <c r="G2769" s="8">
        <f t="shared" si="87"/>
        <v>1.4210938000003807E-2</v>
      </c>
    </row>
    <row r="2770" spans="1:7" x14ac:dyDescent="0.25">
      <c r="A2770" s="8">
        <v>36</v>
      </c>
      <c r="B2770" s="8">
        <v>40</v>
      </c>
      <c r="C2770" s="8">
        <v>2220.3073730000001</v>
      </c>
      <c r="D2770" s="8">
        <v>115708.125</v>
      </c>
      <c r="E2770" s="8">
        <v>115716.039063</v>
      </c>
      <c r="F2770" s="8">
        <f t="shared" si="86"/>
        <v>7.9140630000038072</v>
      </c>
      <c r="G2770" s="8">
        <f t="shared" si="87"/>
        <v>7.9140630000038067E-3</v>
      </c>
    </row>
    <row r="2771" spans="1:7" x14ac:dyDescent="0.25">
      <c r="A2771" s="8">
        <v>36</v>
      </c>
      <c r="B2771" s="8">
        <v>41</v>
      </c>
      <c r="C2771" s="8">
        <v>1865.785034</v>
      </c>
      <c r="D2771" s="8">
        <v>117947.476563</v>
      </c>
      <c r="E2771" s="8">
        <v>117977.554688</v>
      </c>
      <c r="F2771" s="8">
        <f t="shared" si="86"/>
        <v>30.078125</v>
      </c>
      <c r="G2771" s="8">
        <f t="shared" si="87"/>
        <v>3.0078125000000001E-2</v>
      </c>
    </row>
    <row r="2772" spans="1:7" x14ac:dyDescent="0.25">
      <c r="A2772" s="8">
        <v>36</v>
      </c>
      <c r="B2772" s="8">
        <v>42</v>
      </c>
      <c r="C2772" s="8">
        <v>1912.8793949999999</v>
      </c>
      <c r="D2772" s="8">
        <v>119843.515625</v>
      </c>
      <c r="E2772" s="8">
        <v>119867.851563</v>
      </c>
      <c r="F2772" s="8">
        <f t="shared" si="86"/>
        <v>24.335938000003807</v>
      </c>
      <c r="G2772" s="8">
        <f t="shared" si="87"/>
        <v>2.4335938000003807E-2</v>
      </c>
    </row>
    <row r="2773" spans="1:7" x14ac:dyDescent="0.25">
      <c r="A2773" s="8">
        <v>36</v>
      </c>
      <c r="B2773" s="8">
        <v>43</v>
      </c>
      <c r="C2773" s="8">
        <v>390.72882099999998</v>
      </c>
      <c r="D2773" s="8">
        <v>121783.21875</v>
      </c>
      <c r="E2773" s="8">
        <v>121795.75</v>
      </c>
      <c r="F2773" s="8">
        <f t="shared" si="86"/>
        <v>12.53125</v>
      </c>
      <c r="G2773" s="8">
        <f t="shared" si="87"/>
        <v>1.2531250000000001E-2</v>
      </c>
    </row>
    <row r="2774" spans="1:7" x14ac:dyDescent="0.25">
      <c r="A2774" s="8">
        <v>36</v>
      </c>
      <c r="B2774" s="8">
        <v>44</v>
      </c>
      <c r="C2774" s="8">
        <v>210.741364</v>
      </c>
      <c r="D2774" s="8">
        <v>122189.570313</v>
      </c>
      <c r="E2774" s="8">
        <v>122197.226563</v>
      </c>
      <c r="F2774" s="8">
        <f t="shared" si="86"/>
        <v>7.65625</v>
      </c>
      <c r="G2774" s="8">
        <f t="shared" si="87"/>
        <v>7.6562499999999999E-3</v>
      </c>
    </row>
    <row r="2775" spans="1:7" x14ac:dyDescent="0.25">
      <c r="A2775" s="8">
        <v>36</v>
      </c>
      <c r="B2775" s="8">
        <v>45</v>
      </c>
      <c r="C2775" s="8">
        <v>4286.3374020000001</v>
      </c>
      <c r="D2775" s="8">
        <v>122408.132813</v>
      </c>
      <c r="E2775" s="8">
        <v>122423.304688</v>
      </c>
      <c r="F2775" s="8">
        <f t="shared" si="86"/>
        <v>15.171875</v>
      </c>
      <c r="G2775" s="8">
        <f t="shared" si="87"/>
        <v>1.5171875E-2</v>
      </c>
    </row>
    <row r="2776" spans="1:7" x14ac:dyDescent="0.25">
      <c r="A2776" s="8">
        <v>36</v>
      </c>
      <c r="B2776" s="8">
        <v>46</v>
      </c>
      <c r="C2776" s="8">
        <v>610.02673300000004</v>
      </c>
      <c r="D2776" s="8">
        <v>126721.695313</v>
      </c>
      <c r="E2776" s="8">
        <v>126738.65625</v>
      </c>
      <c r="F2776" s="8">
        <f t="shared" si="86"/>
        <v>16.960936999996193</v>
      </c>
      <c r="G2776" s="8">
        <f t="shared" si="87"/>
        <v>1.6960936999996193E-2</v>
      </c>
    </row>
    <row r="2777" spans="1:7" x14ac:dyDescent="0.25">
      <c r="A2777" s="8">
        <v>36</v>
      </c>
      <c r="B2777" s="8">
        <v>47</v>
      </c>
      <c r="C2777" s="8">
        <v>711.59796100000005</v>
      </c>
      <c r="D2777" s="8">
        <v>127362.195313</v>
      </c>
      <c r="E2777" s="8">
        <v>127380.835938</v>
      </c>
      <c r="F2777" s="8">
        <f t="shared" si="86"/>
        <v>18.640625</v>
      </c>
      <c r="G2777" s="8">
        <f t="shared" si="87"/>
        <v>1.8640625000000001E-2</v>
      </c>
    </row>
    <row r="2778" spans="1:7" x14ac:dyDescent="0.25">
      <c r="A2778" s="8">
        <v>36</v>
      </c>
      <c r="B2778" s="8">
        <v>48</v>
      </c>
      <c r="C2778" s="8">
        <v>152.13090500000001</v>
      </c>
      <c r="D2778" s="8">
        <v>128096.8125</v>
      </c>
      <c r="E2778" s="8">
        <v>128110.507813</v>
      </c>
      <c r="F2778" s="8">
        <f t="shared" si="86"/>
        <v>13.695313000003807</v>
      </c>
      <c r="G2778" s="8">
        <f t="shared" si="87"/>
        <v>1.3695313000003807E-2</v>
      </c>
    </row>
    <row r="2779" spans="1:7" x14ac:dyDescent="0.25">
      <c r="A2779" s="8">
        <v>36</v>
      </c>
      <c r="B2779" s="8">
        <v>49</v>
      </c>
      <c r="C2779" s="8">
        <v>886.18316700000003</v>
      </c>
      <c r="D2779" s="8">
        <v>128270.039063</v>
      </c>
      <c r="E2779" s="8">
        <v>128291.078125</v>
      </c>
      <c r="F2779" s="8">
        <f t="shared" si="86"/>
        <v>21.039061999996193</v>
      </c>
      <c r="G2779" s="8">
        <f t="shared" si="87"/>
        <v>2.1039061999996191E-2</v>
      </c>
    </row>
    <row r="2780" spans="1:7" x14ac:dyDescent="0.25">
      <c r="A2780" s="8">
        <v>36</v>
      </c>
      <c r="B2780" s="8">
        <v>50</v>
      </c>
      <c r="C2780" s="8">
        <v>1075.8055420000001</v>
      </c>
      <c r="D2780" s="8">
        <v>129192</v>
      </c>
      <c r="E2780" s="8">
        <v>129205.960938</v>
      </c>
      <c r="F2780" s="8">
        <f t="shared" si="86"/>
        <v>13.960938000003807</v>
      </c>
      <c r="G2780" s="8">
        <f t="shared" si="87"/>
        <v>1.3960938000003807E-2</v>
      </c>
    </row>
    <row r="2781" spans="1:7" x14ac:dyDescent="0.25">
      <c r="A2781" s="8">
        <v>36</v>
      </c>
      <c r="B2781" s="8">
        <v>51</v>
      </c>
      <c r="C2781" s="8">
        <v>3347.891846</v>
      </c>
      <c r="D2781" s="8">
        <v>130285.851563</v>
      </c>
      <c r="E2781" s="8">
        <v>130296.734375</v>
      </c>
      <c r="F2781" s="8">
        <f t="shared" si="86"/>
        <v>10.882811999996193</v>
      </c>
      <c r="G2781" s="8">
        <f t="shared" si="87"/>
        <v>1.0882811999996193E-2</v>
      </c>
    </row>
    <row r="2782" spans="1:7" x14ac:dyDescent="0.25">
      <c r="A2782" s="8">
        <v>36</v>
      </c>
      <c r="B2782" s="8">
        <v>52</v>
      </c>
      <c r="C2782" s="8">
        <v>1345.6326899999999</v>
      </c>
      <c r="D2782" s="8">
        <v>133644.328125</v>
      </c>
      <c r="E2782" s="8">
        <v>133658</v>
      </c>
      <c r="F2782" s="8">
        <f t="shared" si="86"/>
        <v>13.671875</v>
      </c>
      <c r="G2782" s="8">
        <f t="shared" si="87"/>
        <v>1.3671875E-2</v>
      </c>
    </row>
    <row r="2783" spans="1:7" x14ac:dyDescent="0.25">
      <c r="A2783" s="8">
        <v>36</v>
      </c>
      <c r="B2783" s="8">
        <v>53</v>
      </c>
      <c r="C2783" s="8">
        <v>1946.840942</v>
      </c>
      <c r="D2783" s="8">
        <v>135005.984375</v>
      </c>
      <c r="E2783" s="8">
        <v>135028.265625</v>
      </c>
      <c r="F2783" s="8">
        <f t="shared" si="86"/>
        <v>22.28125</v>
      </c>
      <c r="G2783" s="8">
        <f t="shared" si="87"/>
        <v>2.2281249999999999E-2</v>
      </c>
    </row>
    <row r="2784" spans="1:7" x14ac:dyDescent="0.25">
      <c r="A2784" s="8">
        <v>36</v>
      </c>
      <c r="B2784" s="8">
        <v>54</v>
      </c>
      <c r="C2784" s="8">
        <v>5614.6713870000003</v>
      </c>
      <c r="D2784" s="8">
        <v>136981.578125</v>
      </c>
      <c r="E2784" s="8">
        <v>137001.25</v>
      </c>
      <c r="F2784" s="8">
        <f t="shared" si="86"/>
        <v>19.671875</v>
      </c>
      <c r="G2784" s="8">
        <f t="shared" si="87"/>
        <v>1.9671874999999998E-2</v>
      </c>
    </row>
    <row r="2785" spans="1:7" x14ac:dyDescent="0.25">
      <c r="A2785" s="8">
        <v>36</v>
      </c>
      <c r="B2785" s="8">
        <v>55</v>
      </c>
      <c r="C2785" s="8">
        <v>2548.4968260000001</v>
      </c>
      <c r="D2785" s="8">
        <v>142624.46875</v>
      </c>
      <c r="E2785" s="8">
        <v>142632.109375</v>
      </c>
      <c r="F2785" s="8">
        <f t="shared" si="86"/>
        <v>7.640625</v>
      </c>
      <c r="G2785" s="8">
        <f t="shared" si="87"/>
        <v>7.6406249999999998E-3</v>
      </c>
    </row>
    <row r="2786" spans="1:7" x14ac:dyDescent="0.25">
      <c r="A2786" s="8">
        <v>36</v>
      </c>
      <c r="B2786" s="8">
        <v>56</v>
      </c>
      <c r="C2786" s="8">
        <v>96.405700999999993</v>
      </c>
      <c r="D2786" s="8">
        <v>145193.296875</v>
      </c>
      <c r="E2786" s="8">
        <v>145204.84375</v>
      </c>
      <c r="F2786" s="8">
        <f t="shared" si="86"/>
        <v>11.546875</v>
      </c>
      <c r="G2786" s="8">
        <f t="shared" si="87"/>
        <v>1.1546875E-2</v>
      </c>
    </row>
    <row r="2787" spans="1:7" x14ac:dyDescent="0.25">
      <c r="A2787" s="8">
        <v>36</v>
      </c>
      <c r="B2787" s="8">
        <v>57</v>
      </c>
      <c r="C2787" s="8">
        <v>6301.6181640000004</v>
      </c>
      <c r="D2787" s="8">
        <v>145302.71875</v>
      </c>
      <c r="E2787" s="8">
        <v>145326.4375</v>
      </c>
      <c r="F2787" s="8">
        <f t="shared" si="86"/>
        <v>23.71875</v>
      </c>
      <c r="G2787" s="8">
        <f t="shared" si="87"/>
        <v>2.371875E-2</v>
      </c>
    </row>
    <row r="2788" spans="1:7" x14ac:dyDescent="0.25">
      <c r="A2788" s="8">
        <v>36</v>
      </c>
      <c r="B2788" s="8">
        <v>58</v>
      </c>
      <c r="C2788" s="8">
        <v>908.55328399999996</v>
      </c>
      <c r="D2788" s="8">
        <v>151639.609375</v>
      </c>
      <c r="E2788" s="8">
        <v>151658.625</v>
      </c>
      <c r="F2788" s="8">
        <f t="shared" si="86"/>
        <v>19.015625</v>
      </c>
      <c r="G2788" s="8">
        <f t="shared" si="87"/>
        <v>1.9015625000000001E-2</v>
      </c>
    </row>
    <row r="2789" spans="1:7" x14ac:dyDescent="0.25">
      <c r="A2789" s="8">
        <v>36</v>
      </c>
      <c r="B2789" s="8">
        <v>59</v>
      </c>
      <c r="C2789" s="8">
        <v>3212.5988769999999</v>
      </c>
      <c r="D2789" s="8">
        <v>152578.234375</v>
      </c>
      <c r="E2789" s="8">
        <v>152599.953125</v>
      </c>
      <c r="F2789" s="8">
        <f t="shared" si="86"/>
        <v>21.71875</v>
      </c>
      <c r="G2789" s="8">
        <f t="shared" si="87"/>
        <v>2.1718749999999998E-2</v>
      </c>
    </row>
    <row r="2790" spans="1:7" x14ac:dyDescent="0.25">
      <c r="A2790" s="8">
        <v>36</v>
      </c>
      <c r="B2790" s="8">
        <v>60</v>
      </c>
      <c r="C2790" s="8">
        <v>3262.189453</v>
      </c>
      <c r="D2790" s="8">
        <v>155813.0625</v>
      </c>
      <c r="E2790" s="8">
        <v>155830.265625</v>
      </c>
      <c r="F2790" s="8">
        <f t="shared" si="86"/>
        <v>17.203125</v>
      </c>
      <c r="G2790" s="8">
        <f t="shared" si="87"/>
        <v>1.7203125E-2</v>
      </c>
    </row>
    <row r="2791" spans="1:7" x14ac:dyDescent="0.25">
      <c r="A2791" s="8">
        <v>36</v>
      </c>
      <c r="B2791" s="8">
        <v>61</v>
      </c>
      <c r="C2791" s="8">
        <v>1473.0516359999999</v>
      </c>
      <c r="D2791" s="8">
        <v>159095.53125</v>
      </c>
      <c r="E2791" s="8">
        <v>159113.46875</v>
      </c>
      <c r="F2791" s="8">
        <f t="shared" si="86"/>
        <v>17.9375</v>
      </c>
      <c r="G2791" s="8">
        <f t="shared" si="87"/>
        <v>1.7937499999999999E-2</v>
      </c>
    </row>
    <row r="2792" spans="1:7" x14ac:dyDescent="0.25">
      <c r="A2792" s="8">
        <v>36</v>
      </c>
      <c r="B2792" s="8">
        <v>62</v>
      </c>
      <c r="C2792" s="8">
        <v>2482.375</v>
      </c>
      <c r="D2792" s="8">
        <v>160595.6875</v>
      </c>
      <c r="E2792" s="8">
        <v>160615.53125</v>
      </c>
      <c r="F2792" s="8">
        <f t="shared" si="86"/>
        <v>19.84375</v>
      </c>
      <c r="G2792" s="8">
        <f t="shared" si="87"/>
        <v>1.984375E-2</v>
      </c>
    </row>
    <row r="2793" spans="1:7" x14ac:dyDescent="0.25">
      <c r="A2793" s="8">
        <v>36</v>
      </c>
      <c r="B2793" s="8">
        <v>63</v>
      </c>
      <c r="C2793" s="8">
        <v>26.357841000000001</v>
      </c>
      <c r="D2793" s="8">
        <v>163112.09375</v>
      </c>
      <c r="E2793" s="8">
        <v>163236.875</v>
      </c>
      <c r="F2793" s="8">
        <f t="shared" si="86"/>
        <v>124.78125</v>
      </c>
      <c r="G2793" s="8">
        <f t="shared" si="87"/>
        <v>0.12478125</v>
      </c>
    </row>
    <row r="2794" spans="1:7" x14ac:dyDescent="0.25">
      <c r="A2794" s="8">
        <v>36</v>
      </c>
      <c r="B2794" s="8">
        <v>64</v>
      </c>
      <c r="C2794" s="8">
        <v>752.25775099999998</v>
      </c>
      <c r="D2794" s="8">
        <v>163268.375</v>
      </c>
      <c r="E2794" s="8">
        <v>163355.671875</v>
      </c>
      <c r="F2794" s="8">
        <f t="shared" si="86"/>
        <v>87.296875</v>
      </c>
      <c r="G2794" s="8">
        <f t="shared" si="87"/>
        <v>8.7296874999999996E-2</v>
      </c>
    </row>
    <row r="2795" spans="1:7" x14ac:dyDescent="0.25">
      <c r="A2795" s="8">
        <v>36</v>
      </c>
      <c r="B2795" s="8">
        <v>65</v>
      </c>
      <c r="C2795" s="8">
        <v>3535.8122560000002</v>
      </c>
      <c r="D2795" s="8">
        <v>164112.21875</v>
      </c>
      <c r="E2795" s="8">
        <v>164119.984375</v>
      </c>
      <c r="F2795" s="8">
        <f t="shared" si="86"/>
        <v>7.765625</v>
      </c>
      <c r="G2795" s="8">
        <f t="shared" si="87"/>
        <v>7.765625E-3</v>
      </c>
    </row>
    <row r="2796" spans="1:7" x14ac:dyDescent="0.25">
      <c r="A2796" s="8">
        <v>36</v>
      </c>
      <c r="B2796" s="8">
        <v>66</v>
      </c>
      <c r="C2796" s="8">
        <v>1083.030518</v>
      </c>
      <c r="D2796" s="8">
        <v>167666.09375</v>
      </c>
      <c r="E2796" s="8">
        <v>167673.71875</v>
      </c>
      <c r="F2796" s="8">
        <f t="shared" si="86"/>
        <v>7.625</v>
      </c>
      <c r="G2796" s="8">
        <f t="shared" si="87"/>
        <v>7.6249999999999998E-3</v>
      </c>
    </row>
    <row r="2797" spans="1:7" x14ac:dyDescent="0.25">
      <c r="A2797" s="8">
        <v>36</v>
      </c>
      <c r="B2797" s="8">
        <v>67</v>
      </c>
      <c r="C2797" s="8">
        <v>1740.1145019999999</v>
      </c>
      <c r="D2797" s="8">
        <v>168763.078125</v>
      </c>
      <c r="E2797" s="8">
        <v>168774.390625</v>
      </c>
      <c r="F2797" s="8">
        <f t="shared" si="86"/>
        <v>11.3125</v>
      </c>
      <c r="G2797" s="8">
        <f t="shared" si="87"/>
        <v>1.13125E-2</v>
      </c>
    </row>
    <row r="2798" spans="1:7" x14ac:dyDescent="0.25">
      <c r="A2798" s="8">
        <v>37</v>
      </c>
      <c r="B2798" s="8">
        <v>0</v>
      </c>
      <c r="C2798" s="8">
        <v>6071.6035160000001</v>
      </c>
      <c r="D2798" s="8">
        <v>20641.146484000001</v>
      </c>
      <c r="E2798" s="8">
        <v>20653.484375</v>
      </c>
      <c r="F2798" s="8">
        <f t="shared" si="86"/>
        <v>12.337890999999217</v>
      </c>
      <c r="G2798" s="8">
        <f t="shared" si="87"/>
        <v>1.2337890999999218E-2</v>
      </c>
    </row>
    <row r="2799" spans="1:7" x14ac:dyDescent="0.25">
      <c r="A2799" s="8">
        <v>37</v>
      </c>
      <c r="B2799" s="8">
        <v>1</v>
      </c>
      <c r="C2799" s="8">
        <v>516.44476299999997</v>
      </c>
      <c r="D2799" s="8">
        <v>26727.421875</v>
      </c>
      <c r="E2799" s="8">
        <v>26747.720702999999</v>
      </c>
      <c r="F2799" s="8">
        <f t="shared" si="86"/>
        <v>20.298827999999048</v>
      </c>
      <c r="G2799" s="8">
        <f t="shared" si="87"/>
        <v>2.0298827999999047E-2</v>
      </c>
    </row>
    <row r="2800" spans="1:7" x14ac:dyDescent="0.25">
      <c r="A2800" s="8">
        <v>37</v>
      </c>
      <c r="B2800" s="8">
        <v>2</v>
      </c>
      <c r="C2800" s="8">
        <v>43.313640999999997</v>
      </c>
      <c r="D2800" s="8">
        <v>27274.423827999999</v>
      </c>
      <c r="E2800" s="8">
        <v>27301.667968999998</v>
      </c>
      <c r="F2800" s="8">
        <f t="shared" si="86"/>
        <v>27.244140999999217</v>
      </c>
      <c r="G2800" s="8">
        <f t="shared" si="87"/>
        <v>2.7244140999999219E-2</v>
      </c>
    </row>
    <row r="2801" spans="1:7" x14ac:dyDescent="0.25">
      <c r="A2801" s="8">
        <v>37</v>
      </c>
      <c r="B2801" s="8">
        <v>3</v>
      </c>
      <c r="C2801" s="8">
        <v>346.04031400000002</v>
      </c>
      <c r="D2801" s="8">
        <v>27352.607422000001</v>
      </c>
      <c r="E2801" s="8">
        <v>27371.966797000001</v>
      </c>
      <c r="F2801" s="8">
        <f t="shared" si="86"/>
        <v>19.359375</v>
      </c>
      <c r="G2801" s="8">
        <f t="shared" si="87"/>
        <v>1.9359375000000002E-2</v>
      </c>
    </row>
    <row r="2802" spans="1:7" x14ac:dyDescent="0.25">
      <c r="A2802" s="8">
        <v>37</v>
      </c>
      <c r="B2802" s="8">
        <v>4</v>
      </c>
      <c r="C2802" s="8">
        <v>1577.4642329999999</v>
      </c>
      <c r="D2802" s="8">
        <v>27728.4375</v>
      </c>
      <c r="E2802" s="8">
        <v>27748.441406000002</v>
      </c>
      <c r="F2802" s="8">
        <f t="shared" si="86"/>
        <v>20.003906000001734</v>
      </c>
      <c r="G2802" s="8">
        <f t="shared" si="87"/>
        <v>2.0003906000001733E-2</v>
      </c>
    </row>
    <row r="2803" spans="1:7" x14ac:dyDescent="0.25">
      <c r="A2803" s="8">
        <v>37</v>
      </c>
      <c r="B2803" s="8">
        <v>5</v>
      </c>
      <c r="C2803" s="8">
        <v>1091.6507570000001</v>
      </c>
      <c r="D2803" s="8">
        <v>29340.257813</v>
      </c>
      <c r="E2803" s="8">
        <v>29352.363281000002</v>
      </c>
      <c r="F2803" s="8">
        <f t="shared" si="86"/>
        <v>12.105468000001565</v>
      </c>
      <c r="G2803" s="8">
        <f t="shared" si="87"/>
        <v>1.2105468000001566E-2</v>
      </c>
    </row>
    <row r="2804" spans="1:7" x14ac:dyDescent="0.25">
      <c r="A2804" s="8">
        <v>37</v>
      </c>
      <c r="B2804" s="8">
        <v>6</v>
      </c>
      <c r="C2804" s="8">
        <v>4481.9077150000003</v>
      </c>
      <c r="D2804" s="8">
        <v>30452.896484000001</v>
      </c>
      <c r="E2804" s="8">
        <v>30469.267577999999</v>
      </c>
      <c r="F2804" s="8">
        <f t="shared" si="86"/>
        <v>16.371093999998266</v>
      </c>
      <c r="G2804" s="8">
        <f t="shared" si="87"/>
        <v>1.6371093999998265E-2</v>
      </c>
    </row>
    <row r="2805" spans="1:7" x14ac:dyDescent="0.25">
      <c r="A2805" s="8">
        <v>37</v>
      </c>
      <c r="B2805" s="8">
        <v>7</v>
      </c>
      <c r="C2805" s="8">
        <v>143.39039600000001</v>
      </c>
      <c r="D2805" s="8">
        <v>34951.992187999997</v>
      </c>
      <c r="E2805" s="8">
        <v>34965.429687999997</v>
      </c>
      <c r="F2805" s="8">
        <f t="shared" si="86"/>
        <v>13.4375</v>
      </c>
      <c r="G2805" s="8">
        <f t="shared" si="87"/>
        <v>1.34375E-2</v>
      </c>
    </row>
    <row r="2806" spans="1:7" x14ac:dyDescent="0.25">
      <c r="A2806" s="8">
        <v>37</v>
      </c>
      <c r="B2806" s="8">
        <v>8</v>
      </c>
      <c r="C2806" s="8">
        <v>1790.275635</v>
      </c>
      <c r="D2806" s="8">
        <v>35123.816405999998</v>
      </c>
      <c r="E2806" s="8">
        <v>35147.460937999997</v>
      </c>
      <c r="F2806" s="8">
        <f t="shared" si="86"/>
        <v>23.644531999998435</v>
      </c>
      <c r="G2806" s="8">
        <f t="shared" si="87"/>
        <v>2.3644531999998435E-2</v>
      </c>
    </row>
    <row r="2807" spans="1:7" x14ac:dyDescent="0.25">
      <c r="A2807" s="8">
        <v>37</v>
      </c>
      <c r="B2807" s="8">
        <v>9</v>
      </c>
      <c r="C2807" s="8">
        <v>4246.1503910000001</v>
      </c>
      <c r="D2807" s="8">
        <v>36940.972655999998</v>
      </c>
      <c r="E2807" s="8">
        <v>36952.320312999997</v>
      </c>
      <c r="F2807" s="8">
        <f t="shared" si="86"/>
        <v>11.347656999998435</v>
      </c>
      <c r="G2807" s="8">
        <f t="shared" si="87"/>
        <v>1.1347656999998434E-2</v>
      </c>
    </row>
    <row r="2808" spans="1:7" x14ac:dyDescent="0.25">
      <c r="A2808" s="8">
        <v>37</v>
      </c>
      <c r="B2808" s="8">
        <v>10</v>
      </c>
      <c r="C2808" s="8">
        <v>5612.6499020000001</v>
      </c>
      <c r="D2808" s="8">
        <v>41200.144530999998</v>
      </c>
      <c r="E2808" s="8">
        <v>41220.4375</v>
      </c>
      <c r="F2808" s="8">
        <f t="shared" si="86"/>
        <v>20.292969000001904</v>
      </c>
      <c r="G2808" s="8">
        <f t="shared" si="87"/>
        <v>2.0292969000001902E-2</v>
      </c>
    </row>
    <row r="2809" spans="1:7" x14ac:dyDescent="0.25">
      <c r="A2809" s="8">
        <v>37</v>
      </c>
      <c r="B2809" s="8">
        <v>11</v>
      </c>
      <c r="C2809" s="8">
        <v>12.490451999999999</v>
      </c>
      <c r="D2809" s="8">
        <v>46844.742187999997</v>
      </c>
      <c r="E2809" s="8">
        <v>46869.195312999997</v>
      </c>
      <c r="F2809" s="8">
        <f t="shared" si="86"/>
        <v>24.453125</v>
      </c>
      <c r="G2809" s="8">
        <f t="shared" si="87"/>
        <v>2.4453124999999999E-2</v>
      </c>
    </row>
    <row r="2810" spans="1:7" x14ac:dyDescent="0.25">
      <c r="A2810" s="8">
        <v>37</v>
      </c>
      <c r="B2810" s="8">
        <v>12</v>
      </c>
      <c r="C2810" s="8">
        <v>1414.8797609999999</v>
      </c>
      <c r="D2810" s="8">
        <v>46891.347655999998</v>
      </c>
      <c r="E2810" s="8">
        <v>46912.789062999997</v>
      </c>
      <c r="F2810" s="8">
        <f t="shared" si="86"/>
        <v>21.441406999998435</v>
      </c>
      <c r="G2810" s="8">
        <f t="shared" si="87"/>
        <v>2.1441406999998434E-2</v>
      </c>
    </row>
    <row r="2811" spans="1:7" x14ac:dyDescent="0.25">
      <c r="A2811" s="8">
        <v>37</v>
      </c>
      <c r="B2811" s="8">
        <v>13</v>
      </c>
      <c r="C2811" s="8">
        <v>209.92770400000001</v>
      </c>
      <c r="D2811" s="8">
        <v>48330.011719000002</v>
      </c>
      <c r="E2811" s="8">
        <v>48346.296875</v>
      </c>
      <c r="F2811" s="8">
        <f t="shared" si="86"/>
        <v>16.285155999998096</v>
      </c>
      <c r="G2811" s="8">
        <f t="shared" si="87"/>
        <v>1.6285155999998097E-2</v>
      </c>
    </row>
    <row r="2812" spans="1:7" x14ac:dyDescent="0.25">
      <c r="A2812" s="8">
        <v>37</v>
      </c>
      <c r="B2812" s="8">
        <v>14</v>
      </c>
      <c r="C2812" s="8">
        <v>5737.6909180000002</v>
      </c>
      <c r="D2812" s="8">
        <v>48564.371094000002</v>
      </c>
      <c r="E2812" s="8">
        <v>48571.679687999997</v>
      </c>
      <c r="F2812" s="8">
        <f t="shared" si="86"/>
        <v>7.3085939999946277</v>
      </c>
      <c r="G2812" s="8">
        <f t="shared" si="87"/>
        <v>7.3085939999946274E-3</v>
      </c>
    </row>
    <row r="2813" spans="1:7" x14ac:dyDescent="0.25">
      <c r="A2813" s="8">
        <v>37</v>
      </c>
      <c r="B2813" s="8">
        <v>15</v>
      </c>
      <c r="C2813" s="8">
        <v>796.30438200000003</v>
      </c>
      <c r="D2813" s="8">
        <v>54315.960937999997</v>
      </c>
      <c r="E2813" s="8">
        <v>54333.304687999997</v>
      </c>
      <c r="F2813" s="8">
        <f t="shared" si="86"/>
        <v>17.34375</v>
      </c>
      <c r="G2813" s="8">
        <f t="shared" si="87"/>
        <v>1.7343750000000002E-2</v>
      </c>
    </row>
    <row r="2814" spans="1:7" x14ac:dyDescent="0.25">
      <c r="A2814" s="8">
        <v>37</v>
      </c>
      <c r="B2814" s="8">
        <v>16</v>
      </c>
      <c r="C2814" s="8">
        <v>1762.678711</v>
      </c>
      <c r="D2814" s="8">
        <v>55144.191405999998</v>
      </c>
      <c r="E2814" s="8">
        <v>55168.234375</v>
      </c>
      <c r="F2814" s="8">
        <f t="shared" si="86"/>
        <v>24.042969000001904</v>
      </c>
      <c r="G2814" s="8">
        <f t="shared" si="87"/>
        <v>2.4042969000001902E-2</v>
      </c>
    </row>
    <row r="2815" spans="1:7" x14ac:dyDescent="0.25">
      <c r="A2815" s="8">
        <v>37</v>
      </c>
      <c r="B2815" s="8">
        <v>17</v>
      </c>
      <c r="C2815" s="8">
        <v>1797.6096190000001</v>
      </c>
      <c r="D2815" s="8">
        <v>56941.878905999998</v>
      </c>
      <c r="E2815" s="8">
        <v>56953.695312999997</v>
      </c>
      <c r="F2815" s="8">
        <f t="shared" si="86"/>
        <v>11.816406999998435</v>
      </c>
      <c r="G2815" s="8">
        <f t="shared" si="87"/>
        <v>1.1816406999998435E-2</v>
      </c>
    </row>
    <row r="2816" spans="1:7" x14ac:dyDescent="0.25">
      <c r="A2816" s="8">
        <v>37</v>
      </c>
      <c r="B2816" s="8">
        <v>18</v>
      </c>
      <c r="C2816" s="8">
        <v>2277.6176759999998</v>
      </c>
      <c r="D2816" s="8">
        <v>58762.90625</v>
      </c>
      <c r="E2816" s="8">
        <v>58783.273437999997</v>
      </c>
      <c r="F2816" s="8">
        <f t="shared" si="86"/>
        <v>20.367187999996531</v>
      </c>
      <c r="G2816" s="8">
        <f t="shared" si="87"/>
        <v>2.0367187999996532E-2</v>
      </c>
    </row>
    <row r="2817" spans="1:7" x14ac:dyDescent="0.25">
      <c r="A2817" s="8">
        <v>37</v>
      </c>
      <c r="B2817" s="8">
        <v>19</v>
      </c>
      <c r="C2817" s="8">
        <v>593.28729199999998</v>
      </c>
      <c r="D2817" s="8">
        <v>61075.734375</v>
      </c>
      <c r="E2817" s="8">
        <v>61089.128905999998</v>
      </c>
      <c r="F2817" s="8">
        <f t="shared" si="86"/>
        <v>13.394530999998096</v>
      </c>
      <c r="G2817" s="8">
        <f t="shared" si="87"/>
        <v>1.3394530999998096E-2</v>
      </c>
    </row>
    <row r="2818" spans="1:7" x14ac:dyDescent="0.25">
      <c r="A2818" s="8">
        <v>37</v>
      </c>
      <c r="B2818" s="8">
        <v>20</v>
      </c>
      <c r="C2818" s="8">
        <v>52.002353999999997</v>
      </c>
      <c r="D2818" s="8">
        <v>61685.136719000002</v>
      </c>
      <c r="E2818" s="8">
        <v>61699.539062999997</v>
      </c>
      <c r="F2818" s="8">
        <f t="shared" si="86"/>
        <v>14.402343999994628</v>
      </c>
      <c r="G2818" s="8">
        <f t="shared" si="87"/>
        <v>1.4402343999994629E-2</v>
      </c>
    </row>
    <row r="2819" spans="1:7" x14ac:dyDescent="0.25">
      <c r="A2819" s="8">
        <v>37</v>
      </c>
      <c r="B2819" s="8">
        <v>21</v>
      </c>
      <c r="C2819" s="8">
        <v>2297.7338869999999</v>
      </c>
      <c r="D2819" s="8">
        <v>61763.273437999997</v>
      </c>
      <c r="E2819" s="8">
        <v>61781.96875</v>
      </c>
      <c r="F2819" s="8">
        <f t="shared" si="86"/>
        <v>18.695312000003469</v>
      </c>
      <c r="G2819" s="8">
        <f t="shared" si="87"/>
        <v>1.8695312000003468E-2</v>
      </c>
    </row>
    <row r="2820" spans="1:7" x14ac:dyDescent="0.25">
      <c r="A2820" s="8">
        <v>37</v>
      </c>
      <c r="B2820" s="8">
        <v>22</v>
      </c>
      <c r="C2820" s="8">
        <v>5267.4619140000004</v>
      </c>
      <c r="D2820" s="8">
        <v>64089.5625</v>
      </c>
      <c r="E2820" s="8">
        <v>64193.132812999997</v>
      </c>
      <c r="F2820" s="8">
        <f t="shared" si="86"/>
        <v>103.57031299999653</v>
      </c>
      <c r="G2820" s="8">
        <f t="shared" si="87"/>
        <v>0.10357031299999653</v>
      </c>
    </row>
    <row r="2821" spans="1:7" x14ac:dyDescent="0.25">
      <c r="A2821" s="8">
        <v>37</v>
      </c>
      <c r="B2821" s="8">
        <v>23</v>
      </c>
      <c r="C2821" s="8">
        <v>2487.0258789999998</v>
      </c>
      <c r="D2821" s="8">
        <v>69467.640625</v>
      </c>
      <c r="E2821" s="8">
        <v>69480.914063000004</v>
      </c>
      <c r="F2821" s="8">
        <f t="shared" si="86"/>
        <v>13.273438000003807</v>
      </c>
      <c r="G2821" s="8">
        <f t="shared" si="87"/>
        <v>1.3273438000003808E-2</v>
      </c>
    </row>
    <row r="2822" spans="1:7" x14ac:dyDescent="0.25">
      <c r="A2822" s="8">
        <v>37</v>
      </c>
      <c r="B2822" s="8">
        <v>24</v>
      </c>
      <c r="C2822" s="8">
        <v>3151.4797359999998</v>
      </c>
      <c r="D2822" s="8">
        <v>71979.53125</v>
      </c>
      <c r="E2822" s="8">
        <v>71993.015625</v>
      </c>
      <c r="F2822" s="8">
        <f t="shared" si="86"/>
        <v>13.484375</v>
      </c>
      <c r="G2822" s="8">
        <f t="shared" si="87"/>
        <v>1.3484375E-2</v>
      </c>
    </row>
    <row r="2823" spans="1:7" x14ac:dyDescent="0.25">
      <c r="A2823" s="8">
        <v>37</v>
      </c>
      <c r="B2823" s="8">
        <v>25</v>
      </c>
      <c r="C2823" s="8">
        <v>3092.173096</v>
      </c>
      <c r="D2823" s="8">
        <v>75150.1875</v>
      </c>
      <c r="E2823" s="8">
        <v>75175.164063000004</v>
      </c>
      <c r="F2823" s="8">
        <f t="shared" si="86"/>
        <v>24.976563000003807</v>
      </c>
      <c r="G2823" s="8">
        <f t="shared" si="87"/>
        <v>2.4976563000003806E-2</v>
      </c>
    </row>
    <row r="2824" spans="1:7" x14ac:dyDescent="0.25">
      <c r="A2824" s="8">
        <v>37</v>
      </c>
      <c r="B2824" s="8">
        <v>26</v>
      </c>
      <c r="C2824" s="8">
        <v>9113.0712889999995</v>
      </c>
      <c r="D2824" s="8">
        <v>78275.976563000004</v>
      </c>
      <c r="E2824" s="8">
        <v>78301.742188000004</v>
      </c>
      <c r="F2824" s="8">
        <f t="shared" si="86"/>
        <v>25.765625</v>
      </c>
      <c r="G2824" s="8">
        <f t="shared" si="87"/>
        <v>2.5765625E-2</v>
      </c>
    </row>
    <row r="2825" spans="1:7" x14ac:dyDescent="0.25">
      <c r="A2825" s="8">
        <v>37</v>
      </c>
      <c r="B2825" s="8">
        <v>27</v>
      </c>
      <c r="C2825" s="8">
        <v>2005.533447</v>
      </c>
      <c r="D2825" s="8">
        <v>87427.085938000004</v>
      </c>
      <c r="E2825" s="8">
        <v>87443.546875</v>
      </c>
      <c r="F2825" s="8">
        <f t="shared" si="86"/>
        <v>16.460936999996193</v>
      </c>
      <c r="G2825" s="8">
        <f t="shared" si="87"/>
        <v>1.6460936999996192E-2</v>
      </c>
    </row>
    <row r="2826" spans="1:7" x14ac:dyDescent="0.25">
      <c r="A2826" s="8">
        <v>37</v>
      </c>
      <c r="B2826" s="8">
        <v>28</v>
      </c>
      <c r="C2826" s="8">
        <v>78.233954999999995</v>
      </c>
      <c r="D2826" s="8">
        <v>89459.226563000004</v>
      </c>
      <c r="E2826" s="8">
        <v>89469.359375</v>
      </c>
      <c r="F2826" s="8">
        <f t="shared" si="86"/>
        <v>10.132811999996193</v>
      </c>
      <c r="G2826" s="8">
        <f t="shared" si="87"/>
        <v>1.0132811999996192E-2</v>
      </c>
    </row>
    <row r="2827" spans="1:7" x14ac:dyDescent="0.25">
      <c r="A2827" s="8">
        <v>37</v>
      </c>
      <c r="B2827" s="8">
        <v>29</v>
      </c>
      <c r="C2827" s="8">
        <v>88.351478999999998</v>
      </c>
      <c r="D2827" s="8">
        <v>89553.117188000004</v>
      </c>
      <c r="E2827" s="8">
        <v>89572.429688000004</v>
      </c>
      <c r="F2827" s="8">
        <f t="shared" ref="F2827:F2890" si="88">E2827-D2827</f>
        <v>19.3125</v>
      </c>
      <c r="G2827" s="8">
        <f t="shared" ref="G2827:G2890" si="89">F2827/1000</f>
        <v>1.93125E-2</v>
      </c>
    </row>
    <row r="2828" spans="1:7" x14ac:dyDescent="0.25">
      <c r="A2828" s="8">
        <v>37</v>
      </c>
      <c r="B2828" s="8">
        <v>30</v>
      </c>
      <c r="C2828" s="8">
        <v>396.97183200000001</v>
      </c>
      <c r="D2828" s="8">
        <v>89662.3125</v>
      </c>
      <c r="E2828" s="8">
        <v>89674.179688000004</v>
      </c>
      <c r="F2828" s="8">
        <f t="shared" si="88"/>
        <v>11.867188000003807</v>
      </c>
      <c r="G2828" s="8">
        <f t="shared" si="89"/>
        <v>1.1867188000003807E-2</v>
      </c>
    </row>
    <row r="2829" spans="1:7" x14ac:dyDescent="0.25">
      <c r="A2829" s="8">
        <v>37</v>
      </c>
      <c r="B2829" s="8">
        <v>31</v>
      </c>
      <c r="C2829" s="8">
        <v>944.93292199999996</v>
      </c>
      <c r="D2829" s="8">
        <v>90073.523438000004</v>
      </c>
      <c r="E2829" s="8">
        <v>90083.90625</v>
      </c>
      <c r="F2829" s="8">
        <f t="shared" si="88"/>
        <v>10.382811999996193</v>
      </c>
      <c r="G2829" s="8">
        <f t="shared" si="89"/>
        <v>1.0382811999996192E-2</v>
      </c>
    </row>
    <row r="2830" spans="1:7" x14ac:dyDescent="0.25">
      <c r="A2830" s="8">
        <v>37</v>
      </c>
      <c r="B2830" s="8">
        <v>32</v>
      </c>
      <c r="C2830" s="8">
        <v>665.43884300000002</v>
      </c>
      <c r="D2830" s="8">
        <v>91042.335938000004</v>
      </c>
      <c r="E2830" s="8">
        <v>91063.3125</v>
      </c>
      <c r="F2830" s="8">
        <f t="shared" si="88"/>
        <v>20.976561999996193</v>
      </c>
      <c r="G2830" s="8">
        <f t="shared" si="89"/>
        <v>2.0976561999996191E-2</v>
      </c>
    </row>
    <row r="2831" spans="1:7" x14ac:dyDescent="0.25">
      <c r="A2831" s="8">
        <v>37</v>
      </c>
      <c r="B2831" s="8">
        <v>33</v>
      </c>
      <c r="C2831" s="8">
        <v>1960.6210940000001</v>
      </c>
      <c r="D2831" s="8">
        <v>91729.960938000004</v>
      </c>
      <c r="E2831" s="8">
        <v>91776.007813000004</v>
      </c>
      <c r="F2831" s="8">
        <f t="shared" si="88"/>
        <v>46.046875</v>
      </c>
      <c r="G2831" s="8">
        <f t="shared" si="89"/>
        <v>4.6046875000000001E-2</v>
      </c>
    </row>
    <row r="2832" spans="1:7" x14ac:dyDescent="0.25">
      <c r="A2832" s="8">
        <v>37</v>
      </c>
      <c r="B2832" s="8">
        <v>34</v>
      </c>
      <c r="C2832" s="8">
        <v>623.236267</v>
      </c>
      <c r="D2832" s="8">
        <v>93748.140625</v>
      </c>
      <c r="E2832" s="8">
        <v>93763.007813000004</v>
      </c>
      <c r="F2832" s="8">
        <f t="shared" si="88"/>
        <v>14.867188000003807</v>
      </c>
      <c r="G2832" s="8">
        <f t="shared" si="89"/>
        <v>1.4867188000003808E-2</v>
      </c>
    </row>
    <row r="2833" spans="1:7" x14ac:dyDescent="0.25">
      <c r="A2833" s="8">
        <v>37</v>
      </c>
      <c r="B2833" s="8">
        <v>35</v>
      </c>
      <c r="C2833" s="8">
        <v>651.863831</v>
      </c>
      <c r="D2833" s="8">
        <v>94389.5625</v>
      </c>
      <c r="E2833" s="8">
        <v>94408.84375</v>
      </c>
      <c r="F2833" s="8">
        <f t="shared" si="88"/>
        <v>19.28125</v>
      </c>
      <c r="G2833" s="8">
        <f t="shared" si="89"/>
        <v>1.928125E-2</v>
      </c>
    </row>
    <row r="2834" spans="1:7" x14ac:dyDescent="0.25">
      <c r="A2834" s="8">
        <v>37</v>
      </c>
      <c r="B2834" s="8">
        <v>36</v>
      </c>
      <c r="C2834" s="8">
        <v>205.729004</v>
      </c>
      <c r="D2834" s="8">
        <v>95071.53125</v>
      </c>
      <c r="E2834" s="8">
        <v>95079.195313000004</v>
      </c>
      <c r="F2834" s="8">
        <f t="shared" si="88"/>
        <v>7.6640630000038072</v>
      </c>
      <c r="G2834" s="8">
        <f t="shared" si="89"/>
        <v>7.6640630000038073E-3</v>
      </c>
    </row>
    <row r="2835" spans="1:7" x14ac:dyDescent="0.25">
      <c r="A2835" s="8">
        <v>37</v>
      </c>
      <c r="B2835" s="8">
        <v>37</v>
      </c>
      <c r="C2835" s="8">
        <v>1740.2601320000001</v>
      </c>
      <c r="D2835" s="8">
        <v>95296.757813000004</v>
      </c>
      <c r="E2835" s="8">
        <v>95314.664063000004</v>
      </c>
      <c r="F2835" s="8">
        <f t="shared" si="88"/>
        <v>17.90625</v>
      </c>
      <c r="G2835" s="8">
        <f t="shared" si="89"/>
        <v>1.7906249999999999E-2</v>
      </c>
    </row>
    <row r="2836" spans="1:7" x14ac:dyDescent="0.25">
      <c r="A2836" s="8">
        <v>37</v>
      </c>
      <c r="B2836" s="8">
        <v>38</v>
      </c>
      <c r="C2836" s="8">
        <v>773.35095200000001</v>
      </c>
      <c r="D2836" s="8">
        <v>97056.117188000004</v>
      </c>
      <c r="E2836" s="8">
        <v>97167.421875</v>
      </c>
      <c r="F2836" s="8">
        <f t="shared" si="88"/>
        <v>111.30468699999619</v>
      </c>
      <c r="G2836" s="8">
        <f t="shared" si="89"/>
        <v>0.1113046869999962</v>
      </c>
    </row>
    <row r="2837" spans="1:7" x14ac:dyDescent="0.25">
      <c r="A2837" s="8">
        <v>37</v>
      </c>
      <c r="B2837" s="8">
        <v>39</v>
      </c>
      <c r="C2837" s="8">
        <v>8377.1748050000006</v>
      </c>
      <c r="D2837" s="8">
        <v>97941.257813000004</v>
      </c>
      <c r="E2837" s="8">
        <v>97951.359375</v>
      </c>
      <c r="F2837" s="8">
        <f t="shared" si="88"/>
        <v>10.101561999996193</v>
      </c>
      <c r="G2837" s="8">
        <f t="shared" si="89"/>
        <v>1.0101561999996192E-2</v>
      </c>
    </row>
    <row r="2838" spans="1:7" x14ac:dyDescent="0.25">
      <c r="A2838" s="8">
        <v>37</v>
      </c>
      <c r="B2838" s="8">
        <v>40</v>
      </c>
      <c r="C2838" s="8">
        <v>1341.569702</v>
      </c>
      <c r="D2838" s="8">
        <v>106344.054688</v>
      </c>
      <c r="E2838" s="8">
        <v>106358.070313</v>
      </c>
      <c r="F2838" s="8">
        <f t="shared" si="88"/>
        <v>14.015625</v>
      </c>
      <c r="G2838" s="8">
        <f t="shared" si="89"/>
        <v>1.4015625E-2</v>
      </c>
    </row>
    <row r="2839" spans="1:7" x14ac:dyDescent="0.25">
      <c r="A2839" s="8">
        <v>37</v>
      </c>
      <c r="B2839" s="8">
        <v>41</v>
      </c>
      <c r="C2839" s="8">
        <v>1611.3287350000001</v>
      </c>
      <c r="D2839" s="8">
        <v>107704.21875</v>
      </c>
      <c r="E2839" s="8">
        <v>107714.914063</v>
      </c>
      <c r="F2839" s="8">
        <f t="shared" si="88"/>
        <v>10.695313000003807</v>
      </c>
      <c r="G2839" s="8">
        <f t="shared" si="89"/>
        <v>1.0695313000003807E-2</v>
      </c>
    </row>
    <row r="2840" spans="1:7" x14ac:dyDescent="0.25">
      <c r="A2840" s="8">
        <v>37</v>
      </c>
      <c r="B2840" s="8">
        <v>42</v>
      </c>
      <c r="C2840" s="8">
        <v>5511.2255859999996</v>
      </c>
      <c r="D2840" s="8">
        <v>109329.351563</v>
      </c>
      <c r="E2840" s="8">
        <v>109342.671875</v>
      </c>
      <c r="F2840" s="8">
        <f t="shared" si="88"/>
        <v>13.320311999996193</v>
      </c>
      <c r="G2840" s="8">
        <f t="shared" si="89"/>
        <v>1.3320311999996193E-2</v>
      </c>
    </row>
    <row r="2841" spans="1:7" x14ac:dyDescent="0.25">
      <c r="A2841" s="8">
        <v>37</v>
      </c>
      <c r="B2841" s="8">
        <v>43</v>
      </c>
      <c r="C2841" s="8">
        <v>2048.0759280000002</v>
      </c>
      <c r="D2841" s="8">
        <v>114862.65625</v>
      </c>
      <c r="E2841" s="8">
        <v>114881.476563</v>
      </c>
      <c r="F2841" s="8">
        <f t="shared" si="88"/>
        <v>18.820313000003807</v>
      </c>
      <c r="G2841" s="8">
        <f t="shared" si="89"/>
        <v>1.8820313000003808E-2</v>
      </c>
    </row>
    <row r="2842" spans="1:7" x14ac:dyDescent="0.25">
      <c r="A2842" s="8">
        <v>37</v>
      </c>
      <c r="B2842" s="8">
        <v>44</v>
      </c>
      <c r="C2842" s="8">
        <v>2488.931885</v>
      </c>
      <c r="D2842" s="8">
        <v>116942.617188</v>
      </c>
      <c r="E2842" s="8">
        <v>116953.6875</v>
      </c>
      <c r="F2842" s="8">
        <f t="shared" si="88"/>
        <v>11.070311999996193</v>
      </c>
      <c r="G2842" s="8">
        <f t="shared" si="89"/>
        <v>1.1070311999996193E-2</v>
      </c>
    </row>
    <row r="2843" spans="1:7" x14ac:dyDescent="0.25">
      <c r="A2843" s="8">
        <v>37</v>
      </c>
      <c r="B2843" s="8">
        <v>45</v>
      </c>
      <c r="C2843" s="8">
        <v>461.42028800000003</v>
      </c>
      <c r="D2843" s="8">
        <v>119454.15625</v>
      </c>
      <c r="E2843" s="8">
        <v>119473.039063</v>
      </c>
      <c r="F2843" s="8">
        <f t="shared" si="88"/>
        <v>18.882813000003807</v>
      </c>
      <c r="G2843" s="8">
        <f t="shared" si="89"/>
        <v>1.8882813000003808E-2</v>
      </c>
    </row>
    <row r="2844" spans="1:7" x14ac:dyDescent="0.25">
      <c r="A2844" s="8">
        <v>37</v>
      </c>
      <c r="B2844" s="8">
        <v>46</v>
      </c>
      <c r="C2844" s="8">
        <v>774.33947799999999</v>
      </c>
      <c r="D2844" s="8">
        <v>119937.304688</v>
      </c>
      <c r="E2844" s="8">
        <v>119948.078125</v>
      </c>
      <c r="F2844" s="8">
        <f t="shared" si="88"/>
        <v>10.773436999996193</v>
      </c>
      <c r="G2844" s="8">
        <f t="shared" si="89"/>
        <v>1.0773436999996193E-2</v>
      </c>
    </row>
    <row r="2845" spans="1:7" x14ac:dyDescent="0.25">
      <c r="A2845" s="8">
        <v>37</v>
      </c>
      <c r="B2845" s="8">
        <v>47</v>
      </c>
      <c r="C2845" s="8">
        <v>1493.2966309999999</v>
      </c>
      <c r="D2845" s="8">
        <v>120734.226563</v>
      </c>
      <c r="E2845" s="8">
        <v>120748.101563</v>
      </c>
      <c r="F2845" s="8">
        <f t="shared" si="88"/>
        <v>13.875</v>
      </c>
      <c r="G2845" s="8">
        <f t="shared" si="89"/>
        <v>1.3875E-2</v>
      </c>
    </row>
    <row r="2846" spans="1:7" x14ac:dyDescent="0.25">
      <c r="A2846" s="8">
        <v>37</v>
      </c>
      <c r="B2846" s="8">
        <v>48</v>
      </c>
      <c r="C2846" s="8">
        <v>2650.1298830000001</v>
      </c>
      <c r="D2846" s="8">
        <v>122252.117188</v>
      </c>
      <c r="E2846" s="8">
        <v>122262.71875</v>
      </c>
      <c r="F2846" s="8">
        <f t="shared" si="88"/>
        <v>10.601561999996193</v>
      </c>
      <c r="G2846" s="8">
        <f t="shared" si="89"/>
        <v>1.0601561999996192E-2</v>
      </c>
    </row>
    <row r="2847" spans="1:7" x14ac:dyDescent="0.25">
      <c r="A2847" s="8">
        <v>37</v>
      </c>
      <c r="B2847" s="8">
        <v>49</v>
      </c>
      <c r="C2847" s="8">
        <v>2551.3359380000002</v>
      </c>
      <c r="D2847" s="8">
        <v>124924</v>
      </c>
      <c r="E2847" s="8">
        <v>124954.6875</v>
      </c>
      <c r="F2847" s="8">
        <f t="shared" si="88"/>
        <v>30.6875</v>
      </c>
      <c r="G2847" s="8">
        <f t="shared" si="89"/>
        <v>3.06875E-2</v>
      </c>
    </row>
    <row r="2848" spans="1:7" x14ac:dyDescent="0.25">
      <c r="A2848" s="8">
        <v>37</v>
      </c>
      <c r="B2848" s="8">
        <v>50</v>
      </c>
      <c r="C2848" s="8">
        <v>412.51513699999998</v>
      </c>
      <c r="D2848" s="8">
        <v>127518.671875</v>
      </c>
      <c r="E2848" s="8">
        <v>127532.226563</v>
      </c>
      <c r="F2848" s="8">
        <f t="shared" si="88"/>
        <v>13.554688000003807</v>
      </c>
      <c r="G2848" s="8">
        <f t="shared" si="89"/>
        <v>1.3554688000003806E-2</v>
      </c>
    </row>
    <row r="2849" spans="1:7" x14ac:dyDescent="0.25">
      <c r="A2849" s="8">
        <v>37</v>
      </c>
      <c r="B2849" s="8">
        <v>51</v>
      </c>
      <c r="C2849" s="8">
        <v>545.33667000000003</v>
      </c>
      <c r="D2849" s="8">
        <v>127956.25</v>
      </c>
      <c r="E2849" s="8">
        <v>127963.585938</v>
      </c>
      <c r="F2849" s="8">
        <f t="shared" si="88"/>
        <v>7.3359380000038072</v>
      </c>
      <c r="G2849" s="8">
        <f t="shared" si="89"/>
        <v>7.335938000003807E-3</v>
      </c>
    </row>
    <row r="2850" spans="1:7" x14ac:dyDescent="0.25">
      <c r="A2850" s="8">
        <v>37</v>
      </c>
      <c r="B2850" s="8">
        <v>52</v>
      </c>
      <c r="C2850" s="8">
        <v>121.86731</v>
      </c>
      <c r="D2850" s="8">
        <v>128520.109375</v>
      </c>
      <c r="E2850" s="8">
        <v>128544.34375</v>
      </c>
      <c r="F2850" s="8">
        <f t="shared" si="88"/>
        <v>24.234375</v>
      </c>
      <c r="G2850" s="8">
        <f t="shared" si="89"/>
        <v>2.4234374999999999E-2</v>
      </c>
    </row>
    <row r="2851" spans="1:7" x14ac:dyDescent="0.25">
      <c r="A2851" s="8">
        <v>37</v>
      </c>
      <c r="B2851" s="8">
        <v>53</v>
      </c>
      <c r="C2851" s="8">
        <v>425.535706</v>
      </c>
      <c r="D2851" s="8">
        <v>128676.359375</v>
      </c>
      <c r="E2851" s="8">
        <v>128692.859375</v>
      </c>
      <c r="F2851" s="8">
        <f t="shared" si="88"/>
        <v>16.5</v>
      </c>
      <c r="G2851" s="8">
        <f t="shared" si="89"/>
        <v>1.6500000000000001E-2</v>
      </c>
    </row>
    <row r="2852" spans="1:7" x14ac:dyDescent="0.25">
      <c r="A2852" s="8">
        <v>37</v>
      </c>
      <c r="B2852" s="8">
        <v>54</v>
      </c>
      <c r="C2852" s="8">
        <v>5455.3637699999999</v>
      </c>
      <c r="D2852" s="8">
        <v>129129.53125</v>
      </c>
      <c r="E2852" s="8">
        <v>129161.34375</v>
      </c>
      <c r="F2852" s="8">
        <f t="shared" si="88"/>
        <v>31.8125</v>
      </c>
      <c r="G2852" s="8">
        <f t="shared" si="89"/>
        <v>3.18125E-2</v>
      </c>
    </row>
    <row r="2853" spans="1:7" x14ac:dyDescent="0.25">
      <c r="A2853" s="8">
        <v>37</v>
      </c>
      <c r="B2853" s="8">
        <v>55</v>
      </c>
      <c r="C2853" s="8">
        <v>34.414116</v>
      </c>
      <c r="D2853" s="8">
        <v>134628.859375</v>
      </c>
      <c r="E2853" s="8">
        <v>134649.046875</v>
      </c>
      <c r="F2853" s="8">
        <f t="shared" si="88"/>
        <v>20.1875</v>
      </c>
      <c r="G2853" s="8">
        <f t="shared" si="89"/>
        <v>2.0187500000000001E-2</v>
      </c>
    </row>
    <row r="2854" spans="1:7" x14ac:dyDescent="0.25">
      <c r="A2854" s="8">
        <v>37</v>
      </c>
      <c r="B2854" s="8">
        <v>56</v>
      </c>
      <c r="C2854" s="8">
        <v>294.81701700000002</v>
      </c>
      <c r="D2854" s="8">
        <v>134691.359375</v>
      </c>
      <c r="E2854" s="8">
        <v>134710.28125</v>
      </c>
      <c r="F2854" s="8">
        <f t="shared" si="88"/>
        <v>18.921875</v>
      </c>
      <c r="G2854" s="8">
        <f t="shared" si="89"/>
        <v>1.8921875000000001E-2</v>
      </c>
    </row>
    <row r="2855" spans="1:7" x14ac:dyDescent="0.25">
      <c r="A2855" s="8">
        <v>37</v>
      </c>
      <c r="B2855" s="8">
        <v>57</v>
      </c>
      <c r="C2855" s="8">
        <v>632.34258999999997</v>
      </c>
      <c r="D2855" s="8">
        <v>135006.015625</v>
      </c>
      <c r="E2855" s="8">
        <v>135021.484375</v>
      </c>
      <c r="F2855" s="8">
        <f t="shared" si="88"/>
        <v>15.46875</v>
      </c>
      <c r="G2855" s="8">
        <f t="shared" si="89"/>
        <v>1.546875E-2</v>
      </c>
    </row>
    <row r="2856" spans="1:7" x14ac:dyDescent="0.25">
      <c r="A2856" s="8">
        <v>37</v>
      </c>
      <c r="B2856" s="8">
        <v>58</v>
      </c>
      <c r="C2856" s="8">
        <v>207.21781899999999</v>
      </c>
      <c r="D2856" s="8">
        <v>135663.25</v>
      </c>
      <c r="E2856" s="8">
        <v>135677.859375</v>
      </c>
      <c r="F2856" s="8">
        <f t="shared" si="88"/>
        <v>14.609375</v>
      </c>
      <c r="G2856" s="8">
        <f t="shared" si="89"/>
        <v>1.4609375000000001E-2</v>
      </c>
    </row>
    <row r="2857" spans="1:7" x14ac:dyDescent="0.25">
      <c r="A2857" s="8">
        <v>37</v>
      </c>
      <c r="B2857" s="8">
        <v>59</v>
      </c>
      <c r="C2857" s="8">
        <v>695.89111300000002</v>
      </c>
      <c r="D2857" s="8">
        <v>135897.734375</v>
      </c>
      <c r="E2857" s="8">
        <v>135919.46875</v>
      </c>
      <c r="F2857" s="8">
        <f t="shared" si="88"/>
        <v>21.734375</v>
      </c>
      <c r="G2857" s="8">
        <f t="shared" si="89"/>
        <v>2.1734375E-2</v>
      </c>
    </row>
    <row r="2858" spans="1:7" x14ac:dyDescent="0.25">
      <c r="A2858" s="8">
        <v>37</v>
      </c>
      <c r="B2858" s="8">
        <v>60</v>
      </c>
      <c r="C2858" s="8">
        <v>162.233047</v>
      </c>
      <c r="D2858" s="8">
        <v>136617.828125</v>
      </c>
      <c r="E2858" s="8">
        <v>136624.890625</v>
      </c>
      <c r="F2858" s="8">
        <f t="shared" si="88"/>
        <v>7.0625</v>
      </c>
      <c r="G2858" s="8">
        <f t="shared" si="89"/>
        <v>7.0625000000000002E-3</v>
      </c>
    </row>
    <row r="2859" spans="1:7" x14ac:dyDescent="0.25">
      <c r="A2859" s="8">
        <v>37</v>
      </c>
      <c r="B2859" s="8">
        <v>61</v>
      </c>
      <c r="C2859" s="8">
        <v>4731.5834960000002</v>
      </c>
      <c r="D2859" s="8">
        <v>136794.171875</v>
      </c>
      <c r="E2859" s="8">
        <v>136805.328125</v>
      </c>
      <c r="F2859" s="8">
        <f t="shared" si="88"/>
        <v>11.15625</v>
      </c>
      <c r="G2859" s="8">
        <f t="shared" si="89"/>
        <v>1.115625E-2</v>
      </c>
    </row>
    <row r="2860" spans="1:7" x14ac:dyDescent="0.25">
      <c r="A2860" s="8">
        <v>37</v>
      </c>
      <c r="B2860" s="8">
        <v>62</v>
      </c>
      <c r="C2860" s="8">
        <v>1410.797607</v>
      </c>
      <c r="D2860" s="8">
        <v>141548.03125</v>
      </c>
      <c r="E2860" s="8">
        <v>141574.71875</v>
      </c>
      <c r="F2860" s="8">
        <f t="shared" si="88"/>
        <v>26.6875</v>
      </c>
      <c r="G2860" s="8">
        <f t="shared" si="89"/>
        <v>2.6687499999999999E-2</v>
      </c>
    </row>
    <row r="2861" spans="1:7" x14ac:dyDescent="0.25">
      <c r="A2861" s="8">
        <v>37</v>
      </c>
      <c r="B2861" s="8">
        <v>63</v>
      </c>
      <c r="C2861" s="8">
        <v>158.33137500000001</v>
      </c>
      <c r="D2861" s="8">
        <v>142999.671875</v>
      </c>
      <c r="E2861" s="8">
        <v>143012.84375</v>
      </c>
      <c r="F2861" s="8">
        <f t="shared" si="88"/>
        <v>13.171875</v>
      </c>
      <c r="G2861" s="8">
        <f t="shared" si="89"/>
        <v>1.3171875E-2</v>
      </c>
    </row>
    <row r="2862" spans="1:7" x14ac:dyDescent="0.25">
      <c r="A2862" s="8">
        <v>37</v>
      </c>
      <c r="B2862" s="8">
        <v>64</v>
      </c>
      <c r="C2862" s="8">
        <v>4333.732422</v>
      </c>
      <c r="D2862" s="8">
        <v>143171.640625</v>
      </c>
      <c r="E2862" s="8">
        <v>143178.78125</v>
      </c>
      <c r="F2862" s="8">
        <f t="shared" si="88"/>
        <v>7.140625</v>
      </c>
      <c r="G2862" s="8">
        <f t="shared" si="89"/>
        <v>7.1406250000000003E-3</v>
      </c>
    </row>
    <row r="2863" spans="1:7" x14ac:dyDescent="0.25">
      <c r="A2863" s="8">
        <v>37</v>
      </c>
      <c r="B2863" s="8">
        <v>65</v>
      </c>
      <c r="C2863" s="8">
        <v>1429.9197999999999</v>
      </c>
      <c r="D2863" s="8">
        <v>147521.734375</v>
      </c>
      <c r="E2863" s="8">
        <v>147539.390625</v>
      </c>
      <c r="F2863" s="8">
        <f t="shared" si="88"/>
        <v>17.65625</v>
      </c>
      <c r="G2863" s="8">
        <f t="shared" si="89"/>
        <v>1.7656249999999998E-2</v>
      </c>
    </row>
    <row r="2864" spans="1:7" x14ac:dyDescent="0.25">
      <c r="A2864" s="8">
        <v>37</v>
      </c>
      <c r="B2864" s="8">
        <v>66</v>
      </c>
      <c r="C2864" s="8">
        <v>300.55444299999999</v>
      </c>
      <c r="D2864" s="8">
        <v>148978.546875</v>
      </c>
      <c r="E2864" s="8">
        <v>148997.453125</v>
      </c>
      <c r="F2864" s="8">
        <f t="shared" si="88"/>
        <v>18.90625</v>
      </c>
      <c r="G2864" s="8">
        <f t="shared" si="89"/>
        <v>1.8906249999999999E-2</v>
      </c>
    </row>
    <row r="2865" spans="1:7" x14ac:dyDescent="0.25">
      <c r="A2865" s="8">
        <v>37</v>
      </c>
      <c r="B2865" s="8">
        <v>67</v>
      </c>
      <c r="C2865" s="8">
        <v>563.45678699999996</v>
      </c>
      <c r="D2865" s="8">
        <v>149306.6875</v>
      </c>
      <c r="E2865" s="8">
        <v>149315.6875</v>
      </c>
      <c r="F2865" s="8">
        <f t="shared" si="88"/>
        <v>9</v>
      </c>
      <c r="G2865" s="8">
        <f t="shared" si="89"/>
        <v>8.9999999999999993E-3</v>
      </c>
    </row>
    <row r="2866" spans="1:7" x14ac:dyDescent="0.25">
      <c r="A2866" s="8">
        <v>37</v>
      </c>
      <c r="B2866" s="8">
        <v>68</v>
      </c>
      <c r="C2866" s="8">
        <v>5369.466797</v>
      </c>
      <c r="D2866" s="8">
        <v>149889.390625</v>
      </c>
      <c r="E2866" s="8">
        <v>149912.96875</v>
      </c>
      <c r="F2866" s="8">
        <f t="shared" si="88"/>
        <v>23.578125</v>
      </c>
      <c r="G2866" s="8">
        <f t="shared" si="89"/>
        <v>2.3578124999999998E-2</v>
      </c>
    </row>
    <row r="2867" spans="1:7" x14ac:dyDescent="0.25">
      <c r="A2867" s="8">
        <v>37</v>
      </c>
      <c r="B2867" s="8">
        <v>69</v>
      </c>
      <c r="C2867" s="8">
        <v>1081.352905</v>
      </c>
      <c r="D2867" s="8">
        <v>155297.21875</v>
      </c>
      <c r="E2867" s="8">
        <v>155308.234375</v>
      </c>
      <c r="F2867" s="8">
        <f t="shared" si="88"/>
        <v>11.015625</v>
      </c>
      <c r="G2867" s="8">
        <f t="shared" si="89"/>
        <v>1.1015624999999999E-2</v>
      </c>
    </row>
    <row r="2868" spans="1:7" x14ac:dyDescent="0.25">
      <c r="A2868" s="8">
        <v>37</v>
      </c>
      <c r="B2868" s="8">
        <v>70</v>
      </c>
      <c r="C2868" s="8">
        <v>336.62887599999999</v>
      </c>
      <c r="D2868" s="8">
        <v>156390.90625</v>
      </c>
      <c r="E2868" s="8">
        <v>156409.6875</v>
      </c>
      <c r="F2868" s="8">
        <f t="shared" si="88"/>
        <v>18.78125</v>
      </c>
      <c r="G2868" s="8">
        <f t="shared" si="89"/>
        <v>1.8781249999999999E-2</v>
      </c>
    </row>
    <row r="2869" spans="1:7" x14ac:dyDescent="0.25">
      <c r="A2869" s="8">
        <v>37</v>
      </c>
      <c r="B2869" s="8">
        <v>71</v>
      </c>
      <c r="C2869" s="8">
        <v>930.98205600000006</v>
      </c>
      <c r="D2869" s="8">
        <v>156750.53125</v>
      </c>
      <c r="E2869" s="8">
        <v>156768.71875</v>
      </c>
      <c r="F2869" s="8">
        <f t="shared" si="88"/>
        <v>18.1875</v>
      </c>
      <c r="G2869" s="8">
        <f t="shared" si="89"/>
        <v>1.8187499999999999E-2</v>
      </c>
    </row>
    <row r="2870" spans="1:7" x14ac:dyDescent="0.25">
      <c r="A2870" s="8">
        <v>37</v>
      </c>
      <c r="B2870" s="8">
        <v>72</v>
      </c>
      <c r="C2870" s="8">
        <v>4425.3266599999997</v>
      </c>
      <c r="D2870" s="8">
        <v>157703.75</v>
      </c>
      <c r="E2870" s="8">
        <v>157712.109375</v>
      </c>
      <c r="F2870" s="8">
        <f t="shared" si="88"/>
        <v>8.359375</v>
      </c>
      <c r="G2870" s="8">
        <f t="shared" si="89"/>
        <v>8.3593750000000005E-3</v>
      </c>
    </row>
    <row r="2871" spans="1:7" x14ac:dyDescent="0.25">
      <c r="A2871" s="8">
        <v>37</v>
      </c>
      <c r="B2871" s="8">
        <v>73</v>
      </c>
      <c r="C2871" s="8">
        <v>6088.1904299999997</v>
      </c>
      <c r="D2871" s="8">
        <v>162143.328125</v>
      </c>
      <c r="E2871" s="8">
        <v>162156.328125</v>
      </c>
      <c r="F2871" s="8">
        <f t="shared" si="88"/>
        <v>13</v>
      </c>
      <c r="G2871" s="8">
        <f t="shared" si="89"/>
        <v>1.2999999999999999E-2</v>
      </c>
    </row>
    <row r="2872" spans="1:7" x14ac:dyDescent="0.25">
      <c r="A2872" s="8">
        <v>37</v>
      </c>
      <c r="B2872" s="8">
        <v>74</v>
      </c>
      <c r="C2872" s="8">
        <v>68.798850999999999</v>
      </c>
      <c r="D2872" s="8">
        <v>168244.828125</v>
      </c>
      <c r="E2872" s="8">
        <v>168289.34375</v>
      </c>
      <c r="F2872" s="8">
        <f t="shared" si="88"/>
        <v>44.515625</v>
      </c>
      <c r="G2872" s="8">
        <f t="shared" si="89"/>
        <v>4.4515625000000003E-2</v>
      </c>
    </row>
    <row r="2873" spans="1:7" x14ac:dyDescent="0.25">
      <c r="A2873" s="8">
        <v>37</v>
      </c>
      <c r="B2873" s="8">
        <v>75</v>
      </c>
      <c r="C2873" s="8">
        <v>292.34301799999997</v>
      </c>
      <c r="D2873" s="8">
        <v>168372.234375</v>
      </c>
      <c r="E2873" s="8">
        <v>168379.53125</v>
      </c>
      <c r="F2873" s="8">
        <f t="shared" si="88"/>
        <v>7.296875</v>
      </c>
      <c r="G2873" s="8">
        <f t="shared" si="89"/>
        <v>7.2968750000000004E-3</v>
      </c>
    </row>
    <row r="2874" spans="1:7" x14ac:dyDescent="0.25">
      <c r="A2874" s="8">
        <v>37</v>
      </c>
      <c r="B2874" s="8">
        <v>76</v>
      </c>
      <c r="C2874" s="8">
        <v>3778.8566890000002</v>
      </c>
      <c r="D2874" s="8">
        <v>168684.96875</v>
      </c>
      <c r="E2874" s="8">
        <v>168697.734375</v>
      </c>
      <c r="F2874" s="8">
        <f t="shared" si="88"/>
        <v>12.765625</v>
      </c>
      <c r="G2874" s="8">
        <f t="shared" si="89"/>
        <v>1.2765624999999999E-2</v>
      </c>
    </row>
    <row r="2875" spans="1:7" x14ac:dyDescent="0.25">
      <c r="A2875" s="8">
        <v>38</v>
      </c>
      <c r="B2875" s="8">
        <v>0</v>
      </c>
      <c r="C2875" s="8">
        <v>213.18440200000001</v>
      </c>
      <c r="D2875" s="8">
        <v>20297.345702999999</v>
      </c>
      <c r="E2875" s="8">
        <v>20323.615234000001</v>
      </c>
      <c r="F2875" s="8">
        <f t="shared" si="88"/>
        <v>26.269531000001734</v>
      </c>
      <c r="G2875" s="8">
        <f t="shared" si="89"/>
        <v>2.6269531000001733E-2</v>
      </c>
    </row>
    <row r="2876" spans="1:7" x14ac:dyDescent="0.25">
      <c r="A2876" s="8">
        <v>38</v>
      </c>
      <c r="B2876" s="8">
        <v>1</v>
      </c>
      <c r="C2876" s="8">
        <v>311.08050500000002</v>
      </c>
      <c r="D2876" s="8">
        <v>20547.386718999998</v>
      </c>
      <c r="E2876" s="8">
        <v>20555.115234000001</v>
      </c>
      <c r="F2876" s="8">
        <f t="shared" si="88"/>
        <v>7.7285150000025169</v>
      </c>
      <c r="G2876" s="8">
        <f t="shared" si="89"/>
        <v>7.7285150000025171E-3</v>
      </c>
    </row>
    <row r="2877" spans="1:7" x14ac:dyDescent="0.25">
      <c r="A2877" s="8">
        <v>38</v>
      </c>
      <c r="B2877" s="8">
        <v>2</v>
      </c>
      <c r="C2877" s="8">
        <v>3505.9978030000002</v>
      </c>
      <c r="D2877" s="8">
        <v>20875.566406000002</v>
      </c>
      <c r="E2877" s="8">
        <v>20972.925781000002</v>
      </c>
      <c r="F2877" s="8">
        <f t="shared" si="88"/>
        <v>97.359375</v>
      </c>
      <c r="G2877" s="8">
        <f t="shared" si="89"/>
        <v>9.7359374999999998E-2</v>
      </c>
    </row>
    <row r="2878" spans="1:7" x14ac:dyDescent="0.25">
      <c r="A2878" s="8">
        <v>38</v>
      </c>
      <c r="B2878" s="8">
        <v>3</v>
      </c>
      <c r="C2878" s="8">
        <v>300.62539700000002</v>
      </c>
      <c r="D2878" s="8">
        <v>24490.523438</v>
      </c>
      <c r="E2878" s="8">
        <v>24502.353515999999</v>
      </c>
      <c r="F2878" s="8">
        <f t="shared" si="88"/>
        <v>11.830077999999048</v>
      </c>
      <c r="G2878" s="8">
        <f t="shared" si="89"/>
        <v>1.1830077999999048E-2</v>
      </c>
    </row>
    <row r="2879" spans="1:7" x14ac:dyDescent="0.25">
      <c r="A2879" s="8">
        <v>38</v>
      </c>
      <c r="B2879" s="8">
        <v>4</v>
      </c>
      <c r="C2879" s="8">
        <v>528.17401099999995</v>
      </c>
      <c r="D2879" s="8">
        <v>24803.070313</v>
      </c>
      <c r="E2879" s="8">
        <v>24814.390625</v>
      </c>
      <c r="F2879" s="8">
        <f t="shared" si="88"/>
        <v>11.320311999999831</v>
      </c>
      <c r="G2879" s="8">
        <f t="shared" si="89"/>
        <v>1.1320311999999831E-2</v>
      </c>
    </row>
    <row r="2880" spans="1:7" x14ac:dyDescent="0.25">
      <c r="A2880" s="8">
        <v>38</v>
      </c>
      <c r="B2880" s="8">
        <v>5</v>
      </c>
      <c r="C2880" s="8">
        <v>40.571060000000003</v>
      </c>
      <c r="D2880" s="8">
        <v>25349.90625</v>
      </c>
      <c r="E2880" s="8">
        <v>25371.521484000001</v>
      </c>
      <c r="F2880" s="8">
        <f t="shared" si="88"/>
        <v>21.615234000000783</v>
      </c>
      <c r="G2880" s="8">
        <f t="shared" si="89"/>
        <v>2.1615234000000781E-2</v>
      </c>
    </row>
    <row r="2881" spans="1:7" x14ac:dyDescent="0.25">
      <c r="A2881" s="8">
        <v>38</v>
      </c>
      <c r="B2881" s="8">
        <v>6</v>
      </c>
      <c r="C2881" s="8">
        <v>1320.4329829999999</v>
      </c>
      <c r="D2881" s="8">
        <v>25412.427734000001</v>
      </c>
      <c r="E2881" s="8">
        <v>25427.900390999999</v>
      </c>
      <c r="F2881" s="8">
        <f t="shared" si="88"/>
        <v>15.472656999998435</v>
      </c>
      <c r="G2881" s="8">
        <f t="shared" si="89"/>
        <v>1.5472656999998434E-2</v>
      </c>
    </row>
    <row r="2882" spans="1:7" x14ac:dyDescent="0.25">
      <c r="A2882" s="8">
        <v>38</v>
      </c>
      <c r="B2882" s="8">
        <v>7</v>
      </c>
      <c r="C2882" s="8">
        <v>82.872765000000001</v>
      </c>
      <c r="D2882" s="8">
        <v>26758.761718999998</v>
      </c>
      <c r="E2882" s="8">
        <v>26770.195313</v>
      </c>
      <c r="F2882" s="8">
        <f t="shared" si="88"/>
        <v>11.433594000001904</v>
      </c>
      <c r="G2882" s="8">
        <f t="shared" si="89"/>
        <v>1.1433594000001903E-2</v>
      </c>
    </row>
    <row r="2883" spans="1:7" x14ac:dyDescent="0.25">
      <c r="A2883" s="8">
        <v>38</v>
      </c>
      <c r="B2883" s="8">
        <v>8</v>
      </c>
      <c r="C2883" s="8">
        <v>2720.476318</v>
      </c>
      <c r="D2883" s="8">
        <v>26852.519531000002</v>
      </c>
      <c r="E2883" s="8">
        <v>26877.666015999999</v>
      </c>
      <c r="F2883" s="8">
        <f t="shared" si="88"/>
        <v>25.146484999997483</v>
      </c>
      <c r="G2883" s="8">
        <f t="shared" si="89"/>
        <v>2.5146484999997484E-2</v>
      </c>
    </row>
    <row r="2884" spans="1:7" x14ac:dyDescent="0.25">
      <c r="A2884" s="8">
        <v>38</v>
      </c>
      <c r="B2884" s="8">
        <v>9</v>
      </c>
      <c r="C2884" s="8">
        <v>906.72760000000005</v>
      </c>
      <c r="D2884" s="8">
        <v>29605.933593999998</v>
      </c>
      <c r="E2884" s="8">
        <v>29630.466797000001</v>
      </c>
      <c r="F2884" s="8">
        <f t="shared" si="88"/>
        <v>24.533203000002686</v>
      </c>
      <c r="G2884" s="8">
        <f t="shared" si="89"/>
        <v>2.4533203000002685E-2</v>
      </c>
    </row>
    <row r="2885" spans="1:7" x14ac:dyDescent="0.25">
      <c r="A2885" s="8">
        <v>38</v>
      </c>
      <c r="B2885" s="8">
        <v>10</v>
      </c>
      <c r="C2885" s="8">
        <v>577.42004399999996</v>
      </c>
      <c r="D2885" s="8">
        <v>30546.734375</v>
      </c>
      <c r="E2885" s="8">
        <v>30570.71875</v>
      </c>
      <c r="F2885" s="8">
        <f t="shared" si="88"/>
        <v>23.984375</v>
      </c>
      <c r="G2885" s="8">
        <f t="shared" si="89"/>
        <v>2.3984374999999999E-2</v>
      </c>
    </row>
    <row r="2886" spans="1:7" x14ac:dyDescent="0.25">
      <c r="A2886" s="8">
        <v>38</v>
      </c>
      <c r="B2886" s="8">
        <v>11</v>
      </c>
      <c r="C2886" s="8">
        <v>59.156677000000002</v>
      </c>
      <c r="D2886" s="8">
        <v>31159.759765999999</v>
      </c>
      <c r="E2886" s="8">
        <v>31183.427734000001</v>
      </c>
      <c r="F2886" s="8">
        <f t="shared" si="88"/>
        <v>23.667968000001565</v>
      </c>
      <c r="G2886" s="8">
        <f t="shared" si="89"/>
        <v>2.3667968000001566E-2</v>
      </c>
    </row>
    <row r="2887" spans="1:7" x14ac:dyDescent="0.25">
      <c r="A2887" s="8">
        <v>38</v>
      </c>
      <c r="B2887" s="8">
        <v>12</v>
      </c>
      <c r="C2887" s="8">
        <v>3479.7485350000002</v>
      </c>
      <c r="D2887" s="8">
        <v>31253.507813</v>
      </c>
      <c r="E2887" s="8">
        <v>31261.080077999999</v>
      </c>
      <c r="F2887" s="8">
        <f t="shared" si="88"/>
        <v>7.5722649999988789</v>
      </c>
      <c r="G2887" s="8">
        <f t="shared" si="89"/>
        <v>7.5722649999988793E-3</v>
      </c>
    </row>
    <row r="2888" spans="1:7" x14ac:dyDescent="0.25">
      <c r="A2888" s="8">
        <v>38</v>
      </c>
      <c r="B2888" s="8">
        <v>13</v>
      </c>
      <c r="C2888" s="8">
        <v>501.094696</v>
      </c>
      <c r="D2888" s="8">
        <v>34748.785155999998</v>
      </c>
      <c r="E2888" s="8">
        <v>34773.5</v>
      </c>
      <c r="F2888" s="8">
        <f t="shared" si="88"/>
        <v>24.714844000001904</v>
      </c>
      <c r="G2888" s="8">
        <f t="shared" si="89"/>
        <v>2.4714844000001904E-2</v>
      </c>
    </row>
    <row r="2889" spans="1:7" x14ac:dyDescent="0.25">
      <c r="A2889" s="8">
        <v>38</v>
      </c>
      <c r="B2889" s="8">
        <v>14</v>
      </c>
      <c r="C2889" s="8">
        <v>2145.0529790000001</v>
      </c>
      <c r="D2889" s="8">
        <v>35280.039062999997</v>
      </c>
      <c r="E2889" s="8">
        <v>35294.238280999998</v>
      </c>
      <c r="F2889" s="8">
        <f t="shared" si="88"/>
        <v>14.199218000001565</v>
      </c>
      <c r="G2889" s="8">
        <f t="shared" si="89"/>
        <v>1.4199218000001564E-2</v>
      </c>
    </row>
    <row r="2890" spans="1:7" x14ac:dyDescent="0.25">
      <c r="A2890" s="8">
        <v>38</v>
      </c>
      <c r="B2890" s="8">
        <v>15</v>
      </c>
      <c r="C2890" s="8">
        <v>70.505318000000003</v>
      </c>
      <c r="D2890" s="8">
        <v>37440.949219000002</v>
      </c>
      <c r="E2890" s="8">
        <v>37465.5625</v>
      </c>
      <c r="F2890" s="8">
        <f t="shared" si="88"/>
        <v>24.613280999998096</v>
      </c>
      <c r="G2890" s="8">
        <f t="shared" si="89"/>
        <v>2.4613280999998096E-2</v>
      </c>
    </row>
    <row r="2891" spans="1:7" x14ac:dyDescent="0.25">
      <c r="A2891" s="8">
        <v>38</v>
      </c>
      <c r="B2891" s="8">
        <v>16</v>
      </c>
      <c r="C2891" s="8">
        <v>2051.4780270000001</v>
      </c>
      <c r="D2891" s="8">
        <v>37550.40625</v>
      </c>
      <c r="E2891" s="8">
        <v>37562.820312999997</v>
      </c>
      <c r="F2891" s="8">
        <f t="shared" ref="F2891:F2954" si="90">E2891-D2891</f>
        <v>12.414062999996531</v>
      </c>
      <c r="G2891" s="8">
        <f t="shared" ref="G2891:G2954" si="91">F2891/1000</f>
        <v>1.2414062999996532E-2</v>
      </c>
    </row>
    <row r="2892" spans="1:7" x14ac:dyDescent="0.25">
      <c r="A2892" s="8">
        <v>38</v>
      </c>
      <c r="B2892" s="8">
        <v>17</v>
      </c>
      <c r="C2892" s="8">
        <v>2612.3671880000002</v>
      </c>
      <c r="D2892" s="8">
        <v>39621.089844000002</v>
      </c>
      <c r="E2892" s="8">
        <v>39628.96875</v>
      </c>
      <c r="F2892" s="8">
        <f t="shared" si="90"/>
        <v>7.8789059999980964</v>
      </c>
      <c r="G2892" s="8">
        <f t="shared" si="91"/>
        <v>7.8789059999980968E-3</v>
      </c>
    </row>
    <row r="2893" spans="1:7" x14ac:dyDescent="0.25">
      <c r="A2893" s="8">
        <v>38</v>
      </c>
      <c r="B2893" s="8">
        <v>18</v>
      </c>
      <c r="C2893" s="8">
        <v>4287.8989259999998</v>
      </c>
      <c r="D2893" s="8">
        <v>42247.191405999998</v>
      </c>
      <c r="E2893" s="8">
        <v>42272.203125</v>
      </c>
      <c r="F2893" s="8">
        <f t="shared" si="90"/>
        <v>25.011719000001904</v>
      </c>
      <c r="G2893" s="8">
        <f t="shared" si="91"/>
        <v>2.5011719000001903E-2</v>
      </c>
    </row>
    <row r="2894" spans="1:7" x14ac:dyDescent="0.25">
      <c r="A2894" s="8">
        <v>38</v>
      </c>
      <c r="B2894" s="8">
        <v>19</v>
      </c>
      <c r="C2894" s="8">
        <v>570.75103799999999</v>
      </c>
      <c r="D2894" s="8">
        <v>46563.207030999998</v>
      </c>
      <c r="E2894" s="8">
        <v>46595.046875</v>
      </c>
      <c r="F2894" s="8">
        <f t="shared" si="90"/>
        <v>31.839844000001904</v>
      </c>
      <c r="G2894" s="8">
        <f t="shared" si="91"/>
        <v>3.18398440000019E-2</v>
      </c>
    </row>
    <row r="2895" spans="1:7" x14ac:dyDescent="0.25">
      <c r="A2895" s="8">
        <v>38</v>
      </c>
      <c r="B2895" s="8">
        <v>20</v>
      </c>
      <c r="C2895" s="8">
        <v>5717.3642579999996</v>
      </c>
      <c r="D2895" s="8">
        <v>47172.851562999997</v>
      </c>
      <c r="E2895" s="8">
        <v>47183.621094000002</v>
      </c>
      <c r="F2895" s="8">
        <f t="shared" si="90"/>
        <v>10.769531000005372</v>
      </c>
      <c r="G2895" s="8">
        <f t="shared" si="91"/>
        <v>1.0769531000005373E-2</v>
      </c>
    </row>
    <row r="2896" spans="1:7" x14ac:dyDescent="0.25">
      <c r="A2896" s="8">
        <v>38</v>
      </c>
      <c r="B2896" s="8">
        <v>21</v>
      </c>
      <c r="C2896" s="8">
        <v>389.54193099999998</v>
      </c>
      <c r="D2896" s="8">
        <v>52904.730469000002</v>
      </c>
      <c r="E2896" s="8">
        <v>52931.0625</v>
      </c>
      <c r="F2896" s="8">
        <f t="shared" si="90"/>
        <v>26.332030999998096</v>
      </c>
      <c r="G2896" s="8">
        <f t="shared" si="91"/>
        <v>2.6332030999998098E-2</v>
      </c>
    </row>
    <row r="2897" spans="1:7" x14ac:dyDescent="0.25">
      <c r="A2897" s="8">
        <v>38</v>
      </c>
      <c r="B2897" s="8">
        <v>22</v>
      </c>
      <c r="C2897" s="8">
        <v>6062.7290039999998</v>
      </c>
      <c r="D2897" s="8">
        <v>53327.464844000002</v>
      </c>
      <c r="E2897" s="8">
        <v>53350.660155999998</v>
      </c>
      <c r="F2897" s="8">
        <f t="shared" si="90"/>
        <v>23.195311999996193</v>
      </c>
      <c r="G2897" s="8">
        <f t="shared" si="91"/>
        <v>2.3195311999996193E-2</v>
      </c>
    </row>
    <row r="2898" spans="1:7" x14ac:dyDescent="0.25">
      <c r="A2898" s="8">
        <v>38</v>
      </c>
      <c r="B2898" s="8">
        <v>23</v>
      </c>
      <c r="C2898" s="8">
        <v>1033.6094969999999</v>
      </c>
      <c r="D2898" s="8">
        <v>59419.230469000002</v>
      </c>
      <c r="E2898" s="8">
        <v>59441.390625</v>
      </c>
      <c r="F2898" s="8">
        <f t="shared" si="90"/>
        <v>22.160155999998096</v>
      </c>
      <c r="G2898" s="8">
        <f t="shared" si="91"/>
        <v>2.2160155999998096E-2</v>
      </c>
    </row>
    <row r="2899" spans="1:7" x14ac:dyDescent="0.25">
      <c r="A2899" s="8">
        <v>38</v>
      </c>
      <c r="B2899" s="8">
        <v>24</v>
      </c>
      <c r="C2899" s="8">
        <v>1790.1263429999999</v>
      </c>
      <c r="D2899" s="8">
        <v>60481.800780999998</v>
      </c>
      <c r="E2899" s="8">
        <v>60492.714844000002</v>
      </c>
      <c r="F2899" s="8">
        <f t="shared" si="90"/>
        <v>10.914063000003807</v>
      </c>
      <c r="G2899" s="8">
        <f t="shared" si="91"/>
        <v>1.0914063000003808E-2</v>
      </c>
    </row>
    <row r="2900" spans="1:7" x14ac:dyDescent="0.25">
      <c r="A2900" s="8">
        <v>38</v>
      </c>
      <c r="B2900" s="8">
        <v>25</v>
      </c>
      <c r="C2900" s="8">
        <v>665.779358</v>
      </c>
      <c r="D2900" s="8">
        <v>62297.84375</v>
      </c>
      <c r="E2900" s="8">
        <v>62321.558594000002</v>
      </c>
      <c r="F2900" s="8">
        <f t="shared" si="90"/>
        <v>23.714844000001904</v>
      </c>
      <c r="G2900" s="8">
        <f t="shared" si="91"/>
        <v>2.3714844000001904E-2</v>
      </c>
    </row>
    <row r="2901" spans="1:7" x14ac:dyDescent="0.25">
      <c r="A2901" s="8">
        <v>38</v>
      </c>
      <c r="B2901" s="8">
        <v>26</v>
      </c>
      <c r="C2901" s="8">
        <v>675.08196999999996</v>
      </c>
      <c r="D2901" s="8">
        <v>63001.066405999998</v>
      </c>
      <c r="E2901" s="8">
        <v>63020.765625</v>
      </c>
      <c r="F2901" s="8">
        <f t="shared" si="90"/>
        <v>19.699219000001904</v>
      </c>
      <c r="G2901" s="8">
        <f t="shared" si="91"/>
        <v>1.9699219000001905E-2</v>
      </c>
    </row>
    <row r="2902" spans="1:7" x14ac:dyDescent="0.25">
      <c r="A2902" s="8">
        <v>38</v>
      </c>
      <c r="B2902" s="8">
        <v>27</v>
      </c>
      <c r="C2902" s="8">
        <v>16.548242999999999</v>
      </c>
      <c r="D2902" s="8">
        <v>63697.28125</v>
      </c>
      <c r="E2902" s="8">
        <v>63719.292969000002</v>
      </c>
      <c r="F2902" s="8">
        <f t="shared" si="90"/>
        <v>22.011719000001904</v>
      </c>
      <c r="G2902" s="8">
        <f t="shared" si="91"/>
        <v>2.2011719000001904E-2</v>
      </c>
    </row>
    <row r="2903" spans="1:7" x14ac:dyDescent="0.25">
      <c r="A2903" s="8">
        <v>38</v>
      </c>
      <c r="B2903" s="8">
        <v>28</v>
      </c>
      <c r="C2903" s="8">
        <v>564.26593000000003</v>
      </c>
      <c r="D2903" s="8">
        <v>63744.265625</v>
      </c>
      <c r="E2903" s="8">
        <v>63754.671875</v>
      </c>
      <c r="F2903" s="8">
        <f t="shared" si="90"/>
        <v>10.40625</v>
      </c>
      <c r="G2903" s="8">
        <f t="shared" si="91"/>
        <v>1.0406250000000001E-2</v>
      </c>
    </row>
    <row r="2904" spans="1:7" x14ac:dyDescent="0.25">
      <c r="A2904" s="8">
        <v>38</v>
      </c>
      <c r="B2904" s="8">
        <v>29</v>
      </c>
      <c r="C2904" s="8">
        <v>60.728980999999997</v>
      </c>
      <c r="D2904" s="8">
        <v>64324.492187999997</v>
      </c>
      <c r="E2904" s="8">
        <v>64333.96875</v>
      </c>
      <c r="F2904" s="8">
        <f t="shared" si="90"/>
        <v>9.4765620000034687</v>
      </c>
      <c r="G2904" s="8">
        <f t="shared" si="91"/>
        <v>9.4765620000034686E-3</v>
      </c>
    </row>
    <row r="2905" spans="1:7" x14ac:dyDescent="0.25">
      <c r="A2905" s="8">
        <v>38</v>
      </c>
      <c r="B2905" s="8">
        <v>30</v>
      </c>
      <c r="C2905" s="8">
        <v>1689.7592770000001</v>
      </c>
      <c r="D2905" s="8">
        <v>64402.828125</v>
      </c>
      <c r="E2905" s="8">
        <v>64419.253905999998</v>
      </c>
      <c r="F2905" s="8">
        <f t="shared" si="90"/>
        <v>16.425780999998096</v>
      </c>
      <c r="G2905" s="8">
        <f t="shared" si="91"/>
        <v>1.6425780999998096E-2</v>
      </c>
    </row>
    <row r="2906" spans="1:7" x14ac:dyDescent="0.25">
      <c r="A2906" s="8">
        <v>38</v>
      </c>
      <c r="B2906" s="8">
        <v>31</v>
      </c>
      <c r="C2906" s="8">
        <v>1939.744751</v>
      </c>
      <c r="D2906" s="8">
        <v>66121.75</v>
      </c>
      <c r="E2906" s="8">
        <v>66154.429688000004</v>
      </c>
      <c r="F2906" s="8">
        <f t="shared" si="90"/>
        <v>32.679688000003807</v>
      </c>
      <c r="G2906" s="8">
        <f t="shared" si="91"/>
        <v>3.2679688000003808E-2</v>
      </c>
    </row>
    <row r="2907" spans="1:7" x14ac:dyDescent="0.25">
      <c r="A2907" s="8">
        <v>38</v>
      </c>
      <c r="B2907" s="8">
        <v>32</v>
      </c>
      <c r="C2907" s="8">
        <v>4676.4345700000003</v>
      </c>
      <c r="D2907" s="8">
        <v>68107.820313000004</v>
      </c>
      <c r="E2907" s="8">
        <v>68120.078125</v>
      </c>
      <c r="F2907" s="8">
        <f t="shared" si="90"/>
        <v>12.257811999996193</v>
      </c>
      <c r="G2907" s="8">
        <f t="shared" si="91"/>
        <v>1.2257811999996192E-2</v>
      </c>
    </row>
    <row r="2908" spans="1:7" x14ac:dyDescent="0.25">
      <c r="A2908" s="8">
        <v>38</v>
      </c>
      <c r="B2908" s="8">
        <v>33</v>
      </c>
      <c r="C2908" s="8">
        <v>4698.6958009999998</v>
      </c>
      <c r="D2908" s="8">
        <v>72810.570313000004</v>
      </c>
      <c r="E2908" s="8">
        <v>72818.414063000004</v>
      </c>
      <c r="F2908" s="8">
        <f t="shared" si="90"/>
        <v>7.84375</v>
      </c>
      <c r="G2908" s="8">
        <f t="shared" si="91"/>
        <v>7.84375E-3</v>
      </c>
    </row>
    <row r="2909" spans="1:7" x14ac:dyDescent="0.25">
      <c r="A2909" s="8">
        <v>38</v>
      </c>
      <c r="B2909" s="8">
        <v>34</v>
      </c>
      <c r="C2909" s="8">
        <v>1027.784668</v>
      </c>
      <c r="D2909" s="8">
        <v>77523.382813000004</v>
      </c>
      <c r="E2909" s="8">
        <v>77536.921875</v>
      </c>
      <c r="F2909" s="8">
        <f t="shared" si="90"/>
        <v>13.539061999996193</v>
      </c>
      <c r="G2909" s="8">
        <f t="shared" si="91"/>
        <v>1.3539061999996193E-2</v>
      </c>
    </row>
    <row r="2910" spans="1:7" x14ac:dyDescent="0.25">
      <c r="A2910" s="8">
        <v>38</v>
      </c>
      <c r="B2910" s="8">
        <v>35</v>
      </c>
      <c r="C2910" s="8">
        <v>2907.6032709999999</v>
      </c>
      <c r="D2910" s="8">
        <v>78575.898438000004</v>
      </c>
      <c r="E2910" s="8">
        <v>78590.4375</v>
      </c>
      <c r="F2910" s="8">
        <f t="shared" si="90"/>
        <v>14.539061999996193</v>
      </c>
      <c r="G2910" s="8">
        <f t="shared" si="91"/>
        <v>1.4539061999996192E-2</v>
      </c>
    </row>
    <row r="2911" spans="1:7" x14ac:dyDescent="0.25">
      <c r="A2911" s="8">
        <v>38</v>
      </c>
      <c r="B2911" s="8">
        <v>36</v>
      </c>
      <c r="C2911" s="8">
        <v>1510.8881839999999</v>
      </c>
      <c r="D2911" s="8">
        <v>81505.132813000004</v>
      </c>
      <c r="E2911" s="8">
        <v>81532.539063000004</v>
      </c>
      <c r="F2911" s="8">
        <f t="shared" si="90"/>
        <v>27.40625</v>
      </c>
      <c r="G2911" s="8">
        <f t="shared" si="91"/>
        <v>2.740625E-2</v>
      </c>
    </row>
    <row r="2912" spans="1:7" x14ac:dyDescent="0.25">
      <c r="A2912" s="8">
        <v>38</v>
      </c>
      <c r="B2912" s="8">
        <v>37</v>
      </c>
      <c r="C2912" s="8">
        <v>4376.826172</v>
      </c>
      <c r="D2912" s="8">
        <v>83057.960938000004</v>
      </c>
      <c r="E2912" s="8">
        <v>83073.382813000004</v>
      </c>
      <c r="F2912" s="8">
        <f t="shared" si="90"/>
        <v>15.421875</v>
      </c>
      <c r="G2912" s="8">
        <f t="shared" si="91"/>
        <v>1.5421875E-2</v>
      </c>
    </row>
    <row r="2913" spans="1:7" x14ac:dyDescent="0.25">
      <c r="A2913" s="8">
        <v>38</v>
      </c>
      <c r="B2913" s="8">
        <v>38</v>
      </c>
      <c r="C2913" s="8">
        <v>2428.4160160000001</v>
      </c>
      <c r="D2913" s="8">
        <v>87458.375</v>
      </c>
      <c r="E2913" s="8">
        <v>87475.992188000004</v>
      </c>
      <c r="F2913" s="8">
        <f t="shared" si="90"/>
        <v>17.617188000003807</v>
      </c>
      <c r="G2913" s="8">
        <f t="shared" si="91"/>
        <v>1.7617188000003808E-2</v>
      </c>
    </row>
    <row r="2914" spans="1:7" x14ac:dyDescent="0.25">
      <c r="A2914" s="8">
        <v>38</v>
      </c>
      <c r="B2914" s="8">
        <v>39</v>
      </c>
      <c r="C2914" s="8">
        <v>1752.2441409999999</v>
      </c>
      <c r="D2914" s="8">
        <v>89917.289063000004</v>
      </c>
      <c r="E2914" s="8">
        <v>89943.164063000004</v>
      </c>
      <c r="F2914" s="8">
        <f t="shared" si="90"/>
        <v>25.875</v>
      </c>
      <c r="G2914" s="8">
        <f t="shared" si="91"/>
        <v>2.5874999999999999E-2</v>
      </c>
    </row>
    <row r="2915" spans="1:7" x14ac:dyDescent="0.25">
      <c r="A2915" s="8">
        <v>38</v>
      </c>
      <c r="B2915" s="8">
        <v>40</v>
      </c>
      <c r="C2915" s="8">
        <v>1353.302856</v>
      </c>
      <c r="D2915" s="8">
        <v>91698.757813000004</v>
      </c>
      <c r="E2915" s="8">
        <v>91744.507813000004</v>
      </c>
      <c r="F2915" s="8">
        <f t="shared" si="90"/>
        <v>45.75</v>
      </c>
      <c r="G2915" s="8">
        <f t="shared" si="91"/>
        <v>4.5749999999999999E-2</v>
      </c>
    </row>
    <row r="2916" spans="1:7" x14ac:dyDescent="0.25">
      <c r="A2916" s="8">
        <v>38</v>
      </c>
      <c r="B2916" s="8">
        <v>41</v>
      </c>
      <c r="C2916" s="8">
        <v>70.821472</v>
      </c>
      <c r="D2916" s="8">
        <v>93107.226563000004</v>
      </c>
      <c r="E2916" s="8">
        <v>93128.03125</v>
      </c>
      <c r="F2916" s="8">
        <f t="shared" si="90"/>
        <v>20.804686999996193</v>
      </c>
      <c r="G2916" s="8">
        <f t="shared" si="91"/>
        <v>2.0804686999996193E-2</v>
      </c>
    </row>
    <row r="2917" spans="1:7" x14ac:dyDescent="0.25">
      <c r="A2917" s="8">
        <v>38</v>
      </c>
      <c r="B2917" s="8">
        <v>42</v>
      </c>
      <c r="C2917" s="8">
        <v>873.57916299999999</v>
      </c>
      <c r="D2917" s="8">
        <v>93200.992188000004</v>
      </c>
      <c r="E2917" s="8">
        <v>93214.648438000004</v>
      </c>
      <c r="F2917" s="8">
        <f t="shared" si="90"/>
        <v>13.65625</v>
      </c>
      <c r="G2917" s="8">
        <f t="shared" si="91"/>
        <v>1.365625E-2</v>
      </c>
    </row>
    <row r="2918" spans="1:7" x14ac:dyDescent="0.25">
      <c r="A2918" s="8">
        <v>38</v>
      </c>
      <c r="B2918" s="8">
        <v>43</v>
      </c>
      <c r="C2918" s="8">
        <v>3218.0825199999999</v>
      </c>
      <c r="D2918" s="8">
        <v>94092</v>
      </c>
      <c r="E2918" s="8">
        <v>94105.304688000004</v>
      </c>
      <c r="F2918" s="8">
        <f t="shared" si="90"/>
        <v>13.304688000003807</v>
      </c>
      <c r="G2918" s="8">
        <f t="shared" si="91"/>
        <v>1.3304688000003808E-2</v>
      </c>
    </row>
    <row r="2919" spans="1:7" x14ac:dyDescent="0.25">
      <c r="A2919" s="8">
        <v>38</v>
      </c>
      <c r="B2919" s="8">
        <v>44</v>
      </c>
      <c r="C2919" s="8">
        <v>12.797563</v>
      </c>
      <c r="D2919" s="8">
        <v>97325.390625</v>
      </c>
      <c r="E2919" s="8">
        <v>97340.445313000004</v>
      </c>
      <c r="F2919" s="8">
        <f t="shared" si="90"/>
        <v>15.054688000003807</v>
      </c>
      <c r="G2919" s="8">
        <f t="shared" si="91"/>
        <v>1.5054688000003808E-2</v>
      </c>
    </row>
    <row r="2920" spans="1:7" x14ac:dyDescent="0.25">
      <c r="A2920" s="8">
        <v>38</v>
      </c>
      <c r="B2920" s="8">
        <v>45</v>
      </c>
      <c r="C2920" s="8">
        <v>9239.0498050000006</v>
      </c>
      <c r="D2920" s="8">
        <v>97356.585938000004</v>
      </c>
      <c r="E2920" s="8">
        <v>97385.867188000004</v>
      </c>
      <c r="F2920" s="8">
        <f t="shared" si="90"/>
        <v>29.28125</v>
      </c>
      <c r="G2920" s="8">
        <f t="shared" si="91"/>
        <v>2.9281250000000002E-2</v>
      </c>
    </row>
    <row r="2921" spans="1:7" x14ac:dyDescent="0.25">
      <c r="A2921" s="8">
        <v>38</v>
      </c>
      <c r="B2921" s="8">
        <v>46</v>
      </c>
      <c r="C2921" s="8">
        <v>37.956760000000003</v>
      </c>
      <c r="D2921" s="8">
        <v>106625.328125</v>
      </c>
      <c r="E2921" s="8">
        <v>106644.851563</v>
      </c>
      <c r="F2921" s="8">
        <f t="shared" si="90"/>
        <v>19.523438000003807</v>
      </c>
      <c r="G2921" s="8">
        <f t="shared" si="91"/>
        <v>1.9523438000003807E-2</v>
      </c>
    </row>
    <row r="2922" spans="1:7" x14ac:dyDescent="0.25">
      <c r="A2922" s="8">
        <v>38</v>
      </c>
      <c r="B2922" s="8">
        <v>47</v>
      </c>
      <c r="C2922" s="8">
        <v>265.60717799999998</v>
      </c>
      <c r="D2922" s="8">
        <v>106687.820313</v>
      </c>
      <c r="E2922" s="8">
        <v>106695.539063</v>
      </c>
      <c r="F2922" s="8">
        <f t="shared" si="90"/>
        <v>7.71875</v>
      </c>
      <c r="G2922" s="8">
        <f t="shared" si="91"/>
        <v>7.7187499999999999E-3</v>
      </c>
    </row>
    <row r="2923" spans="1:7" x14ac:dyDescent="0.25">
      <c r="A2923" s="8">
        <v>38</v>
      </c>
      <c r="B2923" s="8">
        <v>48</v>
      </c>
      <c r="C2923" s="8">
        <v>827.447632</v>
      </c>
      <c r="D2923" s="8">
        <v>106969.109375</v>
      </c>
      <c r="E2923" s="8">
        <v>106989.601563</v>
      </c>
      <c r="F2923" s="8">
        <f t="shared" si="90"/>
        <v>20.492188000003807</v>
      </c>
      <c r="G2923" s="8">
        <f t="shared" si="91"/>
        <v>2.0492188000003807E-2</v>
      </c>
    </row>
    <row r="2924" spans="1:7" x14ac:dyDescent="0.25">
      <c r="A2924" s="8">
        <v>38</v>
      </c>
      <c r="B2924" s="8">
        <v>49</v>
      </c>
      <c r="C2924" s="8">
        <v>668.42053199999998</v>
      </c>
      <c r="D2924" s="8">
        <v>107829.203125</v>
      </c>
      <c r="E2924" s="8">
        <v>107853.960938</v>
      </c>
      <c r="F2924" s="8">
        <f t="shared" si="90"/>
        <v>24.757813000003807</v>
      </c>
      <c r="G2924" s="8">
        <f t="shared" si="91"/>
        <v>2.4757813000003806E-2</v>
      </c>
    </row>
    <row r="2925" spans="1:7" x14ac:dyDescent="0.25">
      <c r="A2925" s="8">
        <v>38</v>
      </c>
      <c r="B2925" s="8">
        <v>50</v>
      </c>
      <c r="C2925" s="8">
        <v>2021.569702</v>
      </c>
      <c r="D2925" s="8">
        <v>108532.304688</v>
      </c>
      <c r="E2925" s="8">
        <v>108549.929688</v>
      </c>
      <c r="F2925" s="8">
        <f t="shared" si="90"/>
        <v>17.625</v>
      </c>
      <c r="G2925" s="8">
        <f t="shared" si="91"/>
        <v>1.7624999999999998E-2</v>
      </c>
    </row>
    <row r="2926" spans="1:7" x14ac:dyDescent="0.25">
      <c r="A2926" s="8">
        <v>38</v>
      </c>
      <c r="B2926" s="8">
        <v>51</v>
      </c>
      <c r="C2926" s="8">
        <v>2133.6682129999999</v>
      </c>
      <c r="D2926" s="8">
        <v>110580.320313</v>
      </c>
      <c r="E2926" s="8">
        <v>110591.570313</v>
      </c>
      <c r="F2926" s="8">
        <f t="shared" si="90"/>
        <v>11.25</v>
      </c>
      <c r="G2926" s="8">
        <f t="shared" si="91"/>
        <v>1.125E-2</v>
      </c>
    </row>
    <row r="2927" spans="1:7" x14ac:dyDescent="0.25">
      <c r="A2927" s="8">
        <v>38</v>
      </c>
      <c r="B2927" s="8">
        <v>52</v>
      </c>
      <c r="C2927" s="8">
        <v>6063.9941410000001</v>
      </c>
      <c r="D2927" s="8">
        <v>112727.804688</v>
      </c>
      <c r="E2927" s="8">
        <v>112744.609375</v>
      </c>
      <c r="F2927" s="8">
        <f t="shared" si="90"/>
        <v>16.804686999996193</v>
      </c>
      <c r="G2927" s="8">
        <f t="shared" si="91"/>
        <v>1.6804686999996193E-2</v>
      </c>
    </row>
    <row r="2928" spans="1:7" x14ac:dyDescent="0.25">
      <c r="A2928" s="8">
        <v>38</v>
      </c>
      <c r="B2928" s="8">
        <v>53</v>
      </c>
      <c r="C2928" s="8">
        <v>2776.9270019999999</v>
      </c>
      <c r="D2928" s="8">
        <v>118822.570313</v>
      </c>
      <c r="E2928" s="8">
        <v>118836.9375</v>
      </c>
      <c r="F2928" s="8">
        <f t="shared" si="90"/>
        <v>14.367186999996193</v>
      </c>
      <c r="G2928" s="8">
        <f t="shared" si="91"/>
        <v>1.4367186999996192E-2</v>
      </c>
    </row>
    <row r="2929" spans="1:7" x14ac:dyDescent="0.25">
      <c r="A2929" s="8">
        <v>38</v>
      </c>
      <c r="B2929" s="8">
        <v>54</v>
      </c>
      <c r="C2929" s="8">
        <v>1543.106812</v>
      </c>
      <c r="D2929" s="8">
        <v>121627.0625</v>
      </c>
      <c r="E2929" s="8">
        <v>121638.242188</v>
      </c>
      <c r="F2929" s="8">
        <f t="shared" si="90"/>
        <v>11.179688000003807</v>
      </c>
      <c r="G2929" s="8">
        <f t="shared" si="91"/>
        <v>1.1179688000003808E-2</v>
      </c>
    </row>
    <row r="2930" spans="1:7" x14ac:dyDescent="0.25">
      <c r="A2930" s="8">
        <v>38</v>
      </c>
      <c r="B2930" s="8">
        <v>55</v>
      </c>
      <c r="C2930" s="8">
        <v>1014.664673</v>
      </c>
      <c r="D2930" s="8">
        <v>123183.632813</v>
      </c>
      <c r="E2930" s="8">
        <v>123229.484375</v>
      </c>
      <c r="F2930" s="8">
        <f t="shared" si="90"/>
        <v>45.851561999996193</v>
      </c>
      <c r="G2930" s="8">
        <f t="shared" si="91"/>
        <v>4.5851561999996196E-2</v>
      </c>
    </row>
    <row r="2931" spans="1:7" x14ac:dyDescent="0.25">
      <c r="A2931" s="8">
        <v>38</v>
      </c>
      <c r="B2931" s="8">
        <v>56</v>
      </c>
      <c r="C2931" s="8">
        <v>819.70825200000002</v>
      </c>
      <c r="D2931" s="8">
        <v>124252.0625</v>
      </c>
      <c r="E2931" s="8">
        <v>124274.703125</v>
      </c>
      <c r="F2931" s="8">
        <f t="shared" si="90"/>
        <v>22.640625</v>
      </c>
      <c r="G2931" s="8">
        <f t="shared" si="91"/>
        <v>2.2640625000000001E-2</v>
      </c>
    </row>
    <row r="2932" spans="1:7" x14ac:dyDescent="0.25">
      <c r="A2932" s="8">
        <v>38</v>
      </c>
      <c r="B2932" s="8">
        <v>57</v>
      </c>
      <c r="C2932" s="8">
        <v>4861.875</v>
      </c>
      <c r="D2932" s="8">
        <v>125095.695313</v>
      </c>
      <c r="E2932" s="8">
        <v>125102.414063</v>
      </c>
      <c r="F2932" s="8">
        <f t="shared" si="90"/>
        <v>6.71875</v>
      </c>
      <c r="G2932" s="8">
        <f t="shared" si="91"/>
        <v>6.7187499999999999E-3</v>
      </c>
    </row>
    <row r="2933" spans="1:7" x14ac:dyDescent="0.25">
      <c r="A2933" s="8">
        <v>38</v>
      </c>
      <c r="B2933" s="8">
        <v>58</v>
      </c>
      <c r="C2933" s="8">
        <v>2211.6198730000001</v>
      </c>
      <c r="D2933" s="8">
        <v>129973.15625</v>
      </c>
      <c r="E2933" s="8">
        <v>129993.46875</v>
      </c>
      <c r="F2933" s="8">
        <f t="shared" si="90"/>
        <v>20.3125</v>
      </c>
      <c r="G2933" s="8">
        <f t="shared" si="91"/>
        <v>2.0312500000000001E-2</v>
      </c>
    </row>
    <row r="2934" spans="1:7" x14ac:dyDescent="0.25">
      <c r="A2934" s="8">
        <v>38</v>
      </c>
      <c r="B2934" s="8">
        <v>59</v>
      </c>
      <c r="C2934" s="8">
        <v>1287.8625489999999</v>
      </c>
      <c r="D2934" s="8">
        <v>132217.671875</v>
      </c>
      <c r="E2934" s="8">
        <v>132233.765625</v>
      </c>
      <c r="F2934" s="8">
        <f t="shared" si="90"/>
        <v>16.09375</v>
      </c>
      <c r="G2934" s="8">
        <f t="shared" si="91"/>
        <v>1.609375E-2</v>
      </c>
    </row>
    <row r="2935" spans="1:7" x14ac:dyDescent="0.25">
      <c r="A2935" s="8">
        <v>38</v>
      </c>
      <c r="B2935" s="8">
        <v>60</v>
      </c>
      <c r="C2935" s="8">
        <v>2678.1123050000001</v>
      </c>
      <c r="D2935" s="8">
        <v>133534.96875</v>
      </c>
      <c r="E2935" s="8">
        <v>133551.15625</v>
      </c>
      <c r="F2935" s="8">
        <f t="shared" si="90"/>
        <v>16.1875</v>
      </c>
      <c r="G2935" s="8">
        <f t="shared" si="91"/>
        <v>1.61875E-2</v>
      </c>
    </row>
    <row r="2936" spans="1:7" x14ac:dyDescent="0.25">
      <c r="A2936" s="8">
        <v>38</v>
      </c>
      <c r="B2936" s="8">
        <v>61</v>
      </c>
      <c r="C2936" s="8">
        <v>2251.8598630000001</v>
      </c>
      <c r="D2936" s="8">
        <v>136241.515625</v>
      </c>
      <c r="E2936" s="8">
        <v>136261.84375</v>
      </c>
      <c r="F2936" s="8">
        <f t="shared" si="90"/>
        <v>20.328125</v>
      </c>
      <c r="G2936" s="8">
        <f t="shared" si="91"/>
        <v>2.0328124999999999E-2</v>
      </c>
    </row>
    <row r="2937" spans="1:7" x14ac:dyDescent="0.25">
      <c r="A2937" s="8">
        <v>38</v>
      </c>
      <c r="B2937" s="8">
        <v>62</v>
      </c>
      <c r="C2937" s="8">
        <v>4188.3354490000002</v>
      </c>
      <c r="D2937" s="8">
        <v>138515.6875</v>
      </c>
      <c r="E2937" s="8">
        <v>138544.078125</v>
      </c>
      <c r="F2937" s="8">
        <f t="shared" si="90"/>
        <v>28.390625</v>
      </c>
      <c r="G2937" s="8">
        <f t="shared" si="91"/>
        <v>2.8390624999999999E-2</v>
      </c>
    </row>
    <row r="2938" spans="1:7" x14ac:dyDescent="0.25">
      <c r="A2938" s="8">
        <v>38</v>
      </c>
      <c r="B2938" s="8">
        <v>63</v>
      </c>
      <c r="C2938" s="8">
        <v>308.01654100000002</v>
      </c>
      <c r="D2938" s="8">
        <v>142733.796875</v>
      </c>
      <c r="E2938" s="8">
        <v>142751.21875</v>
      </c>
      <c r="F2938" s="8">
        <f t="shared" si="90"/>
        <v>17.421875</v>
      </c>
      <c r="G2938" s="8">
        <f t="shared" si="91"/>
        <v>1.7421875E-2</v>
      </c>
    </row>
    <row r="2939" spans="1:7" x14ac:dyDescent="0.25">
      <c r="A2939" s="8">
        <v>38</v>
      </c>
      <c r="B2939" s="8">
        <v>64</v>
      </c>
      <c r="C2939" s="8">
        <v>1381.2346190000001</v>
      </c>
      <c r="D2939" s="8">
        <v>143062.1875</v>
      </c>
      <c r="E2939" s="8">
        <v>143102.15625</v>
      </c>
      <c r="F2939" s="8">
        <f t="shared" si="90"/>
        <v>39.96875</v>
      </c>
      <c r="G2939" s="8">
        <f t="shared" si="91"/>
        <v>3.9968749999999997E-2</v>
      </c>
    </row>
    <row r="2940" spans="1:7" x14ac:dyDescent="0.25">
      <c r="A2940" s="8">
        <v>38</v>
      </c>
      <c r="B2940" s="8">
        <v>65</v>
      </c>
      <c r="C2940" s="8">
        <v>403.83197000000001</v>
      </c>
      <c r="D2940" s="8">
        <v>144494.359375</v>
      </c>
      <c r="E2940" s="8">
        <v>144502.078125</v>
      </c>
      <c r="F2940" s="8">
        <f t="shared" si="90"/>
        <v>7.71875</v>
      </c>
      <c r="G2940" s="8">
        <f t="shared" si="91"/>
        <v>7.7187499999999999E-3</v>
      </c>
    </row>
    <row r="2941" spans="1:7" x14ac:dyDescent="0.25">
      <c r="A2941" s="8">
        <v>38</v>
      </c>
      <c r="B2941" s="8">
        <v>66</v>
      </c>
      <c r="C2941" s="8">
        <v>2649.4409179999998</v>
      </c>
      <c r="D2941" s="8">
        <v>144910.3125</v>
      </c>
      <c r="E2941" s="8">
        <v>144922.46875</v>
      </c>
      <c r="F2941" s="8">
        <f t="shared" si="90"/>
        <v>12.15625</v>
      </c>
      <c r="G2941" s="8">
        <f t="shared" si="91"/>
        <v>1.215625E-2</v>
      </c>
    </row>
    <row r="2942" spans="1:7" x14ac:dyDescent="0.25">
      <c r="A2942" s="8">
        <v>38</v>
      </c>
      <c r="B2942" s="8">
        <v>67</v>
      </c>
      <c r="C2942" s="8">
        <v>421.08563199999998</v>
      </c>
      <c r="D2942" s="8">
        <v>147584.25</v>
      </c>
      <c r="E2942" s="8">
        <v>147612.5625</v>
      </c>
      <c r="F2942" s="8">
        <f t="shared" si="90"/>
        <v>28.3125</v>
      </c>
      <c r="G2942" s="8">
        <f t="shared" si="91"/>
        <v>2.8312500000000001E-2</v>
      </c>
    </row>
    <row r="2943" spans="1:7" x14ac:dyDescent="0.25">
      <c r="A2943" s="8">
        <v>38</v>
      </c>
      <c r="B2943" s="8">
        <v>68</v>
      </c>
      <c r="C2943" s="8">
        <v>529.84387200000003</v>
      </c>
      <c r="D2943" s="8">
        <v>148040.15625</v>
      </c>
      <c r="E2943" s="8">
        <v>148048.90625</v>
      </c>
      <c r="F2943" s="8">
        <f t="shared" si="90"/>
        <v>8.75</v>
      </c>
      <c r="G2943" s="8">
        <f t="shared" si="91"/>
        <v>8.7500000000000008E-3</v>
      </c>
    </row>
    <row r="2944" spans="1:7" x14ac:dyDescent="0.25">
      <c r="A2944" s="8">
        <v>38</v>
      </c>
      <c r="B2944" s="8">
        <v>69</v>
      </c>
      <c r="C2944" s="8">
        <v>342.994934</v>
      </c>
      <c r="D2944" s="8">
        <v>148587.859375</v>
      </c>
      <c r="E2944" s="8">
        <v>148605.40625</v>
      </c>
      <c r="F2944" s="8">
        <f t="shared" si="90"/>
        <v>17.546875</v>
      </c>
      <c r="G2944" s="8">
        <f t="shared" si="91"/>
        <v>1.7546875E-2</v>
      </c>
    </row>
    <row r="2945" spans="1:7" x14ac:dyDescent="0.25">
      <c r="A2945" s="8">
        <v>38</v>
      </c>
      <c r="B2945" s="8">
        <v>70</v>
      </c>
      <c r="C2945" s="8">
        <v>4102.4936520000001</v>
      </c>
      <c r="D2945" s="8">
        <v>148962.90625</v>
      </c>
      <c r="E2945" s="8">
        <v>148979.859375</v>
      </c>
      <c r="F2945" s="8">
        <f t="shared" si="90"/>
        <v>16.953125</v>
      </c>
      <c r="G2945" s="8">
        <f t="shared" si="91"/>
        <v>1.6953124999999999E-2</v>
      </c>
    </row>
    <row r="2946" spans="1:7" x14ac:dyDescent="0.25">
      <c r="A2946" s="8">
        <v>38</v>
      </c>
      <c r="B2946" s="8">
        <v>71</v>
      </c>
      <c r="C2946" s="8">
        <v>3408.0317380000001</v>
      </c>
      <c r="D2946" s="8">
        <v>153093.9375</v>
      </c>
      <c r="E2946" s="8">
        <v>153106.921875</v>
      </c>
      <c r="F2946" s="8">
        <f t="shared" si="90"/>
        <v>12.984375</v>
      </c>
      <c r="G2946" s="8">
        <f t="shared" si="91"/>
        <v>1.2984374999999999E-2</v>
      </c>
    </row>
    <row r="2947" spans="1:7" x14ac:dyDescent="0.25">
      <c r="A2947" s="8">
        <v>38</v>
      </c>
      <c r="B2947" s="8">
        <v>72</v>
      </c>
      <c r="C2947" s="8">
        <v>1616.2529300000001</v>
      </c>
      <c r="D2947" s="8">
        <v>156516.140625</v>
      </c>
      <c r="E2947" s="8">
        <v>156527.3125</v>
      </c>
      <c r="F2947" s="8">
        <f t="shared" si="90"/>
        <v>11.171875</v>
      </c>
      <c r="G2947" s="8">
        <f t="shared" si="91"/>
        <v>1.1171875E-2</v>
      </c>
    </row>
    <row r="2948" spans="1:7" x14ac:dyDescent="0.25">
      <c r="A2948" s="8">
        <v>38</v>
      </c>
      <c r="B2948" s="8">
        <v>73</v>
      </c>
      <c r="C2948" s="8">
        <v>1813.114014</v>
      </c>
      <c r="D2948" s="8">
        <v>158156.96875</v>
      </c>
      <c r="E2948" s="8">
        <v>158171.890625</v>
      </c>
      <c r="F2948" s="8">
        <f t="shared" si="90"/>
        <v>14.921875</v>
      </c>
      <c r="G2948" s="8">
        <f t="shared" si="91"/>
        <v>1.4921874999999999E-2</v>
      </c>
    </row>
    <row r="2949" spans="1:7" x14ac:dyDescent="0.25">
      <c r="A2949" s="8">
        <v>38</v>
      </c>
      <c r="B2949" s="8">
        <v>74</v>
      </c>
      <c r="C2949" s="8">
        <v>662.461365</v>
      </c>
      <c r="D2949" s="8">
        <v>159986.296875</v>
      </c>
      <c r="E2949" s="8">
        <v>160000.3125</v>
      </c>
      <c r="F2949" s="8">
        <f t="shared" si="90"/>
        <v>14.015625</v>
      </c>
      <c r="G2949" s="8">
        <f t="shared" si="91"/>
        <v>1.4015625E-2</v>
      </c>
    </row>
    <row r="2950" spans="1:7" x14ac:dyDescent="0.25">
      <c r="A2950" s="8">
        <v>38</v>
      </c>
      <c r="B2950" s="8">
        <v>75</v>
      </c>
      <c r="C2950" s="8">
        <v>1840.3482670000001</v>
      </c>
      <c r="D2950" s="8">
        <v>160673.875</v>
      </c>
      <c r="E2950" s="8">
        <v>160687.578125</v>
      </c>
      <c r="F2950" s="8">
        <f t="shared" si="90"/>
        <v>13.703125</v>
      </c>
      <c r="G2950" s="8">
        <f t="shared" si="91"/>
        <v>1.3703125E-2</v>
      </c>
    </row>
    <row r="2951" spans="1:7" x14ac:dyDescent="0.25">
      <c r="A2951" s="8">
        <v>38</v>
      </c>
      <c r="B2951" s="8">
        <v>76</v>
      </c>
      <c r="C2951" s="8">
        <v>1725.7420649999999</v>
      </c>
      <c r="D2951" s="8">
        <v>162533.9375</v>
      </c>
      <c r="E2951" s="8">
        <v>162582.296875</v>
      </c>
      <c r="F2951" s="8">
        <f t="shared" si="90"/>
        <v>48.359375</v>
      </c>
      <c r="G2951" s="8">
        <f t="shared" si="91"/>
        <v>4.8359375000000003E-2</v>
      </c>
    </row>
    <row r="2952" spans="1:7" x14ac:dyDescent="0.25">
      <c r="A2952" s="8">
        <v>38</v>
      </c>
      <c r="B2952" s="8">
        <v>77</v>
      </c>
      <c r="C2952" s="8">
        <v>306.66421500000001</v>
      </c>
      <c r="D2952" s="8">
        <v>164315.40625</v>
      </c>
      <c r="E2952" s="8">
        <v>164339.15625</v>
      </c>
      <c r="F2952" s="8">
        <f t="shared" si="90"/>
        <v>23.75</v>
      </c>
      <c r="G2952" s="8">
        <f t="shared" si="91"/>
        <v>2.375E-2</v>
      </c>
    </row>
    <row r="2953" spans="1:7" x14ac:dyDescent="0.25">
      <c r="A2953" s="8">
        <v>38</v>
      </c>
      <c r="B2953" s="8">
        <v>78</v>
      </c>
      <c r="C2953" s="8">
        <v>1692.3183590000001</v>
      </c>
      <c r="D2953" s="8">
        <v>164654.515625</v>
      </c>
      <c r="E2953" s="8">
        <v>164671.671875</v>
      </c>
      <c r="F2953" s="8">
        <f t="shared" si="90"/>
        <v>17.15625</v>
      </c>
      <c r="G2953" s="8">
        <f t="shared" si="91"/>
        <v>1.7156250000000001E-2</v>
      </c>
    </row>
    <row r="2954" spans="1:7" x14ac:dyDescent="0.25">
      <c r="A2954" s="8">
        <v>38</v>
      </c>
      <c r="B2954" s="8">
        <v>79</v>
      </c>
      <c r="C2954" s="8">
        <v>1910.1807859999999</v>
      </c>
      <c r="D2954" s="8">
        <v>166364.421875</v>
      </c>
      <c r="E2954" s="8">
        <v>166379.453125</v>
      </c>
      <c r="F2954" s="8">
        <f t="shared" si="90"/>
        <v>15.03125</v>
      </c>
      <c r="G2954" s="8">
        <f t="shared" si="91"/>
        <v>1.5031249999999999E-2</v>
      </c>
    </row>
    <row r="2955" spans="1:7" x14ac:dyDescent="0.25">
      <c r="A2955" s="8">
        <v>38</v>
      </c>
      <c r="B2955" s="8">
        <v>80</v>
      </c>
      <c r="C2955" s="8">
        <v>4794.9970700000003</v>
      </c>
      <c r="D2955" s="8">
        <v>168291.6875</v>
      </c>
      <c r="E2955" s="8">
        <v>168308.984375</v>
      </c>
      <c r="F2955" s="8">
        <f t="shared" ref="F2955:F3018" si="92">E2955-D2955</f>
        <v>17.296875</v>
      </c>
      <c r="G2955" s="8">
        <f t="shared" ref="G2955:G3018" si="93">F2955/1000</f>
        <v>1.7296875E-2</v>
      </c>
    </row>
    <row r="2956" spans="1:7" x14ac:dyDescent="0.25">
      <c r="A2956" s="8">
        <v>39</v>
      </c>
      <c r="B2956" s="8">
        <v>0</v>
      </c>
      <c r="C2956" s="8">
        <v>37.832352</v>
      </c>
      <c r="D2956" s="8">
        <v>20391.130859000001</v>
      </c>
      <c r="E2956" s="8">
        <v>20405.097656000002</v>
      </c>
      <c r="F2956" s="8">
        <f t="shared" si="92"/>
        <v>13.966797000000952</v>
      </c>
      <c r="G2956" s="8">
        <f t="shared" si="93"/>
        <v>1.3966797000000952E-2</v>
      </c>
    </row>
    <row r="2957" spans="1:7" x14ac:dyDescent="0.25">
      <c r="A2957" s="8">
        <v>39</v>
      </c>
      <c r="B2957" s="8">
        <v>1</v>
      </c>
      <c r="C2957" s="8">
        <v>3296.7924800000001</v>
      </c>
      <c r="D2957" s="8">
        <v>20453.613281000002</v>
      </c>
      <c r="E2957" s="8">
        <v>20465.898438</v>
      </c>
      <c r="F2957" s="8">
        <f t="shared" si="92"/>
        <v>12.285156999998435</v>
      </c>
      <c r="G2957" s="8">
        <f t="shared" si="93"/>
        <v>1.2285156999998435E-2</v>
      </c>
    </row>
    <row r="2958" spans="1:7" x14ac:dyDescent="0.25">
      <c r="A2958" s="8">
        <v>39</v>
      </c>
      <c r="B2958" s="8">
        <v>2</v>
      </c>
      <c r="C2958" s="8">
        <v>1534.2802730000001</v>
      </c>
      <c r="D2958" s="8">
        <v>23771.689452999999</v>
      </c>
      <c r="E2958" s="8">
        <v>23790.263672000001</v>
      </c>
      <c r="F2958" s="8">
        <f t="shared" si="92"/>
        <v>18.574219000001904</v>
      </c>
      <c r="G2958" s="8">
        <f t="shared" si="93"/>
        <v>1.8574219000001904E-2</v>
      </c>
    </row>
    <row r="2959" spans="1:7" x14ac:dyDescent="0.25">
      <c r="A2959" s="8">
        <v>39</v>
      </c>
      <c r="B2959" s="8">
        <v>3</v>
      </c>
      <c r="C2959" s="8">
        <v>136.84381099999999</v>
      </c>
      <c r="D2959" s="8">
        <v>25334.369140999999</v>
      </c>
      <c r="E2959" s="8">
        <v>25348.238281000002</v>
      </c>
      <c r="F2959" s="8">
        <f t="shared" si="92"/>
        <v>13.869140000002517</v>
      </c>
      <c r="G2959" s="8">
        <f t="shared" si="93"/>
        <v>1.3869140000002517E-2</v>
      </c>
    </row>
    <row r="2960" spans="1:7" x14ac:dyDescent="0.25">
      <c r="A2960" s="8">
        <v>39</v>
      </c>
      <c r="B2960" s="8">
        <v>4</v>
      </c>
      <c r="C2960" s="8">
        <v>3608.6401369999999</v>
      </c>
      <c r="D2960" s="8">
        <v>25490.644531000002</v>
      </c>
      <c r="E2960" s="8">
        <v>25506.167968999998</v>
      </c>
      <c r="F2960" s="8">
        <f t="shared" si="92"/>
        <v>15.523437999996531</v>
      </c>
      <c r="G2960" s="8">
        <f t="shared" si="93"/>
        <v>1.5523437999996531E-2</v>
      </c>
    </row>
    <row r="2961" spans="1:7" x14ac:dyDescent="0.25">
      <c r="A2961" s="8">
        <v>39</v>
      </c>
      <c r="B2961" s="8">
        <v>5</v>
      </c>
      <c r="C2961" s="8">
        <v>1132.5205080000001</v>
      </c>
      <c r="D2961" s="8">
        <v>29121.488281000002</v>
      </c>
      <c r="E2961" s="8">
        <v>29147.388672000001</v>
      </c>
      <c r="F2961" s="8">
        <f t="shared" si="92"/>
        <v>25.900390999999217</v>
      </c>
      <c r="G2961" s="8">
        <f t="shared" si="93"/>
        <v>2.5900390999999218E-2</v>
      </c>
    </row>
    <row r="2962" spans="1:7" x14ac:dyDescent="0.25">
      <c r="A2962" s="8">
        <v>39</v>
      </c>
      <c r="B2962" s="8">
        <v>6</v>
      </c>
      <c r="C2962" s="8">
        <v>1257.9880370000001</v>
      </c>
      <c r="D2962" s="8">
        <v>30281.085938</v>
      </c>
      <c r="E2962" s="8">
        <v>30292.574218999998</v>
      </c>
      <c r="F2962" s="8">
        <f t="shared" si="92"/>
        <v>11.488280999998096</v>
      </c>
      <c r="G2962" s="8">
        <f t="shared" si="93"/>
        <v>1.1488280999998097E-2</v>
      </c>
    </row>
    <row r="2963" spans="1:7" x14ac:dyDescent="0.25">
      <c r="A2963" s="8">
        <v>39</v>
      </c>
      <c r="B2963" s="8">
        <v>7</v>
      </c>
      <c r="C2963" s="8">
        <v>2927.0261230000001</v>
      </c>
      <c r="D2963" s="8">
        <v>31551.279297000001</v>
      </c>
      <c r="E2963" s="8">
        <v>31569.146484000001</v>
      </c>
      <c r="F2963" s="8">
        <f t="shared" si="92"/>
        <v>17.867186999999831</v>
      </c>
      <c r="G2963" s="8">
        <f t="shared" si="93"/>
        <v>1.786718699999983E-2</v>
      </c>
    </row>
    <row r="2964" spans="1:7" x14ac:dyDescent="0.25">
      <c r="A2964" s="8">
        <v>39</v>
      </c>
      <c r="B2964" s="8">
        <v>8</v>
      </c>
      <c r="C2964" s="8">
        <v>1401.3045649999999</v>
      </c>
      <c r="D2964" s="8">
        <v>34498.71875</v>
      </c>
      <c r="E2964" s="8">
        <v>34519.535155999998</v>
      </c>
      <c r="F2964" s="8">
        <f t="shared" si="92"/>
        <v>20.816405999998096</v>
      </c>
      <c r="G2964" s="8">
        <f t="shared" si="93"/>
        <v>2.0816405999998098E-2</v>
      </c>
    </row>
    <row r="2965" spans="1:7" x14ac:dyDescent="0.25">
      <c r="A2965" s="8">
        <v>39</v>
      </c>
      <c r="B2965" s="8">
        <v>9</v>
      </c>
      <c r="C2965" s="8">
        <v>740.644409</v>
      </c>
      <c r="D2965" s="8">
        <v>35920.761719000002</v>
      </c>
      <c r="E2965" s="8">
        <v>35928.582030999998</v>
      </c>
      <c r="F2965" s="8">
        <f t="shared" si="92"/>
        <v>7.8203119999961928</v>
      </c>
      <c r="G2965" s="8">
        <f t="shared" si="93"/>
        <v>7.8203119999961934E-3</v>
      </c>
    </row>
    <row r="2966" spans="1:7" x14ac:dyDescent="0.25">
      <c r="A2966" s="8">
        <v>39</v>
      </c>
      <c r="B2966" s="8">
        <v>10</v>
      </c>
      <c r="C2966" s="8">
        <v>1652.0410159999999</v>
      </c>
      <c r="D2966" s="8">
        <v>36675.207030999998</v>
      </c>
      <c r="E2966" s="8">
        <v>36695.679687999997</v>
      </c>
      <c r="F2966" s="8">
        <f t="shared" si="92"/>
        <v>20.472656999998435</v>
      </c>
      <c r="G2966" s="8">
        <f t="shared" si="93"/>
        <v>2.0472656999998434E-2</v>
      </c>
    </row>
    <row r="2967" spans="1:7" x14ac:dyDescent="0.25">
      <c r="A2967" s="8">
        <v>39</v>
      </c>
      <c r="B2967" s="8">
        <v>11</v>
      </c>
      <c r="C2967" s="8">
        <v>404.80319200000002</v>
      </c>
      <c r="D2967" s="8">
        <v>38354.984375</v>
      </c>
      <c r="E2967" s="8">
        <v>38366.289062999997</v>
      </c>
      <c r="F2967" s="8">
        <f t="shared" si="92"/>
        <v>11.304687999996531</v>
      </c>
      <c r="G2967" s="8">
        <f t="shared" si="93"/>
        <v>1.1304687999996531E-2</v>
      </c>
    </row>
    <row r="2968" spans="1:7" x14ac:dyDescent="0.25">
      <c r="A2968" s="8">
        <v>39</v>
      </c>
      <c r="B2968" s="8">
        <v>12</v>
      </c>
      <c r="C2968" s="8">
        <v>1447.5896</v>
      </c>
      <c r="D2968" s="8">
        <v>38777.257812999997</v>
      </c>
      <c r="E2968" s="8">
        <v>38802.039062999997</v>
      </c>
      <c r="F2968" s="8">
        <f t="shared" si="92"/>
        <v>24.78125</v>
      </c>
      <c r="G2968" s="8">
        <f t="shared" si="93"/>
        <v>2.4781250000000001E-2</v>
      </c>
    </row>
    <row r="2969" spans="1:7" x14ac:dyDescent="0.25">
      <c r="A2969" s="8">
        <v>39</v>
      </c>
      <c r="B2969" s="8">
        <v>13</v>
      </c>
      <c r="C2969" s="8">
        <v>1149.473999</v>
      </c>
      <c r="D2969" s="8">
        <v>40261.753905999998</v>
      </c>
      <c r="E2969" s="8">
        <v>40282.910155999998</v>
      </c>
      <c r="F2969" s="8">
        <f t="shared" si="92"/>
        <v>21.15625</v>
      </c>
      <c r="G2969" s="8">
        <f t="shared" si="93"/>
        <v>2.1156250000000001E-2</v>
      </c>
    </row>
    <row r="2970" spans="1:7" x14ac:dyDescent="0.25">
      <c r="A2970" s="8">
        <v>39</v>
      </c>
      <c r="B2970" s="8">
        <v>14</v>
      </c>
      <c r="C2970" s="8">
        <v>4833.623047</v>
      </c>
      <c r="D2970" s="8">
        <v>41434.550780999998</v>
      </c>
      <c r="E2970" s="8">
        <v>41452.835937999997</v>
      </c>
      <c r="F2970" s="8">
        <f t="shared" si="92"/>
        <v>18.285156999998435</v>
      </c>
      <c r="G2970" s="8">
        <f t="shared" si="93"/>
        <v>1.8285156999998435E-2</v>
      </c>
    </row>
    <row r="2971" spans="1:7" x14ac:dyDescent="0.25">
      <c r="A2971" s="8">
        <v>39</v>
      </c>
      <c r="B2971" s="8">
        <v>15</v>
      </c>
      <c r="C2971" s="8">
        <v>691.66033900000002</v>
      </c>
      <c r="D2971" s="8">
        <v>46295.828125</v>
      </c>
      <c r="E2971" s="8">
        <v>46313.601562999997</v>
      </c>
      <c r="F2971" s="8">
        <f t="shared" si="92"/>
        <v>17.773437999996531</v>
      </c>
      <c r="G2971" s="8">
        <f t="shared" si="93"/>
        <v>1.777343799999653E-2</v>
      </c>
    </row>
    <row r="2972" spans="1:7" x14ac:dyDescent="0.25">
      <c r="A2972" s="8">
        <v>39</v>
      </c>
      <c r="B2972" s="8">
        <v>16</v>
      </c>
      <c r="C2972" s="8">
        <v>2243.0346679999998</v>
      </c>
      <c r="D2972" s="8">
        <v>47016.554687999997</v>
      </c>
      <c r="E2972" s="8">
        <v>47024.15625</v>
      </c>
      <c r="F2972" s="8">
        <f t="shared" si="92"/>
        <v>7.6015620000034687</v>
      </c>
      <c r="G2972" s="8">
        <f t="shared" si="93"/>
        <v>7.6015620000034687E-3</v>
      </c>
    </row>
    <row r="2973" spans="1:7" x14ac:dyDescent="0.25">
      <c r="A2973" s="8">
        <v>39</v>
      </c>
      <c r="B2973" s="8">
        <v>17</v>
      </c>
      <c r="C2973" s="8">
        <v>2081.3215329999998</v>
      </c>
      <c r="D2973" s="8">
        <v>49279.902344000002</v>
      </c>
      <c r="E2973" s="8">
        <v>49296.429687999997</v>
      </c>
      <c r="F2973" s="8">
        <f t="shared" si="92"/>
        <v>16.527343999994628</v>
      </c>
      <c r="G2973" s="8">
        <f t="shared" si="93"/>
        <v>1.6527343999994629E-2</v>
      </c>
    </row>
    <row r="2974" spans="1:7" x14ac:dyDescent="0.25">
      <c r="A2974" s="8">
        <v>39</v>
      </c>
      <c r="B2974" s="8">
        <v>18</v>
      </c>
      <c r="C2974" s="8">
        <v>3041.8239749999998</v>
      </c>
      <c r="D2974" s="8">
        <v>51381.578125</v>
      </c>
      <c r="E2974" s="8">
        <v>51390.148437999997</v>
      </c>
      <c r="F2974" s="8">
        <f t="shared" si="92"/>
        <v>8.5703129999965313</v>
      </c>
      <c r="G2974" s="8">
        <f t="shared" si="93"/>
        <v>8.5703129999965318E-3</v>
      </c>
    </row>
    <row r="2975" spans="1:7" x14ac:dyDescent="0.25">
      <c r="A2975" s="8">
        <v>39</v>
      </c>
      <c r="B2975" s="8">
        <v>19</v>
      </c>
      <c r="C2975" s="8">
        <v>1385.623047</v>
      </c>
      <c r="D2975" s="8">
        <v>54441.019530999998</v>
      </c>
      <c r="E2975" s="8">
        <v>54459.101562999997</v>
      </c>
      <c r="F2975" s="8">
        <f t="shared" si="92"/>
        <v>18.082031999998435</v>
      </c>
      <c r="G2975" s="8">
        <f t="shared" si="93"/>
        <v>1.8082031999998437E-2</v>
      </c>
    </row>
    <row r="2976" spans="1:7" x14ac:dyDescent="0.25">
      <c r="A2976" s="8">
        <v>39</v>
      </c>
      <c r="B2976" s="8">
        <v>20</v>
      </c>
      <c r="C2976" s="8">
        <v>2032.838379</v>
      </c>
      <c r="D2976" s="8">
        <v>55847.410155999998</v>
      </c>
      <c r="E2976" s="8">
        <v>55856.273437999997</v>
      </c>
      <c r="F2976" s="8">
        <f t="shared" si="92"/>
        <v>8.8632819999984349</v>
      </c>
      <c r="G2976" s="8">
        <f t="shared" si="93"/>
        <v>8.8632819999984354E-3</v>
      </c>
    </row>
    <row r="2977" spans="1:7" x14ac:dyDescent="0.25">
      <c r="A2977" s="8">
        <v>39</v>
      </c>
      <c r="B2977" s="8">
        <v>21</v>
      </c>
      <c r="C2977" s="8">
        <v>3951.6687010000001</v>
      </c>
      <c r="D2977" s="8">
        <v>57898.402344000002</v>
      </c>
      <c r="E2977" s="8">
        <v>57918.554687999997</v>
      </c>
      <c r="F2977" s="8">
        <f t="shared" si="92"/>
        <v>20.152343999994628</v>
      </c>
      <c r="G2977" s="8">
        <f t="shared" si="93"/>
        <v>2.0152343999994628E-2</v>
      </c>
    </row>
    <row r="2978" spans="1:7" x14ac:dyDescent="0.25">
      <c r="A2978" s="8">
        <v>39</v>
      </c>
      <c r="B2978" s="8">
        <v>22</v>
      </c>
      <c r="C2978" s="8">
        <v>505.569458</v>
      </c>
      <c r="D2978" s="8">
        <v>61872.671875</v>
      </c>
      <c r="E2978" s="8">
        <v>61882.273437999997</v>
      </c>
      <c r="F2978" s="8">
        <f t="shared" si="92"/>
        <v>9.6015629999965313</v>
      </c>
      <c r="G2978" s="8">
        <f t="shared" si="93"/>
        <v>9.601562999996531E-3</v>
      </c>
    </row>
    <row r="2979" spans="1:7" x14ac:dyDescent="0.25">
      <c r="A2979" s="8">
        <v>39</v>
      </c>
      <c r="B2979" s="8">
        <v>23</v>
      </c>
      <c r="C2979" s="8">
        <v>2439.9602049999999</v>
      </c>
      <c r="D2979" s="8">
        <v>62391.675780999998</v>
      </c>
      <c r="E2979" s="8">
        <v>62410.324219000002</v>
      </c>
      <c r="F2979" s="8">
        <f t="shared" si="92"/>
        <v>18.648438000003807</v>
      </c>
      <c r="G2979" s="8">
        <f t="shared" si="93"/>
        <v>1.8648438000003806E-2</v>
      </c>
    </row>
    <row r="2980" spans="1:7" x14ac:dyDescent="0.25">
      <c r="A2980" s="8">
        <v>39</v>
      </c>
      <c r="B2980" s="8">
        <v>24</v>
      </c>
      <c r="C2980" s="8">
        <v>145.818161</v>
      </c>
      <c r="D2980" s="8">
        <v>64855.941405999998</v>
      </c>
      <c r="E2980" s="8">
        <v>64879.355469000002</v>
      </c>
      <c r="F2980" s="8">
        <f t="shared" si="92"/>
        <v>23.414063000003807</v>
      </c>
      <c r="G2980" s="8">
        <f t="shared" si="93"/>
        <v>2.3414063000003808E-2</v>
      </c>
    </row>
    <row r="2981" spans="1:7" x14ac:dyDescent="0.25">
      <c r="A2981" s="8">
        <v>39</v>
      </c>
      <c r="B2981" s="8">
        <v>25</v>
      </c>
      <c r="C2981" s="8">
        <v>1417.234009</v>
      </c>
      <c r="D2981" s="8">
        <v>65027.820312999997</v>
      </c>
      <c r="E2981" s="8">
        <v>65041.738280999998</v>
      </c>
      <c r="F2981" s="8">
        <f t="shared" si="92"/>
        <v>13.917968000001565</v>
      </c>
      <c r="G2981" s="8">
        <f t="shared" si="93"/>
        <v>1.3917968000001566E-2</v>
      </c>
    </row>
    <row r="2982" spans="1:7" x14ac:dyDescent="0.25">
      <c r="A2982" s="8">
        <v>39</v>
      </c>
      <c r="B2982" s="8">
        <v>26</v>
      </c>
      <c r="C2982" s="8">
        <v>454.59008799999998</v>
      </c>
      <c r="D2982" s="8">
        <v>66465.476563000004</v>
      </c>
      <c r="E2982" s="8">
        <v>66480.09375</v>
      </c>
      <c r="F2982" s="8">
        <f t="shared" si="92"/>
        <v>14.617186999996193</v>
      </c>
      <c r="G2982" s="8">
        <f t="shared" si="93"/>
        <v>1.4617186999996193E-2</v>
      </c>
    </row>
    <row r="2983" spans="1:7" x14ac:dyDescent="0.25">
      <c r="A2983" s="8">
        <v>39</v>
      </c>
      <c r="B2983" s="8">
        <v>27</v>
      </c>
      <c r="C2983" s="8">
        <v>2885.781982</v>
      </c>
      <c r="D2983" s="8">
        <v>66935.039063000004</v>
      </c>
      <c r="E2983" s="8">
        <v>66943.609375</v>
      </c>
      <c r="F2983" s="8">
        <f t="shared" si="92"/>
        <v>8.5703119999961928</v>
      </c>
      <c r="G2983" s="8">
        <f t="shared" si="93"/>
        <v>8.5703119999961924E-3</v>
      </c>
    </row>
    <row r="2984" spans="1:7" x14ac:dyDescent="0.25">
      <c r="A2984" s="8">
        <v>39</v>
      </c>
      <c r="B2984" s="8">
        <v>28</v>
      </c>
      <c r="C2984" s="8">
        <v>1983.5272219999999</v>
      </c>
      <c r="D2984" s="8">
        <v>69842.757813000004</v>
      </c>
      <c r="E2984" s="8">
        <v>69853.984375</v>
      </c>
      <c r="F2984" s="8">
        <f t="shared" si="92"/>
        <v>11.226561999996193</v>
      </c>
      <c r="G2984" s="8">
        <f t="shared" si="93"/>
        <v>1.1226561999996193E-2</v>
      </c>
    </row>
    <row r="2985" spans="1:7" x14ac:dyDescent="0.25">
      <c r="A2985" s="8">
        <v>39</v>
      </c>
      <c r="B2985" s="8">
        <v>29</v>
      </c>
      <c r="C2985" s="8">
        <v>1114.3242190000001</v>
      </c>
      <c r="D2985" s="8">
        <v>71838.898438000004</v>
      </c>
      <c r="E2985" s="8">
        <v>71847.953125</v>
      </c>
      <c r="F2985" s="8">
        <f t="shared" si="92"/>
        <v>9.0546869999961928</v>
      </c>
      <c r="G2985" s="8">
        <f t="shared" si="93"/>
        <v>9.0546869999961928E-3</v>
      </c>
    </row>
    <row r="2986" spans="1:7" x14ac:dyDescent="0.25">
      <c r="A2986" s="8">
        <v>39</v>
      </c>
      <c r="B2986" s="8">
        <v>30</v>
      </c>
      <c r="C2986" s="8">
        <v>574.16412400000002</v>
      </c>
      <c r="D2986" s="8">
        <v>72966.773438000004</v>
      </c>
      <c r="E2986" s="8">
        <v>72982.421875</v>
      </c>
      <c r="F2986" s="8">
        <f t="shared" si="92"/>
        <v>15.648436999996193</v>
      </c>
      <c r="G2986" s="8">
        <f t="shared" si="93"/>
        <v>1.5648436999996192E-2</v>
      </c>
    </row>
    <row r="2987" spans="1:7" x14ac:dyDescent="0.25">
      <c r="A2987" s="8">
        <v>39</v>
      </c>
      <c r="B2987" s="8">
        <v>31</v>
      </c>
      <c r="C2987" s="8">
        <v>1143.9510499999999</v>
      </c>
      <c r="D2987" s="8">
        <v>73560.6875</v>
      </c>
      <c r="E2987" s="8">
        <v>73581.648438000004</v>
      </c>
      <c r="F2987" s="8">
        <f t="shared" si="92"/>
        <v>20.960938000003807</v>
      </c>
      <c r="G2987" s="8">
        <f t="shared" si="93"/>
        <v>2.0960938000003808E-2</v>
      </c>
    </row>
    <row r="2988" spans="1:7" x14ac:dyDescent="0.25">
      <c r="A2988" s="8">
        <v>39</v>
      </c>
      <c r="B2988" s="8">
        <v>32</v>
      </c>
      <c r="C2988" s="8">
        <v>1418.7222899999999</v>
      </c>
      <c r="D2988" s="8">
        <v>74727.015625</v>
      </c>
      <c r="E2988" s="8">
        <v>74749.546875</v>
      </c>
      <c r="F2988" s="8">
        <f t="shared" si="92"/>
        <v>22.53125</v>
      </c>
      <c r="G2988" s="8">
        <f t="shared" si="93"/>
        <v>2.2531249999999999E-2</v>
      </c>
    </row>
    <row r="2989" spans="1:7" x14ac:dyDescent="0.25">
      <c r="A2989" s="8">
        <v>39</v>
      </c>
      <c r="B2989" s="8">
        <v>33</v>
      </c>
      <c r="C2989" s="8">
        <v>273.84945699999997</v>
      </c>
      <c r="D2989" s="8">
        <v>76178.765625</v>
      </c>
      <c r="E2989" s="8">
        <v>76197.570313000004</v>
      </c>
      <c r="F2989" s="8">
        <f t="shared" si="92"/>
        <v>18.804688000003807</v>
      </c>
      <c r="G2989" s="8">
        <f t="shared" si="93"/>
        <v>1.8804688000003806E-2</v>
      </c>
    </row>
    <row r="2990" spans="1:7" x14ac:dyDescent="0.25">
      <c r="A2990" s="8">
        <v>39</v>
      </c>
      <c r="B2990" s="8">
        <v>34</v>
      </c>
      <c r="C2990" s="8">
        <v>143.915176</v>
      </c>
      <c r="D2990" s="8">
        <v>76475.765625</v>
      </c>
      <c r="E2990" s="8">
        <v>76496.8125</v>
      </c>
      <c r="F2990" s="8">
        <f t="shared" si="92"/>
        <v>21.046875</v>
      </c>
      <c r="G2990" s="8">
        <f t="shared" si="93"/>
        <v>2.1046875E-2</v>
      </c>
    </row>
    <row r="2991" spans="1:7" x14ac:dyDescent="0.25">
      <c r="A2991" s="8">
        <v>39</v>
      </c>
      <c r="B2991" s="8">
        <v>35</v>
      </c>
      <c r="C2991" s="8">
        <v>1029.315918</v>
      </c>
      <c r="D2991" s="8">
        <v>76647.6875</v>
      </c>
      <c r="E2991" s="8">
        <v>76681.742188000004</v>
      </c>
      <c r="F2991" s="8">
        <f t="shared" si="92"/>
        <v>34.054688000003807</v>
      </c>
      <c r="G2991" s="8">
        <f t="shared" si="93"/>
        <v>3.4054688000003809E-2</v>
      </c>
    </row>
    <row r="2992" spans="1:7" x14ac:dyDescent="0.25">
      <c r="A2992" s="8">
        <v>39</v>
      </c>
      <c r="B2992" s="8">
        <v>36</v>
      </c>
      <c r="C2992" s="8">
        <v>2764.0009770000001</v>
      </c>
      <c r="D2992" s="8">
        <v>77726.492188000004</v>
      </c>
      <c r="E2992" s="8">
        <v>77735.5625</v>
      </c>
      <c r="F2992" s="8">
        <f t="shared" si="92"/>
        <v>9.0703119999961928</v>
      </c>
      <c r="G2992" s="8">
        <f t="shared" si="93"/>
        <v>9.0703119999961928E-3</v>
      </c>
    </row>
    <row r="2993" spans="1:7" x14ac:dyDescent="0.25">
      <c r="A2993" s="8">
        <v>39</v>
      </c>
      <c r="B2993" s="8">
        <v>37</v>
      </c>
      <c r="C2993" s="8">
        <v>2567.1359859999998</v>
      </c>
      <c r="D2993" s="8">
        <v>80505.046875</v>
      </c>
      <c r="E2993" s="8">
        <v>80515.867188000004</v>
      </c>
      <c r="F2993" s="8">
        <f t="shared" si="92"/>
        <v>10.820313000003807</v>
      </c>
      <c r="G2993" s="8">
        <f t="shared" si="93"/>
        <v>1.0820313000003808E-2</v>
      </c>
    </row>
    <row r="2994" spans="1:7" x14ac:dyDescent="0.25">
      <c r="A2994" s="8">
        <v>39</v>
      </c>
      <c r="B2994" s="8">
        <v>38</v>
      </c>
      <c r="C2994" s="8">
        <v>235.581345</v>
      </c>
      <c r="D2994" s="8">
        <v>83089.40625</v>
      </c>
      <c r="E2994" s="8">
        <v>83112.640625</v>
      </c>
      <c r="F2994" s="8">
        <f t="shared" si="92"/>
        <v>23.234375</v>
      </c>
      <c r="G2994" s="8">
        <f t="shared" si="93"/>
        <v>2.3234375000000002E-2</v>
      </c>
    </row>
    <row r="2995" spans="1:7" x14ac:dyDescent="0.25">
      <c r="A2995" s="8">
        <v>39</v>
      </c>
      <c r="B2995" s="8">
        <v>39</v>
      </c>
      <c r="C2995" s="8">
        <v>1230.8107910000001</v>
      </c>
      <c r="D2995" s="8">
        <v>83358.90625</v>
      </c>
      <c r="E2995" s="8">
        <v>83370.445313000004</v>
      </c>
      <c r="F2995" s="8">
        <f t="shared" si="92"/>
        <v>11.539063000003807</v>
      </c>
      <c r="G2995" s="8">
        <f t="shared" si="93"/>
        <v>1.1539063000003806E-2</v>
      </c>
    </row>
    <row r="2996" spans="1:7" x14ac:dyDescent="0.25">
      <c r="A2996" s="8">
        <v>39</v>
      </c>
      <c r="B2996" s="8">
        <v>40</v>
      </c>
      <c r="C2996" s="8">
        <v>89.627724000000001</v>
      </c>
      <c r="D2996" s="8">
        <v>84610.289063000004</v>
      </c>
      <c r="E2996" s="8">
        <v>84630.109375</v>
      </c>
      <c r="F2996" s="8">
        <f t="shared" si="92"/>
        <v>19.820311999996193</v>
      </c>
      <c r="G2996" s="8">
        <f t="shared" si="93"/>
        <v>1.9820311999996194E-2</v>
      </c>
    </row>
    <row r="2997" spans="1:7" x14ac:dyDescent="0.25">
      <c r="A2997" s="8">
        <v>39</v>
      </c>
      <c r="B2997" s="8">
        <v>41</v>
      </c>
      <c r="C2997" s="8">
        <v>1010.815979</v>
      </c>
      <c r="D2997" s="8">
        <v>84719.742188000004</v>
      </c>
      <c r="E2997" s="8">
        <v>84749.28125</v>
      </c>
      <c r="F2997" s="8">
        <f t="shared" si="92"/>
        <v>29.539061999996193</v>
      </c>
      <c r="G2997" s="8">
        <f t="shared" si="93"/>
        <v>2.9539061999996192E-2</v>
      </c>
    </row>
    <row r="2998" spans="1:7" x14ac:dyDescent="0.25">
      <c r="A2998" s="8">
        <v>39</v>
      </c>
      <c r="B2998" s="8">
        <v>42</v>
      </c>
      <c r="C2998" s="8">
        <v>1539.5451660000001</v>
      </c>
      <c r="D2998" s="8">
        <v>85768.296875</v>
      </c>
      <c r="E2998" s="8">
        <v>85788.546875</v>
      </c>
      <c r="F2998" s="8">
        <f t="shared" si="92"/>
        <v>20.25</v>
      </c>
      <c r="G2998" s="8">
        <f t="shared" si="93"/>
        <v>2.0250000000000001E-2</v>
      </c>
    </row>
    <row r="2999" spans="1:7" x14ac:dyDescent="0.25">
      <c r="A2999" s="8">
        <v>39</v>
      </c>
      <c r="B2999" s="8">
        <v>43</v>
      </c>
      <c r="C2999" s="8">
        <v>1275.812866</v>
      </c>
      <c r="D2999" s="8">
        <v>87332.625</v>
      </c>
      <c r="E2999" s="8">
        <v>87357.796875</v>
      </c>
      <c r="F2999" s="8">
        <f t="shared" si="92"/>
        <v>25.171875</v>
      </c>
      <c r="G2999" s="8">
        <f t="shared" si="93"/>
        <v>2.5171875E-2</v>
      </c>
    </row>
    <row r="3000" spans="1:7" x14ac:dyDescent="0.25">
      <c r="A3000" s="8">
        <v>39</v>
      </c>
      <c r="B3000" s="8">
        <v>44</v>
      </c>
      <c r="C3000" s="8">
        <v>567.83019999999999</v>
      </c>
      <c r="D3000" s="8">
        <v>88646.742188000004</v>
      </c>
      <c r="E3000" s="8">
        <v>88674.882813000004</v>
      </c>
      <c r="F3000" s="8">
        <f t="shared" si="92"/>
        <v>28.140625</v>
      </c>
      <c r="G3000" s="8">
        <f t="shared" si="93"/>
        <v>2.8140624999999999E-2</v>
      </c>
    </row>
    <row r="3001" spans="1:7" x14ac:dyDescent="0.25">
      <c r="A3001" s="8">
        <v>39</v>
      </c>
      <c r="B3001" s="8">
        <v>45</v>
      </c>
      <c r="C3001" s="8">
        <v>2741.7597660000001</v>
      </c>
      <c r="D3001" s="8">
        <v>89256.164063000004</v>
      </c>
      <c r="E3001" s="8">
        <v>89281.15625</v>
      </c>
      <c r="F3001" s="8">
        <f t="shared" si="92"/>
        <v>24.992186999996193</v>
      </c>
      <c r="G3001" s="8">
        <f t="shared" si="93"/>
        <v>2.4992186999996193E-2</v>
      </c>
    </row>
    <row r="3002" spans="1:7" x14ac:dyDescent="0.25">
      <c r="A3002" s="8">
        <v>39</v>
      </c>
      <c r="B3002" s="8">
        <v>46</v>
      </c>
      <c r="C3002" s="8">
        <v>1723.5733640000001</v>
      </c>
      <c r="D3002" s="8">
        <v>92026.796875</v>
      </c>
      <c r="E3002" s="8">
        <v>92040.726563000004</v>
      </c>
      <c r="F3002" s="8">
        <f t="shared" si="92"/>
        <v>13.929688000003807</v>
      </c>
      <c r="G3002" s="8">
        <f t="shared" si="93"/>
        <v>1.3929688000003807E-2</v>
      </c>
    </row>
    <row r="3003" spans="1:7" x14ac:dyDescent="0.25">
      <c r="A3003" s="8">
        <v>39</v>
      </c>
      <c r="B3003" s="8">
        <v>47</v>
      </c>
      <c r="C3003" s="8">
        <v>403.75726300000002</v>
      </c>
      <c r="D3003" s="8">
        <v>93779.492188000004</v>
      </c>
      <c r="E3003" s="8">
        <v>93795.734375</v>
      </c>
      <c r="F3003" s="8">
        <f t="shared" si="92"/>
        <v>16.242186999996193</v>
      </c>
      <c r="G3003" s="8">
        <f t="shared" si="93"/>
        <v>1.6242186999996192E-2</v>
      </c>
    </row>
    <row r="3004" spans="1:7" x14ac:dyDescent="0.25">
      <c r="A3004" s="8">
        <v>39</v>
      </c>
      <c r="B3004" s="8">
        <v>48</v>
      </c>
      <c r="C3004" s="8">
        <v>755.72814900000003</v>
      </c>
      <c r="D3004" s="8">
        <v>94201.375</v>
      </c>
      <c r="E3004" s="8">
        <v>94216.96875</v>
      </c>
      <c r="F3004" s="8">
        <f t="shared" si="92"/>
        <v>15.59375</v>
      </c>
      <c r="G3004" s="8">
        <f t="shared" si="93"/>
        <v>1.559375E-2</v>
      </c>
    </row>
    <row r="3005" spans="1:7" x14ac:dyDescent="0.25">
      <c r="A3005" s="8">
        <v>39</v>
      </c>
      <c r="B3005" s="8">
        <v>49</v>
      </c>
      <c r="C3005" s="8">
        <v>3625.0246579999998</v>
      </c>
      <c r="D3005" s="8">
        <v>94983.320313000004</v>
      </c>
      <c r="E3005" s="8">
        <v>94991.867188000004</v>
      </c>
      <c r="F3005" s="8">
        <f t="shared" si="92"/>
        <v>8.546875</v>
      </c>
      <c r="G3005" s="8">
        <f t="shared" si="93"/>
        <v>8.5468750000000007E-3</v>
      </c>
    </row>
    <row r="3006" spans="1:7" x14ac:dyDescent="0.25">
      <c r="A3006" s="8">
        <v>39</v>
      </c>
      <c r="B3006" s="8">
        <v>50</v>
      </c>
      <c r="C3006" s="8">
        <v>2669.0500489999999</v>
      </c>
      <c r="D3006" s="8">
        <v>98628.96875</v>
      </c>
      <c r="E3006" s="8">
        <v>98639.304688000004</v>
      </c>
      <c r="F3006" s="8">
        <f t="shared" si="92"/>
        <v>10.335938000003807</v>
      </c>
      <c r="G3006" s="8">
        <f t="shared" si="93"/>
        <v>1.0335938000003807E-2</v>
      </c>
    </row>
    <row r="3007" spans="1:7" x14ac:dyDescent="0.25">
      <c r="A3007" s="8">
        <v>39</v>
      </c>
      <c r="B3007" s="8">
        <v>51</v>
      </c>
      <c r="C3007" s="8">
        <v>1311.123413</v>
      </c>
      <c r="D3007" s="8">
        <v>101315.765625</v>
      </c>
      <c r="E3007" s="8">
        <v>101337.03125</v>
      </c>
      <c r="F3007" s="8">
        <f t="shared" si="92"/>
        <v>21.265625</v>
      </c>
      <c r="G3007" s="8">
        <f t="shared" si="93"/>
        <v>2.1265625E-2</v>
      </c>
    </row>
    <row r="3008" spans="1:7" x14ac:dyDescent="0.25">
      <c r="A3008" s="8">
        <v>39</v>
      </c>
      <c r="B3008" s="8">
        <v>52</v>
      </c>
      <c r="C3008" s="8">
        <v>4404.7910160000001</v>
      </c>
      <c r="D3008" s="8">
        <v>102656.6875</v>
      </c>
      <c r="E3008" s="8">
        <v>102771.46875</v>
      </c>
      <c r="F3008" s="8">
        <f t="shared" si="92"/>
        <v>114.78125</v>
      </c>
      <c r="G3008" s="8">
        <f t="shared" si="93"/>
        <v>0.11478125</v>
      </c>
    </row>
    <row r="3009" spans="1:7" x14ac:dyDescent="0.25">
      <c r="A3009" s="8">
        <v>39</v>
      </c>
      <c r="B3009" s="8">
        <v>53</v>
      </c>
      <c r="C3009" s="8">
        <v>774.33947799999999</v>
      </c>
      <c r="D3009" s="8">
        <v>107187.851563</v>
      </c>
      <c r="E3009" s="8">
        <v>107215.179688</v>
      </c>
      <c r="F3009" s="8">
        <f t="shared" si="92"/>
        <v>27.328125</v>
      </c>
      <c r="G3009" s="8">
        <f t="shared" si="93"/>
        <v>2.7328125000000002E-2</v>
      </c>
    </row>
    <row r="3010" spans="1:7" x14ac:dyDescent="0.25">
      <c r="A3010" s="8">
        <v>39</v>
      </c>
      <c r="B3010" s="8">
        <v>54</v>
      </c>
      <c r="C3010" s="8">
        <v>3347.891846</v>
      </c>
      <c r="D3010" s="8">
        <v>108001.117188</v>
      </c>
      <c r="E3010" s="8">
        <v>108016.5625</v>
      </c>
      <c r="F3010" s="8">
        <f t="shared" si="92"/>
        <v>15.445311999996193</v>
      </c>
      <c r="G3010" s="8">
        <f t="shared" si="93"/>
        <v>1.5445311999996193E-2</v>
      </c>
    </row>
    <row r="3011" spans="1:7" x14ac:dyDescent="0.25">
      <c r="A3011" s="8">
        <v>39</v>
      </c>
      <c r="B3011" s="8">
        <v>55</v>
      </c>
      <c r="C3011" s="8">
        <v>458.11746199999999</v>
      </c>
      <c r="D3011" s="8">
        <v>111377.234375</v>
      </c>
      <c r="E3011" s="8">
        <v>111388.054688</v>
      </c>
      <c r="F3011" s="8">
        <f t="shared" si="92"/>
        <v>10.820313000003807</v>
      </c>
      <c r="G3011" s="8">
        <f t="shared" si="93"/>
        <v>1.0820313000003808E-2</v>
      </c>
    </row>
    <row r="3012" spans="1:7" x14ac:dyDescent="0.25">
      <c r="A3012" s="8">
        <v>39</v>
      </c>
      <c r="B3012" s="8">
        <v>56</v>
      </c>
      <c r="C3012" s="8">
        <v>582.96746800000005</v>
      </c>
      <c r="D3012" s="8">
        <v>111848.632813</v>
      </c>
      <c r="E3012" s="8">
        <v>111859.382813</v>
      </c>
      <c r="F3012" s="8">
        <f t="shared" si="92"/>
        <v>10.75</v>
      </c>
      <c r="G3012" s="8">
        <f t="shared" si="93"/>
        <v>1.0749999999999999E-2</v>
      </c>
    </row>
    <row r="3013" spans="1:7" x14ac:dyDescent="0.25">
      <c r="A3013" s="8">
        <v>39</v>
      </c>
      <c r="B3013" s="8">
        <v>57</v>
      </c>
      <c r="C3013" s="8">
        <v>1231.488525</v>
      </c>
      <c r="D3013" s="8">
        <v>112446.53125</v>
      </c>
      <c r="E3013" s="8">
        <v>112459.203125</v>
      </c>
      <c r="F3013" s="8">
        <f t="shared" si="92"/>
        <v>12.671875</v>
      </c>
      <c r="G3013" s="8">
        <f t="shared" si="93"/>
        <v>1.2671875000000001E-2</v>
      </c>
    </row>
    <row r="3014" spans="1:7" x14ac:dyDescent="0.25">
      <c r="A3014" s="8">
        <v>39</v>
      </c>
      <c r="B3014" s="8">
        <v>58</v>
      </c>
      <c r="C3014" s="8">
        <v>465.26782200000002</v>
      </c>
      <c r="D3014" s="8">
        <v>113690.671875</v>
      </c>
      <c r="E3014" s="8">
        <v>113704.960938</v>
      </c>
      <c r="F3014" s="8">
        <f t="shared" si="92"/>
        <v>14.289063000003807</v>
      </c>
      <c r="G3014" s="8">
        <f t="shared" si="93"/>
        <v>1.4289063000003807E-2</v>
      </c>
    </row>
    <row r="3015" spans="1:7" x14ac:dyDescent="0.25">
      <c r="A3015" s="8">
        <v>39</v>
      </c>
      <c r="B3015" s="8">
        <v>59</v>
      </c>
      <c r="C3015" s="8">
        <v>191.5728</v>
      </c>
      <c r="D3015" s="8">
        <v>114175.085938</v>
      </c>
      <c r="E3015" s="8">
        <v>114196.054688</v>
      </c>
      <c r="F3015" s="8">
        <f t="shared" si="92"/>
        <v>20.96875</v>
      </c>
      <c r="G3015" s="8">
        <f t="shared" si="93"/>
        <v>2.0968750000000001E-2</v>
      </c>
    </row>
    <row r="3016" spans="1:7" x14ac:dyDescent="0.25">
      <c r="A3016" s="8">
        <v>39</v>
      </c>
      <c r="B3016" s="8">
        <v>60</v>
      </c>
      <c r="C3016" s="8">
        <v>3926.7312010000001</v>
      </c>
      <c r="D3016" s="8">
        <v>114393.835938</v>
      </c>
      <c r="E3016" s="8">
        <v>114416.804688</v>
      </c>
      <c r="F3016" s="8">
        <f t="shared" si="92"/>
        <v>22.96875</v>
      </c>
      <c r="G3016" s="8">
        <f t="shared" si="93"/>
        <v>2.296875E-2</v>
      </c>
    </row>
    <row r="3017" spans="1:7" x14ac:dyDescent="0.25">
      <c r="A3017" s="8">
        <v>39</v>
      </c>
      <c r="B3017" s="8">
        <v>61</v>
      </c>
      <c r="C3017" s="8">
        <v>995.49578899999995</v>
      </c>
      <c r="D3017" s="8">
        <v>118353.757813</v>
      </c>
      <c r="E3017" s="8">
        <v>118364.804688</v>
      </c>
      <c r="F3017" s="8">
        <f t="shared" si="92"/>
        <v>11.046875</v>
      </c>
      <c r="G3017" s="8">
        <f t="shared" si="93"/>
        <v>1.1046874999999999E-2</v>
      </c>
    </row>
    <row r="3018" spans="1:7" x14ac:dyDescent="0.25">
      <c r="A3018" s="8">
        <v>39</v>
      </c>
      <c r="B3018" s="8">
        <v>62</v>
      </c>
      <c r="C3018" s="8">
        <v>1363.4147949999999</v>
      </c>
      <c r="D3018" s="8">
        <v>119360.351563</v>
      </c>
      <c r="E3018" s="8">
        <v>119381.929688</v>
      </c>
      <c r="F3018" s="8">
        <f t="shared" si="92"/>
        <v>21.578125</v>
      </c>
      <c r="G3018" s="8">
        <f t="shared" si="93"/>
        <v>2.1578125E-2</v>
      </c>
    </row>
    <row r="3019" spans="1:7" x14ac:dyDescent="0.25">
      <c r="A3019" s="8">
        <v>39</v>
      </c>
      <c r="B3019" s="8">
        <v>63</v>
      </c>
      <c r="C3019" s="8">
        <v>6189.361328</v>
      </c>
      <c r="D3019" s="8">
        <v>120749.757813</v>
      </c>
      <c r="E3019" s="8">
        <v>120758.28125</v>
      </c>
      <c r="F3019" s="8">
        <f t="shared" ref="F3019:F3082" si="94">E3019-D3019</f>
        <v>8.5234369999961928</v>
      </c>
      <c r="G3019" s="8">
        <f t="shared" ref="G3019:G3082" si="95">F3019/1000</f>
        <v>8.5234369999961923E-3</v>
      </c>
    </row>
    <row r="3020" spans="1:7" x14ac:dyDescent="0.25">
      <c r="A3020" s="8">
        <v>39</v>
      </c>
      <c r="B3020" s="8">
        <v>64</v>
      </c>
      <c r="C3020" s="8">
        <v>386.35546900000003</v>
      </c>
      <c r="D3020" s="8">
        <v>126956.117188</v>
      </c>
      <c r="E3020" s="8">
        <v>126970.289063</v>
      </c>
      <c r="F3020" s="8">
        <f t="shared" si="94"/>
        <v>14.171875</v>
      </c>
      <c r="G3020" s="8">
        <f t="shared" si="95"/>
        <v>1.4171875E-2</v>
      </c>
    </row>
    <row r="3021" spans="1:7" x14ac:dyDescent="0.25">
      <c r="A3021" s="8">
        <v>39</v>
      </c>
      <c r="B3021" s="8">
        <v>65</v>
      </c>
      <c r="C3021" s="8">
        <v>1375.5200199999999</v>
      </c>
      <c r="D3021" s="8">
        <v>127362.203125</v>
      </c>
      <c r="E3021" s="8">
        <v>127390.328125</v>
      </c>
      <c r="F3021" s="8">
        <f t="shared" si="94"/>
        <v>28.125</v>
      </c>
      <c r="G3021" s="8">
        <f t="shared" si="95"/>
        <v>2.8125000000000001E-2</v>
      </c>
    </row>
    <row r="3022" spans="1:7" x14ac:dyDescent="0.25">
      <c r="A3022" s="8">
        <v>39</v>
      </c>
      <c r="B3022" s="8">
        <v>66</v>
      </c>
      <c r="C3022" s="8">
        <v>2437.0676269999999</v>
      </c>
      <c r="D3022" s="8">
        <v>128770.078125</v>
      </c>
      <c r="E3022" s="8">
        <v>128784.625</v>
      </c>
      <c r="F3022" s="8">
        <f t="shared" si="94"/>
        <v>14.546875</v>
      </c>
      <c r="G3022" s="8">
        <f t="shared" si="95"/>
        <v>1.4546875000000001E-2</v>
      </c>
    </row>
    <row r="3023" spans="1:7" x14ac:dyDescent="0.25">
      <c r="A3023" s="8">
        <v>39</v>
      </c>
      <c r="B3023" s="8">
        <v>67</v>
      </c>
      <c r="C3023" s="8">
        <v>2348.6311040000001</v>
      </c>
      <c r="D3023" s="8">
        <v>131223.46875</v>
      </c>
      <c r="E3023" s="8">
        <v>131248.6875</v>
      </c>
      <c r="F3023" s="8">
        <f t="shared" si="94"/>
        <v>25.21875</v>
      </c>
      <c r="G3023" s="8">
        <f t="shared" si="95"/>
        <v>2.5218750000000002E-2</v>
      </c>
    </row>
    <row r="3024" spans="1:7" x14ac:dyDescent="0.25">
      <c r="A3024" s="8">
        <v>39</v>
      </c>
      <c r="B3024" s="8">
        <v>68</v>
      </c>
      <c r="C3024" s="8">
        <v>75.886825999999999</v>
      </c>
      <c r="D3024" s="8">
        <v>133597.453125</v>
      </c>
      <c r="E3024" s="8">
        <v>133612.578125</v>
      </c>
      <c r="F3024" s="8">
        <f t="shared" si="94"/>
        <v>15.125</v>
      </c>
      <c r="G3024" s="8">
        <f t="shared" si="95"/>
        <v>1.5125E-2</v>
      </c>
    </row>
    <row r="3025" spans="1:7" x14ac:dyDescent="0.25">
      <c r="A3025" s="8">
        <v>39</v>
      </c>
      <c r="B3025" s="8">
        <v>69</v>
      </c>
      <c r="C3025" s="8">
        <v>425.76223800000002</v>
      </c>
      <c r="D3025" s="8">
        <v>133691.203125</v>
      </c>
      <c r="E3025" s="8">
        <v>133708.4375</v>
      </c>
      <c r="F3025" s="8">
        <f t="shared" si="94"/>
        <v>17.234375</v>
      </c>
      <c r="G3025" s="8">
        <f t="shared" si="95"/>
        <v>1.7234375E-2</v>
      </c>
    </row>
    <row r="3026" spans="1:7" x14ac:dyDescent="0.25">
      <c r="A3026" s="8">
        <v>39</v>
      </c>
      <c r="B3026" s="8">
        <v>70</v>
      </c>
      <c r="C3026" s="8">
        <v>749.41461200000003</v>
      </c>
      <c r="D3026" s="8">
        <v>134144.359375</v>
      </c>
      <c r="E3026" s="8">
        <v>134152.28125</v>
      </c>
      <c r="F3026" s="8">
        <f t="shared" si="94"/>
        <v>7.921875</v>
      </c>
      <c r="G3026" s="8">
        <f t="shared" si="95"/>
        <v>7.9218750000000001E-3</v>
      </c>
    </row>
    <row r="3027" spans="1:7" x14ac:dyDescent="0.25">
      <c r="A3027" s="8">
        <v>39</v>
      </c>
      <c r="B3027" s="8">
        <v>71</v>
      </c>
      <c r="C3027" s="8">
        <v>455.66290300000003</v>
      </c>
      <c r="D3027" s="8">
        <v>134912.28125</v>
      </c>
      <c r="E3027" s="8">
        <v>134925.984375</v>
      </c>
      <c r="F3027" s="8">
        <f t="shared" si="94"/>
        <v>13.703125</v>
      </c>
      <c r="G3027" s="8">
        <f t="shared" si="95"/>
        <v>1.3703125E-2</v>
      </c>
    </row>
    <row r="3028" spans="1:7" x14ac:dyDescent="0.25">
      <c r="A3028" s="8">
        <v>39</v>
      </c>
      <c r="B3028" s="8">
        <v>72</v>
      </c>
      <c r="C3028" s="8">
        <v>576.68701199999998</v>
      </c>
      <c r="D3028" s="8">
        <v>135382.078125</v>
      </c>
      <c r="E3028" s="8">
        <v>135395.5625</v>
      </c>
      <c r="F3028" s="8">
        <f t="shared" si="94"/>
        <v>13.484375</v>
      </c>
      <c r="G3028" s="8">
        <f t="shared" si="95"/>
        <v>1.3484375E-2</v>
      </c>
    </row>
    <row r="3029" spans="1:7" x14ac:dyDescent="0.25">
      <c r="A3029" s="8">
        <v>39</v>
      </c>
      <c r="B3029" s="8">
        <v>73</v>
      </c>
      <c r="C3029" s="8">
        <v>11.692183</v>
      </c>
      <c r="D3029" s="8">
        <v>135975.828125</v>
      </c>
      <c r="E3029" s="8">
        <v>135997.5625</v>
      </c>
      <c r="F3029" s="8">
        <f t="shared" si="94"/>
        <v>21.734375</v>
      </c>
      <c r="G3029" s="8">
        <f t="shared" si="95"/>
        <v>2.1734375E-2</v>
      </c>
    </row>
    <row r="3030" spans="1:7" x14ac:dyDescent="0.25">
      <c r="A3030" s="8">
        <v>39</v>
      </c>
      <c r="B3030" s="8">
        <v>74</v>
      </c>
      <c r="C3030" s="8">
        <v>961.34930399999996</v>
      </c>
      <c r="D3030" s="8">
        <v>136022.71875</v>
      </c>
      <c r="E3030" s="8">
        <v>136042.53125</v>
      </c>
      <c r="F3030" s="8">
        <f t="shared" si="94"/>
        <v>19.8125</v>
      </c>
      <c r="G3030" s="8">
        <f t="shared" si="95"/>
        <v>1.98125E-2</v>
      </c>
    </row>
    <row r="3031" spans="1:7" x14ac:dyDescent="0.25">
      <c r="A3031" s="8">
        <v>39</v>
      </c>
      <c r="B3031" s="8">
        <v>75</v>
      </c>
      <c r="C3031" s="8">
        <v>3703.9597170000002</v>
      </c>
      <c r="D3031" s="8">
        <v>137012.984375</v>
      </c>
      <c r="E3031" s="8">
        <v>137020.640625</v>
      </c>
      <c r="F3031" s="8">
        <f t="shared" si="94"/>
        <v>7.65625</v>
      </c>
      <c r="G3031" s="8">
        <f t="shared" si="95"/>
        <v>7.6562499999999999E-3</v>
      </c>
    </row>
    <row r="3032" spans="1:7" x14ac:dyDescent="0.25">
      <c r="A3032" s="8">
        <v>39</v>
      </c>
      <c r="B3032" s="8">
        <v>76</v>
      </c>
      <c r="C3032" s="8">
        <v>2099.3740229999999</v>
      </c>
      <c r="D3032" s="8">
        <v>140732.859375</v>
      </c>
      <c r="E3032" s="8">
        <v>140763.984375</v>
      </c>
      <c r="F3032" s="8">
        <f t="shared" si="94"/>
        <v>31.125</v>
      </c>
      <c r="G3032" s="8">
        <f t="shared" si="95"/>
        <v>3.1125E-2</v>
      </c>
    </row>
    <row r="3033" spans="1:7" x14ac:dyDescent="0.25">
      <c r="A3033" s="8">
        <v>39</v>
      </c>
      <c r="B3033" s="8">
        <v>77</v>
      </c>
      <c r="C3033" s="8">
        <v>666.11999500000002</v>
      </c>
      <c r="D3033" s="8">
        <v>142874.671875</v>
      </c>
      <c r="E3033" s="8">
        <v>142886.765625</v>
      </c>
      <c r="F3033" s="8">
        <f t="shared" si="94"/>
        <v>12.09375</v>
      </c>
      <c r="G3033" s="8">
        <f t="shared" si="95"/>
        <v>1.209375E-2</v>
      </c>
    </row>
    <row r="3034" spans="1:7" x14ac:dyDescent="0.25">
      <c r="A3034" s="8">
        <v>39</v>
      </c>
      <c r="B3034" s="8">
        <v>78</v>
      </c>
      <c r="C3034" s="8">
        <v>3653.6447750000002</v>
      </c>
      <c r="D3034" s="8">
        <v>143556.8125</v>
      </c>
      <c r="E3034" s="8">
        <v>143568.515625</v>
      </c>
      <c r="F3034" s="8">
        <f t="shared" si="94"/>
        <v>11.703125</v>
      </c>
      <c r="G3034" s="8">
        <f t="shared" si="95"/>
        <v>1.1703125E-2</v>
      </c>
    </row>
    <row r="3035" spans="1:7" x14ac:dyDescent="0.25">
      <c r="A3035" s="8">
        <v>39</v>
      </c>
      <c r="B3035" s="8">
        <v>79</v>
      </c>
      <c r="C3035" s="8">
        <v>1200.5462649999999</v>
      </c>
      <c r="D3035" s="8">
        <v>147224.8125</v>
      </c>
      <c r="E3035" s="8">
        <v>147232.625</v>
      </c>
      <c r="F3035" s="8">
        <f t="shared" si="94"/>
        <v>7.8125</v>
      </c>
      <c r="G3035" s="8">
        <f t="shared" si="95"/>
        <v>7.8125E-3</v>
      </c>
    </row>
    <row r="3036" spans="1:7" x14ac:dyDescent="0.25">
      <c r="A3036" s="8">
        <v>39</v>
      </c>
      <c r="B3036" s="8">
        <v>80</v>
      </c>
      <c r="C3036" s="8">
        <v>814.65692100000001</v>
      </c>
      <c r="D3036" s="8">
        <v>148447.234375</v>
      </c>
      <c r="E3036" s="8">
        <v>148458.078125</v>
      </c>
      <c r="F3036" s="8">
        <f t="shared" si="94"/>
        <v>10.84375</v>
      </c>
      <c r="G3036" s="8">
        <f t="shared" si="95"/>
        <v>1.0843749999999999E-2</v>
      </c>
    </row>
    <row r="3037" spans="1:7" x14ac:dyDescent="0.25">
      <c r="A3037" s="8">
        <v>39</v>
      </c>
      <c r="B3037" s="8">
        <v>81</v>
      </c>
      <c r="C3037" s="8">
        <v>853.932007</v>
      </c>
      <c r="D3037" s="8">
        <v>149275.296875</v>
      </c>
      <c r="E3037" s="8">
        <v>149295.921875</v>
      </c>
      <c r="F3037" s="8">
        <f t="shared" si="94"/>
        <v>20.625</v>
      </c>
      <c r="G3037" s="8">
        <f t="shared" si="95"/>
        <v>2.0625000000000001E-2</v>
      </c>
    </row>
    <row r="3038" spans="1:7" x14ac:dyDescent="0.25">
      <c r="A3038" s="8">
        <v>39</v>
      </c>
      <c r="B3038" s="8">
        <v>82</v>
      </c>
      <c r="C3038" s="8">
        <v>869.14398200000005</v>
      </c>
      <c r="D3038" s="8">
        <v>150155.140625</v>
      </c>
      <c r="E3038" s="8">
        <v>150170.421875</v>
      </c>
      <c r="F3038" s="8">
        <f t="shared" si="94"/>
        <v>15.28125</v>
      </c>
      <c r="G3038" s="8">
        <f t="shared" si="95"/>
        <v>1.528125E-2</v>
      </c>
    </row>
    <row r="3039" spans="1:7" x14ac:dyDescent="0.25">
      <c r="A3039" s="8">
        <v>39</v>
      </c>
      <c r="B3039" s="8">
        <v>83</v>
      </c>
      <c r="C3039" s="8">
        <v>1888.5657960000001</v>
      </c>
      <c r="D3039" s="8">
        <v>151045.796875</v>
      </c>
      <c r="E3039" s="8">
        <v>151071.34375</v>
      </c>
      <c r="F3039" s="8">
        <f t="shared" si="94"/>
        <v>25.546875</v>
      </c>
      <c r="G3039" s="8">
        <f t="shared" si="95"/>
        <v>2.5546875E-2</v>
      </c>
    </row>
    <row r="3040" spans="1:7" x14ac:dyDescent="0.25">
      <c r="A3040" s="8">
        <v>39</v>
      </c>
      <c r="B3040" s="8">
        <v>84</v>
      </c>
      <c r="C3040" s="8">
        <v>715.26037599999995</v>
      </c>
      <c r="D3040" s="8">
        <v>152968.71875</v>
      </c>
      <c r="E3040" s="8">
        <v>152989.96875</v>
      </c>
      <c r="F3040" s="8">
        <f t="shared" si="94"/>
        <v>21.25</v>
      </c>
      <c r="G3040" s="8">
        <f t="shared" si="95"/>
        <v>2.1250000000000002E-2</v>
      </c>
    </row>
    <row r="3041" spans="1:7" x14ac:dyDescent="0.25">
      <c r="A3041" s="8">
        <v>39</v>
      </c>
      <c r="B3041" s="8">
        <v>85</v>
      </c>
      <c r="C3041" s="8">
        <v>1303.3786620000001</v>
      </c>
      <c r="D3041" s="8">
        <v>153719.015625</v>
      </c>
      <c r="E3041" s="8">
        <v>153740.859375</v>
      </c>
      <c r="F3041" s="8">
        <f t="shared" si="94"/>
        <v>21.84375</v>
      </c>
      <c r="G3041" s="8">
        <f t="shared" si="95"/>
        <v>2.1843749999999999E-2</v>
      </c>
    </row>
    <row r="3042" spans="1:7" x14ac:dyDescent="0.25">
      <c r="A3042" s="8">
        <v>39</v>
      </c>
      <c r="B3042" s="8">
        <v>86</v>
      </c>
      <c r="C3042" s="8">
        <v>2974.8029790000001</v>
      </c>
      <c r="D3042" s="8">
        <v>155047.25</v>
      </c>
      <c r="E3042" s="8">
        <v>155055.515625</v>
      </c>
      <c r="F3042" s="8">
        <f t="shared" si="94"/>
        <v>8.265625</v>
      </c>
      <c r="G3042" s="8">
        <f t="shared" si="95"/>
        <v>8.2656250000000004E-3</v>
      </c>
    </row>
    <row r="3043" spans="1:7" x14ac:dyDescent="0.25">
      <c r="A3043" s="8">
        <v>39</v>
      </c>
      <c r="B3043" s="8">
        <v>87</v>
      </c>
      <c r="C3043" s="8">
        <v>413.94107100000002</v>
      </c>
      <c r="D3043" s="8">
        <v>158031.953125</v>
      </c>
      <c r="E3043" s="8">
        <v>158048.5</v>
      </c>
      <c r="F3043" s="8">
        <f t="shared" si="94"/>
        <v>16.546875</v>
      </c>
      <c r="G3043" s="8">
        <f t="shared" si="95"/>
        <v>1.6546874999999999E-2</v>
      </c>
    </row>
    <row r="3044" spans="1:7" x14ac:dyDescent="0.25">
      <c r="A3044" s="8">
        <v>39</v>
      </c>
      <c r="B3044" s="8">
        <v>88</v>
      </c>
      <c r="C3044" s="8">
        <v>420.63363600000002</v>
      </c>
      <c r="D3044" s="8">
        <v>158469.484375</v>
      </c>
      <c r="E3044" s="8">
        <v>158485.828125</v>
      </c>
      <c r="F3044" s="8">
        <f t="shared" si="94"/>
        <v>16.34375</v>
      </c>
      <c r="G3044" s="8">
        <f t="shared" si="95"/>
        <v>1.6343750000000001E-2</v>
      </c>
    </row>
    <row r="3045" spans="1:7" x14ac:dyDescent="0.25">
      <c r="A3045" s="8">
        <v>39</v>
      </c>
      <c r="B3045" s="8">
        <v>89</v>
      </c>
      <c r="C3045" s="8">
        <v>1576.524048</v>
      </c>
      <c r="D3045" s="8">
        <v>158908.015625</v>
      </c>
      <c r="E3045" s="8">
        <v>158915.71875</v>
      </c>
      <c r="F3045" s="8">
        <f t="shared" si="94"/>
        <v>7.703125</v>
      </c>
      <c r="G3045" s="8">
        <f t="shared" si="95"/>
        <v>7.7031249999999999E-3</v>
      </c>
    </row>
    <row r="3046" spans="1:7" x14ac:dyDescent="0.25">
      <c r="A3046" s="8">
        <v>39</v>
      </c>
      <c r="B3046" s="8">
        <v>90</v>
      </c>
      <c r="C3046" s="8">
        <v>1944.741577</v>
      </c>
      <c r="D3046" s="8">
        <v>160501.984375</v>
      </c>
      <c r="E3046" s="8">
        <v>160526.5625</v>
      </c>
      <c r="F3046" s="8">
        <f t="shared" si="94"/>
        <v>24.578125</v>
      </c>
      <c r="G3046" s="8">
        <f t="shared" si="95"/>
        <v>2.4578124999999999E-2</v>
      </c>
    </row>
    <row r="3047" spans="1:7" x14ac:dyDescent="0.25">
      <c r="A3047" s="8">
        <v>39</v>
      </c>
      <c r="B3047" s="8">
        <v>91</v>
      </c>
      <c r="C3047" s="8">
        <v>2831.9968260000001</v>
      </c>
      <c r="D3047" s="8">
        <v>162471.453125</v>
      </c>
      <c r="E3047" s="8">
        <v>162480.34375</v>
      </c>
      <c r="F3047" s="8">
        <f t="shared" si="94"/>
        <v>8.890625</v>
      </c>
      <c r="G3047" s="8">
        <f t="shared" si="95"/>
        <v>8.8906249999999992E-3</v>
      </c>
    </row>
    <row r="3048" spans="1:7" x14ac:dyDescent="0.25">
      <c r="A3048" s="8">
        <v>39</v>
      </c>
      <c r="B3048" s="8">
        <v>92</v>
      </c>
      <c r="C3048" s="8">
        <v>924.38183600000002</v>
      </c>
      <c r="D3048" s="8">
        <v>165311.625</v>
      </c>
      <c r="E3048" s="8">
        <v>165334.8125</v>
      </c>
      <c r="F3048" s="8">
        <f t="shared" si="94"/>
        <v>23.1875</v>
      </c>
      <c r="G3048" s="8">
        <f t="shared" si="95"/>
        <v>2.31875E-2</v>
      </c>
    </row>
    <row r="3049" spans="1:7" x14ac:dyDescent="0.25">
      <c r="A3049" s="8">
        <v>39</v>
      </c>
      <c r="B3049" s="8">
        <v>93</v>
      </c>
      <c r="C3049" s="8">
        <v>2002.2089840000001</v>
      </c>
      <c r="D3049" s="8">
        <v>166270.734375</v>
      </c>
      <c r="E3049" s="8">
        <v>166293.015625</v>
      </c>
      <c r="F3049" s="8">
        <f t="shared" si="94"/>
        <v>22.28125</v>
      </c>
      <c r="G3049" s="8">
        <f t="shared" si="95"/>
        <v>2.2281249999999999E-2</v>
      </c>
    </row>
    <row r="3050" spans="1:7" x14ac:dyDescent="0.25">
      <c r="A3050" s="8">
        <v>39</v>
      </c>
      <c r="B3050" s="8">
        <v>94</v>
      </c>
      <c r="C3050" s="8">
        <v>1673.486938</v>
      </c>
      <c r="D3050" s="8">
        <v>168307.390625</v>
      </c>
      <c r="E3050" s="8">
        <v>168327.234375</v>
      </c>
      <c r="F3050" s="8">
        <f t="shared" si="94"/>
        <v>19.84375</v>
      </c>
      <c r="G3050" s="8">
        <f t="shared" si="95"/>
        <v>1.984375E-2</v>
      </c>
    </row>
    <row r="3051" spans="1:7" x14ac:dyDescent="0.25">
      <c r="A3051" s="8">
        <v>40</v>
      </c>
      <c r="B3051" s="8">
        <v>0</v>
      </c>
      <c r="C3051" s="8">
        <v>779.28997800000002</v>
      </c>
      <c r="D3051" s="8">
        <v>21844.373047000001</v>
      </c>
      <c r="E3051" s="8">
        <v>21860.121093999998</v>
      </c>
      <c r="F3051" s="8">
        <f t="shared" si="94"/>
        <v>15.748046999997314</v>
      </c>
      <c r="G3051" s="8">
        <f t="shared" si="95"/>
        <v>1.5748046999997312E-2</v>
      </c>
    </row>
    <row r="3052" spans="1:7" x14ac:dyDescent="0.25">
      <c r="A3052" s="8">
        <v>40</v>
      </c>
      <c r="B3052" s="8">
        <v>1</v>
      </c>
      <c r="C3052" s="8">
        <v>3418.1208499999998</v>
      </c>
      <c r="D3052" s="8">
        <v>22641.363281000002</v>
      </c>
      <c r="E3052" s="8">
        <v>22657.001952999999</v>
      </c>
      <c r="F3052" s="8">
        <f t="shared" si="94"/>
        <v>15.638671999997314</v>
      </c>
      <c r="G3052" s="8">
        <f t="shared" si="95"/>
        <v>1.5638671999997314E-2</v>
      </c>
    </row>
    <row r="3053" spans="1:7" x14ac:dyDescent="0.25">
      <c r="A3053" s="8">
        <v>40</v>
      </c>
      <c r="B3053" s="8">
        <v>2</v>
      </c>
      <c r="C3053" s="8">
        <v>1446.4571530000001</v>
      </c>
      <c r="D3053" s="8">
        <v>26084.431640999999</v>
      </c>
      <c r="E3053" s="8">
        <v>26099.310547000001</v>
      </c>
      <c r="F3053" s="8">
        <f t="shared" si="94"/>
        <v>14.878906000001734</v>
      </c>
      <c r="G3053" s="8">
        <f t="shared" si="95"/>
        <v>1.4878906000001734E-2</v>
      </c>
    </row>
    <row r="3054" spans="1:7" x14ac:dyDescent="0.25">
      <c r="A3054" s="8">
        <v>40</v>
      </c>
      <c r="B3054" s="8">
        <v>3</v>
      </c>
      <c r="C3054" s="8">
        <v>551.84094200000004</v>
      </c>
      <c r="D3054" s="8">
        <v>27556.525390999999</v>
      </c>
      <c r="E3054" s="8">
        <v>27606.716797000001</v>
      </c>
      <c r="F3054" s="8">
        <f t="shared" si="94"/>
        <v>50.191406000001734</v>
      </c>
      <c r="G3054" s="8">
        <f t="shared" si="95"/>
        <v>5.0191406000001736E-2</v>
      </c>
    </row>
    <row r="3055" spans="1:7" x14ac:dyDescent="0.25">
      <c r="A3055" s="8">
        <v>40</v>
      </c>
      <c r="B3055" s="8">
        <v>4</v>
      </c>
      <c r="C3055" s="8">
        <v>35.097275000000003</v>
      </c>
      <c r="D3055" s="8">
        <v>28165.890625</v>
      </c>
      <c r="E3055" s="8">
        <v>28180.644531000002</v>
      </c>
      <c r="F3055" s="8">
        <f t="shared" si="94"/>
        <v>14.753906000001734</v>
      </c>
      <c r="G3055" s="8">
        <f t="shared" si="95"/>
        <v>1.4753906000001734E-2</v>
      </c>
    </row>
    <row r="3056" spans="1:7" x14ac:dyDescent="0.25">
      <c r="A3056" s="8">
        <v>40</v>
      </c>
      <c r="B3056" s="8">
        <v>5</v>
      </c>
      <c r="C3056" s="8">
        <v>283.11001599999997</v>
      </c>
      <c r="D3056" s="8">
        <v>28228.441406000002</v>
      </c>
      <c r="E3056" s="8">
        <v>28243.201172000001</v>
      </c>
      <c r="F3056" s="8">
        <f t="shared" si="94"/>
        <v>14.759765999999217</v>
      </c>
      <c r="G3056" s="8">
        <f t="shared" si="95"/>
        <v>1.4759765999999218E-2</v>
      </c>
    </row>
    <row r="3057" spans="1:7" x14ac:dyDescent="0.25">
      <c r="A3057" s="8">
        <v>40</v>
      </c>
      <c r="B3057" s="8">
        <v>6</v>
      </c>
      <c r="C3057" s="8">
        <v>62.365611999999999</v>
      </c>
      <c r="D3057" s="8">
        <v>28527.625</v>
      </c>
      <c r="E3057" s="8">
        <v>28540.96875</v>
      </c>
      <c r="F3057" s="8">
        <f t="shared" si="94"/>
        <v>13.34375</v>
      </c>
      <c r="G3057" s="8">
        <f t="shared" si="95"/>
        <v>1.334375E-2</v>
      </c>
    </row>
    <row r="3058" spans="1:7" x14ac:dyDescent="0.25">
      <c r="A3058" s="8">
        <v>40</v>
      </c>
      <c r="B3058" s="8">
        <v>7</v>
      </c>
      <c r="C3058" s="8">
        <v>984.98071300000004</v>
      </c>
      <c r="D3058" s="8">
        <v>28605.769531000002</v>
      </c>
      <c r="E3058" s="8">
        <v>28622.314452999999</v>
      </c>
      <c r="F3058" s="8">
        <f t="shared" si="94"/>
        <v>16.544921999997314</v>
      </c>
      <c r="G3058" s="8">
        <f t="shared" si="95"/>
        <v>1.6544921999997315E-2</v>
      </c>
    </row>
    <row r="3059" spans="1:7" x14ac:dyDescent="0.25">
      <c r="A3059" s="8">
        <v>40</v>
      </c>
      <c r="B3059" s="8">
        <v>8</v>
      </c>
      <c r="C3059" s="8">
        <v>731.38458300000002</v>
      </c>
      <c r="D3059" s="8">
        <v>29621.552734000001</v>
      </c>
      <c r="E3059" s="8">
        <v>29645.410156000002</v>
      </c>
      <c r="F3059" s="8">
        <f t="shared" si="94"/>
        <v>23.857422000000952</v>
      </c>
      <c r="G3059" s="8">
        <f t="shared" si="95"/>
        <v>2.385742200000095E-2</v>
      </c>
    </row>
    <row r="3060" spans="1:7" x14ac:dyDescent="0.25">
      <c r="A3060" s="8">
        <v>40</v>
      </c>
      <c r="B3060" s="8">
        <v>9</v>
      </c>
      <c r="C3060" s="8">
        <v>1903.529419</v>
      </c>
      <c r="D3060" s="8">
        <v>30390.419922000001</v>
      </c>
      <c r="E3060" s="8">
        <v>30403.056640999999</v>
      </c>
      <c r="F3060" s="8">
        <f t="shared" si="94"/>
        <v>12.636718999998266</v>
      </c>
      <c r="G3060" s="8">
        <f t="shared" si="95"/>
        <v>1.2636718999998266E-2</v>
      </c>
    </row>
    <row r="3061" spans="1:7" x14ac:dyDescent="0.25">
      <c r="A3061" s="8">
        <v>40</v>
      </c>
      <c r="B3061" s="8">
        <v>10</v>
      </c>
      <c r="C3061" s="8">
        <v>4698.6958009999998</v>
      </c>
      <c r="D3061" s="8">
        <v>32316.904297000001</v>
      </c>
      <c r="E3061" s="8">
        <v>32334.314452999999</v>
      </c>
      <c r="F3061" s="8">
        <f t="shared" si="94"/>
        <v>17.410155999998096</v>
      </c>
      <c r="G3061" s="8">
        <f t="shared" si="95"/>
        <v>1.7410155999998095E-2</v>
      </c>
    </row>
    <row r="3062" spans="1:7" x14ac:dyDescent="0.25">
      <c r="A3062" s="8">
        <v>40</v>
      </c>
      <c r="B3062" s="8">
        <v>11</v>
      </c>
      <c r="C3062" s="8">
        <v>2494.6604000000002</v>
      </c>
      <c r="D3062" s="8">
        <v>37034.539062999997</v>
      </c>
      <c r="E3062" s="8">
        <v>37051.847655999998</v>
      </c>
      <c r="F3062" s="8">
        <f t="shared" si="94"/>
        <v>17.308593000001565</v>
      </c>
      <c r="G3062" s="8">
        <f t="shared" si="95"/>
        <v>1.7308593000001565E-2</v>
      </c>
    </row>
    <row r="3063" spans="1:7" x14ac:dyDescent="0.25">
      <c r="A3063" s="8">
        <v>40</v>
      </c>
      <c r="B3063" s="8">
        <v>12</v>
      </c>
      <c r="C3063" s="8">
        <v>3081.8872070000002</v>
      </c>
      <c r="D3063" s="8">
        <v>39558.625</v>
      </c>
      <c r="E3063" s="8">
        <v>39578.984375</v>
      </c>
      <c r="F3063" s="8">
        <f t="shared" si="94"/>
        <v>20.359375</v>
      </c>
      <c r="G3063" s="8">
        <f t="shared" si="95"/>
        <v>2.0359374999999999E-2</v>
      </c>
    </row>
    <row r="3064" spans="1:7" x14ac:dyDescent="0.25">
      <c r="A3064" s="8">
        <v>40</v>
      </c>
      <c r="B3064" s="8">
        <v>13</v>
      </c>
      <c r="C3064" s="8">
        <v>6494.5205079999996</v>
      </c>
      <c r="D3064" s="8">
        <v>42673.273437999997</v>
      </c>
      <c r="E3064" s="8">
        <v>42680.847655999998</v>
      </c>
      <c r="F3064" s="8">
        <f t="shared" si="94"/>
        <v>7.5742180000015651</v>
      </c>
      <c r="G3064" s="8">
        <f t="shared" si="95"/>
        <v>7.5742180000015653E-3</v>
      </c>
    </row>
    <row r="3065" spans="1:7" x14ac:dyDescent="0.25">
      <c r="A3065" s="8">
        <v>40</v>
      </c>
      <c r="B3065" s="8">
        <v>14</v>
      </c>
      <c r="C3065" s="8">
        <v>188.08282500000001</v>
      </c>
      <c r="D3065" s="8">
        <v>49184.0625</v>
      </c>
      <c r="E3065" s="8">
        <v>49202.539062999997</v>
      </c>
      <c r="F3065" s="8">
        <f t="shared" si="94"/>
        <v>18.476562999996531</v>
      </c>
      <c r="G3065" s="8">
        <f t="shared" si="95"/>
        <v>1.8476562999996532E-2</v>
      </c>
    </row>
    <row r="3066" spans="1:7" x14ac:dyDescent="0.25">
      <c r="A3066" s="8">
        <v>40</v>
      </c>
      <c r="B3066" s="8">
        <v>15</v>
      </c>
      <c r="C3066" s="8">
        <v>2582.1735840000001</v>
      </c>
      <c r="D3066" s="8">
        <v>49404.855469000002</v>
      </c>
      <c r="E3066" s="8">
        <v>49424.320312999997</v>
      </c>
      <c r="F3066" s="8">
        <f t="shared" si="94"/>
        <v>19.464843999994628</v>
      </c>
      <c r="G3066" s="8">
        <f t="shared" si="95"/>
        <v>1.9464843999994628E-2</v>
      </c>
    </row>
    <row r="3067" spans="1:7" x14ac:dyDescent="0.25">
      <c r="A3067" s="8">
        <v>40</v>
      </c>
      <c r="B3067" s="8">
        <v>16</v>
      </c>
      <c r="C3067" s="8">
        <v>716.22070299999996</v>
      </c>
      <c r="D3067" s="8">
        <v>52013.988280999998</v>
      </c>
      <c r="E3067" s="8">
        <v>52025.800780999998</v>
      </c>
      <c r="F3067" s="8">
        <f t="shared" si="94"/>
        <v>11.8125</v>
      </c>
      <c r="G3067" s="8">
        <f t="shared" si="95"/>
        <v>1.18125E-2</v>
      </c>
    </row>
    <row r="3068" spans="1:7" x14ac:dyDescent="0.25">
      <c r="A3068" s="8">
        <v>40</v>
      </c>
      <c r="B3068" s="8">
        <v>17</v>
      </c>
      <c r="C3068" s="8">
        <v>9539.1123050000006</v>
      </c>
      <c r="D3068" s="8">
        <v>52748.457030999998</v>
      </c>
      <c r="E3068" s="8">
        <v>52762.316405999998</v>
      </c>
      <c r="F3068" s="8">
        <f t="shared" si="94"/>
        <v>13.859375</v>
      </c>
      <c r="G3068" s="8">
        <f t="shared" si="95"/>
        <v>1.3859375E-2</v>
      </c>
    </row>
    <row r="3069" spans="1:7" x14ac:dyDescent="0.25">
      <c r="A3069" s="8">
        <v>40</v>
      </c>
      <c r="B3069" s="8">
        <v>18</v>
      </c>
      <c r="C3069" s="8">
        <v>1703.4453129999999</v>
      </c>
      <c r="D3069" s="8">
        <v>62313.449219000002</v>
      </c>
      <c r="E3069" s="8">
        <v>62326.804687999997</v>
      </c>
      <c r="F3069" s="8">
        <f t="shared" si="94"/>
        <v>13.355468999994628</v>
      </c>
      <c r="G3069" s="8">
        <f t="shared" si="95"/>
        <v>1.3355468999994628E-2</v>
      </c>
    </row>
    <row r="3070" spans="1:7" x14ac:dyDescent="0.25">
      <c r="A3070" s="8">
        <v>40</v>
      </c>
      <c r="B3070" s="8">
        <v>19</v>
      </c>
      <c r="C3070" s="8">
        <v>2054.8854980000001</v>
      </c>
      <c r="D3070" s="8">
        <v>64042.613280999998</v>
      </c>
      <c r="E3070" s="8">
        <v>64054.039062999997</v>
      </c>
      <c r="F3070" s="8">
        <f t="shared" si="94"/>
        <v>11.425781999998435</v>
      </c>
      <c r="G3070" s="8">
        <f t="shared" si="95"/>
        <v>1.1425781999998434E-2</v>
      </c>
    </row>
    <row r="3071" spans="1:7" x14ac:dyDescent="0.25">
      <c r="A3071" s="8">
        <v>40</v>
      </c>
      <c r="B3071" s="8">
        <v>20</v>
      </c>
      <c r="C3071" s="8">
        <v>376.01611300000002</v>
      </c>
      <c r="D3071" s="8">
        <v>66121.75</v>
      </c>
      <c r="E3071" s="8">
        <v>66147.03125</v>
      </c>
      <c r="F3071" s="8">
        <f t="shared" si="94"/>
        <v>25.28125</v>
      </c>
      <c r="G3071" s="8">
        <f t="shared" si="95"/>
        <v>2.5281250000000002E-2</v>
      </c>
    </row>
    <row r="3072" spans="1:7" x14ac:dyDescent="0.25">
      <c r="A3072" s="8">
        <v>40</v>
      </c>
      <c r="B3072" s="8">
        <v>21</v>
      </c>
      <c r="C3072" s="8">
        <v>836.51507600000002</v>
      </c>
      <c r="D3072" s="8">
        <v>66528.015625</v>
      </c>
      <c r="E3072" s="8">
        <v>66547.351563000004</v>
      </c>
      <c r="F3072" s="8">
        <f t="shared" si="94"/>
        <v>19.335938000003807</v>
      </c>
      <c r="G3072" s="8">
        <f t="shared" si="95"/>
        <v>1.9335938000003806E-2</v>
      </c>
    </row>
    <row r="3073" spans="1:7" x14ac:dyDescent="0.25">
      <c r="A3073" s="8">
        <v>40</v>
      </c>
      <c r="B3073" s="8">
        <v>22</v>
      </c>
      <c r="C3073" s="8">
        <v>347.20181300000002</v>
      </c>
      <c r="D3073" s="8">
        <v>67388.96875</v>
      </c>
      <c r="E3073" s="8">
        <v>67407.953125</v>
      </c>
      <c r="F3073" s="8">
        <f t="shared" si="94"/>
        <v>18.984375</v>
      </c>
      <c r="G3073" s="8">
        <f t="shared" si="95"/>
        <v>1.8984375000000001E-2</v>
      </c>
    </row>
    <row r="3074" spans="1:7" x14ac:dyDescent="0.25">
      <c r="A3074" s="8">
        <v>40</v>
      </c>
      <c r="B3074" s="8">
        <v>23</v>
      </c>
      <c r="C3074" s="8">
        <v>1049.3289789999999</v>
      </c>
      <c r="D3074" s="8">
        <v>67764.007813000004</v>
      </c>
      <c r="E3074" s="8">
        <v>67775.570313000004</v>
      </c>
      <c r="F3074" s="8">
        <f t="shared" si="94"/>
        <v>11.5625</v>
      </c>
      <c r="G3074" s="8">
        <f t="shared" si="95"/>
        <v>1.15625E-2</v>
      </c>
    </row>
    <row r="3075" spans="1:7" x14ac:dyDescent="0.25">
      <c r="A3075" s="8">
        <v>40</v>
      </c>
      <c r="B3075" s="8">
        <v>24</v>
      </c>
      <c r="C3075" s="8">
        <v>9944.4541019999997</v>
      </c>
      <c r="D3075" s="8">
        <v>68826.625</v>
      </c>
      <c r="E3075" s="8">
        <v>68843.570313000004</v>
      </c>
      <c r="F3075" s="8">
        <f t="shared" si="94"/>
        <v>16.945313000003807</v>
      </c>
      <c r="G3075" s="8">
        <f t="shared" si="95"/>
        <v>1.6945313000003806E-2</v>
      </c>
    </row>
    <row r="3076" spans="1:7" x14ac:dyDescent="0.25">
      <c r="A3076" s="8">
        <v>40</v>
      </c>
      <c r="B3076" s="8">
        <v>25</v>
      </c>
      <c r="C3076" s="8">
        <v>1146.115112</v>
      </c>
      <c r="D3076" s="8">
        <v>78794.65625</v>
      </c>
      <c r="E3076" s="8">
        <v>78802.515625</v>
      </c>
      <c r="F3076" s="8">
        <f t="shared" si="94"/>
        <v>7.859375</v>
      </c>
      <c r="G3076" s="8">
        <f t="shared" si="95"/>
        <v>7.859375E-3</v>
      </c>
    </row>
    <row r="3077" spans="1:7" x14ac:dyDescent="0.25">
      <c r="A3077" s="8">
        <v>40</v>
      </c>
      <c r="B3077" s="8">
        <v>26</v>
      </c>
      <c r="C3077" s="8">
        <v>1154.1423339999999</v>
      </c>
      <c r="D3077" s="8">
        <v>79957.234375</v>
      </c>
      <c r="E3077" s="8">
        <v>79965.03125</v>
      </c>
      <c r="F3077" s="8">
        <f t="shared" si="94"/>
        <v>7.796875</v>
      </c>
      <c r="G3077" s="8">
        <f t="shared" si="95"/>
        <v>7.796875E-3</v>
      </c>
    </row>
    <row r="3078" spans="1:7" x14ac:dyDescent="0.25">
      <c r="A3078" s="8">
        <v>40</v>
      </c>
      <c r="B3078" s="8">
        <v>27</v>
      </c>
      <c r="C3078" s="8">
        <v>357.46585099999999</v>
      </c>
      <c r="D3078" s="8">
        <v>81130.078125</v>
      </c>
      <c r="E3078" s="8">
        <v>81144.546875</v>
      </c>
      <c r="F3078" s="8">
        <f t="shared" si="94"/>
        <v>14.46875</v>
      </c>
      <c r="G3078" s="8">
        <f t="shared" si="95"/>
        <v>1.4468750000000001E-2</v>
      </c>
    </row>
    <row r="3079" spans="1:7" x14ac:dyDescent="0.25">
      <c r="A3079" s="8">
        <v>40</v>
      </c>
      <c r="B3079" s="8">
        <v>28</v>
      </c>
      <c r="C3079" s="8">
        <v>234.75752299999999</v>
      </c>
      <c r="D3079" s="8">
        <v>81505.101563000004</v>
      </c>
      <c r="E3079" s="8">
        <v>81534.59375</v>
      </c>
      <c r="F3079" s="8">
        <f t="shared" si="94"/>
        <v>29.492186999996193</v>
      </c>
      <c r="G3079" s="8">
        <f t="shared" si="95"/>
        <v>2.9492186999996194E-2</v>
      </c>
    </row>
    <row r="3080" spans="1:7" x14ac:dyDescent="0.25">
      <c r="A3080" s="8">
        <v>40</v>
      </c>
      <c r="B3080" s="8">
        <v>29</v>
      </c>
      <c r="C3080" s="8">
        <v>1177.3198239999999</v>
      </c>
      <c r="D3080" s="8">
        <v>81775.632813000004</v>
      </c>
      <c r="E3080" s="8">
        <v>81795.640625</v>
      </c>
      <c r="F3080" s="8">
        <f t="shared" si="94"/>
        <v>20.007811999996193</v>
      </c>
      <c r="G3080" s="8">
        <f t="shared" si="95"/>
        <v>2.0007811999996194E-2</v>
      </c>
    </row>
    <row r="3081" spans="1:7" x14ac:dyDescent="0.25">
      <c r="A3081" s="8">
        <v>40</v>
      </c>
      <c r="B3081" s="8">
        <v>30</v>
      </c>
      <c r="C3081" s="8">
        <v>3081.8872070000002</v>
      </c>
      <c r="D3081" s="8">
        <v>82980.007813000004</v>
      </c>
      <c r="E3081" s="8">
        <v>82998.1875</v>
      </c>
      <c r="F3081" s="8">
        <f t="shared" si="94"/>
        <v>18.179686999996193</v>
      </c>
      <c r="G3081" s="8">
        <f t="shared" si="95"/>
        <v>1.8179686999996194E-2</v>
      </c>
    </row>
    <row r="3082" spans="1:7" x14ac:dyDescent="0.25">
      <c r="A3082" s="8">
        <v>40</v>
      </c>
      <c r="B3082" s="8">
        <v>31</v>
      </c>
      <c r="C3082" s="8">
        <v>1956.395874</v>
      </c>
      <c r="D3082" s="8">
        <v>86080.851563000004</v>
      </c>
      <c r="E3082" s="8">
        <v>86097.921875</v>
      </c>
      <c r="F3082" s="8">
        <f t="shared" si="94"/>
        <v>17.070311999996193</v>
      </c>
      <c r="G3082" s="8">
        <f t="shared" si="95"/>
        <v>1.7070311999996191E-2</v>
      </c>
    </row>
    <row r="3083" spans="1:7" x14ac:dyDescent="0.25">
      <c r="A3083" s="8">
        <v>40</v>
      </c>
      <c r="B3083" s="8">
        <v>32</v>
      </c>
      <c r="C3083" s="8">
        <v>872.63470500000005</v>
      </c>
      <c r="D3083" s="8">
        <v>88068.554688000004</v>
      </c>
      <c r="E3083" s="8">
        <v>88083.648438000004</v>
      </c>
      <c r="F3083" s="8">
        <f t="shared" ref="F3083:F3146" si="96">E3083-D3083</f>
        <v>15.09375</v>
      </c>
      <c r="G3083" s="8">
        <f t="shared" ref="G3083:G3146" si="97">F3083/1000</f>
        <v>1.509375E-2</v>
      </c>
    </row>
    <row r="3084" spans="1:7" x14ac:dyDescent="0.25">
      <c r="A3084" s="8">
        <v>40</v>
      </c>
      <c r="B3084" s="8">
        <v>33</v>
      </c>
      <c r="C3084" s="8">
        <v>1204.6667480000001</v>
      </c>
      <c r="D3084" s="8">
        <v>88959.085938000004</v>
      </c>
      <c r="E3084" s="8">
        <v>88968.34375</v>
      </c>
      <c r="F3084" s="8">
        <f t="shared" si="96"/>
        <v>9.2578119999961928</v>
      </c>
      <c r="G3084" s="8">
        <f t="shared" si="97"/>
        <v>9.257811999996193E-3</v>
      </c>
    </row>
    <row r="3085" spans="1:7" x14ac:dyDescent="0.25">
      <c r="A3085" s="8">
        <v>40</v>
      </c>
      <c r="B3085" s="8">
        <v>34</v>
      </c>
      <c r="C3085" s="8">
        <v>2639.59375</v>
      </c>
      <c r="D3085" s="8">
        <v>90182.898438000004</v>
      </c>
      <c r="E3085" s="8">
        <v>90199.765625</v>
      </c>
      <c r="F3085" s="8">
        <f t="shared" si="96"/>
        <v>16.867186999996193</v>
      </c>
      <c r="G3085" s="8">
        <f t="shared" si="97"/>
        <v>1.6867186999996193E-2</v>
      </c>
    </row>
    <row r="3086" spans="1:7" x14ac:dyDescent="0.25">
      <c r="A3086" s="8">
        <v>40</v>
      </c>
      <c r="B3086" s="8">
        <v>35</v>
      </c>
      <c r="C3086" s="8">
        <v>834.10546899999997</v>
      </c>
      <c r="D3086" s="8">
        <v>92841.539063000004</v>
      </c>
      <c r="E3086" s="8">
        <v>92856.382813000004</v>
      </c>
      <c r="F3086" s="8">
        <f t="shared" si="96"/>
        <v>14.84375</v>
      </c>
      <c r="G3086" s="8">
        <f t="shared" si="97"/>
        <v>1.4843749999999999E-2</v>
      </c>
    </row>
    <row r="3087" spans="1:7" x14ac:dyDescent="0.25">
      <c r="A3087" s="8">
        <v>40</v>
      </c>
      <c r="B3087" s="8">
        <v>36</v>
      </c>
      <c r="C3087" s="8">
        <v>274.33947799999999</v>
      </c>
      <c r="D3087" s="8">
        <v>93701.289063000004</v>
      </c>
      <c r="E3087" s="8">
        <v>93723.398438000004</v>
      </c>
      <c r="F3087" s="8">
        <f t="shared" si="96"/>
        <v>22.109375</v>
      </c>
      <c r="G3087" s="8">
        <f t="shared" si="97"/>
        <v>2.2109375000000001E-2</v>
      </c>
    </row>
    <row r="3088" spans="1:7" x14ac:dyDescent="0.25">
      <c r="A3088" s="8">
        <v>40</v>
      </c>
      <c r="B3088" s="8">
        <v>37</v>
      </c>
      <c r="C3088" s="8">
        <v>1609.963135</v>
      </c>
      <c r="D3088" s="8">
        <v>93998.203125</v>
      </c>
      <c r="E3088" s="8">
        <v>94019.820313000004</v>
      </c>
      <c r="F3088" s="8">
        <f t="shared" si="96"/>
        <v>21.617188000003807</v>
      </c>
      <c r="G3088" s="8">
        <f t="shared" si="97"/>
        <v>2.1617188000003808E-2</v>
      </c>
    </row>
    <row r="3089" spans="1:7" x14ac:dyDescent="0.25">
      <c r="A3089" s="8">
        <v>40</v>
      </c>
      <c r="B3089" s="8">
        <v>38</v>
      </c>
      <c r="C3089" s="8">
        <v>1620.6401370000001</v>
      </c>
      <c r="D3089" s="8">
        <v>95631.492188000004</v>
      </c>
      <c r="E3089" s="8">
        <v>95643.273438000004</v>
      </c>
      <c r="F3089" s="8">
        <f t="shared" si="96"/>
        <v>11.78125</v>
      </c>
      <c r="G3089" s="8">
        <f t="shared" si="97"/>
        <v>1.178125E-2</v>
      </c>
    </row>
    <row r="3090" spans="1:7" x14ac:dyDescent="0.25">
      <c r="A3090" s="8">
        <v>40</v>
      </c>
      <c r="B3090" s="8">
        <v>39</v>
      </c>
      <c r="C3090" s="8">
        <v>750.48028599999998</v>
      </c>
      <c r="D3090" s="8">
        <v>97278.453125</v>
      </c>
      <c r="E3090" s="8">
        <v>97292.765625</v>
      </c>
      <c r="F3090" s="8">
        <f t="shared" si="96"/>
        <v>14.3125</v>
      </c>
      <c r="G3090" s="8">
        <f t="shared" si="97"/>
        <v>1.4312500000000001E-2</v>
      </c>
    </row>
    <row r="3091" spans="1:7" x14ac:dyDescent="0.25">
      <c r="A3091" s="8">
        <v>40</v>
      </c>
      <c r="B3091" s="8">
        <v>40</v>
      </c>
      <c r="C3091" s="8">
        <v>1243.6142580000001</v>
      </c>
      <c r="D3091" s="8">
        <v>98050.804688000004</v>
      </c>
      <c r="E3091" s="8">
        <v>98068.046875</v>
      </c>
      <c r="F3091" s="8">
        <f t="shared" si="96"/>
        <v>17.242186999996193</v>
      </c>
      <c r="G3091" s="8">
        <f t="shared" si="97"/>
        <v>1.7242186999996193E-2</v>
      </c>
    </row>
    <row r="3092" spans="1:7" x14ac:dyDescent="0.25">
      <c r="A3092" s="8">
        <v>40</v>
      </c>
      <c r="B3092" s="8">
        <v>41</v>
      </c>
      <c r="C3092" s="8">
        <v>193.05110199999999</v>
      </c>
      <c r="D3092" s="8">
        <v>99323.179688000004</v>
      </c>
      <c r="E3092" s="8">
        <v>99340.367188000004</v>
      </c>
      <c r="F3092" s="8">
        <f t="shared" si="96"/>
        <v>17.1875</v>
      </c>
      <c r="G3092" s="8">
        <f t="shared" si="97"/>
        <v>1.7187500000000001E-2</v>
      </c>
    </row>
    <row r="3093" spans="1:7" x14ac:dyDescent="0.25">
      <c r="A3093" s="8">
        <v>40</v>
      </c>
      <c r="B3093" s="8">
        <v>42</v>
      </c>
      <c r="C3093" s="8">
        <v>1097.5592039999999</v>
      </c>
      <c r="D3093" s="8">
        <v>99541.921875</v>
      </c>
      <c r="E3093" s="8">
        <v>99555.984375</v>
      </c>
      <c r="F3093" s="8">
        <f t="shared" si="96"/>
        <v>14.0625</v>
      </c>
      <c r="G3093" s="8">
        <f t="shared" si="97"/>
        <v>1.40625E-2</v>
      </c>
    </row>
    <row r="3094" spans="1:7" x14ac:dyDescent="0.25">
      <c r="A3094" s="8">
        <v>40</v>
      </c>
      <c r="B3094" s="8">
        <v>43</v>
      </c>
      <c r="C3094" s="8">
        <v>4877.8999020000001</v>
      </c>
      <c r="D3094" s="8">
        <v>100667.101563</v>
      </c>
      <c r="E3094" s="8">
        <v>100678.703125</v>
      </c>
      <c r="F3094" s="8">
        <f t="shared" si="96"/>
        <v>11.601561999996193</v>
      </c>
      <c r="G3094" s="8">
        <f t="shared" si="97"/>
        <v>1.1601561999996193E-2</v>
      </c>
    </row>
    <row r="3095" spans="1:7" x14ac:dyDescent="0.25">
      <c r="A3095" s="8">
        <v>40</v>
      </c>
      <c r="B3095" s="8">
        <v>44</v>
      </c>
      <c r="C3095" s="8">
        <v>205.25552400000001</v>
      </c>
      <c r="D3095" s="8">
        <v>105562.523438</v>
      </c>
      <c r="E3095" s="8">
        <v>105576.773438</v>
      </c>
      <c r="F3095" s="8">
        <f t="shared" si="96"/>
        <v>14.25</v>
      </c>
      <c r="G3095" s="8">
        <f t="shared" si="97"/>
        <v>1.4250000000000001E-2</v>
      </c>
    </row>
    <row r="3096" spans="1:7" x14ac:dyDescent="0.25">
      <c r="A3096" s="8">
        <v>40</v>
      </c>
      <c r="B3096" s="8">
        <v>45</v>
      </c>
      <c r="C3096" s="8">
        <v>2980.7546390000002</v>
      </c>
      <c r="D3096" s="8">
        <v>105797.15625</v>
      </c>
      <c r="E3096" s="8">
        <v>105825.898438</v>
      </c>
      <c r="F3096" s="8">
        <f t="shared" si="96"/>
        <v>28.742188000003807</v>
      </c>
      <c r="G3096" s="8">
        <f t="shared" si="97"/>
        <v>2.8742188000003808E-2</v>
      </c>
    </row>
    <row r="3097" spans="1:7" x14ac:dyDescent="0.25">
      <c r="A3097" s="8">
        <v>40</v>
      </c>
      <c r="B3097" s="8">
        <v>46</v>
      </c>
      <c r="C3097" s="8">
        <v>5966.4140630000002</v>
      </c>
      <c r="D3097" s="8">
        <v>108813.757813</v>
      </c>
      <c r="E3097" s="8">
        <v>108838.210938</v>
      </c>
      <c r="F3097" s="8">
        <f t="shared" si="96"/>
        <v>24.453125</v>
      </c>
      <c r="G3097" s="8">
        <f t="shared" si="97"/>
        <v>2.4453124999999999E-2</v>
      </c>
    </row>
    <row r="3098" spans="1:7" x14ac:dyDescent="0.25">
      <c r="A3098" s="8">
        <v>40</v>
      </c>
      <c r="B3098" s="8">
        <v>47</v>
      </c>
      <c r="C3098" s="8">
        <v>1854.6455080000001</v>
      </c>
      <c r="D3098" s="8">
        <v>114815.742188</v>
      </c>
      <c r="E3098" s="8">
        <v>114830.109375</v>
      </c>
      <c r="F3098" s="8">
        <f t="shared" si="96"/>
        <v>14.367186999996193</v>
      </c>
      <c r="G3098" s="8">
        <f t="shared" si="97"/>
        <v>1.4367186999996192E-2</v>
      </c>
    </row>
    <row r="3099" spans="1:7" x14ac:dyDescent="0.25">
      <c r="A3099" s="8">
        <v>40</v>
      </c>
      <c r="B3099" s="8">
        <v>48</v>
      </c>
      <c r="C3099" s="8">
        <v>472.05749500000002</v>
      </c>
      <c r="D3099" s="8">
        <v>116692.546875</v>
      </c>
      <c r="E3099" s="8">
        <v>116705.8125</v>
      </c>
      <c r="F3099" s="8">
        <f t="shared" si="96"/>
        <v>13.265625</v>
      </c>
      <c r="G3099" s="8">
        <f t="shared" si="97"/>
        <v>1.3265625E-2</v>
      </c>
    </row>
    <row r="3100" spans="1:7" x14ac:dyDescent="0.25">
      <c r="A3100" s="8">
        <v>40</v>
      </c>
      <c r="B3100" s="8">
        <v>49</v>
      </c>
      <c r="C3100" s="8">
        <v>3877.7702640000002</v>
      </c>
      <c r="D3100" s="8">
        <v>117184.734375</v>
      </c>
      <c r="E3100" s="8">
        <v>117195.953125</v>
      </c>
      <c r="F3100" s="8">
        <f t="shared" si="96"/>
        <v>11.21875</v>
      </c>
      <c r="G3100" s="8">
        <f t="shared" si="97"/>
        <v>1.121875E-2</v>
      </c>
    </row>
    <row r="3101" spans="1:7" x14ac:dyDescent="0.25">
      <c r="A3101" s="8">
        <v>40</v>
      </c>
      <c r="B3101" s="8">
        <v>50</v>
      </c>
      <c r="C3101" s="8">
        <v>1383.549683</v>
      </c>
      <c r="D3101" s="8">
        <v>121080.085938</v>
      </c>
      <c r="E3101" s="8">
        <v>121095.546875</v>
      </c>
      <c r="F3101" s="8">
        <f t="shared" si="96"/>
        <v>15.460936999996193</v>
      </c>
      <c r="G3101" s="8">
        <f t="shared" si="97"/>
        <v>1.5460936999996193E-2</v>
      </c>
    </row>
    <row r="3102" spans="1:7" x14ac:dyDescent="0.25">
      <c r="A3102" s="8">
        <v>40</v>
      </c>
      <c r="B3102" s="8">
        <v>51</v>
      </c>
      <c r="C3102" s="8">
        <v>1068.294312</v>
      </c>
      <c r="D3102" s="8">
        <v>122486.515625</v>
      </c>
      <c r="E3102" s="8">
        <v>122502.0625</v>
      </c>
      <c r="F3102" s="8">
        <f t="shared" si="96"/>
        <v>15.546875</v>
      </c>
      <c r="G3102" s="8">
        <f t="shared" si="97"/>
        <v>1.5546875E-2</v>
      </c>
    </row>
    <row r="3103" spans="1:7" x14ac:dyDescent="0.25">
      <c r="A3103" s="8">
        <v>40</v>
      </c>
      <c r="B3103" s="8">
        <v>52</v>
      </c>
      <c r="C3103" s="8">
        <v>4221.8154299999997</v>
      </c>
      <c r="D3103" s="8">
        <v>123574.476563</v>
      </c>
      <c r="E3103" s="8">
        <v>123597.6875</v>
      </c>
      <c r="F3103" s="8">
        <f t="shared" si="96"/>
        <v>23.210936999996193</v>
      </c>
      <c r="G3103" s="8">
        <f t="shared" si="97"/>
        <v>2.3210936999996191E-2</v>
      </c>
    </row>
    <row r="3104" spans="1:7" x14ac:dyDescent="0.25">
      <c r="A3104" s="8">
        <v>40</v>
      </c>
      <c r="B3104" s="8">
        <v>53</v>
      </c>
      <c r="C3104" s="8">
        <v>291.84860200000003</v>
      </c>
      <c r="D3104" s="8">
        <v>127831.1875</v>
      </c>
      <c r="E3104" s="8">
        <v>127848.976563</v>
      </c>
      <c r="F3104" s="8">
        <f t="shared" si="96"/>
        <v>17.789063000003807</v>
      </c>
      <c r="G3104" s="8">
        <f t="shared" si="97"/>
        <v>1.7789063000003807E-2</v>
      </c>
    </row>
    <row r="3105" spans="1:7" x14ac:dyDescent="0.25">
      <c r="A3105" s="8">
        <v>40</v>
      </c>
      <c r="B3105" s="8">
        <v>54</v>
      </c>
      <c r="C3105" s="8">
        <v>156.944534</v>
      </c>
      <c r="D3105" s="8">
        <v>128143.65625</v>
      </c>
      <c r="E3105" s="8">
        <v>128176.046875</v>
      </c>
      <c r="F3105" s="8">
        <f t="shared" si="96"/>
        <v>32.390625</v>
      </c>
      <c r="G3105" s="8">
        <f t="shared" si="97"/>
        <v>3.2390624999999999E-2</v>
      </c>
    </row>
    <row r="3106" spans="1:7" x14ac:dyDescent="0.25">
      <c r="A3106" s="8">
        <v>40</v>
      </c>
      <c r="B3106" s="8">
        <v>55</v>
      </c>
      <c r="C3106" s="8">
        <v>1964.040283</v>
      </c>
      <c r="D3106" s="8">
        <v>128332.5625</v>
      </c>
      <c r="E3106" s="8">
        <v>128348.671875</v>
      </c>
      <c r="F3106" s="8">
        <f t="shared" si="96"/>
        <v>16.109375</v>
      </c>
      <c r="G3106" s="8">
        <f t="shared" si="97"/>
        <v>1.6109374999999999E-2</v>
      </c>
    </row>
    <row r="3107" spans="1:7" x14ac:dyDescent="0.25">
      <c r="A3107" s="8">
        <v>40</v>
      </c>
      <c r="B3107" s="8">
        <v>56</v>
      </c>
      <c r="C3107" s="8">
        <v>4032.982422</v>
      </c>
      <c r="D3107" s="8">
        <v>130317.117188</v>
      </c>
      <c r="E3107" s="8">
        <v>130330.71875</v>
      </c>
      <c r="F3107" s="8">
        <f t="shared" si="96"/>
        <v>13.601561999996193</v>
      </c>
      <c r="G3107" s="8">
        <f t="shared" si="97"/>
        <v>1.3601561999996193E-2</v>
      </c>
    </row>
    <row r="3108" spans="1:7" x14ac:dyDescent="0.25">
      <c r="A3108" s="8">
        <v>40</v>
      </c>
      <c r="B3108" s="8">
        <v>57</v>
      </c>
      <c r="C3108" s="8">
        <v>7225.4399409999996</v>
      </c>
      <c r="D3108" s="8">
        <v>134363.171875</v>
      </c>
      <c r="E3108" s="8">
        <v>134375.6875</v>
      </c>
      <c r="F3108" s="8">
        <f t="shared" si="96"/>
        <v>12.515625</v>
      </c>
      <c r="G3108" s="8">
        <f t="shared" si="97"/>
        <v>1.2515625000000001E-2</v>
      </c>
    </row>
    <row r="3109" spans="1:7" x14ac:dyDescent="0.25">
      <c r="A3109" s="8">
        <v>40</v>
      </c>
      <c r="B3109" s="8">
        <v>58</v>
      </c>
      <c r="C3109" s="8">
        <v>325.46517899999998</v>
      </c>
      <c r="D3109" s="8">
        <v>141610.46875</v>
      </c>
      <c r="E3109" s="8">
        <v>141626.828125</v>
      </c>
      <c r="F3109" s="8">
        <f t="shared" si="96"/>
        <v>16.359375</v>
      </c>
      <c r="G3109" s="8">
        <f t="shared" si="97"/>
        <v>1.6359374999999999E-2</v>
      </c>
    </row>
    <row r="3110" spans="1:7" x14ac:dyDescent="0.25">
      <c r="A3110" s="8">
        <v>40</v>
      </c>
      <c r="B3110" s="8">
        <v>59</v>
      </c>
      <c r="C3110" s="8">
        <v>2226.8012699999999</v>
      </c>
      <c r="D3110" s="8">
        <v>141952.671875</v>
      </c>
      <c r="E3110" s="8">
        <v>141963.6875</v>
      </c>
      <c r="F3110" s="8">
        <f t="shared" si="96"/>
        <v>11.015625</v>
      </c>
      <c r="G3110" s="8">
        <f t="shared" si="97"/>
        <v>1.1015624999999999E-2</v>
      </c>
    </row>
    <row r="3111" spans="1:7" x14ac:dyDescent="0.25">
      <c r="A3111" s="8">
        <v>40</v>
      </c>
      <c r="B3111" s="8">
        <v>60</v>
      </c>
      <c r="C3111" s="8">
        <v>3544.7719729999999</v>
      </c>
      <c r="D3111" s="8">
        <v>144197.4375</v>
      </c>
      <c r="E3111" s="8">
        <v>144216.9375</v>
      </c>
      <c r="F3111" s="8">
        <f t="shared" si="96"/>
        <v>19.5</v>
      </c>
      <c r="G3111" s="8">
        <f t="shared" si="97"/>
        <v>1.95E-2</v>
      </c>
    </row>
    <row r="3112" spans="1:7" x14ac:dyDescent="0.25">
      <c r="A3112" s="8">
        <v>40</v>
      </c>
      <c r="B3112" s="8">
        <v>61</v>
      </c>
      <c r="C3112" s="8">
        <v>87.267311000000007</v>
      </c>
      <c r="D3112" s="8">
        <v>147771.703125</v>
      </c>
      <c r="E3112" s="8">
        <v>147797.4375</v>
      </c>
      <c r="F3112" s="8">
        <f t="shared" si="96"/>
        <v>25.734375</v>
      </c>
      <c r="G3112" s="8">
        <f t="shared" si="97"/>
        <v>2.5734375E-2</v>
      </c>
    </row>
    <row r="3113" spans="1:7" x14ac:dyDescent="0.25">
      <c r="A3113" s="8">
        <v>40</v>
      </c>
      <c r="B3113" s="8">
        <v>62</v>
      </c>
      <c r="C3113" s="8">
        <v>635.94628899999998</v>
      </c>
      <c r="D3113" s="8">
        <v>147896.71875</v>
      </c>
      <c r="E3113" s="8">
        <v>147916.234375</v>
      </c>
      <c r="F3113" s="8">
        <f t="shared" si="96"/>
        <v>19.515625</v>
      </c>
      <c r="G3113" s="8">
        <f t="shared" si="97"/>
        <v>1.9515625000000002E-2</v>
      </c>
    </row>
    <row r="3114" spans="1:7" x14ac:dyDescent="0.25">
      <c r="A3114" s="8">
        <v>40</v>
      </c>
      <c r="B3114" s="8">
        <v>63</v>
      </c>
      <c r="C3114" s="8">
        <v>2303.9047850000002</v>
      </c>
      <c r="D3114" s="8">
        <v>148556.59375</v>
      </c>
      <c r="E3114" s="8">
        <v>148568.84375</v>
      </c>
      <c r="F3114" s="8">
        <f t="shared" si="96"/>
        <v>12.25</v>
      </c>
      <c r="G3114" s="8">
        <f t="shared" si="97"/>
        <v>1.225E-2</v>
      </c>
    </row>
    <row r="3115" spans="1:7" x14ac:dyDescent="0.25">
      <c r="A3115" s="8">
        <v>40</v>
      </c>
      <c r="B3115" s="8">
        <v>64</v>
      </c>
      <c r="C3115" s="8">
        <v>1537.4375</v>
      </c>
      <c r="D3115" s="8">
        <v>150873.9375</v>
      </c>
      <c r="E3115" s="8">
        <v>150898.0625</v>
      </c>
      <c r="F3115" s="8">
        <f t="shared" si="96"/>
        <v>24.125</v>
      </c>
      <c r="G3115" s="8">
        <f t="shared" si="97"/>
        <v>2.4125000000000001E-2</v>
      </c>
    </row>
    <row r="3116" spans="1:7" x14ac:dyDescent="0.25">
      <c r="A3116" s="8">
        <v>40</v>
      </c>
      <c r="B3116" s="8">
        <v>65</v>
      </c>
      <c r="C3116" s="8">
        <v>102.756905</v>
      </c>
      <c r="D3116" s="8">
        <v>152437.59375</v>
      </c>
      <c r="E3116" s="8">
        <v>152451.015625</v>
      </c>
      <c r="F3116" s="8">
        <f t="shared" si="96"/>
        <v>13.421875</v>
      </c>
      <c r="G3116" s="8">
        <f t="shared" si="97"/>
        <v>1.3421875E-2</v>
      </c>
    </row>
    <row r="3117" spans="1:7" x14ac:dyDescent="0.25">
      <c r="A3117" s="8">
        <v>40</v>
      </c>
      <c r="B3117" s="8">
        <v>66</v>
      </c>
      <c r="C3117" s="8">
        <v>3205.3107909999999</v>
      </c>
      <c r="D3117" s="8">
        <v>152562.640625</v>
      </c>
      <c r="E3117" s="8">
        <v>152584.953125</v>
      </c>
      <c r="F3117" s="8">
        <f t="shared" si="96"/>
        <v>22.3125</v>
      </c>
      <c r="G3117" s="8">
        <f t="shared" si="97"/>
        <v>2.2312499999999999E-2</v>
      </c>
    </row>
    <row r="3118" spans="1:7" x14ac:dyDescent="0.25">
      <c r="A3118" s="8">
        <v>40</v>
      </c>
      <c r="B3118" s="8">
        <v>67</v>
      </c>
      <c r="C3118" s="8">
        <v>2258.0795899999998</v>
      </c>
      <c r="D3118" s="8">
        <v>155797.359375</v>
      </c>
      <c r="E3118" s="8">
        <v>155813.0625</v>
      </c>
      <c r="F3118" s="8">
        <f t="shared" si="96"/>
        <v>15.703125</v>
      </c>
      <c r="G3118" s="8">
        <f t="shared" si="97"/>
        <v>1.5703124999999998E-2</v>
      </c>
    </row>
    <row r="3119" spans="1:7" x14ac:dyDescent="0.25">
      <c r="A3119" s="8">
        <v>40</v>
      </c>
      <c r="B3119" s="8">
        <v>68</v>
      </c>
      <c r="C3119" s="8">
        <v>430.67691000000002</v>
      </c>
      <c r="D3119" s="8">
        <v>158078.734375</v>
      </c>
      <c r="E3119" s="8">
        <v>158096.78125</v>
      </c>
      <c r="F3119" s="8">
        <f t="shared" si="96"/>
        <v>18.046875</v>
      </c>
      <c r="G3119" s="8">
        <f t="shared" si="97"/>
        <v>1.8046875E-2</v>
      </c>
    </row>
    <row r="3120" spans="1:7" x14ac:dyDescent="0.25">
      <c r="A3120" s="8">
        <v>40</v>
      </c>
      <c r="B3120" s="8">
        <v>69</v>
      </c>
      <c r="C3120" s="8">
        <v>262.89047199999999</v>
      </c>
      <c r="D3120" s="8">
        <v>158532.8125</v>
      </c>
      <c r="E3120" s="8">
        <v>158608.296875</v>
      </c>
      <c r="F3120" s="8">
        <f t="shared" si="96"/>
        <v>75.484375</v>
      </c>
      <c r="G3120" s="8">
        <f t="shared" si="97"/>
        <v>7.5484375000000006E-2</v>
      </c>
    </row>
    <row r="3121" spans="1:7" x14ac:dyDescent="0.25">
      <c r="A3121" s="8">
        <v>40</v>
      </c>
      <c r="B3121" s="8">
        <v>70</v>
      </c>
      <c r="C3121" s="8">
        <v>1786.3950199999999</v>
      </c>
      <c r="D3121" s="8">
        <v>158876.796875</v>
      </c>
      <c r="E3121" s="8">
        <v>158888</v>
      </c>
      <c r="F3121" s="8">
        <f t="shared" si="96"/>
        <v>11.203125</v>
      </c>
      <c r="G3121" s="8">
        <f t="shared" si="97"/>
        <v>1.1203125E-2</v>
      </c>
    </row>
    <row r="3122" spans="1:7" x14ac:dyDescent="0.25">
      <c r="A3122" s="8">
        <v>40</v>
      </c>
      <c r="B3122" s="8">
        <v>71</v>
      </c>
      <c r="C3122" s="8">
        <v>3515.8867190000001</v>
      </c>
      <c r="D3122" s="8">
        <v>160689.40625</v>
      </c>
      <c r="E3122" s="8">
        <v>160698.015625</v>
      </c>
      <c r="F3122" s="8">
        <f t="shared" si="96"/>
        <v>8.609375</v>
      </c>
      <c r="G3122" s="8">
        <f t="shared" si="97"/>
        <v>8.6093750000000007E-3</v>
      </c>
    </row>
    <row r="3123" spans="1:7" x14ac:dyDescent="0.25">
      <c r="A3123" s="8">
        <v>40</v>
      </c>
      <c r="B3123" s="8">
        <v>72</v>
      </c>
      <c r="C3123" s="8">
        <v>1301.7398679999999</v>
      </c>
      <c r="D3123" s="8">
        <v>164221.578125</v>
      </c>
      <c r="E3123" s="8">
        <v>164240.46875</v>
      </c>
      <c r="F3123" s="8">
        <f t="shared" si="96"/>
        <v>18.890625</v>
      </c>
      <c r="G3123" s="8">
        <f t="shared" si="97"/>
        <v>1.8890625000000001E-2</v>
      </c>
    </row>
    <row r="3124" spans="1:7" x14ac:dyDescent="0.25">
      <c r="A3124" s="8">
        <v>40</v>
      </c>
      <c r="B3124" s="8">
        <v>73</v>
      </c>
      <c r="C3124" s="8">
        <v>214.135223</v>
      </c>
      <c r="D3124" s="8">
        <v>165546.0625</v>
      </c>
      <c r="E3124" s="8">
        <v>165565.359375</v>
      </c>
      <c r="F3124" s="8">
        <f t="shared" si="96"/>
        <v>19.296875</v>
      </c>
      <c r="G3124" s="8">
        <f t="shared" si="97"/>
        <v>1.9296875000000002E-2</v>
      </c>
    </row>
    <row r="3125" spans="1:7" x14ac:dyDescent="0.25">
      <c r="A3125" s="8">
        <v>40</v>
      </c>
      <c r="B3125" s="8">
        <v>74</v>
      </c>
      <c r="C3125" s="8">
        <v>47.497020999999997</v>
      </c>
      <c r="D3125" s="8">
        <v>165780.171875</v>
      </c>
      <c r="E3125" s="8">
        <v>165797.734375</v>
      </c>
      <c r="F3125" s="8">
        <f t="shared" si="96"/>
        <v>17.5625</v>
      </c>
      <c r="G3125" s="8">
        <f t="shared" si="97"/>
        <v>1.7562500000000002E-2</v>
      </c>
    </row>
    <row r="3126" spans="1:7" x14ac:dyDescent="0.25">
      <c r="A3126" s="8">
        <v>40</v>
      </c>
      <c r="B3126" s="8">
        <v>75</v>
      </c>
      <c r="C3126" s="8">
        <v>3537.6010740000002</v>
      </c>
      <c r="D3126" s="8">
        <v>165858.515625</v>
      </c>
      <c r="E3126" s="8">
        <v>165879.765625</v>
      </c>
      <c r="F3126" s="8">
        <f t="shared" si="96"/>
        <v>21.25</v>
      </c>
      <c r="G3126" s="8">
        <f t="shared" si="97"/>
        <v>2.1250000000000002E-2</v>
      </c>
    </row>
    <row r="3127" spans="1:7" x14ac:dyDescent="0.25">
      <c r="A3127" s="8">
        <v>40</v>
      </c>
      <c r="B3127" s="8">
        <v>76</v>
      </c>
      <c r="C3127" s="8">
        <v>889.03723100000002</v>
      </c>
      <c r="D3127" s="8">
        <v>169423.46875</v>
      </c>
      <c r="E3127" s="8">
        <v>169447.640625</v>
      </c>
      <c r="F3127" s="8">
        <f t="shared" si="96"/>
        <v>24.171875</v>
      </c>
      <c r="G3127" s="8">
        <f t="shared" si="97"/>
        <v>2.4171874999999999E-2</v>
      </c>
    </row>
    <row r="3128" spans="1:7" x14ac:dyDescent="0.25">
      <c r="A3128" s="8">
        <v>41</v>
      </c>
      <c r="B3128" s="8">
        <v>0</v>
      </c>
      <c r="C3128" s="8">
        <v>3387.6728520000001</v>
      </c>
      <c r="D3128" s="8">
        <v>20984.84375</v>
      </c>
      <c r="E3128" s="8">
        <v>21001.367188</v>
      </c>
      <c r="F3128" s="8">
        <f t="shared" si="96"/>
        <v>16.523438000000169</v>
      </c>
      <c r="G3128" s="8">
        <f t="shared" si="97"/>
        <v>1.6523438000000168E-2</v>
      </c>
    </row>
    <row r="3129" spans="1:7" x14ac:dyDescent="0.25">
      <c r="A3129" s="8">
        <v>41</v>
      </c>
      <c r="B3129" s="8">
        <v>1</v>
      </c>
      <c r="C3129" s="8">
        <v>1062.263794</v>
      </c>
      <c r="D3129" s="8">
        <v>24396.767577999999</v>
      </c>
      <c r="E3129" s="8">
        <v>24423.833984000001</v>
      </c>
      <c r="F3129" s="8">
        <f t="shared" si="96"/>
        <v>27.066406000001734</v>
      </c>
      <c r="G3129" s="8">
        <f t="shared" si="97"/>
        <v>2.7066406000001736E-2</v>
      </c>
    </row>
    <row r="3130" spans="1:7" x14ac:dyDescent="0.25">
      <c r="A3130" s="8">
        <v>41</v>
      </c>
      <c r="B3130" s="8">
        <v>2</v>
      </c>
      <c r="C3130" s="8">
        <v>756.88622999999995</v>
      </c>
      <c r="D3130" s="8">
        <v>25490.644531000002</v>
      </c>
      <c r="E3130" s="8">
        <v>25517.289063</v>
      </c>
      <c r="F3130" s="8">
        <f t="shared" si="96"/>
        <v>26.644531999998435</v>
      </c>
      <c r="G3130" s="8">
        <f t="shared" si="97"/>
        <v>2.6644531999998434E-2</v>
      </c>
    </row>
    <row r="3131" spans="1:7" x14ac:dyDescent="0.25">
      <c r="A3131" s="8">
        <v>41</v>
      </c>
      <c r="B3131" s="8">
        <v>3</v>
      </c>
      <c r="C3131" s="8">
        <v>2424.3093260000001</v>
      </c>
      <c r="D3131" s="8">
        <v>26273.535156000002</v>
      </c>
      <c r="E3131" s="8">
        <v>26289.619140999999</v>
      </c>
      <c r="F3131" s="8">
        <f t="shared" si="96"/>
        <v>16.083984999997483</v>
      </c>
      <c r="G3131" s="8">
        <f t="shared" si="97"/>
        <v>1.6083984999997483E-2</v>
      </c>
    </row>
    <row r="3132" spans="1:7" x14ac:dyDescent="0.25">
      <c r="A3132" s="8">
        <v>41</v>
      </c>
      <c r="B3132" s="8">
        <v>4</v>
      </c>
      <c r="C3132" s="8">
        <v>563.78045699999996</v>
      </c>
      <c r="D3132" s="8">
        <v>28715.166015999999</v>
      </c>
      <c r="E3132" s="8">
        <v>28728.921875</v>
      </c>
      <c r="F3132" s="8">
        <f t="shared" si="96"/>
        <v>13.755859000000783</v>
      </c>
      <c r="G3132" s="8">
        <f t="shared" si="97"/>
        <v>1.3755859000000783E-2</v>
      </c>
    </row>
    <row r="3133" spans="1:7" x14ac:dyDescent="0.25">
      <c r="A3133" s="8">
        <v>41</v>
      </c>
      <c r="B3133" s="8">
        <v>5</v>
      </c>
      <c r="C3133" s="8">
        <v>32.365924999999997</v>
      </c>
      <c r="D3133" s="8">
        <v>29293.306640999999</v>
      </c>
      <c r="E3133" s="8">
        <v>29310.582031000002</v>
      </c>
      <c r="F3133" s="8">
        <f t="shared" si="96"/>
        <v>17.275390000002517</v>
      </c>
      <c r="G3133" s="8">
        <f t="shared" si="97"/>
        <v>1.7275390000002517E-2</v>
      </c>
    </row>
    <row r="3134" spans="1:7" x14ac:dyDescent="0.25">
      <c r="A3134" s="8">
        <v>41</v>
      </c>
      <c r="B3134" s="8">
        <v>6</v>
      </c>
      <c r="C3134" s="8">
        <v>1218.9868160000001</v>
      </c>
      <c r="D3134" s="8">
        <v>29355.873047000001</v>
      </c>
      <c r="E3134" s="8">
        <v>29369.804688</v>
      </c>
      <c r="F3134" s="8">
        <f t="shared" si="96"/>
        <v>13.931640999999217</v>
      </c>
      <c r="G3134" s="8">
        <f t="shared" si="97"/>
        <v>1.3931640999999217E-2</v>
      </c>
    </row>
    <row r="3135" spans="1:7" x14ac:dyDescent="0.25">
      <c r="A3135" s="8">
        <v>41</v>
      </c>
      <c r="B3135" s="8">
        <v>7</v>
      </c>
      <c r="C3135" s="8">
        <v>1492.009033</v>
      </c>
      <c r="D3135" s="8">
        <v>30593.537109000001</v>
      </c>
      <c r="E3135" s="8">
        <v>30607.457031000002</v>
      </c>
      <c r="F3135" s="8">
        <f t="shared" si="96"/>
        <v>13.919922000000952</v>
      </c>
      <c r="G3135" s="8">
        <f t="shared" si="97"/>
        <v>1.3919922000000952E-2</v>
      </c>
    </row>
    <row r="3136" spans="1:7" x14ac:dyDescent="0.25">
      <c r="A3136" s="8">
        <v>41</v>
      </c>
      <c r="B3136" s="8">
        <v>8</v>
      </c>
      <c r="C3136" s="8">
        <v>2487.2377929999998</v>
      </c>
      <c r="D3136" s="8">
        <v>32113.810547000001</v>
      </c>
      <c r="E3136" s="8">
        <v>32248.548827999999</v>
      </c>
      <c r="F3136" s="8">
        <f t="shared" si="96"/>
        <v>134.7382809999981</v>
      </c>
      <c r="G3136" s="8">
        <f t="shared" si="97"/>
        <v>0.1347382809999981</v>
      </c>
    </row>
    <row r="3137" spans="1:7" x14ac:dyDescent="0.25">
      <c r="A3137" s="8">
        <v>41</v>
      </c>
      <c r="B3137" s="8">
        <v>9</v>
      </c>
      <c r="C3137" s="8">
        <v>3002.821289</v>
      </c>
      <c r="D3137" s="8">
        <v>34748.785155999998</v>
      </c>
      <c r="E3137" s="8">
        <v>34765.675780999998</v>
      </c>
      <c r="F3137" s="8">
        <f t="shared" si="96"/>
        <v>16.890625</v>
      </c>
      <c r="G3137" s="8">
        <f t="shared" si="97"/>
        <v>1.6890624999999999E-2</v>
      </c>
    </row>
    <row r="3138" spans="1:7" x14ac:dyDescent="0.25">
      <c r="A3138" s="8">
        <v>41</v>
      </c>
      <c r="B3138" s="8">
        <v>10</v>
      </c>
      <c r="C3138" s="8">
        <v>3174.6286620000001</v>
      </c>
      <c r="D3138" s="8">
        <v>37776.824219000002</v>
      </c>
      <c r="E3138" s="8">
        <v>37861.171875</v>
      </c>
      <c r="F3138" s="8">
        <f t="shared" si="96"/>
        <v>84.347655999998096</v>
      </c>
      <c r="G3138" s="8">
        <f t="shared" si="97"/>
        <v>8.4347655999998092E-2</v>
      </c>
    </row>
    <row r="3139" spans="1:7" x14ac:dyDescent="0.25">
      <c r="A3139" s="8">
        <v>41</v>
      </c>
      <c r="B3139" s="8">
        <v>11</v>
      </c>
      <c r="C3139" s="8">
        <v>837.90655500000003</v>
      </c>
      <c r="D3139" s="8">
        <v>41043.691405999998</v>
      </c>
      <c r="E3139" s="8">
        <v>41057.9375</v>
      </c>
      <c r="F3139" s="8">
        <f t="shared" si="96"/>
        <v>14.246094000001904</v>
      </c>
      <c r="G3139" s="8">
        <f t="shared" si="97"/>
        <v>1.4246094000001904E-2</v>
      </c>
    </row>
    <row r="3140" spans="1:7" x14ac:dyDescent="0.25">
      <c r="A3140" s="8">
        <v>41</v>
      </c>
      <c r="B3140" s="8">
        <v>12</v>
      </c>
      <c r="C3140" s="8">
        <v>2139.1748050000001</v>
      </c>
      <c r="D3140" s="8">
        <v>41903.371094000002</v>
      </c>
      <c r="E3140" s="8">
        <v>41912.503905999998</v>
      </c>
      <c r="F3140" s="8">
        <f t="shared" si="96"/>
        <v>9.1328119999961928</v>
      </c>
      <c r="G3140" s="8">
        <f t="shared" si="97"/>
        <v>9.1328119999961929E-3</v>
      </c>
    </row>
    <row r="3141" spans="1:7" x14ac:dyDescent="0.25">
      <c r="A3141" s="8">
        <v>41</v>
      </c>
      <c r="B3141" s="8">
        <v>13</v>
      </c>
      <c r="C3141" s="8">
        <v>140.5728</v>
      </c>
      <c r="D3141" s="8">
        <v>44053.03125</v>
      </c>
      <c r="E3141" s="8">
        <v>44071.605469000002</v>
      </c>
      <c r="F3141" s="8">
        <f t="shared" si="96"/>
        <v>18.574219000001904</v>
      </c>
      <c r="G3141" s="8">
        <f t="shared" si="97"/>
        <v>1.8574219000001904E-2</v>
      </c>
    </row>
    <row r="3142" spans="1:7" x14ac:dyDescent="0.25">
      <c r="A3142" s="8">
        <v>41</v>
      </c>
      <c r="B3142" s="8">
        <v>14</v>
      </c>
      <c r="C3142" s="8">
        <v>1897.372803</v>
      </c>
      <c r="D3142" s="8">
        <v>44224.734375</v>
      </c>
      <c r="E3142" s="8">
        <v>44231.953125</v>
      </c>
      <c r="F3142" s="8">
        <f t="shared" si="96"/>
        <v>7.21875</v>
      </c>
      <c r="G3142" s="8">
        <f t="shared" si="97"/>
        <v>7.2187500000000003E-3</v>
      </c>
    </row>
    <row r="3143" spans="1:7" x14ac:dyDescent="0.25">
      <c r="A3143" s="8">
        <v>41</v>
      </c>
      <c r="B3143" s="8">
        <v>15</v>
      </c>
      <c r="C3143" s="8">
        <v>1921.1561280000001</v>
      </c>
      <c r="D3143" s="8">
        <v>46132.628905999998</v>
      </c>
      <c r="E3143" s="8">
        <v>46148.230469000002</v>
      </c>
      <c r="F3143" s="8">
        <f t="shared" si="96"/>
        <v>15.601563000003807</v>
      </c>
      <c r="G3143" s="8">
        <f t="shared" si="97"/>
        <v>1.5601563000003807E-2</v>
      </c>
    </row>
    <row r="3144" spans="1:7" x14ac:dyDescent="0.25">
      <c r="A3144" s="8">
        <v>41</v>
      </c>
      <c r="B3144" s="8">
        <v>16</v>
      </c>
      <c r="C3144" s="8">
        <v>620.65399200000002</v>
      </c>
      <c r="D3144" s="8">
        <v>48079.839844000002</v>
      </c>
      <c r="E3144" s="8">
        <v>48103.746094000002</v>
      </c>
      <c r="F3144" s="8">
        <f t="shared" si="96"/>
        <v>23.90625</v>
      </c>
      <c r="G3144" s="8">
        <f t="shared" si="97"/>
        <v>2.390625E-2</v>
      </c>
    </row>
    <row r="3145" spans="1:7" x14ac:dyDescent="0.25">
      <c r="A3145" s="8">
        <v>41</v>
      </c>
      <c r="B3145" s="8">
        <v>17</v>
      </c>
      <c r="C3145" s="8">
        <v>181.92326399999999</v>
      </c>
      <c r="D3145" s="8">
        <v>48736.25</v>
      </c>
      <c r="E3145" s="8">
        <v>48751.570312999997</v>
      </c>
      <c r="F3145" s="8">
        <f t="shared" si="96"/>
        <v>15.320312999996531</v>
      </c>
      <c r="G3145" s="8">
        <f t="shared" si="97"/>
        <v>1.5320312999996531E-2</v>
      </c>
    </row>
    <row r="3146" spans="1:7" x14ac:dyDescent="0.25">
      <c r="A3146" s="8">
        <v>41</v>
      </c>
      <c r="B3146" s="8">
        <v>18</v>
      </c>
      <c r="C3146" s="8">
        <v>1578.6733400000001</v>
      </c>
      <c r="D3146" s="8">
        <v>48933.917969000002</v>
      </c>
      <c r="E3146" s="8">
        <v>48953.273437999997</v>
      </c>
      <c r="F3146" s="8">
        <f t="shared" si="96"/>
        <v>19.355468999994628</v>
      </c>
      <c r="G3146" s="8">
        <f t="shared" si="97"/>
        <v>1.9355468999994626E-2</v>
      </c>
    </row>
    <row r="3147" spans="1:7" x14ac:dyDescent="0.25">
      <c r="A3147" s="8">
        <v>41</v>
      </c>
      <c r="B3147" s="8">
        <v>19</v>
      </c>
      <c r="C3147" s="8">
        <v>537.89477499999998</v>
      </c>
      <c r="D3147" s="8">
        <v>50534.148437999997</v>
      </c>
      <c r="E3147" s="8">
        <v>50556.554687999997</v>
      </c>
      <c r="F3147" s="8">
        <f t="shared" ref="F3147:F3210" si="98">E3147-D3147</f>
        <v>22.40625</v>
      </c>
      <c r="G3147" s="8">
        <f t="shared" ref="G3147:G3210" si="99">F3147/1000</f>
        <v>2.2406249999999999E-2</v>
      </c>
    </row>
    <row r="3148" spans="1:7" x14ac:dyDescent="0.25">
      <c r="A3148" s="8">
        <v>41</v>
      </c>
      <c r="B3148" s="8">
        <v>20</v>
      </c>
      <c r="C3148" s="8">
        <v>9612.3798829999996</v>
      </c>
      <c r="D3148" s="8">
        <v>51096.71875</v>
      </c>
      <c r="E3148" s="8">
        <v>51107.859375</v>
      </c>
      <c r="F3148" s="8">
        <f t="shared" si="98"/>
        <v>11.140625</v>
      </c>
      <c r="G3148" s="8">
        <f t="shared" si="99"/>
        <v>1.1140624999999999E-2</v>
      </c>
    </row>
    <row r="3149" spans="1:7" x14ac:dyDescent="0.25">
      <c r="A3149" s="8">
        <v>41</v>
      </c>
      <c r="B3149" s="8">
        <v>21</v>
      </c>
      <c r="C3149" s="8">
        <v>2208.8554690000001</v>
      </c>
      <c r="D3149" s="8">
        <v>60731.898437999997</v>
      </c>
      <c r="E3149" s="8">
        <v>60739.113280999998</v>
      </c>
      <c r="F3149" s="8">
        <f t="shared" si="98"/>
        <v>7.2148430000015651</v>
      </c>
      <c r="G3149" s="8">
        <f t="shared" si="99"/>
        <v>7.214843000001565E-3</v>
      </c>
    </row>
    <row r="3150" spans="1:7" x14ac:dyDescent="0.25">
      <c r="A3150" s="8">
        <v>41</v>
      </c>
      <c r="B3150" s="8">
        <v>22</v>
      </c>
      <c r="C3150" s="8">
        <v>75.062850999999995</v>
      </c>
      <c r="D3150" s="8">
        <v>62953.996094000002</v>
      </c>
      <c r="E3150" s="8">
        <v>62966.421875</v>
      </c>
      <c r="F3150" s="8">
        <f t="shared" si="98"/>
        <v>12.425780999998096</v>
      </c>
      <c r="G3150" s="8">
        <f t="shared" si="99"/>
        <v>1.2425780999998096E-2</v>
      </c>
    </row>
    <row r="3151" spans="1:7" x14ac:dyDescent="0.25">
      <c r="A3151" s="8">
        <v>41</v>
      </c>
      <c r="B3151" s="8">
        <v>23</v>
      </c>
      <c r="C3151" s="8">
        <v>1541.259155</v>
      </c>
      <c r="D3151" s="8">
        <v>63047.945312999997</v>
      </c>
      <c r="E3151" s="8">
        <v>63072.027344000002</v>
      </c>
      <c r="F3151" s="8">
        <f t="shared" si="98"/>
        <v>24.082031000005372</v>
      </c>
      <c r="G3151" s="8">
        <f t="shared" si="99"/>
        <v>2.4082031000005371E-2</v>
      </c>
    </row>
    <row r="3152" spans="1:7" x14ac:dyDescent="0.25">
      <c r="A3152" s="8">
        <v>41</v>
      </c>
      <c r="B3152" s="8">
        <v>24</v>
      </c>
      <c r="C3152" s="8">
        <v>761.52563499999997</v>
      </c>
      <c r="D3152" s="8">
        <v>64621.5</v>
      </c>
      <c r="E3152" s="8">
        <v>64639.585937999997</v>
      </c>
      <c r="F3152" s="8">
        <f t="shared" si="98"/>
        <v>18.085937999996531</v>
      </c>
      <c r="G3152" s="8">
        <f t="shared" si="99"/>
        <v>1.808593799999653E-2</v>
      </c>
    </row>
    <row r="3153" spans="1:7" x14ac:dyDescent="0.25">
      <c r="A3153" s="8">
        <v>41</v>
      </c>
      <c r="B3153" s="8">
        <v>25</v>
      </c>
      <c r="C3153" s="8">
        <v>855.42932099999996</v>
      </c>
      <c r="D3153" s="8">
        <v>65402.925780999998</v>
      </c>
      <c r="E3153" s="8">
        <v>65410.046875</v>
      </c>
      <c r="F3153" s="8">
        <f t="shared" si="98"/>
        <v>7.1210940000019036</v>
      </c>
      <c r="G3153" s="8">
        <f t="shared" si="99"/>
        <v>7.1210940000019035E-3</v>
      </c>
    </row>
    <row r="3154" spans="1:7" x14ac:dyDescent="0.25">
      <c r="A3154" s="8">
        <v>41</v>
      </c>
      <c r="B3154" s="8">
        <v>26</v>
      </c>
      <c r="C3154" s="8">
        <v>22.218401</v>
      </c>
      <c r="D3154" s="8">
        <v>66278</v>
      </c>
      <c r="E3154" s="8">
        <v>66294.882813000004</v>
      </c>
      <c r="F3154" s="8">
        <f t="shared" si="98"/>
        <v>16.882813000003807</v>
      </c>
      <c r="G3154" s="8">
        <f t="shared" si="99"/>
        <v>1.6882813000003806E-2</v>
      </c>
    </row>
    <row r="3155" spans="1:7" x14ac:dyDescent="0.25">
      <c r="A3155" s="8">
        <v>41</v>
      </c>
      <c r="B3155" s="8">
        <v>27</v>
      </c>
      <c r="C3155" s="8">
        <v>2120.2321780000002</v>
      </c>
      <c r="D3155" s="8">
        <v>66324.898438000004</v>
      </c>
      <c r="E3155" s="8">
        <v>66335.554688000004</v>
      </c>
      <c r="F3155" s="8">
        <f t="shared" si="98"/>
        <v>10.65625</v>
      </c>
      <c r="G3155" s="8">
        <f t="shared" si="99"/>
        <v>1.0656250000000001E-2</v>
      </c>
    </row>
    <row r="3156" spans="1:7" x14ac:dyDescent="0.25">
      <c r="A3156" s="8">
        <v>41</v>
      </c>
      <c r="B3156" s="8">
        <v>28</v>
      </c>
      <c r="C3156" s="8">
        <v>1948.9422609999999</v>
      </c>
      <c r="D3156" s="8">
        <v>68467.265625</v>
      </c>
      <c r="E3156" s="8">
        <v>68478.25</v>
      </c>
      <c r="F3156" s="8">
        <f t="shared" si="98"/>
        <v>10.984375</v>
      </c>
      <c r="G3156" s="8">
        <f t="shared" si="99"/>
        <v>1.0984374999999999E-2</v>
      </c>
    </row>
    <row r="3157" spans="1:7" x14ac:dyDescent="0.25">
      <c r="A3157" s="8">
        <v>41</v>
      </c>
      <c r="B3157" s="8">
        <v>29</v>
      </c>
      <c r="C3157" s="8">
        <v>327.764771</v>
      </c>
      <c r="D3157" s="8">
        <v>70429.4375</v>
      </c>
      <c r="E3157" s="8">
        <v>70446.4375</v>
      </c>
      <c r="F3157" s="8">
        <f t="shared" si="98"/>
        <v>17</v>
      </c>
      <c r="G3157" s="8">
        <f t="shared" si="99"/>
        <v>1.7000000000000001E-2</v>
      </c>
    </row>
    <row r="3158" spans="1:7" x14ac:dyDescent="0.25">
      <c r="A3158" s="8">
        <v>41</v>
      </c>
      <c r="B3158" s="8">
        <v>30</v>
      </c>
      <c r="C3158" s="8">
        <v>963.12695299999996</v>
      </c>
      <c r="D3158" s="8">
        <v>70788.796875</v>
      </c>
      <c r="E3158" s="8">
        <v>70809.226563000004</v>
      </c>
      <c r="F3158" s="8">
        <f t="shared" si="98"/>
        <v>20.429688000003807</v>
      </c>
      <c r="G3158" s="8">
        <f t="shared" si="99"/>
        <v>2.0429688000003807E-2</v>
      </c>
    </row>
    <row r="3159" spans="1:7" x14ac:dyDescent="0.25">
      <c r="A3159" s="8">
        <v>41</v>
      </c>
      <c r="B3159" s="8">
        <v>31</v>
      </c>
      <c r="C3159" s="8">
        <v>918.67309599999999</v>
      </c>
      <c r="D3159" s="8">
        <v>71776.296875</v>
      </c>
      <c r="E3159" s="8">
        <v>71787.15625</v>
      </c>
      <c r="F3159" s="8">
        <f t="shared" si="98"/>
        <v>10.859375</v>
      </c>
      <c r="G3159" s="8">
        <f t="shared" si="99"/>
        <v>1.0859374999999999E-2</v>
      </c>
    </row>
    <row r="3160" spans="1:7" x14ac:dyDescent="0.25">
      <c r="A3160" s="8">
        <v>41</v>
      </c>
      <c r="B3160" s="8">
        <v>32</v>
      </c>
      <c r="C3160" s="8">
        <v>1324.334961</v>
      </c>
      <c r="D3160" s="8">
        <v>72716.75</v>
      </c>
      <c r="E3160" s="8">
        <v>72736.28125</v>
      </c>
      <c r="F3160" s="8">
        <f t="shared" si="98"/>
        <v>19.53125</v>
      </c>
      <c r="G3160" s="8">
        <f t="shared" si="99"/>
        <v>1.953125E-2</v>
      </c>
    </row>
    <row r="3161" spans="1:7" x14ac:dyDescent="0.25">
      <c r="A3161" s="8">
        <v>41</v>
      </c>
      <c r="B3161" s="8">
        <v>33</v>
      </c>
      <c r="C3161" s="8">
        <v>162.63024899999999</v>
      </c>
      <c r="D3161" s="8">
        <v>74062.585938000004</v>
      </c>
      <c r="E3161" s="8">
        <v>74072.382813000004</v>
      </c>
      <c r="F3161" s="8">
        <f t="shared" si="98"/>
        <v>9.796875</v>
      </c>
      <c r="G3161" s="8">
        <f t="shared" si="99"/>
        <v>9.796875E-3</v>
      </c>
    </row>
    <row r="3162" spans="1:7" x14ac:dyDescent="0.25">
      <c r="A3162" s="8">
        <v>41</v>
      </c>
      <c r="B3162" s="8">
        <v>34</v>
      </c>
      <c r="C3162" s="8">
        <v>1299.283936</v>
      </c>
      <c r="D3162" s="8">
        <v>74250.117188000004</v>
      </c>
      <c r="E3162" s="8">
        <v>74264.695313000004</v>
      </c>
      <c r="F3162" s="8">
        <f t="shared" si="98"/>
        <v>14.578125</v>
      </c>
      <c r="G3162" s="8">
        <f t="shared" si="99"/>
        <v>1.4578125000000001E-2</v>
      </c>
    </row>
    <row r="3163" spans="1:7" x14ac:dyDescent="0.25">
      <c r="A3163" s="8">
        <v>41</v>
      </c>
      <c r="B3163" s="8">
        <v>35</v>
      </c>
      <c r="C3163" s="8">
        <v>486.87383999999997</v>
      </c>
      <c r="D3163" s="8">
        <v>75565.210938000004</v>
      </c>
      <c r="E3163" s="8">
        <v>75582.101563000004</v>
      </c>
      <c r="F3163" s="8">
        <f t="shared" si="98"/>
        <v>16.890625</v>
      </c>
      <c r="G3163" s="8">
        <f t="shared" si="99"/>
        <v>1.6890624999999999E-2</v>
      </c>
    </row>
    <row r="3164" spans="1:7" x14ac:dyDescent="0.25">
      <c r="A3164" s="8">
        <v>41</v>
      </c>
      <c r="B3164" s="8">
        <v>36</v>
      </c>
      <c r="C3164" s="8">
        <v>565.80419900000004</v>
      </c>
      <c r="D3164" s="8">
        <v>76069.492188000004</v>
      </c>
      <c r="E3164" s="8">
        <v>76080.414063000004</v>
      </c>
      <c r="F3164" s="8">
        <f t="shared" si="98"/>
        <v>10.921875</v>
      </c>
      <c r="G3164" s="8">
        <f t="shared" si="99"/>
        <v>1.0921874999999999E-2</v>
      </c>
    </row>
    <row r="3165" spans="1:7" x14ac:dyDescent="0.25">
      <c r="A3165" s="8">
        <v>41</v>
      </c>
      <c r="B3165" s="8">
        <v>37</v>
      </c>
      <c r="C3165" s="8">
        <v>2759.3872070000002</v>
      </c>
      <c r="D3165" s="8">
        <v>76647.6875</v>
      </c>
      <c r="E3165" s="8">
        <v>76673.375</v>
      </c>
      <c r="F3165" s="8">
        <f t="shared" si="98"/>
        <v>25.6875</v>
      </c>
      <c r="G3165" s="8">
        <f t="shared" si="99"/>
        <v>2.5687499999999999E-2</v>
      </c>
    </row>
    <row r="3166" spans="1:7" x14ac:dyDescent="0.25">
      <c r="A3166" s="8">
        <v>41</v>
      </c>
      <c r="B3166" s="8">
        <v>38</v>
      </c>
      <c r="C3166" s="8">
        <v>7616.5014650000003</v>
      </c>
      <c r="D3166" s="8">
        <v>79441.601563000004</v>
      </c>
      <c r="E3166" s="8">
        <v>79459.21875</v>
      </c>
      <c r="F3166" s="8">
        <f t="shared" si="98"/>
        <v>17.617186999996193</v>
      </c>
      <c r="G3166" s="8">
        <f t="shared" si="99"/>
        <v>1.7617186999996193E-2</v>
      </c>
    </row>
    <row r="3167" spans="1:7" x14ac:dyDescent="0.25">
      <c r="A3167" s="8">
        <v>41</v>
      </c>
      <c r="B3167" s="8">
        <v>39</v>
      </c>
      <c r="C3167" s="8">
        <v>83.954552000000007</v>
      </c>
      <c r="D3167" s="8">
        <v>87080.96875</v>
      </c>
      <c r="E3167" s="8">
        <v>87091.65625</v>
      </c>
      <c r="F3167" s="8">
        <f t="shared" si="98"/>
        <v>10.6875</v>
      </c>
      <c r="G3167" s="8">
        <f t="shared" si="99"/>
        <v>1.0687500000000001E-2</v>
      </c>
    </row>
    <row r="3168" spans="1:7" x14ac:dyDescent="0.25">
      <c r="A3168" s="8">
        <v>41</v>
      </c>
      <c r="B3168" s="8">
        <v>40</v>
      </c>
      <c r="C3168" s="8">
        <v>505.80526700000001</v>
      </c>
      <c r="D3168" s="8">
        <v>87190.34375</v>
      </c>
      <c r="E3168" s="8">
        <v>87217.84375</v>
      </c>
      <c r="F3168" s="8">
        <f t="shared" si="98"/>
        <v>27.5</v>
      </c>
      <c r="G3168" s="8">
        <f t="shared" si="99"/>
        <v>2.75E-2</v>
      </c>
    </row>
    <row r="3169" spans="1:7" x14ac:dyDescent="0.25">
      <c r="A3169" s="8">
        <v>41</v>
      </c>
      <c r="B3169" s="8">
        <v>41</v>
      </c>
      <c r="C3169" s="8">
        <v>389.91275000000002</v>
      </c>
      <c r="D3169" s="8">
        <v>87724.75</v>
      </c>
      <c r="E3169" s="8">
        <v>87732.015625</v>
      </c>
      <c r="F3169" s="8">
        <f t="shared" si="98"/>
        <v>7.265625</v>
      </c>
      <c r="G3169" s="8">
        <f t="shared" si="99"/>
        <v>7.2656250000000004E-3</v>
      </c>
    </row>
    <row r="3170" spans="1:7" x14ac:dyDescent="0.25">
      <c r="A3170" s="8">
        <v>41</v>
      </c>
      <c r="B3170" s="8">
        <v>42</v>
      </c>
      <c r="C3170" s="8">
        <v>1236.3526609999999</v>
      </c>
      <c r="D3170" s="8">
        <v>88131.054688000004</v>
      </c>
      <c r="E3170" s="8">
        <v>88138.570313000004</v>
      </c>
      <c r="F3170" s="8">
        <f t="shared" si="98"/>
        <v>7.515625</v>
      </c>
      <c r="G3170" s="8">
        <f t="shared" si="99"/>
        <v>7.5156249999999997E-3</v>
      </c>
    </row>
    <row r="3171" spans="1:7" x14ac:dyDescent="0.25">
      <c r="A3171" s="8">
        <v>41</v>
      </c>
      <c r="B3171" s="8">
        <v>43</v>
      </c>
      <c r="C3171" s="8">
        <v>2645.0839839999999</v>
      </c>
      <c r="D3171" s="8">
        <v>89381.109375</v>
      </c>
      <c r="E3171" s="8">
        <v>89404.070313000004</v>
      </c>
      <c r="F3171" s="8">
        <f t="shared" si="98"/>
        <v>22.960938000003807</v>
      </c>
      <c r="G3171" s="8">
        <f t="shared" si="99"/>
        <v>2.2960938000003806E-2</v>
      </c>
    </row>
    <row r="3172" spans="1:7" x14ac:dyDescent="0.25">
      <c r="A3172" s="8">
        <v>41</v>
      </c>
      <c r="B3172" s="8">
        <v>44</v>
      </c>
      <c r="C3172" s="8">
        <v>911.15057400000001</v>
      </c>
      <c r="D3172" s="8">
        <v>92058.023438000004</v>
      </c>
      <c r="E3172" s="8">
        <v>92082.28125</v>
      </c>
      <c r="F3172" s="8">
        <f t="shared" si="98"/>
        <v>24.257811999996193</v>
      </c>
      <c r="G3172" s="8">
        <f t="shared" si="99"/>
        <v>2.4257811999996194E-2</v>
      </c>
    </row>
    <row r="3173" spans="1:7" x14ac:dyDescent="0.25">
      <c r="A3173" s="8">
        <v>41</v>
      </c>
      <c r="B3173" s="8">
        <v>45</v>
      </c>
      <c r="C3173" s="8">
        <v>327.98052999999999</v>
      </c>
      <c r="D3173" s="8">
        <v>92997.828125</v>
      </c>
      <c r="E3173" s="8">
        <v>93013.46875</v>
      </c>
      <c r="F3173" s="8">
        <f t="shared" si="98"/>
        <v>15.640625</v>
      </c>
      <c r="G3173" s="8">
        <f t="shared" si="99"/>
        <v>1.5640624999999998E-2</v>
      </c>
    </row>
    <row r="3174" spans="1:7" x14ac:dyDescent="0.25">
      <c r="A3174" s="8">
        <v>41</v>
      </c>
      <c r="B3174" s="8">
        <v>46</v>
      </c>
      <c r="C3174" s="8">
        <v>331.29132099999998</v>
      </c>
      <c r="D3174" s="8">
        <v>93341.601563000004</v>
      </c>
      <c r="E3174" s="8">
        <v>93356.421875</v>
      </c>
      <c r="F3174" s="8">
        <f t="shared" si="98"/>
        <v>14.820311999996193</v>
      </c>
      <c r="G3174" s="8">
        <f t="shared" si="99"/>
        <v>1.4820311999996193E-2</v>
      </c>
    </row>
    <row r="3175" spans="1:7" x14ac:dyDescent="0.25">
      <c r="A3175" s="8">
        <v>41</v>
      </c>
      <c r="B3175" s="8">
        <v>47</v>
      </c>
      <c r="C3175" s="8">
        <v>898.388733</v>
      </c>
      <c r="D3175" s="8">
        <v>93701.257813000004</v>
      </c>
      <c r="E3175" s="8">
        <v>93713.382813000004</v>
      </c>
      <c r="F3175" s="8">
        <f t="shared" si="98"/>
        <v>12.125</v>
      </c>
      <c r="G3175" s="8">
        <f t="shared" si="99"/>
        <v>1.2125E-2</v>
      </c>
    </row>
    <row r="3176" spans="1:7" x14ac:dyDescent="0.25">
      <c r="A3176" s="8">
        <v>41</v>
      </c>
      <c r="B3176" s="8">
        <v>48</v>
      </c>
      <c r="C3176" s="8">
        <v>2672.5307619999999</v>
      </c>
      <c r="D3176" s="8">
        <v>94623.851563000004</v>
      </c>
      <c r="E3176" s="8">
        <v>94640.148438000004</v>
      </c>
      <c r="F3176" s="8">
        <f t="shared" si="98"/>
        <v>16.296875</v>
      </c>
      <c r="G3176" s="8">
        <f t="shared" si="99"/>
        <v>1.6296874999999999E-2</v>
      </c>
    </row>
    <row r="3177" spans="1:7" x14ac:dyDescent="0.25">
      <c r="A3177" s="8">
        <v>41</v>
      </c>
      <c r="B3177" s="8">
        <v>49</v>
      </c>
      <c r="C3177" s="8">
        <v>380.66220099999998</v>
      </c>
      <c r="D3177" s="8">
        <v>97325.390625</v>
      </c>
      <c r="E3177" s="8">
        <v>97340.445313000004</v>
      </c>
      <c r="F3177" s="8">
        <f t="shared" si="98"/>
        <v>15.054688000003807</v>
      </c>
      <c r="G3177" s="8">
        <f t="shared" si="99"/>
        <v>1.5054688000003808E-2</v>
      </c>
    </row>
    <row r="3178" spans="1:7" x14ac:dyDescent="0.25">
      <c r="A3178" s="8">
        <v>41</v>
      </c>
      <c r="B3178" s="8">
        <v>50</v>
      </c>
      <c r="C3178" s="8">
        <v>6771.9262699999999</v>
      </c>
      <c r="D3178" s="8">
        <v>97731.59375</v>
      </c>
      <c r="E3178" s="8">
        <v>97747.1875</v>
      </c>
      <c r="F3178" s="8">
        <f t="shared" si="98"/>
        <v>15.59375</v>
      </c>
      <c r="G3178" s="8">
        <f t="shared" si="99"/>
        <v>1.559375E-2</v>
      </c>
    </row>
    <row r="3179" spans="1:7" x14ac:dyDescent="0.25">
      <c r="A3179" s="8">
        <v>41</v>
      </c>
      <c r="B3179" s="8">
        <v>51</v>
      </c>
      <c r="C3179" s="8">
        <v>1092.9155270000001</v>
      </c>
      <c r="D3179" s="8">
        <v>104518.960938</v>
      </c>
      <c r="E3179" s="8">
        <v>104530.4375</v>
      </c>
      <c r="F3179" s="8">
        <f t="shared" si="98"/>
        <v>11.476561999996193</v>
      </c>
      <c r="G3179" s="8">
        <f t="shared" si="99"/>
        <v>1.1476561999996193E-2</v>
      </c>
    </row>
    <row r="3180" spans="1:7" x14ac:dyDescent="0.25">
      <c r="A3180" s="8">
        <v>41</v>
      </c>
      <c r="B3180" s="8">
        <v>52</v>
      </c>
      <c r="C3180" s="8">
        <v>2070.4643550000001</v>
      </c>
      <c r="D3180" s="8">
        <v>105625.226563</v>
      </c>
      <c r="E3180" s="8">
        <v>105634.804688</v>
      </c>
      <c r="F3180" s="8">
        <f t="shared" si="98"/>
        <v>9.578125</v>
      </c>
      <c r="G3180" s="8">
        <f t="shared" si="99"/>
        <v>9.5781249999999998E-3</v>
      </c>
    </row>
    <row r="3181" spans="1:7" x14ac:dyDescent="0.25">
      <c r="A3181" s="8">
        <v>41</v>
      </c>
      <c r="B3181" s="8">
        <v>53</v>
      </c>
      <c r="C3181" s="8">
        <v>1170.404053</v>
      </c>
      <c r="D3181" s="8">
        <v>107719.859375</v>
      </c>
      <c r="E3181" s="8">
        <v>107745.164063</v>
      </c>
      <c r="F3181" s="8">
        <f t="shared" si="98"/>
        <v>25.304688000003807</v>
      </c>
      <c r="G3181" s="8">
        <f t="shared" si="99"/>
        <v>2.5304688000003808E-2</v>
      </c>
    </row>
    <row r="3182" spans="1:7" x14ac:dyDescent="0.25">
      <c r="A3182" s="8">
        <v>41</v>
      </c>
      <c r="B3182" s="8">
        <v>54</v>
      </c>
      <c r="C3182" s="8">
        <v>1141.2493899999999</v>
      </c>
      <c r="D3182" s="8">
        <v>108923.132813</v>
      </c>
      <c r="E3182" s="8">
        <v>108942.398438</v>
      </c>
      <c r="F3182" s="8">
        <f t="shared" si="98"/>
        <v>19.265625</v>
      </c>
      <c r="G3182" s="8">
        <f t="shared" si="99"/>
        <v>1.9265625000000001E-2</v>
      </c>
    </row>
    <row r="3183" spans="1:7" x14ac:dyDescent="0.25">
      <c r="A3183" s="8">
        <v>41</v>
      </c>
      <c r="B3183" s="8">
        <v>55</v>
      </c>
      <c r="C3183" s="8">
        <v>1069.752563</v>
      </c>
      <c r="D3183" s="8">
        <v>110095.851563</v>
      </c>
      <c r="E3183" s="8">
        <v>110107.5</v>
      </c>
      <c r="F3183" s="8">
        <f t="shared" si="98"/>
        <v>11.648436999996193</v>
      </c>
      <c r="G3183" s="8">
        <f t="shared" si="99"/>
        <v>1.1648436999996193E-2</v>
      </c>
    </row>
    <row r="3184" spans="1:7" x14ac:dyDescent="0.25">
      <c r="A3184" s="8">
        <v>41</v>
      </c>
      <c r="B3184" s="8">
        <v>56</v>
      </c>
      <c r="C3184" s="8">
        <v>2939.7260740000002</v>
      </c>
      <c r="D3184" s="8">
        <v>111189.710938</v>
      </c>
      <c r="E3184" s="8">
        <v>111197.171875</v>
      </c>
      <c r="F3184" s="8">
        <f t="shared" si="98"/>
        <v>7.4609369999961928</v>
      </c>
      <c r="G3184" s="8">
        <f t="shared" si="99"/>
        <v>7.4609369999961931E-3</v>
      </c>
    </row>
    <row r="3185" spans="1:7" x14ac:dyDescent="0.25">
      <c r="A3185" s="8">
        <v>41</v>
      </c>
      <c r="B3185" s="8">
        <v>57</v>
      </c>
      <c r="C3185" s="8">
        <v>3719.970703</v>
      </c>
      <c r="D3185" s="8">
        <v>114143.8125</v>
      </c>
      <c r="E3185" s="8">
        <v>114160.328125</v>
      </c>
      <c r="F3185" s="8">
        <f t="shared" si="98"/>
        <v>16.515625</v>
      </c>
      <c r="G3185" s="8">
        <f t="shared" si="99"/>
        <v>1.6515624999999999E-2</v>
      </c>
    </row>
    <row r="3186" spans="1:7" x14ac:dyDescent="0.25">
      <c r="A3186" s="8">
        <v>41</v>
      </c>
      <c r="B3186" s="8">
        <v>58</v>
      </c>
      <c r="C3186" s="8">
        <v>1961.5974120000001</v>
      </c>
      <c r="D3186" s="8">
        <v>117884.945313</v>
      </c>
      <c r="E3186" s="8">
        <v>117903.140625</v>
      </c>
      <c r="F3186" s="8">
        <f t="shared" si="98"/>
        <v>18.195311999996193</v>
      </c>
      <c r="G3186" s="8">
        <f t="shared" si="99"/>
        <v>1.8195311999996192E-2</v>
      </c>
    </row>
    <row r="3187" spans="1:7" x14ac:dyDescent="0.25">
      <c r="A3187" s="8">
        <v>41</v>
      </c>
      <c r="B3187" s="8">
        <v>59</v>
      </c>
      <c r="C3187" s="8">
        <v>1338.468384</v>
      </c>
      <c r="D3187" s="8">
        <v>119874.640625</v>
      </c>
      <c r="E3187" s="8">
        <v>119885.984375</v>
      </c>
      <c r="F3187" s="8">
        <f t="shared" si="98"/>
        <v>11.34375</v>
      </c>
      <c r="G3187" s="8">
        <f t="shared" si="99"/>
        <v>1.134375E-2</v>
      </c>
    </row>
    <row r="3188" spans="1:7" x14ac:dyDescent="0.25">
      <c r="A3188" s="8">
        <v>41</v>
      </c>
      <c r="B3188" s="8">
        <v>60</v>
      </c>
      <c r="C3188" s="8">
        <v>297.86084</v>
      </c>
      <c r="D3188" s="8">
        <v>121236.382813</v>
      </c>
      <c r="E3188" s="8">
        <v>121255.03125</v>
      </c>
      <c r="F3188" s="8">
        <f t="shared" si="98"/>
        <v>18.648436999996193</v>
      </c>
      <c r="G3188" s="8">
        <f t="shared" si="99"/>
        <v>1.8648436999996194E-2</v>
      </c>
    </row>
    <row r="3189" spans="1:7" x14ac:dyDescent="0.25">
      <c r="A3189" s="8">
        <v>41</v>
      </c>
      <c r="B3189" s="8">
        <v>61</v>
      </c>
      <c r="C3189" s="8">
        <v>1045.9279790000001</v>
      </c>
      <c r="D3189" s="8">
        <v>121564.546875</v>
      </c>
      <c r="E3189" s="8">
        <v>121573.320313</v>
      </c>
      <c r="F3189" s="8">
        <f t="shared" si="98"/>
        <v>8.7734380000038072</v>
      </c>
      <c r="G3189" s="8">
        <f t="shared" si="99"/>
        <v>8.7734380000038074E-3</v>
      </c>
    </row>
    <row r="3190" spans="1:7" x14ac:dyDescent="0.25">
      <c r="A3190" s="8">
        <v>41</v>
      </c>
      <c r="B3190" s="8">
        <v>62</v>
      </c>
      <c r="C3190" s="8">
        <v>1965.181519</v>
      </c>
      <c r="D3190" s="8">
        <v>122627.164063</v>
      </c>
      <c r="E3190" s="8">
        <v>122659.695313</v>
      </c>
      <c r="F3190" s="8">
        <f t="shared" si="98"/>
        <v>32.53125</v>
      </c>
      <c r="G3190" s="8">
        <f t="shared" si="99"/>
        <v>3.2531249999999998E-2</v>
      </c>
    </row>
    <row r="3191" spans="1:7" x14ac:dyDescent="0.25">
      <c r="A3191" s="8">
        <v>41</v>
      </c>
      <c r="B3191" s="8">
        <v>63</v>
      </c>
      <c r="C3191" s="8">
        <v>822.56109600000002</v>
      </c>
      <c r="D3191" s="8">
        <v>124627.101563</v>
      </c>
      <c r="E3191" s="8">
        <v>124638.546875</v>
      </c>
      <c r="F3191" s="8">
        <f t="shared" si="98"/>
        <v>11.445311999996193</v>
      </c>
      <c r="G3191" s="8">
        <f t="shared" si="99"/>
        <v>1.1445311999996193E-2</v>
      </c>
    </row>
    <row r="3192" spans="1:7" x14ac:dyDescent="0.25">
      <c r="A3192" s="8">
        <v>41</v>
      </c>
      <c r="B3192" s="8">
        <v>64</v>
      </c>
      <c r="C3192" s="8">
        <v>647.640625</v>
      </c>
      <c r="D3192" s="8">
        <v>125470.742188</v>
      </c>
      <c r="E3192" s="8">
        <v>125490.429688</v>
      </c>
      <c r="F3192" s="8">
        <f t="shared" si="98"/>
        <v>19.6875</v>
      </c>
      <c r="G3192" s="8">
        <f t="shared" si="99"/>
        <v>1.96875E-2</v>
      </c>
    </row>
    <row r="3193" spans="1:7" x14ac:dyDescent="0.25">
      <c r="A3193" s="8">
        <v>41</v>
      </c>
      <c r="B3193" s="8">
        <v>65</v>
      </c>
      <c r="C3193" s="8">
        <v>479.41308600000002</v>
      </c>
      <c r="D3193" s="8">
        <v>126143.554688</v>
      </c>
      <c r="E3193" s="8">
        <v>126160.21875</v>
      </c>
      <c r="F3193" s="8">
        <f t="shared" si="98"/>
        <v>16.664061999996193</v>
      </c>
      <c r="G3193" s="8">
        <f t="shared" si="99"/>
        <v>1.6664061999996194E-2</v>
      </c>
    </row>
    <row r="3194" spans="1:7" x14ac:dyDescent="0.25">
      <c r="A3194" s="8">
        <v>41</v>
      </c>
      <c r="B3194" s="8">
        <v>66</v>
      </c>
      <c r="C3194" s="8">
        <v>2462.6225589999999</v>
      </c>
      <c r="D3194" s="8">
        <v>126643.515625</v>
      </c>
      <c r="E3194" s="8">
        <v>126665.429688</v>
      </c>
      <c r="F3194" s="8">
        <f t="shared" si="98"/>
        <v>21.914063000003807</v>
      </c>
      <c r="G3194" s="8">
        <f t="shared" si="99"/>
        <v>2.1914063000003807E-2</v>
      </c>
    </row>
    <row r="3195" spans="1:7" x14ac:dyDescent="0.25">
      <c r="A3195" s="8">
        <v>41</v>
      </c>
      <c r="B3195" s="8">
        <v>67</v>
      </c>
      <c r="C3195" s="8">
        <v>217.46684300000001</v>
      </c>
      <c r="D3195" s="8">
        <v>129129.53125</v>
      </c>
      <c r="E3195" s="8">
        <v>129161.023438</v>
      </c>
      <c r="F3195" s="8">
        <f t="shared" si="98"/>
        <v>31.492188000003807</v>
      </c>
      <c r="G3195" s="8">
        <f t="shared" si="99"/>
        <v>3.1492188000003807E-2</v>
      </c>
    </row>
    <row r="3196" spans="1:7" x14ac:dyDescent="0.25">
      <c r="A3196" s="8">
        <v>41</v>
      </c>
      <c r="B3196" s="8">
        <v>68</v>
      </c>
      <c r="C3196" s="8">
        <v>1017.098999</v>
      </c>
      <c r="D3196" s="8">
        <v>129379.601563</v>
      </c>
      <c r="E3196" s="8">
        <v>129392.484375</v>
      </c>
      <c r="F3196" s="8">
        <f t="shared" si="98"/>
        <v>12.882811999996193</v>
      </c>
      <c r="G3196" s="8">
        <f t="shared" si="99"/>
        <v>1.2882811999996193E-2</v>
      </c>
    </row>
    <row r="3197" spans="1:7" x14ac:dyDescent="0.25">
      <c r="A3197" s="8">
        <v>41</v>
      </c>
      <c r="B3197" s="8">
        <v>69</v>
      </c>
      <c r="C3197" s="8">
        <v>476.002838</v>
      </c>
      <c r="D3197" s="8">
        <v>130410.914063</v>
      </c>
      <c r="E3197" s="8">
        <v>130427.015625</v>
      </c>
      <c r="F3197" s="8">
        <f t="shared" si="98"/>
        <v>16.101561999996193</v>
      </c>
      <c r="G3197" s="8">
        <f t="shared" si="99"/>
        <v>1.6101561999996194E-2</v>
      </c>
    </row>
    <row r="3198" spans="1:7" x14ac:dyDescent="0.25">
      <c r="A3198" s="8">
        <v>41</v>
      </c>
      <c r="B3198" s="8">
        <v>70</v>
      </c>
      <c r="C3198" s="8">
        <v>2765.216797</v>
      </c>
      <c r="D3198" s="8">
        <v>130910.945313</v>
      </c>
      <c r="E3198" s="8">
        <v>130931.726563</v>
      </c>
      <c r="F3198" s="8">
        <f t="shared" si="98"/>
        <v>20.78125</v>
      </c>
      <c r="G3198" s="8">
        <f t="shared" si="99"/>
        <v>2.0781250000000001E-2</v>
      </c>
    </row>
    <row r="3199" spans="1:7" x14ac:dyDescent="0.25">
      <c r="A3199" s="8">
        <v>41</v>
      </c>
      <c r="B3199" s="8">
        <v>71</v>
      </c>
      <c r="C3199" s="8">
        <v>1296.130615</v>
      </c>
      <c r="D3199" s="8">
        <v>133706.84375</v>
      </c>
      <c r="E3199" s="8">
        <v>133720.484375</v>
      </c>
      <c r="F3199" s="8">
        <f t="shared" si="98"/>
        <v>13.640625</v>
      </c>
      <c r="G3199" s="8">
        <f t="shared" si="99"/>
        <v>1.3640625E-2</v>
      </c>
    </row>
    <row r="3200" spans="1:7" x14ac:dyDescent="0.25">
      <c r="A3200" s="8">
        <v>41</v>
      </c>
      <c r="B3200" s="8">
        <v>72</v>
      </c>
      <c r="C3200" s="8">
        <v>6663.1274409999996</v>
      </c>
      <c r="D3200" s="8">
        <v>135021.515625</v>
      </c>
      <c r="E3200" s="8">
        <v>135032.546875</v>
      </c>
      <c r="F3200" s="8">
        <f t="shared" si="98"/>
        <v>11.03125</v>
      </c>
      <c r="G3200" s="8">
        <f t="shared" si="99"/>
        <v>1.1031249999999999E-2</v>
      </c>
    </row>
    <row r="3201" spans="1:7" x14ac:dyDescent="0.25">
      <c r="A3201" s="8">
        <v>41</v>
      </c>
      <c r="B3201" s="8">
        <v>73</v>
      </c>
      <c r="C3201" s="8">
        <v>5041.0776370000003</v>
      </c>
      <c r="D3201" s="8">
        <v>141696.234375</v>
      </c>
      <c r="E3201" s="8">
        <v>141717.0625</v>
      </c>
      <c r="F3201" s="8">
        <f t="shared" si="98"/>
        <v>20.828125</v>
      </c>
      <c r="G3201" s="8">
        <f t="shared" si="99"/>
        <v>2.0828124999999999E-2</v>
      </c>
    </row>
    <row r="3202" spans="1:7" x14ac:dyDescent="0.25">
      <c r="A3202" s="8">
        <v>41</v>
      </c>
      <c r="B3202" s="8">
        <v>74</v>
      </c>
      <c r="C3202" s="8">
        <v>22.773931999999999</v>
      </c>
      <c r="D3202" s="8">
        <v>146771.640625</v>
      </c>
      <c r="E3202" s="8">
        <v>146793.375</v>
      </c>
      <c r="F3202" s="8">
        <f t="shared" si="98"/>
        <v>21.734375</v>
      </c>
      <c r="G3202" s="8">
        <f t="shared" si="99"/>
        <v>2.1734375E-2</v>
      </c>
    </row>
    <row r="3203" spans="1:7" x14ac:dyDescent="0.25">
      <c r="A3203" s="8">
        <v>41</v>
      </c>
      <c r="B3203" s="8">
        <v>75</v>
      </c>
      <c r="C3203" s="8">
        <v>2651.9677729999999</v>
      </c>
      <c r="D3203" s="8">
        <v>146818.484375</v>
      </c>
      <c r="E3203" s="8">
        <v>146844.21875</v>
      </c>
      <c r="F3203" s="8">
        <f t="shared" si="98"/>
        <v>25.734375</v>
      </c>
      <c r="G3203" s="8">
        <f t="shared" si="99"/>
        <v>2.5734375E-2</v>
      </c>
    </row>
    <row r="3204" spans="1:7" x14ac:dyDescent="0.25">
      <c r="A3204" s="8">
        <v>41</v>
      </c>
      <c r="B3204" s="8">
        <v>76</v>
      </c>
      <c r="C3204" s="8">
        <v>1214.5006100000001</v>
      </c>
      <c r="D3204" s="8">
        <v>149509.84375</v>
      </c>
      <c r="E3204" s="8">
        <v>149520.796875</v>
      </c>
      <c r="F3204" s="8">
        <f t="shared" si="98"/>
        <v>10.953125</v>
      </c>
      <c r="G3204" s="8">
        <f t="shared" si="99"/>
        <v>1.0953124999999999E-2</v>
      </c>
    </row>
    <row r="3205" spans="1:7" x14ac:dyDescent="0.25">
      <c r="A3205" s="8">
        <v>41</v>
      </c>
      <c r="B3205" s="8">
        <v>77</v>
      </c>
      <c r="C3205" s="8">
        <v>1259.247803</v>
      </c>
      <c r="D3205" s="8">
        <v>150748.859375</v>
      </c>
      <c r="E3205" s="8">
        <v>150775.96875</v>
      </c>
      <c r="F3205" s="8">
        <f t="shared" si="98"/>
        <v>27.109375</v>
      </c>
      <c r="G3205" s="8">
        <f t="shared" si="99"/>
        <v>2.7109375000000002E-2</v>
      </c>
    </row>
    <row r="3206" spans="1:7" x14ac:dyDescent="0.25">
      <c r="A3206" s="8">
        <v>41</v>
      </c>
      <c r="B3206" s="8">
        <v>78</v>
      </c>
      <c r="C3206" s="8">
        <v>4170.5751950000003</v>
      </c>
      <c r="D3206" s="8">
        <v>152045.890625</v>
      </c>
      <c r="E3206" s="8">
        <v>152054.125</v>
      </c>
      <c r="F3206" s="8">
        <f t="shared" si="98"/>
        <v>8.234375</v>
      </c>
      <c r="G3206" s="8">
        <f t="shared" si="99"/>
        <v>8.2343750000000004E-3</v>
      </c>
    </row>
    <row r="3207" spans="1:7" x14ac:dyDescent="0.25">
      <c r="A3207" s="8">
        <v>41</v>
      </c>
      <c r="B3207" s="8">
        <v>79</v>
      </c>
      <c r="C3207" s="8">
        <v>4917.4633789999998</v>
      </c>
      <c r="D3207" s="8">
        <v>156234.84375</v>
      </c>
      <c r="E3207" s="8">
        <v>156245.203125</v>
      </c>
      <c r="F3207" s="8">
        <f t="shared" si="98"/>
        <v>10.359375</v>
      </c>
      <c r="G3207" s="8">
        <f t="shared" si="99"/>
        <v>1.0359375000000001E-2</v>
      </c>
    </row>
    <row r="3208" spans="1:7" x14ac:dyDescent="0.25">
      <c r="A3208" s="8">
        <v>41</v>
      </c>
      <c r="B3208" s="8">
        <v>80</v>
      </c>
      <c r="C3208" s="8">
        <v>2483.2197270000001</v>
      </c>
      <c r="D3208" s="8">
        <v>161173.859375</v>
      </c>
      <c r="E3208" s="8">
        <v>161198.015625</v>
      </c>
      <c r="F3208" s="8">
        <f t="shared" si="98"/>
        <v>24.15625</v>
      </c>
      <c r="G3208" s="8">
        <f t="shared" si="99"/>
        <v>2.4156250000000001E-2</v>
      </c>
    </row>
    <row r="3209" spans="1:7" x14ac:dyDescent="0.25">
      <c r="A3209" s="8">
        <v>41</v>
      </c>
      <c r="B3209" s="8">
        <v>81</v>
      </c>
      <c r="C3209" s="8">
        <v>6757.5507809999999</v>
      </c>
      <c r="D3209" s="8">
        <v>163690.34375</v>
      </c>
      <c r="E3209" s="8">
        <v>163706.84375</v>
      </c>
      <c r="F3209" s="8">
        <f t="shared" si="98"/>
        <v>16.5</v>
      </c>
      <c r="G3209" s="8">
        <f t="shared" si="99"/>
        <v>1.6500000000000001E-2</v>
      </c>
    </row>
    <row r="3210" spans="1:7" x14ac:dyDescent="0.25">
      <c r="A3210" s="8">
        <v>42</v>
      </c>
      <c r="B3210" s="8">
        <v>0</v>
      </c>
      <c r="C3210" s="8">
        <v>1391.8564449999999</v>
      </c>
      <c r="D3210" s="8">
        <v>20088.25</v>
      </c>
      <c r="E3210" s="8">
        <v>20119.630859000001</v>
      </c>
      <c r="F3210" s="8">
        <f t="shared" si="98"/>
        <v>31.380859000000783</v>
      </c>
      <c r="G3210" s="8">
        <f t="shared" si="99"/>
        <v>3.1380859000000781E-2</v>
      </c>
    </row>
    <row r="3211" spans="1:7" x14ac:dyDescent="0.25">
      <c r="A3211" s="8">
        <v>42</v>
      </c>
      <c r="B3211" s="8">
        <v>1</v>
      </c>
      <c r="C3211" s="8">
        <v>3333.943115</v>
      </c>
      <c r="D3211" s="8">
        <v>21516.179688</v>
      </c>
      <c r="E3211" s="8">
        <v>21530.708984000001</v>
      </c>
      <c r="F3211" s="8">
        <f t="shared" ref="F3211:F3274" si="100">E3211-D3211</f>
        <v>14.529296000000613</v>
      </c>
      <c r="G3211" s="8">
        <f t="shared" ref="G3211:G3274" si="101">F3211/1000</f>
        <v>1.4529296000000613E-2</v>
      </c>
    </row>
    <row r="3212" spans="1:7" x14ac:dyDescent="0.25">
      <c r="A3212" s="8">
        <v>42</v>
      </c>
      <c r="B3212" s="8">
        <v>2</v>
      </c>
      <c r="C3212" s="8">
        <v>4415.8652339999999</v>
      </c>
      <c r="D3212" s="8">
        <v>24865.601563</v>
      </c>
      <c r="E3212" s="8">
        <v>24882.84375</v>
      </c>
      <c r="F3212" s="8">
        <f t="shared" si="100"/>
        <v>17.242186999999831</v>
      </c>
      <c r="G3212" s="8">
        <f t="shared" si="101"/>
        <v>1.7242186999999829E-2</v>
      </c>
    </row>
    <row r="3213" spans="1:7" x14ac:dyDescent="0.25">
      <c r="A3213" s="8">
        <v>42</v>
      </c>
      <c r="B3213" s="8">
        <v>3</v>
      </c>
      <c r="C3213" s="8">
        <v>575.79144299999996</v>
      </c>
      <c r="D3213" s="8">
        <v>29308.923827999999</v>
      </c>
      <c r="E3213" s="8">
        <v>29328.892577999999</v>
      </c>
      <c r="F3213" s="8">
        <f t="shared" si="100"/>
        <v>19.96875</v>
      </c>
      <c r="G3213" s="8">
        <f t="shared" si="101"/>
        <v>1.996875E-2</v>
      </c>
    </row>
    <row r="3214" spans="1:7" x14ac:dyDescent="0.25">
      <c r="A3214" s="8">
        <v>42</v>
      </c>
      <c r="B3214" s="8">
        <v>4</v>
      </c>
      <c r="C3214" s="8">
        <v>29.638425999999999</v>
      </c>
      <c r="D3214" s="8">
        <v>29918.425781000002</v>
      </c>
      <c r="E3214" s="8">
        <v>29941.697265999999</v>
      </c>
      <c r="F3214" s="8">
        <f t="shared" si="100"/>
        <v>23.271484999997483</v>
      </c>
      <c r="G3214" s="8">
        <f t="shared" si="101"/>
        <v>2.3271484999997483E-2</v>
      </c>
    </row>
    <row r="3215" spans="1:7" x14ac:dyDescent="0.25">
      <c r="A3215" s="8">
        <v>42</v>
      </c>
      <c r="B3215" s="8">
        <v>5</v>
      </c>
      <c r="C3215" s="8">
        <v>3035.1311040000001</v>
      </c>
      <c r="D3215" s="8">
        <v>29980.951172000001</v>
      </c>
      <c r="E3215" s="8">
        <v>29994.710938</v>
      </c>
      <c r="F3215" s="8">
        <f t="shared" si="100"/>
        <v>13.759765999999217</v>
      </c>
      <c r="G3215" s="8">
        <f t="shared" si="101"/>
        <v>1.3759765999999217E-2</v>
      </c>
    </row>
    <row r="3216" spans="1:7" x14ac:dyDescent="0.25">
      <c r="A3216" s="8">
        <v>42</v>
      </c>
      <c r="B3216" s="8">
        <v>6</v>
      </c>
      <c r="C3216" s="8">
        <v>42.004272</v>
      </c>
      <c r="D3216" s="8">
        <v>33035.773437999997</v>
      </c>
      <c r="E3216" s="8">
        <v>33051.441405999998</v>
      </c>
      <c r="F3216" s="8">
        <f t="shared" si="100"/>
        <v>15.667968000001565</v>
      </c>
      <c r="G3216" s="8">
        <f t="shared" si="101"/>
        <v>1.5667968000001566E-2</v>
      </c>
    </row>
    <row r="3217" spans="1:7" x14ac:dyDescent="0.25">
      <c r="A3217" s="8">
        <v>42</v>
      </c>
      <c r="B3217" s="8">
        <v>7</v>
      </c>
      <c r="C3217" s="8">
        <v>69.936378000000005</v>
      </c>
      <c r="D3217" s="8">
        <v>33098.300780999998</v>
      </c>
      <c r="E3217" s="8">
        <v>33142.390625</v>
      </c>
      <c r="F3217" s="8">
        <f t="shared" si="100"/>
        <v>44.089844000001904</v>
      </c>
      <c r="G3217" s="8">
        <f t="shared" si="101"/>
        <v>4.4089844000001904E-2</v>
      </c>
    </row>
    <row r="3218" spans="1:7" x14ac:dyDescent="0.25">
      <c r="A3218" s="8">
        <v>42</v>
      </c>
      <c r="B3218" s="8">
        <v>8</v>
      </c>
      <c r="C3218" s="8">
        <v>570.18273899999997</v>
      </c>
      <c r="D3218" s="8">
        <v>33223.324219000002</v>
      </c>
      <c r="E3218" s="8">
        <v>33246.324219000002</v>
      </c>
      <c r="F3218" s="8">
        <f t="shared" si="100"/>
        <v>23</v>
      </c>
      <c r="G3218" s="8">
        <f t="shared" si="101"/>
        <v>2.3E-2</v>
      </c>
    </row>
    <row r="3219" spans="1:7" x14ac:dyDescent="0.25">
      <c r="A3219" s="8">
        <v>42</v>
      </c>
      <c r="B3219" s="8">
        <v>9</v>
      </c>
      <c r="C3219" s="8">
        <v>7554.2080079999996</v>
      </c>
      <c r="D3219" s="8">
        <v>33821.863280999998</v>
      </c>
      <c r="E3219" s="8">
        <v>33833.539062999997</v>
      </c>
      <c r="F3219" s="8">
        <f t="shared" si="100"/>
        <v>11.675781999998435</v>
      </c>
      <c r="G3219" s="8">
        <f t="shared" si="101"/>
        <v>1.1675781999998434E-2</v>
      </c>
    </row>
    <row r="3220" spans="1:7" x14ac:dyDescent="0.25">
      <c r="A3220" s="8">
        <v>42</v>
      </c>
      <c r="B3220" s="8">
        <v>10</v>
      </c>
      <c r="C3220" s="8">
        <v>3028.1831050000001</v>
      </c>
      <c r="D3220" s="8">
        <v>41403.3125</v>
      </c>
      <c r="E3220" s="8">
        <v>41417.210937999997</v>
      </c>
      <c r="F3220" s="8">
        <f t="shared" si="100"/>
        <v>13.898437999996531</v>
      </c>
      <c r="G3220" s="8">
        <f t="shared" si="101"/>
        <v>1.3898437999996531E-2</v>
      </c>
    </row>
    <row r="3221" spans="1:7" x14ac:dyDescent="0.25">
      <c r="A3221" s="8">
        <v>42</v>
      </c>
      <c r="B3221" s="8">
        <v>11</v>
      </c>
      <c r="C3221" s="8">
        <v>1837.4398189999999</v>
      </c>
      <c r="D3221" s="8">
        <v>44459.28125</v>
      </c>
      <c r="E3221" s="8">
        <v>44476.867187999997</v>
      </c>
      <c r="F3221" s="8">
        <f t="shared" si="100"/>
        <v>17.585937999996531</v>
      </c>
      <c r="G3221" s="8">
        <f t="shared" si="101"/>
        <v>1.7585937999996533E-2</v>
      </c>
    </row>
    <row r="3222" spans="1:7" x14ac:dyDescent="0.25">
      <c r="A3222" s="8">
        <v>42</v>
      </c>
      <c r="B3222" s="8">
        <v>12</v>
      </c>
      <c r="C3222" s="8">
        <v>861.52355999999997</v>
      </c>
      <c r="D3222" s="8">
        <v>46327.097655999998</v>
      </c>
      <c r="E3222" s="8">
        <v>46344.757812999997</v>
      </c>
      <c r="F3222" s="8">
        <f t="shared" si="100"/>
        <v>17.660156999998435</v>
      </c>
      <c r="G3222" s="8">
        <f t="shared" si="101"/>
        <v>1.7660156999998435E-2</v>
      </c>
    </row>
    <row r="3223" spans="1:7" x14ac:dyDescent="0.25">
      <c r="A3223" s="8">
        <v>42</v>
      </c>
      <c r="B3223" s="8">
        <v>13</v>
      </c>
      <c r="C3223" s="8">
        <v>614.00518799999998</v>
      </c>
      <c r="D3223" s="8">
        <v>47219.765625</v>
      </c>
      <c r="E3223" s="8">
        <v>47241.355469000002</v>
      </c>
      <c r="F3223" s="8">
        <f t="shared" si="100"/>
        <v>21.589844000001904</v>
      </c>
      <c r="G3223" s="8">
        <f t="shared" si="101"/>
        <v>2.1589844000001905E-2</v>
      </c>
    </row>
    <row r="3224" spans="1:7" x14ac:dyDescent="0.25">
      <c r="A3224" s="8">
        <v>42</v>
      </c>
      <c r="B3224" s="8">
        <v>14</v>
      </c>
      <c r="C3224" s="8">
        <v>313.00671399999999</v>
      </c>
      <c r="D3224" s="8">
        <v>47860.417969000002</v>
      </c>
      <c r="E3224" s="8">
        <v>47924.546875</v>
      </c>
      <c r="F3224" s="8">
        <f t="shared" si="100"/>
        <v>64.128905999998096</v>
      </c>
      <c r="G3224" s="8">
        <f t="shared" si="101"/>
        <v>6.4128905999998098E-2</v>
      </c>
    </row>
    <row r="3225" spans="1:7" x14ac:dyDescent="0.25">
      <c r="A3225" s="8">
        <v>42</v>
      </c>
      <c r="B3225" s="8">
        <v>15</v>
      </c>
      <c r="C3225" s="8">
        <v>3306.6533199999999</v>
      </c>
      <c r="D3225" s="8">
        <v>48251.828125</v>
      </c>
      <c r="E3225" s="8">
        <v>48271.722655999998</v>
      </c>
      <c r="F3225" s="8">
        <f t="shared" si="100"/>
        <v>19.894530999998096</v>
      </c>
      <c r="G3225" s="8">
        <f t="shared" si="101"/>
        <v>1.9894530999998095E-2</v>
      </c>
    </row>
    <row r="3226" spans="1:7" x14ac:dyDescent="0.25">
      <c r="A3226" s="8">
        <v>42</v>
      </c>
      <c r="B3226" s="8">
        <v>16</v>
      </c>
      <c r="C3226" s="8">
        <v>4125.4116210000002</v>
      </c>
      <c r="D3226" s="8">
        <v>51591.707030999998</v>
      </c>
      <c r="E3226" s="8">
        <v>51602.585937999997</v>
      </c>
      <c r="F3226" s="8">
        <f t="shared" si="100"/>
        <v>10.878906999998435</v>
      </c>
      <c r="G3226" s="8">
        <f t="shared" si="101"/>
        <v>1.0878906999998435E-2</v>
      </c>
    </row>
    <row r="3227" spans="1:7" x14ac:dyDescent="0.25">
      <c r="A3227" s="8">
        <v>42</v>
      </c>
      <c r="B3227" s="8">
        <v>17</v>
      </c>
      <c r="C3227" s="8">
        <v>211.14828499999999</v>
      </c>
      <c r="D3227" s="8">
        <v>55738.003905999998</v>
      </c>
      <c r="E3227" s="8">
        <v>55745.589844000002</v>
      </c>
      <c r="F3227" s="8">
        <f t="shared" si="100"/>
        <v>7.5859380000038072</v>
      </c>
      <c r="G3227" s="8">
        <f t="shared" si="101"/>
        <v>7.5859380000038073E-3</v>
      </c>
    </row>
    <row r="3228" spans="1:7" x14ac:dyDescent="0.25">
      <c r="A3228" s="8">
        <v>42</v>
      </c>
      <c r="B3228" s="8">
        <v>18</v>
      </c>
      <c r="C3228" s="8">
        <v>4572.2983400000003</v>
      </c>
      <c r="D3228" s="8">
        <v>55956.769530999998</v>
      </c>
      <c r="E3228" s="8">
        <v>55972.199219000002</v>
      </c>
      <c r="F3228" s="8">
        <f t="shared" si="100"/>
        <v>15.429688000003807</v>
      </c>
      <c r="G3228" s="8">
        <f t="shared" si="101"/>
        <v>1.5429688000003806E-2</v>
      </c>
    </row>
    <row r="3229" spans="1:7" x14ac:dyDescent="0.25">
      <c r="A3229" s="8">
        <v>42</v>
      </c>
      <c r="B3229" s="8">
        <v>19</v>
      </c>
      <c r="C3229" s="8">
        <v>835.58795199999997</v>
      </c>
      <c r="D3229" s="8">
        <v>60559.992187999997</v>
      </c>
      <c r="E3229" s="8">
        <v>60589.132812999997</v>
      </c>
      <c r="F3229" s="8">
        <f t="shared" si="100"/>
        <v>29.140625</v>
      </c>
      <c r="G3229" s="8">
        <f t="shared" si="101"/>
        <v>2.9140625E-2</v>
      </c>
    </row>
    <row r="3230" spans="1:7" x14ac:dyDescent="0.25">
      <c r="A3230" s="8">
        <v>42</v>
      </c>
      <c r="B3230" s="8">
        <v>20</v>
      </c>
      <c r="C3230" s="8">
        <v>362.58114599999999</v>
      </c>
      <c r="D3230" s="8">
        <v>61435.101562999997</v>
      </c>
      <c r="E3230" s="8">
        <v>61465.304687999997</v>
      </c>
      <c r="F3230" s="8">
        <f t="shared" si="100"/>
        <v>30.203125</v>
      </c>
      <c r="G3230" s="8">
        <f t="shared" si="101"/>
        <v>3.0203125000000001E-2</v>
      </c>
    </row>
    <row r="3231" spans="1:7" x14ac:dyDescent="0.25">
      <c r="A3231" s="8">
        <v>42</v>
      </c>
      <c r="B3231" s="8">
        <v>21</v>
      </c>
      <c r="C3231" s="8">
        <v>2632.9799800000001</v>
      </c>
      <c r="D3231" s="8">
        <v>61841.394530999998</v>
      </c>
      <c r="E3231" s="8">
        <v>61860.53125</v>
      </c>
      <c r="F3231" s="8">
        <f t="shared" si="100"/>
        <v>19.136719000001904</v>
      </c>
      <c r="G3231" s="8">
        <f t="shared" si="101"/>
        <v>1.9136719000001905E-2</v>
      </c>
    </row>
    <row r="3232" spans="1:7" x14ac:dyDescent="0.25">
      <c r="A3232" s="8">
        <v>42</v>
      </c>
      <c r="B3232" s="8">
        <v>22</v>
      </c>
      <c r="C3232" s="8">
        <v>4934.6616210000002</v>
      </c>
      <c r="D3232" s="8">
        <v>64496.539062999997</v>
      </c>
      <c r="E3232" s="8">
        <v>64507.507812999997</v>
      </c>
      <c r="F3232" s="8">
        <f t="shared" si="100"/>
        <v>10.96875</v>
      </c>
      <c r="G3232" s="8">
        <f t="shared" si="101"/>
        <v>1.0968749999999999E-2</v>
      </c>
    </row>
    <row r="3233" spans="1:7" x14ac:dyDescent="0.25">
      <c r="A3233" s="8">
        <v>42</v>
      </c>
      <c r="B3233" s="8">
        <v>23</v>
      </c>
      <c r="C3233" s="8">
        <v>509.97543300000001</v>
      </c>
      <c r="D3233" s="8">
        <v>69452.039063000004</v>
      </c>
      <c r="E3233" s="8">
        <v>69477.875</v>
      </c>
      <c r="F3233" s="8">
        <f t="shared" si="100"/>
        <v>25.835936999996193</v>
      </c>
      <c r="G3233" s="8">
        <f t="shared" si="101"/>
        <v>2.5835936999996194E-2</v>
      </c>
    </row>
    <row r="3234" spans="1:7" x14ac:dyDescent="0.25">
      <c r="A3234" s="8">
        <v>42</v>
      </c>
      <c r="B3234" s="8">
        <v>24</v>
      </c>
      <c r="C3234" s="8">
        <v>2428.0048830000001</v>
      </c>
      <c r="D3234" s="8">
        <v>69999.023438000004</v>
      </c>
      <c r="E3234" s="8">
        <v>70020.929688000004</v>
      </c>
      <c r="F3234" s="8">
        <f t="shared" si="100"/>
        <v>21.90625</v>
      </c>
      <c r="G3234" s="8">
        <f t="shared" si="101"/>
        <v>2.1906249999999999E-2</v>
      </c>
    </row>
    <row r="3235" spans="1:7" x14ac:dyDescent="0.25">
      <c r="A3235" s="8">
        <v>42</v>
      </c>
      <c r="B3235" s="8">
        <v>25</v>
      </c>
      <c r="C3235" s="8">
        <v>1763.415649</v>
      </c>
      <c r="D3235" s="8">
        <v>72451.117188000004</v>
      </c>
      <c r="E3235" s="8">
        <v>72474.65625</v>
      </c>
      <c r="F3235" s="8">
        <f t="shared" si="100"/>
        <v>23.539061999996193</v>
      </c>
      <c r="G3235" s="8">
        <f t="shared" si="101"/>
        <v>2.3539061999996194E-2</v>
      </c>
    </row>
    <row r="3236" spans="1:7" x14ac:dyDescent="0.25">
      <c r="A3236" s="8">
        <v>42</v>
      </c>
      <c r="B3236" s="8">
        <v>26</v>
      </c>
      <c r="C3236" s="8">
        <v>4060.6838379999999</v>
      </c>
      <c r="D3236" s="8">
        <v>74250.117188000004</v>
      </c>
      <c r="E3236" s="8">
        <v>74270.679688000004</v>
      </c>
      <c r="F3236" s="8">
        <f t="shared" si="100"/>
        <v>20.5625</v>
      </c>
      <c r="G3236" s="8">
        <f t="shared" si="101"/>
        <v>2.0562500000000001E-2</v>
      </c>
    </row>
    <row r="3237" spans="1:7" x14ac:dyDescent="0.25">
      <c r="A3237" s="8">
        <v>42</v>
      </c>
      <c r="B3237" s="8">
        <v>27</v>
      </c>
      <c r="C3237" s="8">
        <v>170.05931100000001</v>
      </c>
      <c r="D3237" s="8">
        <v>78341.320313000004</v>
      </c>
      <c r="E3237" s="8">
        <v>78349.398438000004</v>
      </c>
      <c r="F3237" s="8">
        <f t="shared" si="100"/>
        <v>8.078125</v>
      </c>
      <c r="G3237" s="8">
        <f t="shared" si="101"/>
        <v>8.0781250000000002E-3</v>
      </c>
    </row>
    <row r="3238" spans="1:7" x14ac:dyDescent="0.25">
      <c r="A3238" s="8">
        <v>42</v>
      </c>
      <c r="B3238" s="8">
        <v>28</v>
      </c>
      <c r="C3238" s="8">
        <v>425.30920400000002</v>
      </c>
      <c r="D3238" s="8">
        <v>78529.039063000004</v>
      </c>
      <c r="E3238" s="8">
        <v>78551.664063000004</v>
      </c>
      <c r="F3238" s="8">
        <f t="shared" si="100"/>
        <v>22.625</v>
      </c>
      <c r="G3238" s="8">
        <f t="shared" si="101"/>
        <v>2.2624999999999999E-2</v>
      </c>
    </row>
    <row r="3239" spans="1:7" x14ac:dyDescent="0.25">
      <c r="A3239" s="8">
        <v>42</v>
      </c>
      <c r="B3239" s="8">
        <v>29</v>
      </c>
      <c r="C3239" s="8">
        <v>769.67053199999998</v>
      </c>
      <c r="D3239" s="8">
        <v>78982.257813000004</v>
      </c>
      <c r="E3239" s="8">
        <v>79000.085938000004</v>
      </c>
      <c r="F3239" s="8">
        <f t="shared" si="100"/>
        <v>17.828125</v>
      </c>
      <c r="G3239" s="8">
        <f t="shared" si="101"/>
        <v>1.7828125E-2</v>
      </c>
    </row>
    <row r="3240" spans="1:7" x14ac:dyDescent="0.25">
      <c r="A3240" s="8">
        <v>42</v>
      </c>
      <c r="B3240" s="8">
        <v>30</v>
      </c>
      <c r="C3240" s="8">
        <v>6023.892578</v>
      </c>
      <c r="D3240" s="8">
        <v>79769.726563000004</v>
      </c>
      <c r="E3240" s="8">
        <v>79795.992188000004</v>
      </c>
      <c r="F3240" s="8">
        <f t="shared" si="100"/>
        <v>26.265625</v>
      </c>
      <c r="G3240" s="8">
        <f t="shared" si="101"/>
        <v>2.6265625000000001E-2</v>
      </c>
    </row>
    <row r="3241" spans="1:7" x14ac:dyDescent="0.25">
      <c r="A3241" s="8">
        <v>42</v>
      </c>
      <c r="B3241" s="8">
        <v>31</v>
      </c>
      <c r="C3241" s="8">
        <v>844.78546100000005</v>
      </c>
      <c r="D3241" s="8">
        <v>85830.789063000004</v>
      </c>
      <c r="E3241" s="8">
        <v>85896.445313000004</v>
      </c>
      <c r="F3241" s="8">
        <f t="shared" si="100"/>
        <v>65.65625</v>
      </c>
      <c r="G3241" s="8">
        <f t="shared" si="101"/>
        <v>6.5656249999999999E-2</v>
      </c>
    </row>
    <row r="3242" spans="1:7" x14ac:dyDescent="0.25">
      <c r="A3242" s="8">
        <v>42</v>
      </c>
      <c r="B3242" s="8">
        <v>32</v>
      </c>
      <c r="C3242" s="8">
        <v>3245.4191890000002</v>
      </c>
      <c r="D3242" s="8">
        <v>86752.789063000004</v>
      </c>
      <c r="E3242" s="8">
        <v>86764.390625</v>
      </c>
      <c r="F3242" s="8">
        <f t="shared" si="100"/>
        <v>11.601561999996193</v>
      </c>
      <c r="G3242" s="8">
        <f t="shared" si="101"/>
        <v>1.1601561999996193E-2</v>
      </c>
    </row>
    <row r="3243" spans="1:7" x14ac:dyDescent="0.25">
      <c r="A3243" s="8">
        <v>42</v>
      </c>
      <c r="B3243" s="8">
        <v>33</v>
      </c>
      <c r="C3243" s="8">
        <v>1398.723389</v>
      </c>
      <c r="D3243" s="8">
        <v>90011.046875</v>
      </c>
      <c r="E3243" s="8">
        <v>90025.453125</v>
      </c>
      <c r="F3243" s="8">
        <f t="shared" si="100"/>
        <v>14.40625</v>
      </c>
      <c r="G3243" s="8">
        <f t="shared" si="101"/>
        <v>1.4406250000000001E-2</v>
      </c>
    </row>
    <row r="3244" spans="1:7" x14ac:dyDescent="0.25">
      <c r="A3244" s="8">
        <v>42</v>
      </c>
      <c r="B3244" s="8">
        <v>34</v>
      </c>
      <c r="C3244" s="8">
        <v>2403.4948730000001</v>
      </c>
      <c r="D3244" s="8">
        <v>91433.0625</v>
      </c>
      <c r="E3244" s="8">
        <v>91444.460938000004</v>
      </c>
      <c r="F3244" s="8">
        <f t="shared" si="100"/>
        <v>11.398438000003807</v>
      </c>
      <c r="G3244" s="8">
        <f t="shared" si="101"/>
        <v>1.1398438000003808E-2</v>
      </c>
    </row>
    <row r="3245" spans="1:7" x14ac:dyDescent="0.25">
      <c r="A3245" s="8">
        <v>42</v>
      </c>
      <c r="B3245" s="8">
        <v>35</v>
      </c>
      <c r="C3245" s="8">
        <v>329.27548200000001</v>
      </c>
      <c r="D3245" s="8">
        <v>93857.617188000004</v>
      </c>
      <c r="E3245" s="8">
        <v>93866.476563000004</v>
      </c>
      <c r="F3245" s="8">
        <f t="shared" si="100"/>
        <v>8.859375</v>
      </c>
      <c r="G3245" s="8">
        <f t="shared" si="101"/>
        <v>8.8593749999999992E-3</v>
      </c>
    </row>
    <row r="3246" spans="1:7" x14ac:dyDescent="0.25">
      <c r="A3246" s="8">
        <v>42</v>
      </c>
      <c r="B3246" s="8">
        <v>36</v>
      </c>
      <c r="C3246" s="8">
        <v>919.25292999999999</v>
      </c>
      <c r="D3246" s="8">
        <v>94201.390625</v>
      </c>
      <c r="E3246" s="8">
        <v>94226.039063000004</v>
      </c>
      <c r="F3246" s="8">
        <f t="shared" si="100"/>
        <v>24.648438000003807</v>
      </c>
      <c r="G3246" s="8">
        <f t="shared" si="101"/>
        <v>2.4648438000003808E-2</v>
      </c>
    </row>
    <row r="3247" spans="1:7" x14ac:dyDescent="0.25">
      <c r="A3247" s="8">
        <v>42</v>
      </c>
      <c r="B3247" s="8">
        <v>37</v>
      </c>
      <c r="C3247" s="8">
        <v>1030.7459719999999</v>
      </c>
      <c r="D3247" s="8">
        <v>95149.601563000004</v>
      </c>
      <c r="E3247" s="8">
        <v>95176.257813000004</v>
      </c>
      <c r="F3247" s="8">
        <f t="shared" si="100"/>
        <v>26.65625</v>
      </c>
      <c r="G3247" s="8">
        <f t="shared" si="101"/>
        <v>2.6656249999999999E-2</v>
      </c>
    </row>
    <row r="3248" spans="1:7" x14ac:dyDescent="0.25">
      <c r="A3248" s="8">
        <v>42</v>
      </c>
      <c r="B3248" s="8">
        <v>38</v>
      </c>
      <c r="C3248" s="8">
        <v>1497.2928469999999</v>
      </c>
      <c r="D3248" s="8">
        <v>96209.71875</v>
      </c>
      <c r="E3248" s="8">
        <v>96220.914063000004</v>
      </c>
      <c r="F3248" s="8">
        <f t="shared" si="100"/>
        <v>11.195313000003807</v>
      </c>
      <c r="G3248" s="8">
        <f t="shared" si="101"/>
        <v>1.1195313000003808E-2</v>
      </c>
    </row>
    <row r="3249" spans="1:7" x14ac:dyDescent="0.25">
      <c r="A3249" s="8">
        <v>42</v>
      </c>
      <c r="B3249" s="8">
        <v>39</v>
      </c>
      <c r="C3249" s="8">
        <v>287.8974</v>
      </c>
      <c r="D3249" s="8">
        <v>97731.578125</v>
      </c>
      <c r="E3249" s="8">
        <v>97751.84375</v>
      </c>
      <c r="F3249" s="8">
        <f t="shared" si="100"/>
        <v>20.265625</v>
      </c>
      <c r="G3249" s="8">
        <f t="shared" si="101"/>
        <v>2.0265624999999999E-2</v>
      </c>
    </row>
    <row r="3250" spans="1:7" x14ac:dyDescent="0.25">
      <c r="A3250" s="8">
        <v>42</v>
      </c>
      <c r="B3250" s="8">
        <v>40</v>
      </c>
      <c r="C3250" s="8">
        <v>4437.6381840000004</v>
      </c>
      <c r="D3250" s="8">
        <v>98050.804688000004</v>
      </c>
      <c r="E3250" s="8">
        <v>98077.007813000004</v>
      </c>
      <c r="F3250" s="8">
        <f t="shared" si="100"/>
        <v>26.203125</v>
      </c>
      <c r="G3250" s="8">
        <f t="shared" si="101"/>
        <v>2.6203125000000001E-2</v>
      </c>
    </row>
    <row r="3251" spans="1:7" x14ac:dyDescent="0.25">
      <c r="A3251" s="8">
        <v>42</v>
      </c>
      <c r="B3251" s="8">
        <v>41</v>
      </c>
      <c r="C3251" s="8">
        <v>3545.8498540000001</v>
      </c>
      <c r="D3251" s="8">
        <v>102516.132813</v>
      </c>
      <c r="E3251" s="8">
        <v>102529.710938</v>
      </c>
      <c r="F3251" s="8">
        <f t="shared" si="100"/>
        <v>13.578125</v>
      </c>
      <c r="G3251" s="8">
        <f t="shared" si="101"/>
        <v>1.3578125E-2</v>
      </c>
    </row>
    <row r="3252" spans="1:7" x14ac:dyDescent="0.25">
      <c r="A3252" s="8">
        <v>42</v>
      </c>
      <c r="B3252" s="8">
        <v>42</v>
      </c>
      <c r="C3252" s="8">
        <v>91.543739000000002</v>
      </c>
      <c r="D3252" s="8">
        <v>106078.25</v>
      </c>
      <c r="E3252" s="8">
        <v>106089.328125</v>
      </c>
      <c r="F3252" s="8">
        <f t="shared" si="100"/>
        <v>11.078125</v>
      </c>
      <c r="G3252" s="8">
        <f t="shared" si="101"/>
        <v>1.1078124999999999E-2</v>
      </c>
    </row>
    <row r="3253" spans="1:7" x14ac:dyDescent="0.25">
      <c r="A3253" s="8">
        <v>42</v>
      </c>
      <c r="B3253" s="8">
        <v>43</v>
      </c>
      <c r="C3253" s="8">
        <v>3419.8073730000001</v>
      </c>
      <c r="D3253" s="8">
        <v>106187.742188</v>
      </c>
      <c r="E3253" s="8">
        <v>106199.289063</v>
      </c>
      <c r="F3253" s="8">
        <f t="shared" si="100"/>
        <v>11.546875</v>
      </c>
      <c r="G3253" s="8">
        <f t="shared" si="101"/>
        <v>1.1546875E-2</v>
      </c>
    </row>
    <row r="3254" spans="1:7" x14ac:dyDescent="0.25">
      <c r="A3254" s="8">
        <v>42</v>
      </c>
      <c r="B3254" s="8">
        <v>44</v>
      </c>
      <c r="C3254" s="8">
        <v>458.731537</v>
      </c>
      <c r="D3254" s="8">
        <v>109627.007813</v>
      </c>
      <c r="E3254" s="8">
        <v>109638.703125</v>
      </c>
      <c r="F3254" s="8">
        <f t="shared" si="100"/>
        <v>11.695311999996193</v>
      </c>
      <c r="G3254" s="8">
        <f t="shared" si="101"/>
        <v>1.1695311999996193E-2</v>
      </c>
    </row>
    <row r="3255" spans="1:7" x14ac:dyDescent="0.25">
      <c r="A3255" s="8">
        <v>42</v>
      </c>
      <c r="B3255" s="8">
        <v>45</v>
      </c>
      <c r="C3255" s="8">
        <v>1512.7078859999999</v>
      </c>
      <c r="D3255" s="8">
        <v>110111.28125</v>
      </c>
      <c r="E3255" s="8">
        <v>110128.679688</v>
      </c>
      <c r="F3255" s="8">
        <f t="shared" si="100"/>
        <v>17.398438000003807</v>
      </c>
      <c r="G3255" s="8">
        <f t="shared" si="101"/>
        <v>1.7398438000003808E-2</v>
      </c>
    </row>
    <row r="3256" spans="1:7" x14ac:dyDescent="0.25">
      <c r="A3256" s="8">
        <v>42</v>
      </c>
      <c r="B3256" s="8">
        <v>46</v>
      </c>
      <c r="C3256" s="8">
        <v>2977.5061040000001</v>
      </c>
      <c r="D3256" s="8">
        <v>111642.90625</v>
      </c>
      <c r="E3256" s="8">
        <v>111654.539063</v>
      </c>
      <c r="F3256" s="8">
        <f t="shared" si="100"/>
        <v>11.632813000003807</v>
      </c>
      <c r="G3256" s="8">
        <f t="shared" si="101"/>
        <v>1.1632813000003807E-2</v>
      </c>
    </row>
    <row r="3257" spans="1:7" x14ac:dyDescent="0.25">
      <c r="A3257" s="8">
        <v>42</v>
      </c>
      <c r="B3257" s="8">
        <v>47</v>
      </c>
      <c r="C3257" s="8">
        <v>4079.8364259999998</v>
      </c>
      <c r="D3257" s="8">
        <v>114643.882813</v>
      </c>
      <c r="E3257" s="8">
        <v>114658.9375</v>
      </c>
      <c r="F3257" s="8">
        <f t="shared" si="100"/>
        <v>15.054686999996193</v>
      </c>
      <c r="G3257" s="8">
        <f t="shared" si="101"/>
        <v>1.5054686999996193E-2</v>
      </c>
    </row>
    <row r="3258" spans="1:7" x14ac:dyDescent="0.25">
      <c r="A3258" s="8">
        <v>42</v>
      </c>
      <c r="B3258" s="8">
        <v>48</v>
      </c>
      <c r="C3258" s="8">
        <v>293.26159699999999</v>
      </c>
      <c r="D3258" s="8">
        <v>118744.429688</v>
      </c>
      <c r="E3258" s="8">
        <v>118767.203125</v>
      </c>
      <c r="F3258" s="8">
        <f t="shared" si="100"/>
        <v>22.773436999996193</v>
      </c>
      <c r="G3258" s="8">
        <f t="shared" si="101"/>
        <v>2.2773436999996191E-2</v>
      </c>
    </row>
    <row r="3259" spans="1:7" x14ac:dyDescent="0.25">
      <c r="A3259" s="8">
        <v>42</v>
      </c>
      <c r="B3259" s="8">
        <v>49</v>
      </c>
      <c r="C3259" s="8">
        <v>158.46350100000001</v>
      </c>
      <c r="D3259" s="8">
        <v>119072.570313</v>
      </c>
      <c r="E3259" s="8">
        <v>119093.617188</v>
      </c>
      <c r="F3259" s="8">
        <f t="shared" si="100"/>
        <v>21.046875</v>
      </c>
      <c r="G3259" s="8">
        <f t="shared" si="101"/>
        <v>2.1046875E-2</v>
      </c>
    </row>
    <row r="3260" spans="1:7" x14ac:dyDescent="0.25">
      <c r="A3260" s="8">
        <v>42</v>
      </c>
      <c r="B3260" s="8">
        <v>50</v>
      </c>
      <c r="C3260" s="8">
        <v>839.20611599999995</v>
      </c>
      <c r="D3260" s="8">
        <v>119266.625</v>
      </c>
      <c r="E3260" s="8">
        <v>119293.773438</v>
      </c>
      <c r="F3260" s="8">
        <f t="shared" si="100"/>
        <v>27.148438000003807</v>
      </c>
      <c r="G3260" s="8">
        <f t="shared" si="101"/>
        <v>2.7148438000003806E-2</v>
      </c>
    </row>
    <row r="3261" spans="1:7" x14ac:dyDescent="0.25">
      <c r="A3261" s="8">
        <v>42</v>
      </c>
      <c r="B3261" s="8">
        <v>51</v>
      </c>
      <c r="C3261" s="8">
        <v>4173.0327150000003</v>
      </c>
      <c r="D3261" s="8">
        <v>120140.414063</v>
      </c>
      <c r="E3261" s="8">
        <v>120154.273438</v>
      </c>
      <c r="F3261" s="8">
        <f t="shared" si="100"/>
        <v>13.859375</v>
      </c>
      <c r="G3261" s="8">
        <f t="shared" si="101"/>
        <v>1.3859375E-2</v>
      </c>
    </row>
    <row r="3262" spans="1:7" x14ac:dyDescent="0.25">
      <c r="A3262" s="8">
        <v>42</v>
      </c>
      <c r="B3262" s="8">
        <v>52</v>
      </c>
      <c r="C3262" s="8">
        <v>14.333945999999999</v>
      </c>
      <c r="D3262" s="8">
        <v>124330.234375</v>
      </c>
      <c r="E3262" s="8">
        <v>124344.273438</v>
      </c>
      <c r="F3262" s="8">
        <f t="shared" si="100"/>
        <v>14.039063000003807</v>
      </c>
      <c r="G3262" s="8">
        <f t="shared" si="101"/>
        <v>1.4039063000003807E-2</v>
      </c>
    </row>
    <row r="3263" spans="1:7" x14ac:dyDescent="0.25">
      <c r="A3263" s="8">
        <v>42</v>
      </c>
      <c r="B3263" s="8">
        <v>53</v>
      </c>
      <c r="C3263" s="8">
        <v>2647.375732</v>
      </c>
      <c r="D3263" s="8">
        <v>124361.445313</v>
      </c>
      <c r="E3263" s="8">
        <v>124386.8125</v>
      </c>
      <c r="F3263" s="8">
        <f t="shared" si="100"/>
        <v>25.367186999996193</v>
      </c>
      <c r="G3263" s="8">
        <f t="shared" si="101"/>
        <v>2.5367186999996193E-2</v>
      </c>
    </row>
    <row r="3264" spans="1:7" x14ac:dyDescent="0.25">
      <c r="A3264" s="8">
        <v>42</v>
      </c>
      <c r="B3264" s="8">
        <v>54</v>
      </c>
      <c r="C3264" s="8">
        <v>2797.0920409999999</v>
      </c>
      <c r="D3264" s="8">
        <v>127034.234375</v>
      </c>
      <c r="E3264" s="8">
        <v>127053.640625</v>
      </c>
      <c r="F3264" s="8">
        <f t="shared" si="100"/>
        <v>19.40625</v>
      </c>
      <c r="G3264" s="8">
        <f t="shared" si="101"/>
        <v>1.940625E-2</v>
      </c>
    </row>
    <row r="3265" spans="1:7" x14ac:dyDescent="0.25">
      <c r="A3265" s="8">
        <v>42</v>
      </c>
      <c r="B3265" s="8">
        <v>55</v>
      </c>
      <c r="C3265" s="8">
        <v>4921.7490230000003</v>
      </c>
      <c r="D3265" s="8">
        <v>129863.953125</v>
      </c>
      <c r="E3265" s="8">
        <v>129873.007813</v>
      </c>
      <c r="F3265" s="8">
        <f t="shared" si="100"/>
        <v>9.0546880000038072</v>
      </c>
      <c r="G3265" s="8">
        <f t="shared" si="101"/>
        <v>9.0546880000038077E-3</v>
      </c>
    </row>
    <row r="3266" spans="1:7" x14ac:dyDescent="0.25">
      <c r="A3266" s="8">
        <v>42</v>
      </c>
      <c r="B3266" s="8">
        <v>56</v>
      </c>
      <c r="C3266" s="8">
        <v>3449.0397950000001</v>
      </c>
      <c r="D3266" s="8">
        <v>134800.71875</v>
      </c>
      <c r="E3266" s="8">
        <v>134815.265625</v>
      </c>
      <c r="F3266" s="8">
        <f t="shared" si="100"/>
        <v>14.546875</v>
      </c>
      <c r="G3266" s="8">
        <f t="shared" si="101"/>
        <v>1.4546875000000001E-2</v>
      </c>
    </row>
    <row r="3267" spans="1:7" x14ac:dyDescent="0.25">
      <c r="A3267" s="8">
        <v>42</v>
      </c>
      <c r="B3267" s="8">
        <v>57</v>
      </c>
      <c r="C3267" s="8">
        <v>648.56897000000004</v>
      </c>
      <c r="D3267" s="8">
        <v>138265.40625</v>
      </c>
      <c r="E3267" s="8">
        <v>138278.953125</v>
      </c>
      <c r="F3267" s="8">
        <f t="shared" si="100"/>
        <v>13.546875</v>
      </c>
      <c r="G3267" s="8">
        <f t="shared" si="101"/>
        <v>1.3546875E-2</v>
      </c>
    </row>
    <row r="3268" spans="1:7" x14ac:dyDescent="0.25">
      <c r="A3268" s="8">
        <v>42</v>
      </c>
      <c r="B3268" s="8">
        <v>58</v>
      </c>
      <c r="C3268" s="8">
        <v>3493.0053710000002</v>
      </c>
      <c r="D3268" s="8">
        <v>138928.15625</v>
      </c>
      <c r="E3268" s="8">
        <v>138941.421875</v>
      </c>
      <c r="F3268" s="8">
        <f t="shared" si="100"/>
        <v>13.265625</v>
      </c>
      <c r="G3268" s="8">
        <f t="shared" si="101"/>
        <v>1.3265625E-2</v>
      </c>
    </row>
    <row r="3269" spans="1:7" x14ac:dyDescent="0.25">
      <c r="A3269" s="8">
        <v>42</v>
      </c>
      <c r="B3269" s="8">
        <v>59</v>
      </c>
      <c r="C3269" s="8">
        <v>1858.6610109999999</v>
      </c>
      <c r="D3269" s="8">
        <v>142437.078125</v>
      </c>
      <c r="E3269" s="8">
        <v>142453.625</v>
      </c>
      <c r="F3269" s="8">
        <f t="shared" si="100"/>
        <v>16.546875</v>
      </c>
      <c r="G3269" s="8">
        <f t="shared" si="101"/>
        <v>1.6546874999999999E-2</v>
      </c>
    </row>
    <row r="3270" spans="1:7" x14ac:dyDescent="0.25">
      <c r="A3270" s="8">
        <v>42</v>
      </c>
      <c r="B3270" s="8">
        <v>60</v>
      </c>
      <c r="C3270" s="8">
        <v>8329.4580079999996</v>
      </c>
      <c r="D3270" s="8">
        <v>144322.453125</v>
      </c>
      <c r="E3270" s="8">
        <v>144333.46875</v>
      </c>
      <c r="F3270" s="8">
        <f t="shared" si="100"/>
        <v>11.015625</v>
      </c>
      <c r="G3270" s="8">
        <f t="shared" si="101"/>
        <v>1.1015624999999999E-2</v>
      </c>
    </row>
    <row r="3271" spans="1:7" x14ac:dyDescent="0.25">
      <c r="A3271" s="8">
        <v>42</v>
      </c>
      <c r="B3271" s="8">
        <v>61</v>
      </c>
      <c r="C3271" s="8">
        <v>467.81127900000001</v>
      </c>
      <c r="D3271" s="8">
        <v>152671.96875</v>
      </c>
      <c r="E3271" s="8">
        <v>152683.765625</v>
      </c>
      <c r="F3271" s="8">
        <f t="shared" si="100"/>
        <v>11.796875</v>
      </c>
      <c r="G3271" s="8">
        <f t="shared" si="101"/>
        <v>1.1796875E-2</v>
      </c>
    </row>
    <row r="3272" spans="1:7" x14ac:dyDescent="0.25">
      <c r="A3272" s="8">
        <v>42</v>
      </c>
      <c r="B3272" s="8">
        <v>62</v>
      </c>
      <c r="C3272" s="8">
        <v>1028.397095</v>
      </c>
      <c r="D3272" s="8">
        <v>153156.40625</v>
      </c>
      <c r="E3272" s="8">
        <v>153174.9375</v>
      </c>
      <c r="F3272" s="8">
        <f t="shared" si="100"/>
        <v>18.53125</v>
      </c>
      <c r="G3272" s="8">
        <f t="shared" si="101"/>
        <v>1.8531249999999999E-2</v>
      </c>
    </row>
    <row r="3273" spans="1:7" x14ac:dyDescent="0.25">
      <c r="A3273" s="8">
        <v>42</v>
      </c>
      <c r="B3273" s="8">
        <v>63</v>
      </c>
      <c r="C3273" s="8">
        <v>4069.069336</v>
      </c>
      <c r="D3273" s="8">
        <v>154203.40625</v>
      </c>
      <c r="E3273" s="8">
        <v>154214.890625</v>
      </c>
      <c r="F3273" s="8">
        <f t="shared" si="100"/>
        <v>11.484375</v>
      </c>
      <c r="G3273" s="8">
        <f t="shared" si="101"/>
        <v>1.1484375E-2</v>
      </c>
    </row>
    <row r="3274" spans="1:7" x14ac:dyDescent="0.25">
      <c r="A3274" s="8">
        <v>42</v>
      </c>
      <c r="B3274" s="8">
        <v>64</v>
      </c>
      <c r="C3274" s="8">
        <v>4413.6455079999996</v>
      </c>
      <c r="D3274" s="8">
        <v>158297.59375</v>
      </c>
      <c r="E3274" s="8">
        <v>158306.546875</v>
      </c>
      <c r="F3274" s="8">
        <f t="shared" si="100"/>
        <v>8.953125</v>
      </c>
      <c r="G3274" s="8">
        <f t="shared" si="101"/>
        <v>8.9531249999999993E-3</v>
      </c>
    </row>
    <row r="3275" spans="1:7" x14ac:dyDescent="0.25">
      <c r="A3275" s="8">
        <v>42</v>
      </c>
      <c r="B3275" s="8">
        <v>65</v>
      </c>
      <c r="C3275" s="8">
        <v>911.63189699999998</v>
      </c>
      <c r="D3275" s="8">
        <v>162721.453125</v>
      </c>
      <c r="E3275" s="8">
        <v>162738.203125</v>
      </c>
      <c r="F3275" s="8">
        <f t="shared" ref="F3275:F3338" si="102">E3275-D3275</f>
        <v>16.75</v>
      </c>
      <c r="G3275" s="8">
        <f t="shared" ref="G3275:G3338" si="103">F3275/1000</f>
        <v>1.6750000000000001E-2</v>
      </c>
    </row>
    <row r="3276" spans="1:7" x14ac:dyDescent="0.25">
      <c r="A3276" s="8">
        <v>42</v>
      </c>
      <c r="B3276" s="8">
        <v>66</v>
      </c>
      <c r="C3276" s="8">
        <v>1046.5460210000001</v>
      </c>
      <c r="D3276" s="8">
        <v>163659.109375</v>
      </c>
      <c r="E3276" s="8">
        <v>163667.84375</v>
      </c>
      <c r="F3276" s="8">
        <f t="shared" si="102"/>
        <v>8.734375</v>
      </c>
      <c r="G3276" s="8">
        <f t="shared" si="103"/>
        <v>8.7343750000000008E-3</v>
      </c>
    </row>
    <row r="3277" spans="1:7" x14ac:dyDescent="0.25">
      <c r="A3277" s="8">
        <v>42</v>
      </c>
      <c r="B3277" s="8">
        <v>67</v>
      </c>
      <c r="C3277" s="8">
        <v>256.98226899999997</v>
      </c>
      <c r="D3277" s="8">
        <v>164717.8125</v>
      </c>
      <c r="E3277" s="8">
        <v>164735.84375</v>
      </c>
      <c r="F3277" s="8">
        <f t="shared" si="102"/>
        <v>18.03125</v>
      </c>
      <c r="G3277" s="8">
        <f t="shared" si="103"/>
        <v>1.8031249999999999E-2</v>
      </c>
    </row>
    <row r="3278" spans="1:7" x14ac:dyDescent="0.25">
      <c r="A3278" s="8">
        <v>42</v>
      </c>
      <c r="B3278" s="8">
        <v>68</v>
      </c>
      <c r="C3278" s="8">
        <v>522.38006600000006</v>
      </c>
      <c r="D3278" s="8">
        <v>164999.125</v>
      </c>
      <c r="E3278" s="8">
        <v>165010.421875</v>
      </c>
      <c r="F3278" s="8">
        <f t="shared" si="102"/>
        <v>11.296875</v>
      </c>
      <c r="G3278" s="8">
        <f t="shared" si="103"/>
        <v>1.1296875E-2</v>
      </c>
    </row>
    <row r="3279" spans="1:7" x14ac:dyDescent="0.25">
      <c r="A3279" s="8">
        <v>42</v>
      </c>
      <c r="B3279" s="8">
        <v>69</v>
      </c>
      <c r="C3279" s="8">
        <v>939.75091599999996</v>
      </c>
      <c r="D3279" s="8">
        <v>165546.03125</v>
      </c>
      <c r="E3279" s="8">
        <v>165566.859375</v>
      </c>
      <c r="F3279" s="8">
        <f t="shared" si="102"/>
        <v>20.828125</v>
      </c>
      <c r="G3279" s="8">
        <f t="shared" si="103"/>
        <v>2.0828124999999999E-2</v>
      </c>
    </row>
    <row r="3280" spans="1:7" x14ac:dyDescent="0.25">
      <c r="A3280" s="8">
        <v>42</v>
      </c>
      <c r="B3280" s="8">
        <v>70</v>
      </c>
      <c r="C3280" s="8">
        <v>902.697632</v>
      </c>
      <c r="D3280" s="8">
        <v>166520.75</v>
      </c>
      <c r="E3280" s="8">
        <v>166531.34375</v>
      </c>
      <c r="F3280" s="8">
        <f t="shared" si="102"/>
        <v>10.59375</v>
      </c>
      <c r="G3280" s="8">
        <f t="shared" si="103"/>
        <v>1.0593750000000001E-2</v>
      </c>
    </row>
    <row r="3281" spans="1:7" x14ac:dyDescent="0.25">
      <c r="A3281" s="8">
        <v>42</v>
      </c>
      <c r="B3281" s="8">
        <v>71</v>
      </c>
      <c r="C3281" s="8">
        <v>212.70915199999999</v>
      </c>
      <c r="D3281" s="8">
        <v>167447.34375</v>
      </c>
      <c r="E3281" s="8">
        <v>167462.25</v>
      </c>
      <c r="F3281" s="8">
        <f t="shared" si="102"/>
        <v>14.90625</v>
      </c>
      <c r="G3281" s="8">
        <f t="shared" si="103"/>
        <v>1.4906249999999999E-2</v>
      </c>
    </row>
    <row r="3282" spans="1:7" x14ac:dyDescent="0.25">
      <c r="A3282" s="8">
        <v>42</v>
      </c>
      <c r="B3282" s="8">
        <v>72</v>
      </c>
      <c r="C3282" s="8">
        <v>894.85296600000004</v>
      </c>
      <c r="D3282" s="8">
        <v>167681.75</v>
      </c>
      <c r="E3282" s="8">
        <v>167696.734375</v>
      </c>
      <c r="F3282" s="8">
        <f t="shared" si="102"/>
        <v>14.984375</v>
      </c>
      <c r="G3282" s="8">
        <f t="shared" si="103"/>
        <v>1.4984374999999999E-2</v>
      </c>
    </row>
    <row r="3283" spans="1:7" x14ac:dyDescent="0.25">
      <c r="A3283" s="8">
        <v>42</v>
      </c>
      <c r="B3283" s="8">
        <v>73</v>
      </c>
      <c r="C3283" s="8">
        <v>5080.1669920000004</v>
      </c>
      <c r="D3283" s="8">
        <v>168591.171875</v>
      </c>
      <c r="E3283" s="8">
        <v>168614.4375</v>
      </c>
      <c r="F3283" s="8">
        <f t="shared" si="102"/>
        <v>23.265625</v>
      </c>
      <c r="G3283" s="8">
        <f t="shared" si="103"/>
        <v>2.3265625000000002E-2</v>
      </c>
    </row>
    <row r="3284" spans="1:7" x14ac:dyDescent="0.25">
      <c r="A3284" s="8">
        <v>43</v>
      </c>
      <c r="B3284" s="8">
        <v>0</v>
      </c>
      <c r="C3284" s="8">
        <v>883.61804199999995</v>
      </c>
      <c r="D3284" s="8">
        <v>20281.714843999998</v>
      </c>
      <c r="E3284" s="8">
        <v>20302.908202999999</v>
      </c>
      <c r="F3284" s="8">
        <f t="shared" si="102"/>
        <v>21.193359000000783</v>
      </c>
      <c r="G3284" s="8">
        <f t="shared" si="103"/>
        <v>2.1193359000000783E-2</v>
      </c>
    </row>
    <row r="3285" spans="1:7" x14ac:dyDescent="0.25">
      <c r="A3285" s="8">
        <v>43</v>
      </c>
      <c r="B3285" s="8">
        <v>1</v>
      </c>
      <c r="C3285" s="8">
        <v>2538.4812010000001</v>
      </c>
      <c r="D3285" s="8">
        <v>21188.130859000001</v>
      </c>
      <c r="E3285" s="8">
        <v>21201.916015999999</v>
      </c>
      <c r="F3285" s="8">
        <f t="shared" si="102"/>
        <v>13.785156999998435</v>
      </c>
      <c r="G3285" s="8">
        <f t="shared" si="103"/>
        <v>1.3785156999998435E-2</v>
      </c>
    </row>
    <row r="3286" spans="1:7" x14ac:dyDescent="0.25">
      <c r="A3286" s="8">
        <v>43</v>
      </c>
      <c r="B3286" s="8">
        <v>2</v>
      </c>
      <c r="C3286" s="8">
        <v>345.53241000000003</v>
      </c>
      <c r="D3286" s="8">
        <v>23740.511718999998</v>
      </c>
      <c r="E3286" s="8">
        <v>23756.697265999999</v>
      </c>
      <c r="F3286" s="8">
        <f t="shared" si="102"/>
        <v>16.185547000000952</v>
      </c>
      <c r="G3286" s="8">
        <f t="shared" si="103"/>
        <v>1.6185547000000952E-2</v>
      </c>
    </row>
    <row r="3287" spans="1:7" x14ac:dyDescent="0.25">
      <c r="A3287" s="8">
        <v>43</v>
      </c>
      <c r="B3287" s="8">
        <v>3</v>
      </c>
      <c r="C3287" s="8">
        <v>491.004547</v>
      </c>
      <c r="D3287" s="8">
        <v>24115.273438</v>
      </c>
      <c r="E3287" s="8">
        <v>24132.603515999999</v>
      </c>
      <c r="F3287" s="8">
        <f t="shared" si="102"/>
        <v>17.330077999999048</v>
      </c>
      <c r="G3287" s="8">
        <f t="shared" si="103"/>
        <v>1.7330077999999048E-2</v>
      </c>
    </row>
    <row r="3288" spans="1:7" x14ac:dyDescent="0.25">
      <c r="A3288" s="8">
        <v>43</v>
      </c>
      <c r="B3288" s="8">
        <v>4</v>
      </c>
      <c r="C3288" s="8">
        <v>1575.3161620000001</v>
      </c>
      <c r="D3288" s="8">
        <v>24631.085938</v>
      </c>
      <c r="E3288" s="8">
        <v>24648.212890999999</v>
      </c>
      <c r="F3288" s="8">
        <f t="shared" si="102"/>
        <v>17.126952999999048</v>
      </c>
      <c r="G3288" s="8">
        <f t="shared" si="103"/>
        <v>1.712695299999905E-2</v>
      </c>
    </row>
    <row r="3289" spans="1:7" x14ac:dyDescent="0.25">
      <c r="A3289" s="8">
        <v>43</v>
      </c>
      <c r="B3289" s="8">
        <v>5</v>
      </c>
      <c r="C3289" s="8">
        <v>1999.7188719999999</v>
      </c>
      <c r="D3289" s="8">
        <v>26226.632813</v>
      </c>
      <c r="E3289" s="8">
        <v>26249.416015999999</v>
      </c>
      <c r="F3289" s="8">
        <f t="shared" si="102"/>
        <v>22.783202999999048</v>
      </c>
      <c r="G3289" s="8">
        <f t="shared" si="103"/>
        <v>2.2783202999999048E-2</v>
      </c>
    </row>
    <row r="3290" spans="1:7" x14ac:dyDescent="0.25">
      <c r="A3290" s="8">
        <v>43</v>
      </c>
      <c r="B3290" s="8">
        <v>6</v>
      </c>
      <c r="C3290" s="8">
        <v>4954.1879879999997</v>
      </c>
      <c r="D3290" s="8">
        <v>28259.724609000001</v>
      </c>
      <c r="E3290" s="8">
        <v>28276.736327999999</v>
      </c>
      <c r="F3290" s="8">
        <f t="shared" si="102"/>
        <v>17.011718999998266</v>
      </c>
      <c r="G3290" s="8">
        <f t="shared" si="103"/>
        <v>1.7011718999998267E-2</v>
      </c>
    </row>
    <row r="3291" spans="1:7" x14ac:dyDescent="0.25">
      <c r="A3291" s="8">
        <v>43</v>
      </c>
      <c r="B3291" s="8">
        <v>7</v>
      </c>
      <c r="C3291" s="8">
        <v>2232.1977539999998</v>
      </c>
      <c r="D3291" s="8">
        <v>33238.898437999997</v>
      </c>
      <c r="E3291" s="8">
        <v>33254.226562999997</v>
      </c>
      <c r="F3291" s="8">
        <f t="shared" si="102"/>
        <v>15.328125</v>
      </c>
      <c r="G3291" s="8">
        <f t="shared" si="103"/>
        <v>1.5328125E-2</v>
      </c>
    </row>
    <row r="3292" spans="1:7" x14ac:dyDescent="0.25">
      <c r="A3292" s="8">
        <v>43</v>
      </c>
      <c r="B3292" s="8">
        <v>8</v>
      </c>
      <c r="C3292" s="8">
        <v>862.65063499999997</v>
      </c>
      <c r="D3292" s="8">
        <v>35498.84375</v>
      </c>
      <c r="E3292" s="8">
        <v>35517.199219000002</v>
      </c>
      <c r="F3292" s="8">
        <f t="shared" si="102"/>
        <v>18.355469000001904</v>
      </c>
      <c r="G3292" s="8">
        <f t="shared" si="103"/>
        <v>1.8355469000001904E-2</v>
      </c>
    </row>
    <row r="3293" spans="1:7" x14ac:dyDescent="0.25">
      <c r="A3293" s="8">
        <v>43</v>
      </c>
      <c r="B3293" s="8">
        <v>9</v>
      </c>
      <c r="C3293" s="8">
        <v>2150.7700199999999</v>
      </c>
      <c r="D3293" s="8">
        <v>36389.546875</v>
      </c>
      <c r="E3293" s="8">
        <v>36415.488280999998</v>
      </c>
      <c r="F3293" s="8">
        <f t="shared" si="102"/>
        <v>25.941405999998096</v>
      </c>
      <c r="G3293" s="8">
        <f t="shared" si="103"/>
        <v>2.5941405999998095E-2</v>
      </c>
    </row>
    <row r="3294" spans="1:7" x14ac:dyDescent="0.25">
      <c r="A3294" s="8">
        <v>43</v>
      </c>
      <c r="B3294" s="8">
        <v>10</v>
      </c>
      <c r="C3294" s="8">
        <v>2125.8784179999998</v>
      </c>
      <c r="D3294" s="8">
        <v>38573.746094000002</v>
      </c>
      <c r="E3294" s="8">
        <v>38581.25</v>
      </c>
      <c r="F3294" s="8">
        <f t="shared" si="102"/>
        <v>7.5039059999980964</v>
      </c>
      <c r="G3294" s="8">
        <f t="shared" si="103"/>
        <v>7.5039059999980964E-3</v>
      </c>
    </row>
    <row r="3295" spans="1:7" x14ac:dyDescent="0.25">
      <c r="A3295" s="8">
        <v>43</v>
      </c>
      <c r="B3295" s="8">
        <v>11</v>
      </c>
      <c r="C3295" s="8">
        <v>1645.7767329999999</v>
      </c>
      <c r="D3295" s="8">
        <v>40715.769530999998</v>
      </c>
      <c r="E3295" s="8">
        <v>40732.894530999998</v>
      </c>
      <c r="F3295" s="8">
        <f t="shared" si="102"/>
        <v>17.125</v>
      </c>
      <c r="G3295" s="8">
        <f t="shared" si="103"/>
        <v>1.7125000000000001E-2</v>
      </c>
    </row>
    <row r="3296" spans="1:7" x14ac:dyDescent="0.25">
      <c r="A3296" s="8">
        <v>43</v>
      </c>
      <c r="B3296" s="8">
        <v>12</v>
      </c>
      <c r="C3296" s="8">
        <v>2350.211914</v>
      </c>
      <c r="D3296" s="8">
        <v>42392.058594000002</v>
      </c>
      <c r="E3296" s="8">
        <v>42405.90625</v>
      </c>
      <c r="F3296" s="8">
        <f t="shared" si="102"/>
        <v>13.847655999998096</v>
      </c>
      <c r="G3296" s="8">
        <f t="shared" si="103"/>
        <v>1.3847655999998097E-2</v>
      </c>
    </row>
    <row r="3297" spans="1:7" x14ac:dyDescent="0.25">
      <c r="A3297" s="8">
        <v>43</v>
      </c>
      <c r="B3297" s="8">
        <v>13</v>
      </c>
      <c r="C3297" s="8">
        <v>2175.4313959999999</v>
      </c>
      <c r="D3297" s="8">
        <v>44756.257812999997</v>
      </c>
      <c r="E3297" s="8">
        <v>44773.367187999997</v>
      </c>
      <c r="F3297" s="8">
        <f t="shared" si="102"/>
        <v>17.109375</v>
      </c>
      <c r="G3297" s="8">
        <f t="shared" si="103"/>
        <v>1.7109375E-2</v>
      </c>
    </row>
    <row r="3298" spans="1:7" x14ac:dyDescent="0.25">
      <c r="A3298" s="8">
        <v>43</v>
      </c>
      <c r="B3298" s="8">
        <v>14</v>
      </c>
      <c r="C3298" s="8">
        <v>1113.578491</v>
      </c>
      <c r="D3298" s="8">
        <v>46954.050780999998</v>
      </c>
      <c r="E3298" s="8">
        <v>46970.6875</v>
      </c>
      <c r="F3298" s="8">
        <f t="shared" si="102"/>
        <v>16.636719000001904</v>
      </c>
      <c r="G3298" s="8">
        <f t="shared" si="103"/>
        <v>1.6636719000001902E-2</v>
      </c>
    </row>
    <row r="3299" spans="1:7" x14ac:dyDescent="0.25">
      <c r="A3299" s="8">
        <v>43</v>
      </c>
      <c r="B3299" s="8">
        <v>15</v>
      </c>
      <c r="C3299" s="8">
        <v>693.64514199999996</v>
      </c>
      <c r="D3299" s="8">
        <v>48095.492187999997</v>
      </c>
      <c r="E3299" s="8">
        <v>48104.433594000002</v>
      </c>
      <c r="F3299" s="8">
        <f t="shared" si="102"/>
        <v>8.9414060000053723</v>
      </c>
      <c r="G3299" s="8">
        <f t="shared" si="103"/>
        <v>8.9414060000053731E-3</v>
      </c>
    </row>
    <row r="3300" spans="1:7" x14ac:dyDescent="0.25">
      <c r="A3300" s="8">
        <v>43</v>
      </c>
      <c r="B3300" s="8">
        <v>16</v>
      </c>
      <c r="C3300" s="8">
        <v>286.55850199999998</v>
      </c>
      <c r="D3300" s="8">
        <v>48798.769530999998</v>
      </c>
      <c r="E3300" s="8">
        <v>48818.308594000002</v>
      </c>
      <c r="F3300" s="8">
        <f t="shared" si="102"/>
        <v>19.539063000003807</v>
      </c>
      <c r="G3300" s="8">
        <f t="shared" si="103"/>
        <v>1.9539063000003808E-2</v>
      </c>
    </row>
    <row r="3301" spans="1:7" x14ac:dyDescent="0.25">
      <c r="A3301" s="8">
        <v>43</v>
      </c>
      <c r="B3301" s="8">
        <v>17</v>
      </c>
      <c r="C3301" s="8">
        <v>119.33897399999999</v>
      </c>
      <c r="D3301" s="8">
        <v>49105.933594000002</v>
      </c>
      <c r="E3301" s="8">
        <v>49123.085937999997</v>
      </c>
      <c r="F3301" s="8">
        <f t="shared" si="102"/>
        <v>17.152343999994628</v>
      </c>
      <c r="G3301" s="8">
        <f t="shared" si="103"/>
        <v>1.7152343999994629E-2</v>
      </c>
    </row>
    <row r="3302" spans="1:7" x14ac:dyDescent="0.25">
      <c r="A3302" s="8">
        <v>43</v>
      </c>
      <c r="B3302" s="8">
        <v>18</v>
      </c>
      <c r="C3302" s="8">
        <v>350.47177099999999</v>
      </c>
      <c r="D3302" s="8">
        <v>49248.628905999998</v>
      </c>
      <c r="E3302" s="8">
        <v>49257.554687999997</v>
      </c>
      <c r="F3302" s="8">
        <f t="shared" si="102"/>
        <v>8.9257819999984349</v>
      </c>
      <c r="G3302" s="8">
        <f t="shared" si="103"/>
        <v>8.9257819999984354E-3</v>
      </c>
    </row>
    <row r="3303" spans="1:7" x14ac:dyDescent="0.25">
      <c r="A3303" s="8">
        <v>43</v>
      </c>
      <c r="B3303" s="8">
        <v>19</v>
      </c>
      <c r="C3303" s="8">
        <v>175.04956100000001</v>
      </c>
      <c r="D3303" s="8">
        <v>49608.085937999997</v>
      </c>
      <c r="E3303" s="8">
        <v>49616.789062999997</v>
      </c>
      <c r="F3303" s="8">
        <f t="shared" si="102"/>
        <v>8.703125</v>
      </c>
      <c r="G3303" s="8">
        <f t="shared" si="103"/>
        <v>8.7031250000000008E-3</v>
      </c>
    </row>
    <row r="3304" spans="1:7" x14ac:dyDescent="0.25">
      <c r="A3304" s="8">
        <v>43</v>
      </c>
      <c r="B3304" s="8">
        <v>20</v>
      </c>
      <c r="C3304" s="8">
        <v>1555.025024</v>
      </c>
      <c r="D3304" s="8">
        <v>49795.582030999998</v>
      </c>
      <c r="E3304" s="8">
        <v>49809.210937999997</v>
      </c>
      <c r="F3304" s="8">
        <f t="shared" si="102"/>
        <v>13.628906999998435</v>
      </c>
      <c r="G3304" s="8">
        <f t="shared" si="103"/>
        <v>1.3628906999998434E-2</v>
      </c>
    </row>
    <row r="3305" spans="1:7" x14ac:dyDescent="0.25">
      <c r="A3305" s="8">
        <v>43</v>
      </c>
      <c r="B3305" s="8">
        <v>21</v>
      </c>
      <c r="C3305" s="8">
        <v>527.93554700000004</v>
      </c>
      <c r="D3305" s="8">
        <v>51365.957030999998</v>
      </c>
      <c r="E3305" s="8">
        <v>51377.429687999997</v>
      </c>
      <c r="F3305" s="8">
        <f t="shared" si="102"/>
        <v>11.472656999998435</v>
      </c>
      <c r="G3305" s="8">
        <f t="shared" si="103"/>
        <v>1.1472656999998434E-2</v>
      </c>
    </row>
    <row r="3306" spans="1:7" x14ac:dyDescent="0.25">
      <c r="A3306" s="8">
        <v>43</v>
      </c>
      <c r="B3306" s="8">
        <v>22</v>
      </c>
      <c r="C3306" s="8">
        <v>593.36944600000004</v>
      </c>
      <c r="D3306" s="8">
        <v>51920.179687999997</v>
      </c>
      <c r="E3306" s="8">
        <v>51927.855469000002</v>
      </c>
      <c r="F3306" s="8">
        <f t="shared" si="102"/>
        <v>7.6757810000053723</v>
      </c>
      <c r="G3306" s="8">
        <f t="shared" si="103"/>
        <v>7.675781000005372E-3</v>
      </c>
    </row>
    <row r="3307" spans="1:7" x14ac:dyDescent="0.25">
      <c r="A3307" s="8">
        <v>43</v>
      </c>
      <c r="B3307" s="8">
        <v>23</v>
      </c>
      <c r="C3307" s="8">
        <v>1524.053467</v>
      </c>
      <c r="D3307" s="8">
        <v>52529.679687999997</v>
      </c>
      <c r="E3307" s="8">
        <v>52543.316405999998</v>
      </c>
      <c r="F3307" s="8">
        <f t="shared" si="102"/>
        <v>13.636718000001565</v>
      </c>
      <c r="G3307" s="8">
        <f t="shared" si="103"/>
        <v>1.3636718000001566E-2</v>
      </c>
    </row>
    <row r="3308" spans="1:7" x14ac:dyDescent="0.25">
      <c r="A3308" s="8">
        <v>43</v>
      </c>
      <c r="B3308" s="8">
        <v>24</v>
      </c>
      <c r="C3308" s="8">
        <v>458.27096599999999</v>
      </c>
      <c r="D3308" s="8">
        <v>54081.292969000002</v>
      </c>
      <c r="E3308" s="8">
        <v>54089.226562999997</v>
      </c>
      <c r="F3308" s="8">
        <f t="shared" si="102"/>
        <v>7.9335939999946277</v>
      </c>
      <c r="G3308" s="8">
        <f t="shared" si="103"/>
        <v>7.933593999994628E-3</v>
      </c>
    </row>
    <row r="3309" spans="1:7" x14ac:dyDescent="0.25">
      <c r="A3309" s="8">
        <v>43</v>
      </c>
      <c r="B3309" s="8">
        <v>25</v>
      </c>
      <c r="C3309" s="8">
        <v>1497.9381100000001</v>
      </c>
      <c r="D3309" s="8">
        <v>54550.40625</v>
      </c>
      <c r="E3309" s="8">
        <v>54563.820312999997</v>
      </c>
      <c r="F3309" s="8">
        <f t="shared" si="102"/>
        <v>13.414062999996531</v>
      </c>
      <c r="G3309" s="8">
        <f t="shared" si="103"/>
        <v>1.3414062999996531E-2</v>
      </c>
    </row>
    <row r="3310" spans="1:7" x14ac:dyDescent="0.25">
      <c r="A3310" s="8">
        <v>43</v>
      </c>
      <c r="B3310" s="8">
        <v>26</v>
      </c>
      <c r="C3310" s="8">
        <v>1503.237427</v>
      </c>
      <c r="D3310" s="8">
        <v>56066.226562999997</v>
      </c>
      <c r="E3310" s="8">
        <v>56077.535155999998</v>
      </c>
      <c r="F3310" s="8">
        <f t="shared" si="102"/>
        <v>11.308593000001565</v>
      </c>
      <c r="G3310" s="8">
        <f t="shared" si="103"/>
        <v>1.1308593000001565E-2</v>
      </c>
    </row>
    <row r="3311" spans="1:7" x14ac:dyDescent="0.25">
      <c r="A3311" s="8">
        <v>43</v>
      </c>
      <c r="B3311" s="8">
        <v>27</v>
      </c>
      <c r="C3311" s="8">
        <v>403.15969799999999</v>
      </c>
      <c r="D3311" s="8">
        <v>57585.785155999998</v>
      </c>
      <c r="E3311" s="8">
        <v>57594.617187999997</v>
      </c>
      <c r="F3311" s="8">
        <f t="shared" si="102"/>
        <v>8.8320319999984349</v>
      </c>
      <c r="G3311" s="8">
        <f t="shared" si="103"/>
        <v>8.8320319999984354E-3</v>
      </c>
    </row>
    <row r="3312" spans="1:7" x14ac:dyDescent="0.25">
      <c r="A3312" s="8">
        <v>43</v>
      </c>
      <c r="B3312" s="8">
        <v>28</v>
      </c>
      <c r="C3312" s="8">
        <v>117.78454600000001</v>
      </c>
      <c r="D3312" s="8">
        <v>58007.789062999997</v>
      </c>
      <c r="E3312" s="8">
        <v>58027.464844000002</v>
      </c>
      <c r="F3312" s="8">
        <f t="shared" si="102"/>
        <v>19.675781000005372</v>
      </c>
      <c r="G3312" s="8">
        <f t="shared" si="103"/>
        <v>1.9675781000005374E-2</v>
      </c>
    </row>
    <row r="3313" spans="1:7" x14ac:dyDescent="0.25">
      <c r="A3313" s="8">
        <v>43</v>
      </c>
      <c r="B3313" s="8">
        <v>29</v>
      </c>
      <c r="C3313" s="8">
        <v>8961.9501949999994</v>
      </c>
      <c r="D3313" s="8">
        <v>58148.460937999997</v>
      </c>
      <c r="E3313" s="8">
        <v>58164.601562999997</v>
      </c>
      <c r="F3313" s="8">
        <f t="shared" si="102"/>
        <v>16.140625</v>
      </c>
      <c r="G3313" s="8">
        <f t="shared" si="103"/>
        <v>1.6140624999999999E-2</v>
      </c>
    </row>
    <row r="3314" spans="1:7" x14ac:dyDescent="0.25">
      <c r="A3314" s="8">
        <v>43</v>
      </c>
      <c r="B3314" s="8">
        <v>30</v>
      </c>
      <c r="C3314" s="8">
        <v>3516.2407229999999</v>
      </c>
      <c r="D3314" s="8">
        <v>67138.171875</v>
      </c>
      <c r="E3314" s="8">
        <v>67150.679688000004</v>
      </c>
      <c r="F3314" s="8">
        <f t="shared" si="102"/>
        <v>12.507813000003807</v>
      </c>
      <c r="G3314" s="8">
        <f t="shared" si="103"/>
        <v>1.2507813000003807E-2</v>
      </c>
    </row>
    <row r="3315" spans="1:7" x14ac:dyDescent="0.25">
      <c r="A3315" s="8">
        <v>43</v>
      </c>
      <c r="B3315" s="8">
        <v>31</v>
      </c>
      <c r="C3315" s="8">
        <v>25.801313</v>
      </c>
      <c r="D3315" s="8">
        <v>70679.414063000004</v>
      </c>
      <c r="E3315" s="8">
        <v>70687.710938000004</v>
      </c>
      <c r="F3315" s="8">
        <f t="shared" si="102"/>
        <v>8.296875</v>
      </c>
      <c r="G3315" s="8">
        <f t="shared" si="103"/>
        <v>8.2968750000000004E-3</v>
      </c>
    </row>
    <row r="3316" spans="1:7" x14ac:dyDescent="0.25">
      <c r="A3316" s="8">
        <v>43</v>
      </c>
      <c r="B3316" s="8">
        <v>32</v>
      </c>
      <c r="C3316" s="8">
        <v>91.352065999999994</v>
      </c>
      <c r="D3316" s="8">
        <v>70726.1875</v>
      </c>
      <c r="E3316" s="8">
        <v>70740.234375</v>
      </c>
      <c r="F3316" s="8">
        <f t="shared" si="102"/>
        <v>14.046875</v>
      </c>
      <c r="G3316" s="8">
        <f t="shared" si="103"/>
        <v>1.4046875E-2</v>
      </c>
    </row>
    <row r="3317" spans="1:7" x14ac:dyDescent="0.25">
      <c r="A3317" s="8">
        <v>43</v>
      </c>
      <c r="B3317" s="8">
        <v>33</v>
      </c>
      <c r="C3317" s="8">
        <v>1859.588745</v>
      </c>
      <c r="D3317" s="8">
        <v>70835.671875</v>
      </c>
      <c r="E3317" s="8">
        <v>70855.984375</v>
      </c>
      <c r="F3317" s="8">
        <f t="shared" si="102"/>
        <v>20.3125</v>
      </c>
      <c r="G3317" s="8">
        <f t="shared" si="103"/>
        <v>2.0312500000000001E-2</v>
      </c>
    </row>
    <row r="3318" spans="1:7" x14ac:dyDescent="0.25">
      <c r="A3318" s="8">
        <v>43</v>
      </c>
      <c r="B3318" s="8">
        <v>34</v>
      </c>
      <c r="C3318" s="8">
        <v>444.35012799999998</v>
      </c>
      <c r="D3318" s="8">
        <v>72716.75</v>
      </c>
      <c r="E3318" s="8">
        <v>72744.484375</v>
      </c>
      <c r="F3318" s="8">
        <f t="shared" si="102"/>
        <v>27.734375</v>
      </c>
      <c r="G3318" s="8">
        <f t="shared" si="103"/>
        <v>2.7734374999999999E-2</v>
      </c>
    </row>
    <row r="3319" spans="1:7" x14ac:dyDescent="0.25">
      <c r="A3319" s="8">
        <v>43</v>
      </c>
      <c r="B3319" s="8">
        <v>35</v>
      </c>
      <c r="C3319" s="8">
        <v>880.01336700000002</v>
      </c>
      <c r="D3319" s="8">
        <v>73201.171875</v>
      </c>
      <c r="E3319" s="8">
        <v>73216.570313000004</v>
      </c>
      <c r="F3319" s="8">
        <f t="shared" si="102"/>
        <v>15.398438000003807</v>
      </c>
      <c r="G3319" s="8">
        <f t="shared" si="103"/>
        <v>1.5398438000003806E-2</v>
      </c>
    </row>
    <row r="3320" spans="1:7" x14ac:dyDescent="0.25">
      <c r="A3320" s="8">
        <v>43</v>
      </c>
      <c r="B3320" s="8">
        <v>36</v>
      </c>
      <c r="C3320" s="8">
        <v>635.69464100000005</v>
      </c>
      <c r="D3320" s="8">
        <v>74109.46875</v>
      </c>
      <c r="E3320" s="8">
        <v>74130.265625</v>
      </c>
      <c r="F3320" s="8">
        <f t="shared" si="102"/>
        <v>20.796875</v>
      </c>
      <c r="G3320" s="8">
        <f t="shared" si="103"/>
        <v>2.0796874999999999E-2</v>
      </c>
    </row>
    <row r="3321" spans="1:7" x14ac:dyDescent="0.25">
      <c r="A3321" s="8">
        <v>43</v>
      </c>
      <c r="B3321" s="8">
        <v>37</v>
      </c>
      <c r="C3321" s="8">
        <v>598.63189699999998</v>
      </c>
      <c r="D3321" s="8">
        <v>74773.90625</v>
      </c>
      <c r="E3321" s="8">
        <v>74795.65625</v>
      </c>
      <c r="F3321" s="8">
        <f t="shared" si="102"/>
        <v>21.75</v>
      </c>
      <c r="G3321" s="8">
        <f t="shared" si="103"/>
        <v>2.1749999999999999E-2</v>
      </c>
    </row>
    <row r="3322" spans="1:7" x14ac:dyDescent="0.25">
      <c r="A3322" s="8">
        <v>43</v>
      </c>
      <c r="B3322" s="8">
        <v>38</v>
      </c>
      <c r="C3322" s="8">
        <v>4784.2875979999999</v>
      </c>
      <c r="D3322" s="8">
        <v>75408.890625</v>
      </c>
      <c r="E3322" s="8">
        <v>75485.890625</v>
      </c>
      <c r="F3322" s="8">
        <f t="shared" si="102"/>
        <v>77</v>
      </c>
      <c r="G3322" s="8">
        <f t="shared" si="103"/>
        <v>7.6999999999999999E-2</v>
      </c>
    </row>
    <row r="3323" spans="1:7" x14ac:dyDescent="0.25">
      <c r="A3323" s="8">
        <v>43</v>
      </c>
      <c r="B3323" s="8">
        <v>39</v>
      </c>
      <c r="C3323" s="8">
        <v>413.64083900000003</v>
      </c>
      <c r="D3323" s="8">
        <v>80270.65625</v>
      </c>
      <c r="E3323" s="8">
        <v>80289.078125</v>
      </c>
      <c r="F3323" s="8">
        <f t="shared" si="102"/>
        <v>18.421875</v>
      </c>
      <c r="G3323" s="8">
        <f t="shared" si="103"/>
        <v>1.8421875000000001E-2</v>
      </c>
    </row>
    <row r="3324" spans="1:7" x14ac:dyDescent="0.25">
      <c r="A3324" s="8">
        <v>43</v>
      </c>
      <c r="B3324" s="8">
        <v>40</v>
      </c>
      <c r="C3324" s="8">
        <v>5.4396389999999997</v>
      </c>
      <c r="D3324" s="8">
        <v>80707.984375</v>
      </c>
      <c r="E3324" s="8">
        <v>80728.757813000004</v>
      </c>
      <c r="F3324" s="8">
        <f t="shared" si="102"/>
        <v>20.773438000003807</v>
      </c>
      <c r="G3324" s="8">
        <f t="shared" si="103"/>
        <v>2.0773438000003808E-2</v>
      </c>
    </row>
    <row r="3325" spans="1:7" x14ac:dyDescent="0.25">
      <c r="A3325" s="8">
        <v>43</v>
      </c>
      <c r="B3325" s="8">
        <v>41</v>
      </c>
      <c r="C3325" s="8">
        <v>209.52101099999999</v>
      </c>
      <c r="D3325" s="8">
        <v>80739.453125</v>
      </c>
      <c r="E3325" s="8">
        <v>80748.25</v>
      </c>
      <c r="F3325" s="8">
        <f t="shared" si="102"/>
        <v>8.796875</v>
      </c>
      <c r="G3325" s="8">
        <f t="shared" si="103"/>
        <v>8.7968749999999991E-3</v>
      </c>
    </row>
    <row r="3326" spans="1:7" x14ac:dyDescent="0.25">
      <c r="A3326" s="8">
        <v>43</v>
      </c>
      <c r="B3326" s="8">
        <v>42</v>
      </c>
      <c r="C3326" s="8">
        <v>412.06509399999999</v>
      </c>
      <c r="D3326" s="8">
        <v>80958.054688000004</v>
      </c>
      <c r="E3326" s="8">
        <v>80990.546875</v>
      </c>
      <c r="F3326" s="8">
        <f t="shared" si="102"/>
        <v>32.492186999996193</v>
      </c>
      <c r="G3326" s="8">
        <f t="shared" si="103"/>
        <v>3.2492186999996189E-2</v>
      </c>
    </row>
    <row r="3327" spans="1:7" x14ac:dyDescent="0.25">
      <c r="A3327" s="8">
        <v>43</v>
      </c>
      <c r="B3327" s="8">
        <v>43</v>
      </c>
      <c r="C3327" s="8">
        <v>614.17114300000003</v>
      </c>
      <c r="D3327" s="8">
        <v>81411.34375</v>
      </c>
      <c r="E3327" s="8">
        <v>81422.4375</v>
      </c>
      <c r="F3327" s="8">
        <f t="shared" si="102"/>
        <v>11.09375</v>
      </c>
      <c r="G3327" s="8">
        <f t="shared" si="103"/>
        <v>1.1093749999999999E-2</v>
      </c>
    </row>
    <row r="3328" spans="1:7" x14ac:dyDescent="0.25">
      <c r="A3328" s="8">
        <v>43</v>
      </c>
      <c r="B3328" s="8">
        <v>44</v>
      </c>
      <c r="C3328" s="8">
        <v>226.059326</v>
      </c>
      <c r="D3328" s="8">
        <v>82041.226563000004</v>
      </c>
      <c r="E3328" s="8">
        <v>82062.75</v>
      </c>
      <c r="F3328" s="8">
        <f t="shared" si="102"/>
        <v>21.523436999996193</v>
      </c>
      <c r="G3328" s="8">
        <f t="shared" si="103"/>
        <v>2.1523436999996193E-2</v>
      </c>
    </row>
    <row r="3329" spans="1:7" x14ac:dyDescent="0.25">
      <c r="A3329" s="8">
        <v>43</v>
      </c>
      <c r="B3329" s="8">
        <v>45</v>
      </c>
      <c r="C3329" s="8">
        <v>1694.168457</v>
      </c>
      <c r="D3329" s="8">
        <v>82292.203125</v>
      </c>
      <c r="E3329" s="8">
        <v>82303.820313000004</v>
      </c>
      <c r="F3329" s="8">
        <f t="shared" si="102"/>
        <v>11.617188000003807</v>
      </c>
      <c r="G3329" s="8">
        <f t="shared" si="103"/>
        <v>1.1617188000003806E-2</v>
      </c>
    </row>
    <row r="3330" spans="1:7" x14ac:dyDescent="0.25">
      <c r="A3330" s="8">
        <v>43</v>
      </c>
      <c r="B3330" s="8">
        <v>46</v>
      </c>
      <c r="C3330" s="8">
        <v>66.841498999999999</v>
      </c>
      <c r="D3330" s="8">
        <v>83999.898438000004</v>
      </c>
      <c r="E3330" s="8">
        <v>84009.203125</v>
      </c>
      <c r="F3330" s="8">
        <f t="shared" si="102"/>
        <v>9.3046869999961928</v>
      </c>
      <c r="G3330" s="8">
        <f t="shared" si="103"/>
        <v>9.304686999996193E-3</v>
      </c>
    </row>
    <row r="3331" spans="1:7" x14ac:dyDescent="0.25">
      <c r="A3331" s="8">
        <v>43</v>
      </c>
      <c r="B3331" s="8">
        <v>47</v>
      </c>
      <c r="C3331" s="8">
        <v>192.64781199999999</v>
      </c>
      <c r="D3331" s="8">
        <v>84077.976563000004</v>
      </c>
      <c r="E3331" s="8">
        <v>84099.078125</v>
      </c>
      <c r="F3331" s="8">
        <f t="shared" si="102"/>
        <v>21.101561999996193</v>
      </c>
      <c r="G3331" s="8">
        <f t="shared" si="103"/>
        <v>2.1101561999996191E-2</v>
      </c>
    </row>
    <row r="3332" spans="1:7" x14ac:dyDescent="0.25">
      <c r="A3332" s="8">
        <v>43</v>
      </c>
      <c r="B3332" s="8">
        <v>48</v>
      </c>
      <c r="C3332" s="8">
        <v>122.06192</v>
      </c>
      <c r="D3332" s="8">
        <v>84296.820313000004</v>
      </c>
      <c r="E3332" s="8">
        <v>84311.398438000004</v>
      </c>
      <c r="F3332" s="8">
        <f t="shared" si="102"/>
        <v>14.578125</v>
      </c>
      <c r="G3332" s="8">
        <f t="shared" si="103"/>
        <v>1.4578125000000001E-2</v>
      </c>
    </row>
    <row r="3333" spans="1:7" x14ac:dyDescent="0.25">
      <c r="A3333" s="8">
        <v>43</v>
      </c>
      <c r="B3333" s="8">
        <v>49</v>
      </c>
      <c r="C3333" s="8">
        <v>3210.4704590000001</v>
      </c>
      <c r="D3333" s="8">
        <v>84438.460938000004</v>
      </c>
      <c r="E3333" s="8">
        <v>84450.007813000004</v>
      </c>
      <c r="F3333" s="8">
        <f t="shared" si="102"/>
        <v>11.546875</v>
      </c>
      <c r="G3333" s="8">
        <f t="shared" si="103"/>
        <v>1.1546875E-2</v>
      </c>
    </row>
    <row r="3334" spans="1:7" x14ac:dyDescent="0.25">
      <c r="A3334" s="8">
        <v>43</v>
      </c>
      <c r="B3334" s="8">
        <v>50</v>
      </c>
      <c r="C3334" s="8">
        <v>5288.8247069999998</v>
      </c>
      <c r="D3334" s="8">
        <v>87661.414063000004</v>
      </c>
      <c r="E3334" s="8">
        <v>87668.96875</v>
      </c>
      <c r="F3334" s="8">
        <f t="shared" si="102"/>
        <v>7.5546869999961928</v>
      </c>
      <c r="G3334" s="8">
        <f t="shared" si="103"/>
        <v>7.5546869999961932E-3</v>
      </c>
    </row>
    <row r="3335" spans="1:7" x14ac:dyDescent="0.25">
      <c r="A3335" s="8">
        <v>43</v>
      </c>
      <c r="B3335" s="8">
        <v>51</v>
      </c>
      <c r="C3335" s="8">
        <v>356.51736499999998</v>
      </c>
      <c r="D3335" s="8">
        <v>92966.414063000004</v>
      </c>
      <c r="E3335" s="8">
        <v>92983.835938000004</v>
      </c>
      <c r="F3335" s="8">
        <f t="shared" si="102"/>
        <v>17.421875</v>
      </c>
      <c r="G3335" s="8">
        <f t="shared" si="103"/>
        <v>1.7421875E-2</v>
      </c>
    </row>
    <row r="3336" spans="1:7" x14ac:dyDescent="0.25">
      <c r="A3336" s="8">
        <v>43</v>
      </c>
      <c r="B3336" s="8">
        <v>52</v>
      </c>
      <c r="C3336" s="8">
        <v>149.43237300000001</v>
      </c>
      <c r="D3336" s="8">
        <v>93341.601563000004</v>
      </c>
      <c r="E3336" s="8">
        <v>93364.117188000004</v>
      </c>
      <c r="F3336" s="8">
        <f t="shared" si="102"/>
        <v>22.515625</v>
      </c>
      <c r="G3336" s="8">
        <f t="shared" si="103"/>
        <v>2.2515625000000001E-2</v>
      </c>
    </row>
    <row r="3337" spans="1:7" x14ac:dyDescent="0.25">
      <c r="A3337" s="8">
        <v>43</v>
      </c>
      <c r="B3337" s="8">
        <v>53</v>
      </c>
      <c r="C3337" s="8">
        <v>1649.5329589999999</v>
      </c>
      <c r="D3337" s="8">
        <v>93513.726563000004</v>
      </c>
      <c r="E3337" s="8">
        <v>93534.1875</v>
      </c>
      <c r="F3337" s="8">
        <f t="shared" si="102"/>
        <v>20.460936999996193</v>
      </c>
      <c r="G3337" s="8">
        <f t="shared" si="103"/>
        <v>2.0460936999996193E-2</v>
      </c>
    </row>
    <row r="3338" spans="1:7" x14ac:dyDescent="0.25">
      <c r="A3338" s="8">
        <v>43</v>
      </c>
      <c r="B3338" s="8">
        <v>54</v>
      </c>
      <c r="C3338" s="8">
        <v>3135.9016109999998</v>
      </c>
      <c r="D3338" s="8">
        <v>95197.179688000004</v>
      </c>
      <c r="E3338" s="8">
        <v>95205.09375</v>
      </c>
      <c r="F3338" s="8">
        <f t="shared" si="102"/>
        <v>7.9140619999961928</v>
      </c>
      <c r="G3338" s="8">
        <f t="shared" si="103"/>
        <v>7.9140619999961935E-3</v>
      </c>
    </row>
    <row r="3339" spans="1:7" x14ac:dyDescent="0.25">
      <c r="A3339" s="8">
        <v>43</v>
      </c>
      <c r="B3339" s="8">
        <v>55</v>
      </c>
      <c r="C3339" s="8">
        <v>1257.8735349999999</v>
      </c>
      <c r="D3339" s="8">
        <v>98347.671875</v>
      </c>
      <c r="E3339" s="8">
        <v>98358.914063000004</v>
      </c>
      <c r="F3339" s="8">
        <f t="shared" ref="F3339:F3402" si="104">E3339-D3339</f>
        <v>11.242188000003807</v>
      </c>
      <c r="G3339" s="8">
        <f t="shared" ref="G3339:G3402" si="105">F3339/1000</f>
        <v>1.1242188000003808E-2</v>
      </c>
    </row>
    <row r="3340" spans="1:7" x14ac:dyDescent="0.25">
      <c r="A3340" s="8">
        <v>43</v>
      </c>
      <c r="B3340" s="8">
        <v>56</v>
      </c>
      <c r="C3340" s="8">
        <v>1239.299438</v>
      </c>
      <c r="D3340" s="8">
        <v>99620.070313000004</v>
      </c>
      <c r="E3340" s="8">
        <v>99627.828125</v>
      </c>
      <c r="F3340" s="8">
        <f t="shared" si="104"/>
        <v>7.7578119999961928</v>
      </c>
      <c r="G3340" s="8">
        <f t="shared" si="105"/>
        <v>7.7578119999961925E-3</v>
      </c>
    </row>
    <row r="3341" spans="1:7" x14ac:dyDescent="0.25">
      <c r="A3341" s="8">
        <v>43</v>
      </c>
      <c r="B3341" s="8">
        <v>57</v>
      </c>
      <c r="C3341" s="8">
        <v>1672.6414789999999</v>
      </c>
      <c r="D3341" s="8">
        <v>100870.21875</v>
      </c>
      <c r="E3341" s="8">
        <v>100885.21875</v>
      </c>
      <c r="F3341" s="8">
        <f t="shared" si="104"/>
        <v>15</v>
      </c>
      <c r="G3341" s="8">
        <f t="shared" si="105"/>
        <v>1.4999999999999999E-2</v>
      </c>
    </row>
    <row r="3342" spans="1:7" x14ac:dyDescent="0.25">
      <c r="A3342" s="8">
        <v>43</v>
      </c>
      <c r="B3342" s="8">
        <v>58</v>
      </c>
      <c r="C3342" s="8">
        <v>48.684910000000002</v>
      </c>
      <c r="D3342" s="8">
        <v>102562.945313</v>
      </c>
      <c r="E3342" s="8">
        <v>102573.546875</v>
      </c>
      <c r="F3342" s="8">
        <f t="shared" si="104"/>
        <v>10.601561999996193</v>
      </c>
      <c r="G3342" s="8">
        <f t="shared" si="105"/>
        <v>1.0601561999996192E-2</v>
      </c>
    </row>
    <row r="3343" spans="1:7" x14ac:dyDescent="0.25">
      <c r="A3343" s="8">
        <v>43</v>
      </c>
      <c r="B3343" s="8">
        <v>59</v>
      </c>
      <c r="C3343" s="8">
        <v>2488.2963869999999</v>
      </c>
      <c r="D3343" s="8">
        <v>102625.453125</v>
      </c>
      <c r="E3343" s="8">
        <v>102643.304688</v>
      </c>
      <c r="F3343" s="8">
        <f t="shared" si="104"/>
        <v>17.851563000003807</v>
      </c>
      <c r="G3343" s="8">
        <f t="shared" si="105"/>
        <v>1.7851563000003807E-2</v>
      </c>
    </row>
    <row r="3344" spans="1:7" x14ac:dyDescent="0.25">
      <c r="A3344" s="8">
        <v>43</v>
      </c>
      <c r="B3344" s="8">
        <v>60</v>
      </c>
      <c r="C3344" s="8">
        <v>3697.3583979999999</v>
      </c>
      <c r="D3344" s="8">
        <v>105144.078125</v>
      </c>
      <c r="E3344" s="8">
        <v>105151.6875</v>
      </c>
      <c r="F3344" s="8">
        <f t="shared" si="104"/>
        <v>7.609375</v>
      </c>
      <c r="G3344" s="8">
        <f t="shared" si="105"/>
        <v>7.6093749999999998E-3</v>
      </c>
    </row>
    <row r="3345" spans="1:7" x14ac:dyDescent="0.25">
      <c r="A3345" s="8">
        <v>43</v>
      </c>
      <c r="B3345" s="8">
        <v>61</v>
      </c>
      <c r="C3345" s="8">
        <v>569.85809300000005</v>
      </c>
      <c r="D3345" s="8">
        <v>108860.617188</v>
      </c>
      <c r="E3345" s="8">
        <v>108885.140625</v>
      </c>
      <c r="F3345" s="8">
        <f t="shared" si="104"/>
        <v>24.523436999996193</v>
      </c>
      <c r="G3345" s="8">
        <f t="shared" si="105"/>
        <v>2.4523436999996193E-2</v>
      </c>
    </row>
    <row r="3346" spans="1:7" x14ac:dyDescent="0.25">
      <c r="A3346" s="8">
        <v>43</v>
      </c>
      <c r="B3346" s="8">
        <v>62</v>
      </c>
      <c r="C3346" s="8">
        <v>1.5875440000000001</v>
      </c>
      <c r="D3346" s="8">
        <v>109454.421875</v>
      </c>
      <c r="E3346" s="8">
        <v>109464.351563</v>
      </c>
      <c r="F3346" s="8">
        <f t="shared" si="104"/>
        <v>9.9296880000038072</v>
      </c>
      <c r="G3346" s="8">
        <f t="shared" si="105"/>
        <v>9.9296880000038067E-3</v>
      </c>
    </row>
    <row r="3347" spans="1:7" x14ac:dyDescent="0.25">
      <c r="A3347" s="8">
        <v>43</v>
      </c>
      <c r="B3347" s="8">
        <v>63</v>
      </c>
      <c r="C3347" s="8">
        <v>574.16412400000002</v>
      </c>
      <c r="D3347" s="8">
        <v>109470.03125</v>
      </c>
      <c r="E3347" s="8">
        <v>109498.210938</v>
      </c>
      <c r="F3347" s="8">
        <f t="shared" si="104"/>
        <v>28.179688000003807</v>
      </c>
      <c r="G3347" s="8">
        <f t="shared" si="105"/>
        <v>2.8179688000003807E-2</v>
      </c>
    </row>
    <row r="3348" spans="1:7" x14ac:dyDescent="0.25">
      <c r="A3348" s="8">
        <v>43</v>
      </c>
      <c r="B3348" s="8">
        <v>64</v>
      </c>
      <c r="C3348" s="8">
        <v>542.45269800000005</v>
      </c>
      <c r="D3348" s="8">
        <v>110080.234375</v>
      </c>
      <c r="E3348" s="8">
        <v>110098.171875</v>
      </c>
      <c r="F3348" s="8">
        <f t="shared" si="104"/>
        <v>17.9375</v>
      </c>
      <c r="G3348" s="8">
        <f t="shared" si="105"/>
        <v>1.7937499999999999E-2</v>
      </c>
    </row>
    <row r="3349" spans="1:7" x14ac:dyDescent="0.25">
      <c r="A3349" s="8">
        <v>43</v>
      </c>
      <c r="B3349" s="8">
        <v>65</v>
      </c>
      <c r="C3349" s="8">
        <v>3238.0107419999999</v>
      </c>
      <c r="D3349" s="8">
        <v>110642.859375</v>
      </c>
      <c r="E3349" s="8">
        <v>110663.164063</v>
      </c>
      <c r="F3349" s="8">
        <f t="shared" si="104"/>
        <v>20.304688000003807</v>
      </c>
      <c r="G3349" s="8">
        <f t="shared" si="105"/>
        <v>2.0304688000003807E-2</v>
      </c>
    </row>
    <row r="3350" spans="1:7" x14ac:dyDescent="0.25">
      <c r="A3350" s="8">
        <v>43</v>
      </c>
      <c r="B3350" s="8">
        <v>66</v>
      </c>
      <c r="C3350" s="8">
        <v>3554.8549800000001</v>
      </c>
      <c r="D3350" s="8">
        <v>113909.257813</v>
      </c>
      <c r="E3350" s="8">
        <v>113932.960938</v>
      </c>
      <c r="F3350" s="8">
        <f t="shared" si="104"/>
        <v>23.703125</v>
      </c>
      <c r="G3350" s="8">
        <f t="shared" si="105"/>
        <v>2.3703124999999999E-2</v>
      </c>
    </row>
    <row r="3351" spans="1:7" x14ac:dyDescent="0.25">
      <c r="A3351" s="8">
        <v>43</v>
      </c>
      <c r="B3351" s="8">
        <v>67</v>
      </c>
      <c r="C3351" s="8">
        <v>340.02639799999997</v>
      </c>
      <c r="D3351" s="8">
        <v>117488.734375</v>
      </c>
      <c r="E3351" s="8">
        <v>117517.304688</v>
      </c>
      <c r="F3351" s="8">
        <f t="shared" si="104"/>
        <v>28.570313000003807</v>
      </c>
      <c r="G3351" s="8">
        <f t="shared" si="105"/>
        <v>2.8570313000003806E-2</v>
      </c>
    </row>
    <row r="3352" spans="1:7" x14ac:dyDescent="0.25">
      <c r="A3352" s="8">
        <v>43</v>
      </c>
      <c r="B3352" s="8">
        <v>68</v>
      </c>
      <c r="C3352" s="8">
        <v>2452.195068</v>
      </c>
      <c r="D3352" s="8">
        <v>117869.140625</v>
      </c>
      <c r="E3352" s="8">
        <v>117890.03125</v>
      </c>
      <c r="F3352" s="8">
        <f t="shared" si="104"/>
        <v>20.890625</v>
      </c>
      <c r="G3352" s="8">
        <f t="shared" si="105"/>
        <v>2.0890624999999999E-2</v>
      </c>
    </row>
    <row r="3353" spans="1:7" x14ac:dyDescent="0.25">
      <c r="A3353" s="8">
        <v>43</v>
      </c>
      <c r="B3353" s="8">
        <v>69</v>
      </c>
      <c r="C3353" s="8">
        <v>2303.5185550000001</v>
      </c>
      <c r="D3353" s="8">
        <v>120343.53125</v>
      </c>
      <c r="E3353" s="8">
        <v>120357.640625</v>
      </c>
      <c r="F3353" s="8">
        <f t="shared" si="104"/>
        <v>14.109375</v>
      </c>
      <c r="G3353" s="8">
        <f t="shared" si="105"/>
        <v>1.4109375E-2</v>
      </c>
    </row>
    <row r="3354" spans="1:7" x14ac:dyDescent="0.25">
      <c r="A3354" s="8">
        <v>43</v>
      </c>
      <c r="B3354" s="8">
        <v>70</v>
      </c>
      <c r="C3354" s="8">
        <v>2737.436768</v>
      </c>
      <c r="D3354" s="8">
        <v>122674.070313</v>
      </c>
      <c r="E3354" s="8">
        <v>122694.875</v>
      </c>
      <c r="F3354" s="8">
        <f t="shared" si="104"/>
        <v>20.804686999996193</v>
      </c>
      <c r="G3354" s="8">
        <f t="shared" si="105"/>
        <v>2.0804686999996193E-2</v>
      </c>
    </row>
    <row r="3355" spans="1:7" x14ac:dyDescent="0.25">
      <c r="A3355" s="8">
        <v>43</v>
      </c>
      <c r="B3355" s="8">
        <v>71</v>
      </c>
      <c r="C3355" s="8">
        <v>1185.6944579999999</v>
      </c>
      <c r="D3355" s="8">
        <v>125439.742188</v>
      </c>
      <c r="E3355" s="8">
        <v>125451.570313</v>
      </c>
      <c r="F3355" s="8">
        <f t="shared" si="104"/>
        <v>11.828125</v>
      </c>
      <c r="G3355" s="8">
        <f t="shared" si="105"/>
        <v>1.1828125E-2</v>
      </c>
    </row>
    <row r="3356" spans="1:7" x14ac:dyDescent="0.25">
      <c r="A3356" s="8">
        <v>43</v>
      </c>
      <c r="B3356" s="8">
        <v>72</v>
      </c>
      <c r="C3356" s="8">
        <v>1730.6663820000001</v>
      </c>
      <c r="D3356" s="8">
        <v>126643.515625</v>
      </c>
      <c r="E3356" s="8">
        <v>126665.421875</v>
      </c>
      <c r="F3356" s="8">
        <f t="shared" si="104"/>
        <v>21.90625</v>
      </c>
      <c r="G3356" s="8">
        <f t="shared" si="105"/>
        <v>2.1906249999999999E-2</v>
      </c>
    </row>
    <row r="3357" spans="1:7" x14ac:dyDescent="0.25">
      <c r="A3357" s="8">
        <v>43</v>
      </c>
      <c r="B3357" s="8">
        <v>73</v>
      </c>
      <c r="C3357" s="8">
        <v>662.03643799999998</v>
      </c>
      <c r="D3357" s="8">
        <v>128410.46875</v>
      </c>
      <c r="E3357" s="8">
        <v>128419.21875</v>
      </c>
      <c r="F3357" s="8">
        <f t="shared" si="104"/>
        <v>8.75</v>
      </c>
      <c r="G3357" s="8">
        <f t="shared" si="105"/>
        <v>8.7500000000000008E-3</v>
      </c>
    </row>
    <row r="3358" spans="1:7" x14ac:dyDescent="0.25">
      <c r="A3358" s="8">
        <v>43</v>
      </c>
      <c r="B3358" s="8">
        <v>74</v>
      </c>
      <c r="C3358" s="8">
        <v>6063.9941410000001</v>
      </c>
      <c r="D3358" s="8">
        <v>129082.585938</v>
      </c>
      <c r="E3358" s="8">
        <v>129104.53125</v>
      </c>
      <c r="F3358" s="8">
        <f t="shared" si="104"/>
        <v>21.945311999996193</v>
      </c>
      <c r="G3358" s="8">
        <f t="shared" si="105"/>
        <v>2.1945311999996192E-2</v>
      </c>
    </row>
    <row r="3359" spans="1:7" x14ac:dyDescent="0.25">
      <c r="A3359" s="8">
        <v>43</v>
      </c>
      <c r="B3359" s="8">
        <v>75</v>
      </c>
      <c r="C3359" s="8">
        <v>4401.4804690000001</v>
      </c>
      <c r="D3359" s="8">
        <v>135178.890625</v>
      </c>
      <c r="E3359" s="8">
        <v>135235.6875</v>
      </c>
      <c r="F3359" s="8">
        <f t="shared" si="104"/>
        <v>56.796875</v>
      </c>
      <c r="G3359" s="8">
        <f t="shared" si="105"/>
        <v>5.6796874999999997E-2</v>
      </c>
    </row>
    <row r="3360" spans="1:7" x14ac:dyDescent="0.25">
      <c r="A3360" s="8">
        <v>43</v>
      </c>
      <c r="B3360" s="8">
        <v>76</v>
      </c>
      <c r="C3360" s="8">
        <v>4405.8955079999996</v>
      </c>
      <c r="D3360" s="8">
        <v>139647.15625</v>
      </c>
      <c r="E3360" s="8">
        <v>139672.375</v>
      </c>
      <c r="F3360" s="8">
        <f t="shared" si="104"/>
        <v>25.21875</v>
      </c>
      <c r="G3360" s="8">
        <f t="shared" si="105"/>
        <v>2.5218750000000002E-2</v>
      </c>
    </row>
    <row r="3361" spans="1:7" x14ac:dyDescent="0.25">
      <c r="A3361" s="8">
        <v>43</v>
      </c>
      <c r="B3361" s="8">
        <v>77</v>
      </c>
      <c r="C3361" s="8">
        <v>8566.9902340000008</v>
      </c>
      <c r="D3361" s="8">
        <v>144088.078125</v>
      </c>
      <c r="E3361" s="8">
        <v>144101.9375</v>
      </c>
      <c r="F3361" s="8">
        <f t="shared" si="104"/>
        <v>13.859375</v>
      </c>
      <c r="G3361" s="8">
        <f t="shared" si="105"/>
        <v>1.3859375E-2</v>
      </c>
    </row>
    <row r="3362" spans="1:7" x14ac:dyDescent="0.25">
      <c r="A3362" s="8">
        <v>43</v>
      </c>
      <c r="B3362" s="8">
        <v>78</v>
      </c>
      <c r="C3362" s="8">
        <v>704.55377199999998</v>
      </c>
      <c r="D3362" s="8">
        <v>152672.140625</v>
      </c>
      <c r="E3362" s="8">
        <v>152703.234375</v>
      </c>
      <c r="F3362" s="8">
        <f t="shared" si="104"/>
        <v>31.09375</v>
      </c>
      <c r="G3362" s="8">
        <f t="shared" si="105"/>
        <v>3.109375E-2</v>
      </c>
    </row>
    <row r="3363" spans="1:7" x14ac:dyDescent="0.25">
      <c r="A3363" s="8">
        <v>43</v>
      </c>
      <c r="B3363" s="8">
        <v>79</v>
      </c>
      <c r="C3363" s="8">
        <v>966.29083300000002</v>
      </c>
      <c r="D3363" s="8">
        <v>153422.03125</v>
      </c>
      <c r="E3363" s="8">
        <v>153446.109375</v>
      </c>
      <c r="F3363" s="8">
        <f t="shared" si="104"/>
        <v>24.078125</v>
      </c>
      <c r="G3363" s="8">
        <f t="shared" si="105"/>
        <v>2.4078124999999999E-2</v>
      </c>
    </row>
    <row r="3364" spans="1:7" x14ac:dyDescent="0.25">
      <c r="A3364" s="8">
        <v>43</v>
      </c>
      <c r="B3364" s="8">
        <v>80</v>
      </c>
      <c r="C3364" s="8">
        <v>225.99099699999999</v>
      </c>
      <c r="D3364" s="8">
        <v>154422.21875</v>
      </c>
      <c r="E3364" s="8">
        <v>154431.875</v>
      </c>
      <c r="F3364" s="8">
        <f t="shared" si="104"/>
        <v>9.65625</v>
      </c>
      <c r="G3364" s="8">
        <f t="shared" si="105"/>
        <v>9.6562499999999999E-3</v>
      </c>
    </row>
    <row r="3365" spans="1:7" x14ac:dyDescent="0.25">
      <c r="A3365" s="8">
        <v>43</v>
      </c>
      <c r="B3365" s="8">
        <v>81</v>
      </c>
      <c r="C3365" s="8">
        <v>942.38909899999999</v>
      </c>
      <c r="D3365" s="8">
        <v>154671.984375</v>
      </c>
      <c r="E3365" s="8">
        <v>154688.453125</v>
      </c>
      <c r="F3365" s="8">
        <f t="shared" si="104"/>
        <v>16.46875</v>
      </c>
      <c r="G3365" s="8">
        <f t="shared" si="105"/>
        <v>1.6468750000000001E-2</v>
      </c>
    </row>
    <row r="3366" spans="1:7" x14ac:dyDescent="0.25">
      <c r="A3366" s="8">
        <v>43</v>
      </c>
      <c r="B3366" s="8">
        <v>82</v>
      </c>
      <c r="C3366" s="8">
        <v>1770.799683</v>
      </c>
      <c r="D3366" s="8">
        <v>155641.109375</v>
      </c>
      <c r="E3366" s="8">
        <v>155661.15625</v>
      </c>
      <c r="F3366" s="8">
        <f t="shared" si="104"/>
        <v>20.046875</v>
      </c>
      <c r="G3366" s="8">
        <f t="shared" si="105"/>
        <v>2.0046874999999999E-2</v>
      </c>
    </row>
    <row r="3367" spans="1:7" x14ac:dyDescent="0.25">
      <c r="A3367" s="8">
        <v>43</v>
      </c>
      <c r="B3367" s="8">
        <v>83</v>
      </c>
      <c r="C3367" s="8">
        <v>963.42340100000001</v>
      </c>
      <c r="D3367" s="8">
        <v>157438.171875</v>
      </c>
      <c r="E3367" s="8">
        <v>157462.90625</v>
      </c>
      <c r="F3367" s="8">
        <f t="shared" si="104"/>
        <v>24.734375</v>
      </c>
      <c r="G3367" s="8">
        <f t="shared" si="105"/>
        <v>2.4734374999999999E-2</v>
      </c>
    </row>
    <row r="3368" spans="1:7" x14ac:dyDescent="0.25">
      <c r="A3368" s="8">
        <v>43</v>
      </c>
      <c r="B3368" s="8">
        <v>84</v>
      </c>
      <c r="C3368" s="8">
        <v>2800.3076169999999</v>
      </c>
      <c r="D3368" s="8">
        <v>158438.21875</v>
      </c>
      <c r="E3368" s="8">
        <v>158460.359375</v>
      </c>
      <c r="F3368" s="8">
        <f t="shared" si="104"/>
        <v>22.140625</v>
      </c>
      <c r="G3368" s="8">
        <f t="shared" si="105"/>
        <v>2.2140625000000001E-2</v>
      </c>
    </row>
    <row r="3369" spans="1:7" x14ac:dyDescent="0.25">
      <c r="A3369" s="8">
        <v>43</v>
      </c>
      <c r="B3369" s="8">
        <v>85</v>
      </c>
      <c r="C3369" s="8">
        <v>2668.818115</v>
      </c>
      <c r="D3369" s="8">
        <v>161267.640625</v>
      </c>
      <c r="E3369" s="8">
        <v>161297.171875</v>
      </c>
      <c r="F3369" s="8">
        <f t="shared" si="104"/>
        <v>29.53125</v>
      </c>
      <c r="G3369" s="8">
        <f t="shared" si="105"/>
        <v>2.9531249999999998E-2</v>
      </c>
    </row>
    <row r="3370" spans="1:7" x14ac:dyDescent="0.25">
      <c r="A3370" s="8">
        <v>43</v>
      </c>
      <c r="B3370" s="8">
        <v>86</v>
      </c>
      <c r="C3370" s="8">
        <v>4718.6215819999998</v>
      </c>
      <c r="D3370" s="8">
        <v>163971.421875</v>
      </c>
      <c r="E3370" s="8">
        <v>163985.6875</v>
      </c>
      <c r="F3370" s="8">
        <f t="shared" si="104"/>
        <v>14.265625</v>
      </c>
      <c r="G3370" s="8">
        <f t="shared" si="105"/>
        <v>1.4265625000000001E-2</v>
      </c>
    </row>
    <row r="3371" spans="1:7" x14ac:dyDescent="0.25">
      <c r="A3371" s="8">
        <v>43</v>
      </c>
      <c r="B3371" s="8">
        <v>87</v>
      </c>
      <c r="C3371" s="8">
        <v>763.223389</v>
      </c>
      <c r="D3371" s="8">
        <v>168716.234375</v>
      </c>
      <c r="E3371" s="8">
        <v>168729.28125</v>
      </c>
      <c r="F3371" s="8">
        <f t="shared" si="104"/>
        <v>13.046875</v>
      </c>
      <c r="G3371" s="8">
        <f t="shared" si="105"/>
        <v>1.3046874999999999E-2</v>
      </c>
    </row>
    <row r="3372" spans="1:7" x14ac:dyDescent="0.25">
      <c r="A3372" s="8">
        <v>43</v>
      </c>
      <c r="B3372" s="8">
        <v>88</v>
      </c>
      <c r="C3372" s="8">
        <v>11.262477000000001</v>
      </c>
      <c r="D3372" s="8">
        <v>169501.640625</v>
      </c>
      <c r="E3372" s="8">
        <v>169521.046875</v>
      </c>
      <c r="F3372" s="8">
        <f t="shared" si="104"/>
        <v>19.40625</v>
      </c>
      <c r="G3372" s="8">
        <f t="shared" si="105"/>
        <v>1.940625E-2</v>
      </c>
    </row>
    <row r="3373" spans="1:7" x14ac:dyDescent="0.25">
      <c r="A3373" s="8">
        <v>43</v>
      </c>
      <c r="B3373" s="8">
        <v>89</v>
      </c>
      <c r="C3373" s="8">
        <v>2015.3739009999999</v>
      </c>
      <c r="D3373" s="8">
        <v>169532.859375</v>
      </c>
      <c r="E3373" s="8">
        <v>169544.296875</v>
      </c>
      <c r="F3373" s="8">
        <f t="shared" si="104"/>
        <v>11.4375</v>
      </c>
      <c r="G3373" s="8">
        <f t="shared" si="105"/>
        <v>1.14375E-2</v>
      </c>
    </row>
    <row r="3374" spans="1:7" x14ac:dyDescent="0.25">
      <c r="A3374" s="8">
        <v>44</v>
      </c>
      <c r="B3374" s="8">
        <v>0</v>
      </c>
      <c r="C3374" s="8">
        <v>2279.1430660000001</v>
      </c>
      <c r="D3374" s="8">
        <v>21047.410156000002</v>
      </c>
      <c r="E3374" s="8">
        <v>21069.828125</v>
      </c>
      <c r="F3374" s="8">
        <f t="shared" si="104"/>
        <v>22.417968999998266</v>
      </c>
      <c r="G3374" s="8">
        <f t="shared" si="105"/>
        <v>2.2417968999998265E-2</v>
      </c>
    </row>
    <row r="3375" spans="1:7" x14ac:dyDescent="0.25">
      <c r="A3375" s="8">
        <v>44</v>
      </c>
      <c r="B3375" s="8">
        <v>1</v>
      </c>
      <c r="C3375" s="8">
        <v>3253.1657709999999</v>
      </c>
      <c r="D3375" s="8">
        <v>23362.90625</v>
      </c>
      <c r="E3375" s="8">
        <v>23376.755859000001</v>
      </c>
      <c r="F3375" s="8">
        <f t="shared" si="104"/>
        <v>13.849609000000783</v>
      </c>
      <c r="G3375" s="8">
        <f t="shared" si="105"/>
        <v>1.3849609000000783E-2</v>
      </c>
    </row>
    <row r="3376" spans="1:7" x14ac:dyDescent="0.25">
      <c r="A3376" s="8">
        <v>44</v>
      </c>
      <c r="B3376" s="8">
        <v>2</v>
      </c>
      <c r="C3376" s="8">
        <v>616.66210899999999</v>
      </c>
      <c r="D3376" s="8">
        <v>26633.710938</v>
      </c>
      <c r="E3376" s="8">
        <v>26651.855468999998</v>
      </c>
      <c r="F3376" s="8">
        <f t="shared" si="104"/>
        <v>18.144530999998096</v>
      </c>
      <c r="G3376" s="8">
        <f t="shared" si="105"/>
        <v>1.8144530999998097E-2</v>
      </c>
    </row>
    <row r="3377" spans="1:7" x14ac:dyDescent="0.25">
      <c r="A3377" s="8">
        <v>44</v>
      </c>
      <c r="B3377" s="8">
        <v>3</v>
      </c>
      <c r="C3377" s="8">
        <v>600.03222700000003</v>
      </c>
      <c r="D3377" s="8">
        <v>27274.402343999998</v>
      </c>
      <c r="E3377" s="8">
        <v>27290.9375</v>
      </c>
      <c r="F3377" s="8">
        <f t="shared" si="104"/>
        <v>16.535156000001734</v>
      </c>
      <c r="G3377" s="8">
        <f t="shared" si="105"/>
        <v>1.6535156000001733E-2</v>
      </c>
    </row>
    <row r="3378" spans="1:7" x14ac:dyDescent="0.25">
      <c r="A3378" s="8">
        <v>44</v>
      </c>
      <c r="B3378" s="8">
        <v>4</v>
      </c>
      <c r="C3378" s="8">
        <v>24.194320999999999</v>
      </c>
      <c r="D3378" s="8">
        <v>27900.289063</v>
      </c>
      <c r="E3378" s="8">
        <v>27919.746093999998</v>
      </c>
      <c r="F3378" s="8">
        <f t="shared" si="104"/>
        <v>19.457030999998096</v>
      </c>
      <c r="G3378" s="8">
        <f t="shared" si="105"/>
        <v>1.9457030999998095E-2</v>
      </c>
    </row>
    <row r="3379" spans="1:7" x14ac:dyDescent="0.25">
      <c r="A3379" s="8">
        <v>44</v>
      </c>
      <c r="B3379" s="8">
        <v>5</v>
      </c>
      <c r="C3379" s="8">
        <v>1122.545654</v>
      </c>
      <c r="D3379" s="8">
        <v>27947.167968999998</v>
      </c>
      <c r="E3379" s="8">
        <v>27965.675781000002</v>
      </c>
      <c r="F3379" s="8">
        <f t="shared" si="104"/>
        <v>18.507812000003469</v>
      </c>
      <c r="G3379" s="8">
        <f t="shared" si="105"/>
        <v>1.8507812000003468E-2</v>
      </c>
    </row>
    <row r="3380" spans="1:7" x14ac:dyDescent="0.25">
      <c r="A3380" s="8">
        <v>44</v>
      </c>
      <c r="B3380" s="8">
        <v>6</v>
      </c>
      <c r="C3380" s="8">
        <v>21.909838000000001</v>
      </c>
      <c r="D3380" s="8">
        <v>29090.234375</v>
      </c>
      <c r="E3380" s="8">
        <v>29105.271484000001</v>
      </c>
      <c r="F3380" s="8">
        <f t="shared" si="104"/>
        <v>15.037109000000783</v>
      </c>
      <c r="G3380" s="8">
        <f t="shared" si="105"/>
        <v>1.5037109000000782E-2</v>
      </c>
    </row>
    <row r="3381" spans="1:7" x14ac:dyDescent="0.25">
      <c r="A3381" s="8">
        <v>44</v>
      </c>
      <c r="B3381" s="8">
        <v>7</v>
      </c>
      <c r="C3381" s="8">
        <v>2278.1896969999998</v>
      </c>
      <c r="D3381" s="8">
        <v>29137.048827999999</v>
      </c>
      <c r="E3381" s="8">
        <v>29147.734375</v>
      </c>
      <c r="F3381" s="8">
        <f t="shared" si="104"/>
        <v>10.685547000000952</v>
      </c>
      <c r="G3381" s="8">
        <f t="shared" si="105"/>
        <v>1.0685547000000952E-2</v>
      </c>
    </row>
    <row r="3382" spans="1:7" x14ac:dyDescent="0.25">
      <c r="A3382" s="8">
        <v>44</v>
      </c>
      <c r="B3382" s="8">
        <v>8</v>
      </c>
      <c r="C3382" s="8">
        <v>420.93496699999997</v>
      </c>
      <c r="D3382" s="8">
        <v>31440.996093999998</v>
      </c>
      <c r="E3382" s="8">
        <v>31468.78125</v>
      </c>
      <c r="F3382" s="8">
        <f t="shared" si="104"/>
        <v>27.785156000001734</v>
      </c>
      <c r="G3382" s="8">
        <f t="shared" si="105"/>
        <v>2.7785156000001733E-2</v>
      </c>
    </row>
    <row r="3383" spans="1:7" x14ac:dyDescent="0.25">
      <c r="A3383" s="8">
        <v>44</v>
      </c>
      <c r="B3383" s="8">
        <v>9</v>
      </c>
      <c r="C3383" s="8">
        <v>831.79113800000005</v>
      </c>
      <c r="D3383" s="8">
        <v>31894.960938</v>
      </c>
      <c r="E3383" s="8">
        <v>31912.744140999999</v>
      </c>
      <c r="F3383" s="8">
        <f t="shared" si="104"/>
        <v>17.783202999999048</v>
      </c>
      <c r="G3383" s="8">
        <f t="shared" si="105"/>
        <v>1.7783202999999047E-2</v>
      </c>
    </row>
    <row r="3384" spans="1:7" x14ac:dyDescent="0.25">
      <c r="A3384" s="8">
        <v>44</v>
      </c>
      <c r="B3384" s="8">
        <v>10</v>
      </c>
      <c r="C3384" s="8">
        <v>2130.6547850000002</v>
      </c>
      <c r="D3384" s="8">
        <v>32754.478515999999</v>
      </c>
      <c r="E3384" s="8">
        <v>32770.875</v>
      </c>
      <c r="F3384" s="8">
        <f t="shared" si="104"/>
        <v>16.396484000000783</v>
      </c>
      <c r="G3384" s="8">
        <f t="shared" si="105"/>
        <v>1.6396484000000783E-2</v>
      </c>
    </row>
    <row r="3385" spans="1:7" x14ac:dyDescent="0.25">
      <c r="A3385" s="8">
        <v>44</v>
      </c>
      <c r="B3385" s="8">
        <v>11</v>
      </c>
      <c r="C3385" s="8">
        <v>1343.719482</v>
      </c>
      <c r="D3385" s="8">
        <v>34905.03125</v>
      </c>
      <c r="E3385" s="8">
        <v>34926.464844000002</v>
      </c>
      <c r="F3385" s="8">
        <f t="shared" si="104"/>
        <v>21.433594000001904</v>
      </c>
      <c r="G3385" s="8">
        <f t="shared" si="105"/>
        <v>2.1433594000001905E-2</v>
      </c>
    </row>
    <row r="3386" spans="1:7" x14ac:dyDescent="0.25">
      <c r="A3386" s="8">
        <v>44</v>
      </c>
      <c r="B3386" s="8">
        <v>12</v>
      </c>
      <c r="C3386" s="8">
        <v>4910.3408200000003</v>
      </c>
      <c r="D3386" s="8">
        <v>36280.246094000002</v>
      </c>
      <c r="E3386" s="8">
        <v>36287.925780999998</v>
      </c>
      <c r="F3386" s="8">
        <f t="shared" si="104"/>
        <v>7.6796869999961928</v>
      </c>
      <c r="G3386" s="8">
        <f t="shared" si="105"/>
        <v>7.6796869999961924E-3</v>
      </c>
    </row>
    <row r="3387" spans="1:7" x14ac:dyDescent="0.25">
      <c r="A3387" s="8">
        <v>44</v>
      </c>
      <c r="B3387" s="8">
        <v>13</v>
      </c>
      <c r="C3387" s="8">
        <v>1676.8720699999999</v>
      </c>
      <c r="D3387" s="8">
        <v>41200.144530999998</v>
      </c>
      <c r="E3387" s="8">
        <v>41214.285155999998</v>
      </c>
      <c r="F3387" s="8">
        <f t="shared" si="104"/>
        <v>14.140625</v>
      </c>
      <c r="G3387" s="8">
        <f t="shared" si="105"/>
        <v>1.4140625E-2</v>
      </c>
    </row>
    <row r="3388" spans="1:7" x14ac:dyDescent="0.25">
      <c r="A3388" s="8">
        <v>44</v>
      </c>
      <c r="B3388" s="8">
        <v>14</v>
      </c>
      <c r="C3388" s="8">
        <v>446.256531</v>
      </c>
      <c r="D3388" s="8">
        <v>42892.699219000002</v>
      </c>
      <c r="E3388" s="8">
        <v>42913.613280999998</v>
      </c>
      <c r="F3388" s="8">
        <f t="shared" si="104"/>
        <v>20.914061999996193</v>
      </c>
      <c r="G3388" s="8">
        <f t="shared" si="105"/>
        <v>2.0914061999996191E-2</v>
      </c>
    </row>
    <row r="3389" spans="1:7" x14ac:dyDescent="0.25">
      <c r="A3389" s="8">
        <v>44</v>
      </c>
      <c r="B3389" s="8">
        <v>15</v>
      </c>
      <c r="C3389" s="8">
        <v>4454.548828</v>
      </c>
      <c r="D3389" s="8">
        <v>43365.484375</v>
      </c>
      <c r="E3389" s="8">
        <v>43386.449219000002</v>
      </c>
      <c r="F3389" s="8">
        <f t="shared" si="104"/>
        <v>20.964844000001904</v>
      </c>
      <c r="G3389" s="8">
        <f t="shared" si="105"/>
        <v>2.0964844000001905E-2</v>
      </c>
    </row>
    <row r="3390" spans="1:7" x14ac:dyDescent="0.25">
      <c r="A3390" s="8">
        <v>44</v>
      </c>
      <c r="B3390" s="8">
        <v>16</v>
      </c>
      <c r="C3390" s="8">
        <v>1176.6601559999999</v>
      </c>
      <c r="D3390" s="8">
        <v>47844.765625</v>
      </c>
      <c r="E3390" s="8">
        <v>47918.824219000002</v>
      </c>
      <c r="F3390" s="8">
        <f t="shared" si="104"/>
        <v>74.058594000001904</v>
      </c>
      <c r="G3390" s="8">
        <f t="shared" si="105"/>
        <v>7.4058594000001907E-2</v>
      </c>
    </row>
    <row r="3391" spans="1:7" x14ac:dyDescent="0.25">
      <c r="A3391" s="8">
        <v>44</v>
      </c>
      <c r="B3391" s="8">
        <v>17</v>
      </c>
      <c r="C3391" s="8">
        <v>468.65976000000001</v>
      </c>
      <c r="D3391" s="8">
        <v>49105.925780999998</v>
      </c>
      <c r="E3391" s="8">
        <v>49117.238280999998</v>
      </c>
      <c r="F3391" s="8">
        <f t="shared" si="104"/>
        <v>11.3125</v>
      </c>
      <c r="G3391" s="8">
        <f t="shared" si="105"/>
        <v>1.13125E-2</v>
      </c>
    </row>
    <row r="3392" spans="1:7" x14ac:dyDescent="0.25">
      <c r="A3392" s="8">
        <v>44</v>
      </c>
      <c r="B3392" s="8">
        <v>18</v>
      </c>
      <c r="C3392" s="8">
        <v>505.490906</v>
      </c>
      <c r="D3392" s="8">
        <v>49592.378905999998</v>
      </c>
      <c r="E3392" s="8">
        <v>49603.589844000002</v>
      </c>
      <c r="F3392" s="8">
        <f t="shared" si="104"/>
        <v>11.210938000003807</v>
      </c>
      <c r="G3392" s="8">
        <f t="shared" si="105"/>
        <v>1.1210938000003808E-2</v>
      </c>
    </row>
    <row r="3393" spans="1:7" x14ac:dyDescent="0.25">
      <c r="A3393" s="8">
        <v>44</v>
      </c>
      <c r="B3393" s="8">
        <v>19</v>
      </c>
      <c r="C3393" s="8">
        <v>83.572677999999996</v>
      </c>
      <c r="D3393" s="8">
        <v>50112.164062999997</v>
      </c>
      <c r="E3393" s="8">
        <v>50132.972655999998</v>
      </c>
      <c r="F3393" s="8">
        <f t="shared" si="104"/>
        <v>20.808593000001565</v>
      </c>
      <c r="G3393" s="8">
        <f t="shared" si="105"/>
        <v>2.0808593000001565E-2</v>
      </c>
    </row>
    <row r="3394" spans="1:7" x14ac:dyDescent="0.25">
      <c r="A3394" s="8">
        <v>44</v>
      </c>
      <c r="B3394" s="8">
        <v>20</v>
      </c>
      <c r="C3394" s="8">
        <v>349.16314699999998</v>
      </c>
      <c r="D3394" s="8">
        <v>50221.546875</v>
      </c>
      <c r="E3394" s="8">
        <v>50229.28125</v>
      </c>
      <c r="F3394" s="8">
        <f t="shared" si="104"/>
        <v>7.734375</v>
      </c>
      <c r="G3394" s="8">
        <f t="shared" si="105"/>
        <v>7.7343749999999999E-3</v>
      </c>
    </row>
    <row r="3395" spans="1:7" x14ac:dyDescent="0.25">
      <c r="A3395" s="8">
        <v>44</v>
      </c>
      <c r="B3395" s="8">
        <v>21</v>
      </c>
      <c r="C3395" s="8">
        <v>260.17739899999998</v>
      </c>
      <c r="D3395" s="8">
        <v>50580.964844000002</v>
      </c>
      <c r="E3395" s="8">
        <v>50597.957030999998</v>
      </c>
      <c r="F3395" s="8">
        <f t="shared" si="104"/>
        <v>16.992186999996193</v>
      </c>
      <c r="G3395" s="8">
        <f t="shared" si="105"/>
        <v>1.6992186999996193E-2</v>
      </c>
    </row>
    <row r="3396" spans="1:7" x14ac:dyDescent="0.25">
      <c r="A3396" s="8">
        <v>44</v>
      </c>
      <c r="B3396" s="8">
        <v>22</v>
      </c>
      <c r="C3396" s="8">
        <v>2223.2729490000002</v>
      </c>
      <c r="D3396" s="8">
        <v>50862.257812999997</v>
      </c>
      <c r="E3396" s="8">
        <v>50888.347655999998</v>
      </c>
      <c r="F3396" s="8">
        <f t="shared" si="104"/>
        <v>26.089843000001565</v>
      </c>
      <c r="G3396" s="8">
        <f t="shared" si="105"/>
        <v>2.6089843000001566E-2</v>
      </c>
    </row>
    <row r="3397" spans="1:7" x14ac:dyDescent="0.25">
      <c r="A3397" s="8">
        <v>44</v>
      </c>
      <c r="B3397" s="8">
        <v>23</v>
      </c>
      <c r="C3397" s="8">
        <v>85.610184000000004</v>
      </c>
      <c r="D3397" s="8">
        <v>53123.527344000002</v>
      </c>
      <c r="E3397" s="8">
        <v>53149.902344000002</v>
      </c>
      <c r="F3397" s="8">
        <f t="shared" si="104"/>
        <v>26.375</v>
      </c>
      <c r="G3397" s="8">
        <f t="shared" si="105"/>
        <v>2.6374999999999999E-2</v>
      </c>
    </row>
    <row r="3398" spans="1:7" x14ac:dyDescent="0.25">
      <c r="A3398" s="8">
        <v>44</v>
      </c>
      <c r="B3398" s="8">
        <v>24</v>
      </c>
      <c r="C3398" s="8">
        <v>1065.068726</v>
      </c>
      <c r="D3398" s="8">
        <v>53249.273437999997</v>
      </c>
      <c r="E3398" s="8">
        <v>53267.089844000002</v>
      </c>
      <c r="F3398" s="8">
        <f t="shared" si="104"/>
        <v>17.816406000005372</v>
      </c>
      <c r="G3398" s="8">
        <f t="shared" si="105"/>
        <v>1.7816406000005371E-2</v>
      </c>
    </row>
    <row r="3399" spans="1:7" x14ac:dyDescent="0.25">
      <c r="A3399" s="8">
        <v>44</v>
      </c>
      <c r="B3399" s="8">
        <v>25</v>
      </c>
      <c r="C3399" s="8">
        <v>2660.7214359999998</v>
      </c>
      <c r="D3399" s="8">
        <v>54347.257812999997</v>
      </c>
      <c r="E3399" s="8">
        <v>54357.734375</v>
      </c>
      <c r="F3399" s="8">
        <f t="shared" si="104"/>
        <v>10.476562000003469</v>
      </c>
      <c r="G3399" s="8">
        <f t="shared" si="105"/>
        <v>1.0476562000003469E-2</v>
      </c>
    </row>
    <row r="3400" spans="1:7" x14ac:dyDescent="0.25">
      <c r="A3400" s="8">
        <v>44</v>
      </c>
      <c r="B3400" s="8">
        <v>26</v>
      </c>
      <c r="C3400" s="8">
        <v>710.29162599999995</v>
      </c>
      <c r="D3400" s="8">
        <v>57020.066405999998</v>
      </c>
      <c r="E3400" s="8">
        <v>57031.132812999997</v>
      </c>
      <c r="F3400" s="8">
        <f t="shared" si="104"/>
        <v>11.066406999998435</v>
      </c>
      <c r="G3400" s="8">
        <f t="shared" si="105"/>
        <v>1.1066406999998436E-2</v>
      </c>
    </row>
    <row r="3401" spans="1:7" x14ac:dyDescent="0.25">
      <c r="A3401" s="8">
        <v>44</v>
      </c>
      <c r="B3401" s="8">
        <v>27</v>
      </c>
      <c r="C3401" s="8">
        <v>14802.889648</v>
      </c>
      <c r="D3401" s="8">
        <v>57742.210937999997</v>
      </c>
      <c r="E3401" s="8">
        <v>57762.445312999997</v>
      </c>
      <c r="F3401" s="8">
        <f t="shared" si="104"/>
        <v>20.234375</v>
      </c>
      <c r="G3401" s="8">
        <f t="shared" si="105"/>
        <v>2.0234374999999999E-2</v>
      </c>
    </row>
    <row r="3402" spans="1:7" x14ac:dyDescent="0.25">
      <c r="A3402" s="8">
        <v>44</v>
      </c>
      <c r="B3402" s="8">
        <v>28</v>
      </c>
      <c r="C3402" s="8">
        <v>636.03021200000001</v>
      </c>
      <c r="D3402" s="8">
        <v>72576.023438000004</v>
      </c>
      <c r="E3402" s="8">
        <v>72605.171875</v>
      </c>
      <c r="F3402" s="8">
        <f t="shared" si="104"/>
        <v>29.148436999996193</v>
      </c>
      <c r="G3402" s="8">
        <f t="shared" si="105"/>
        <v>2.9148436999996193E-2</v>
      </c>
    </row>
    <row r="3403" spans="1:7" x14ac:dyDescent="0.25">
      <c r="A3403" s="8">
        <v>44</v>
      </c>
      <c r="B3403" s="8">
        <v>29</v>
      </c>
      <c r="C3403" s="8">
        <v>431.282623</v>
      </c>
      <c r="D3403" s="8">
        <v>73248.101563000004</v>
      </c>
      <c r="E3403" s="8">
        <v>73262.101563000004</v>
      </c>
      <c r="F3403" s="8">
        <f t="shared" ref="F3403:F3466" si="106">E3403-D3403</f>
        <v>14</v>
      </c>
      <c r="G3403" s="8">
        <f t="shared" ref="G3403:G3466" si="107">F3403/1000</f>
        <v>1.4E-2</v>
      </c>
    </row>
    <row r="3404" spans="1:7" x14ac:dyDescent="0.25">
      <c r="A3404" s="8">
        <v>44</v>
      </c>
      <c r="B3404" s="8">
        <v>30</v>
      </c>
      <c r="C3404" s="8">
        <v>245.97702000000001</v>
      </c>
      <c r="D3404" s="8">
        <v>73701.296875</v>
      </c>
      <c r="E3404" s="8">
        <v>73718.523438000004</v>
      </c>
      <c r="F3404" s="8">
        <f t="shared" si="106"/>
        <v>17.226563000003807</v>
      </c>
      <c r="G3404" s="8">
        <f t="shared" si="107"/>
        <v>1.7226563000003806E-2</v>
      </c>
    </row>
    <row r="3405" spans="1:7" x14ac:dyDescent="0.25">
      <c r="A3405" s="8">
        <v>44</v>
      </c>
      <c r="B3405" s="8">
        <v>31</v>
      </c>
      <c r="C3405" s="8">
        <v>134.49220299999999</v>
      </c>
      <c r="D3405" s="8">
        <v>73968.78125</v>
      </c>
      <c r="E3405" s="8">
        <v>73976.359375</v>
      </c>
      <c r="F3405" s="8">
        <f t="shared" si="106"/>
        <v>7.578125</v>
      </c>
      <c r="G3405" s="8">
        <f t="shared" si="107"/>
        <v>7.5781249999999998E-3</v>
      </c>
    </row>
    <row r="3406" spans="1:7" x14ac:dyDescent="0.25">
      <c r="A3406" s="8">
        <v>44</v>
      </c>
      <c r="B3406" s="8">
        <v>32</v>
      </c>
      <c r="C3406" s="8">
        <v>579.78405799999996</v>
      </c>
      <c r="D3406" s="8">
        <v>74125.0625</v>
      </c>
      <c r="E3406" s="8">
        <v>74145.015625</v>
      </c>
      <c r="F3406" s="8">
        <f t="shared" si="106"/>
        <v>19.953125</v>
      </c>
      <c r="G3406" s="8">
        <f t="shared" si="107"/>
        <v>1.9953124999999999E-2</v>
      </c>
    </row>
    <row r="3407" spans="1:7" x14ac:dyDescent="0.25">
      <c r="A3407" s="8">
        <v>44</v>
      </c>
      <c r="B3407" s="8">
        <v>33</v>
      </c>
      <c r="C3407" s="8">
        <v>1613.5158690000001</v>
      </c>
      <c r="D3407" s="8">
        <v>74726.992188000004</v>
      </c>
      <c r="E3407" s="8">
        <v>74756.632813000004</v>
      </c>
      <c r="F3407" s="8">
        <f t="shared" si="106"/>
        <v>29.640625</v>
      </c>
      <c r="G3407" s="8">
        <f t="shared" si="107"/>
        <v>2.9640625E-2</v>
      </c>
    </row>
    <row r="3408" spans="1:7" x14ac:dyDescent="0.25">
      <c r="A3408" s="8">
        <v>44</v>
      </c>
      <c r="B3408" s="8">
        <v>34</v>
      </c>
      <c r="C3408" s="8">
        <v>2192.3474120000001</v>
      </c>
      <c r="D3408" s="8">
        <v>76382</v>
      </c>
      <c r="E3408" s="8">
        <v>76393.492188000004</v>
      </c>
      <c r="F3408" s="8">
        <f t="shared" si="106"/>
        <v>11.492188000003807</v>
      </c>
      <c r="G3408" s="8">
        <f t="shared" si="107"/>
        <v>1.1492188000003806E-2</v>
      </c>
    </row>
    <row r="3409" spans="1:7" x14ac:dyDescent="0.25">
      <c r="A3409" s="8">
        <v>44</v>
      </c>
      <c r="B3409" s="8">
        <v>35</v>
      </c>
      <c r="C3409" s="8">
        <v>6572.9624020000001</v>
      </c>
      <c r="D3409" s="8">
        <v>78591.375</v>
      </c>
      <c r="E3409" s="8">
        <v>78615.023438000004</v>
      </c>
      <c r="F3409" s="8">
        <f t="shared" si="106"/>
        <v>23.648438000003807</v>
      </c>
      <c r="G3409" s="8">
        <f t="shared" si="107"/>
        <v>2.3648438000003807E-2</v>
      </c>
    </row>
    <row r="3410" spans="1:7" x14ac:dyDescent="0.25">
      <c r="A3410" s="8">
        <v>44</v>
      </c>
      <c r="B3410" s="8">
        <v>36</v>
      </c>
      <c r="C3410" s="8">
        <v>1877.1429439999999</v>
      </c>
      <c r="D3410" s="8">
        <v>85188.71875</v>
      </c>
      <c r="E3410" s="8">
        <v>85201.921875</v>
      </c>
      <c r="F3410" s="8">
        <f t="shared" si="106"/>
        <v>13.203125</v>
      </c>
      <c r="G3410" s="8">
        <f t="shared" si="107"/>
        <v>1.3203125E-2</v>
      </c>
    </row>
    <row r="3411" spans="1:7" x14ac:dyDescent="0.25">
      <c r="A3411" s="8">
        <v>44</v>
      </c>
      <c r="B3411" s="8">
        <v>37</v>
      </c>
      <c r="C3411" s="8">
        <v>582.15069600000004</v>
      </c>
      <c r="D3411" s="8">
        <v>87080.953125</v>
      </c>
      <c r="E3411" s="8">
        <v>87095.609375</v>
      </c>
      <c r="F3411" s="8">
        <f t="shared" si="106"/>
        <v>14.65625</v>
      </c>
      <c r="G3411" s="8">
        <f t="shared" si="107"/>
        <v>1.4656249999999999E-2</v>
      </c>
    </row>
    <row r="3412" spans="1:7" x14ac:dyDescent="0.25">
      <c r="A3412" s="8">
        <v>44</v>
      </c>
      <c r="B3412" s="8">
        <v>38</v>
      </c>
      <c r="C3412" s="8">
        <v>1380.9910890000001</v>
      </c>
      <c r="D3412" s="8">
        <v>87677.835938000004</v>
      </c>
      <c r="E3412" s="8">
        <v>87685.429688000004</v>
      </c>
      <c r="F3412" s="8">
        <f t="shared" si="106"/>
        <v>7.59375</v>
      </c>
      <c r="G3412" s="8">
        <f t="shared" si="107"/>
        <v>7.5937499999999998E-3</v>
      </c>
    </row>
    <row r="3413" spans="1:7" x14ac:dyDescent="0.25">
      <c r="A3413" s="8">
        <v>44</v>
      </c>
      <c r="B3413" s="8">
        <v>39</v>
      </c>
      <c r="C3413" s="8">
        <v>6215.1333009999998</v>
      </c>
      <c r="D3413" s="8">
        <v>89068.640625</v>
      </c>
      <c r="E3413" s="8">
        <v>89084.375</v>
      </c>
      <c r="F3413" s="8">
        <f t="shared" si="106"/>
        <v>15.734375</v>
      </c>
      <c r="G3413" s="8">
        <f t="shared" si="107"/>
        <v>1.5734374999999998E-2</v>
      </c>
    </row>
    <row r="3414" spans="1:7" x14ac:dyDescent="0.25">
      <c r="A3414" s="8">
        <v>44</v>
      </c>
      <c r="B3414" s="8">
        <v>40</v>
      </c>
      <c r="C3414" s="8">
        <v>769.76025400000003</v>
      </c>
      <c r="D3414" s="8">
        <v>95312.320313000004</v>
      </c>
      <c r="E3414" s="8">
        <v>95358.210938000004</v>
      </c>
      <c r="F3414" s="8">
        <f t="shared" si="106"/>
        <v>45.890625</v>
      </c>
      <c r="G3414" s="8">
        <f t="shared" si="107"/>
        <v>4.5890624999999997E-2</v>
      </c>
    </row>
    <row r="3415" spans="1:7" x14ac:dyDescent="0.25">
      <c r="A3415" s="8">
        <v>44</v>
      </c>
      <c r="B3415" s="8">
        <v>41</v>
      </c>
      <c r="C3415" s="8">
        <v>1679.9799800000001</v>
      </c>
      <c r="D3415" s="8">
        <v>96131.492188000004</v>
      </c>
      <c r="E3415" s="8">
        <v>96142.546875</v>
      </c>
      <c r="F3415" s="8">
        <f t="shared" si="106"/>
        <v>11.054686999996193</v>
      </c>
      <c r="G3415" s="8">
        <f t="shared" si="107"/>
        <v>1.1054686999996193E-2</v>
      </c>
    </row>
    <row r="3416" spans="1:7" x14ac:dyDescent="0.25">
      <c r="A3416" s="8">
        <v>44</v>
      </c>
      <c r="B3416" s="8">
        <v>42</v>
      </c>
      <c r="C3416" s="8">
        <v>2200.4011230000001</v>
      </c>
      <c r="D3416" s="8">
        <v>97828.960938000004</v>
      </c>
      <c r="E3416" s="8">
        <v>97846.71875</v>
      </c>
      <c r="F3416" s="8">
        <f t="shared" si="106"/>
        <v>17.757811999996193</v>
      </c>
      <c r="G3416" s="8">
        <f t="shared" si="107"/>
        <v>1.7757811999996192E-2</v>
      </c>
    </row>
    <row r="3417" spans="1:7" x14ac:dyDescent="0.25">
      <c r="A3417" s="8">
        <v>44</v>
      </c>
      <c r="B3417" s="8">
        <v>43</v>
      </c>
      <c r="C3417" s="8">
        <v>2585.2836910000001</v>
      </c>
      <c r="D3417" s="8">
        <v>100057.617188</v>
      </c>
      <c r="E3417" s="8">
        <v>100075.859375</v>
      </c>
      <c r="F3417" s="8">
        <f t="shared" si="106"/>
        <v>18.242186999996193</v>
      </c>
      <c r="G3417" s="8">
        <f t="shared" si="107"/>
        <v>1.8242186999996194E-2</v>
      </c>
    </row>
    <row r="3418" spans="1:7" x14ac:dyDescent="0.25">
      <c r="A3418" s="8">
        <v>44</v>
      </c>
      <c r="B3418" s="8">
        <v>44</v>
      </c>
      <c r="C3418" s="8">
        <v>749.05957000000001</v>
      </c>
      <c r="D3418" s="8">
        <v>102672.375</v>
      </c>
      <c r="E3418" s="8">
        <v>102771.859375</v>
      </c>
      <c r="F3418" s="8">
        <f t="shared" si="106"/>
        <v>99.484375</v>
      </c>
      <c r="G3418" s="8">
        <f t="shared" si="107"/>
        <v>9.9484375E-2</v>
      </c>
    </row>
    <row r="3419" spans="1:7" x14ac:dyDescent="0.25">
      <c r="A3419" s="8">
        <v>44</v>
      </c>
      <c r="B3419" s="8">
        <v>45</v>
      </c>
      <c r="C3419" s="8">
        <v>675.16747999999995</v>
      </c>
      <c r="D3419" s="8">
        <v>103525.625</v>
      </c>
      <c r="E3419" s="8">
        <v>103533.234375</v>
      </c>
      <c r="F3419" s="8">
        <f t="shared" si="106"/>
        <v>7.609375</v>
      </c>
      <c r="G3419" s="8">
        <f t="shared" si="107"/>
        <v>7.6093749999999998E-3</v>
      </c>
    </row>
    <row r="3420" spans="1:7" x14ac:dyDescent="0.25">
      <c r="A3420" s="8">
        <v>44</v>
      </c>
      <c r="B3420" s="8">
        <v>46</v>
      </c>
      <c r="C3420" s="8">
        <v>1829.1967770000001</v>
      </c>
      <c r="D3420" s="8">
        <v>104221.90625</v>
      </c>
      <c r="E3420" s="8">
        <v>104231.320313</v>
      </c>
      <c r="F3420" s="8">
        <f t="shared" si="106"/>
        <v>9.4140630000038072</v>
      </c>
      <c r="G3420" s="8">
        <f t="shared" si="107"/>
        <v>9.414063000003808E-3</v>
      </c>
    </row>
    <row r="3421" spans="1:7" x14ac:dyDescent="0.25">
      <c r="A3421" s="8">
        <v>44</v>
      </c>
      <c r="B3421" s="8">
        <v>47</v>
      </c>
      <c r="C3421" s="8">
        <v>291.21295199999997</v>
      </c>
      <c r="D3421" s="8">
        <v>106062.789063</v>
      </c>
      <c r="E3421" s="8">
        <v>106077.507813</v>
      </c>
      <c r="F3421" s="8">
        <f t="shared" si="106"/>
        <v>14.71875</v>
      </c>
      <c r="G3421" s="8">
        <f t="shared" si="107"/>
        <v>1.4718749999999999E-2</v>
      </c>
    </row>
    <row r="3422" spans="1:7" x14ac:dyDescent="0.25">
      <c r="A3422" s="8">
        <v>44</v>
      </c>
      <c r="B3422" s="8">
        <v>48</v>
      </c>
      <c r="C3422" s="8">
        <v>129.14622499999999</v>
      </c>
      <c r="D3422" s="8">
        <v>106375.429688</v>
      </c>
      <c r="E3422" s="8">
        <v>106386.328125</v>
      </c>
      <c r="F3422" s="8">
        <f t="shared" si="106"/>
        <v>10.898436999996193</v>
      </c>
      <c r="G3422" s="8">
        <f t="shared" si="107"/>
        <v>1.0898436999996193E-2</v>
      </c>
    </row>
    <row r="3423" spans="1:7" x14ac:dyDescent="0.25">
      <c r="A3423" s="8">
        <v>44</v>
      </c>
      <c r="B3423" s="8">
        <v>49</v>
      </c>
      <c r="C3423" s="8">
        <v>702.55810499999995</v>
      </c>
      <c r="D3423" s="8">
        <v>106515.953125</v>
      </c>
      <c r="E3423" s="8">
        <v>106524.078125</v>
      </c>
      <c r="F3423" s="8">
        <f t="shared" si="106"/>
        <v>8.125</v>
      </c>
      <c r="G3423" s="8">
        <f t="shared" si="107"/>
        <v>8.1250000000000003E-3</v>
      </c>
    </row>
    <row r="3424" spans="1:7" x14ac:dyDescent="0.25">
      <c r="A3424" s="8">
        <v>44</v>
      </c>
      <c r="B3424" s="8">
        <v>50</v>
      </c>
      <c r="C3424" s="8">
        <v>411.84011800000002</v>
      </c>
      <c r="D3424" s="8">
        <v>107234.796875</v>
      </c>
      <c r="E3424" s="8">
        <v>107258.789063</v>
      </c>
      <c r="F3424" s="8">
        <f t="shared" si="106"/>
        <v>23.992188000003807</v>
      </c>
      <c r="G3424" s="8">
        <f t="shared" si="107"/>
        <v>2.3992188000003807E-2</v>
      </c>
    </row>
    <row r="3425" spans="1:7" x14ac:dyDescent="0.25">
      <c r="A3425" s="8">
        <v>44</v>
      </c>
      <c r="B3425" s="8">
        <v>51</v>
      </c>
      <c r="C3425" s="8">
        <v>824.68023700000003</v>
      </c>
      <c r="D3425" s="8">
        <v>107672.820313</v>
      </c>
      <c r="E3425" s="8">
        <v>107682.023438</v>
      </c>
      <c r="F3425" s="8">
        <f t="shared" si="106"/>
        <v>9.203125</v>
      </c>
      <c r="G3425" s="8">
        <f t="shared" si="107"/>
        <v>9.2031249999999995E-3</v>
      </c>
    </row>
    <row r="3426" spans="1:7" x14ac:dyDescent="0.25">
      <c r="A3426" s="8">
        <v>44</v>
      </c>
      <c r="B3426" s="8">
        <v>52</v>
      </c>
      <c r="C3426" s="8">
        <v>291.14233400000001</v>
      </c>
      <c r="D3426" s="8">
        <v>108516.835938</v>
      </c>
      <c r="E3426" s="8">
        <v>108531.085938</v>
      </c>
      <c r="F3426" s="8">
        <f t="shared" si="106"/>
        <v>14.25</v>
      </c>
      <c r="G3426" s="8">
        <f t="shared" si="107"/>
        <v>1.4250000000000001E-2</v>
      </c>
    </row>
    <row r="3427" spans="1:7" x14ac:dyDescent="0.25">
      <c r="A3427" s="8">
        <v>44</v>
      </c>
      <c r="B3427" s="8">
        <v>53</v>
      </c>
      <c r="C3427" s="8">
        <v>806.69268799999998</v>
      </c>
      <c r="D3427" s="8">
        <v>108829.125</v>
      </c>
      <c r="E3427" s="8">
        <v>108837.914063</v>
      </c>
      <c r="F3427" s="8">
        <f t="shared" si="106"/>
        <v>8.7890630000038072</v>
      </c>
      <c r="G3427" s="8">
        <f t="shared" si="107"/>
        <v>8.7890630000038075E-3</v>
      </c>
    </row>
    <row r="3428" spans="1:7" x14ac:dyDescent="0.25">
      <c r="A3428" s="8">
        <v>44</v>
      </c>
      <c r="B3428" s="8">
        <v>54</v>
      </c>
      <c r="C3428" s="8">
        <v>1126.401001</v>
      </c>
      <c r="D3428" s="8">
        <v>109658.0625</v>
      </c>
      <c r="E3428" s="8">
        <v>109666.140625</v>
      </c>
      <c r="F3428" s="8">
        <f t="shared" si="106"/>
        <v>8.078125</v>
      </c>
      <c r="G3428" s="8">
        <f t="shared" si="107"/>
        <v>8.0781250000000002E-3</v>
      </c>
    </row>
    <row r="3429" spans="1:7" x14ac:dyDescent="0.25">
      <c r="A3429" s="8">
        <v>44</v>
      </c>
      <c r="B3429" s="8">
        <v>55</v>
      </c>
      <c r="C3429" s="8">
        <v>455.81625400000001</v>
      </c>
      <c r="D3429" s="8">
        <v>110799.039063</v>
      </c>
      <c r="E3429" s="8">
        <v>110819.960938</v>
      </c>
      <c r="F3429" s="8">
        <f t="shared" si="106"/>
        <v>20.921875</v>
      </c>
      <c r="G3429" s="8">
        <f t="shared" si="107"/>
        <v>2.0921875E-2</v>
      </c>
    </row>
    <row r="3430" spans="1:7" x14ac:dyDescent="0.25">
      <c r="A3430" s="8">
        <v>44</v>
      </c>
      <c r="B3430" s="8">
        <v>56</v>
      </c>
      <c r="C3430" s="8">
        <v>2997.3500979999999</v>
      </c>
      <c r="D3430" s="8">
        <v>111283.445313</v>
      </c>
      <c r="E3430" s="8">
        <v>111309.3125</v>
      </c>
      <c r="F3430" s="8">
        <f t="shared" si="106"/>
        <v>25.867186999996193</v>
      </c>
      <c r="G3430" s="8">
        <f t="shared" si="107"/>
        <v>2.5867186999996194E-2</v>
      </c>
    </row>
    <row r="3431" spans="1:7" x14ac:dyDescent="0.25">
      <c r="A3431" s="8">
        <v>44</v>
      </c>
      <c r="B3431" s="8">
        <v>57</v>
      </c>
      <c r="C3431" s="8">
        <v>1739.240356</v>
      </c>
      <c r="D3431" s="8">
        <v>114315.710938</v>
      </c>
      <c r="E3431" s="8">
        <v>114333.203125</v>
      </c>
      <c r="F3431" s="8">
        <f t="shared" si="106"/>
        <v>17.492186999996193</v>
      </c>
      <c r="G3431" s="8">
        <f t="shared" si="107"/>
        <v>1.7492186999996193E-2</v>
      </c>
    </row>
    <row r="3432" spans="1:7" x14ac:dyDescent="0.25">
      <c r="A3432" s="8">
        <v>44</v>
      </c>
      <c r="B3432" s="8">
        <v>58</v>
      </c>
      <c r="C3432" s="8">
        <v>1390.2657469999999</v>
      </c>
      <c r="D3432" s="8">
        <v>116083.179688</v>
      </c>
      <c r="E3432" s="8">
        <v>116103.398438</v>
      </c>
      <c r="F3432" s="8">
        <f t="shared" si="106"/>
        <v>20.21875</v>
      </c>
      <c r="G3432" s="8">
        <f t="shared" si="107"/>
        <v>2.0218750000000001E-2</v>
      </c>
    </row>
    <row r="3433" spans="1:7" x14ac:dyDescent="0.25">
      <c r="A3433" s="8">
        <v>44</v>
      </c>
      <c r="B3433" s="8">
        <v>59</v>
      </c>
      <c r="C3433" s="8">
        <v>1547.9979249999999</v>
      </c>
      <c r="D3433" s="8">
        <v>117504.171875</v>
      </c>
      <c r="E3433" s="8">
        <v>117525.351563</v>
      </c>
      <c r="F3433" s="8">
        <f t="shared" si="106"/>
        <v>21.179688000003807</v>
      </c>
      <c r="G3433" s="8">
        <f t="shared" si="107"/>
        <v>2.1179688000003808E-2</v>
      </c>
    </row>
    <row r="3434" spans="1:7" x14ac:dyDescent="0.25">
      <c r="A3434" s="8">
        <v>44</v>
      </c>
      <c r="B3434" s="8">
        <v>60</v>
      </c>
      <c r="C3434" s="8">
        <v>298.99453699999998</v>
      </c>
      <c r="D3434" s="8">
        <v>119072.554688</v>
      </c>
      <c r="E3434" s="8">
        <v>119094.28125</v>
      </c>
      <c r="F3434" s="8">
        <f t="shared" si="106"/>
        <v>21.726561999996193</v>
      </c>
      <c r="G3434" s="8">
        <f t="shared" si="107"/>
        <v>2.1726561999996192E-2</v>
      </c>
    </row>
    <row r="3435" spans="1:7" x14ac:dyDescent="0.25">
      <c r="A3435" s="8">
        <v>44</v>
      </c>
      <c r="B3435" s="8">
        <v>61</v>
      </c>
      <c r="C3435" s="8">
        <v>938.28680399999996</v>
      </c>
      <c r="D3435" s="8">
        <v>119407.203125</v>
      </c>
      <c r="E3435" s="8">
        <v>119430.617188</v>
      </c>
      <c r="F3435" s="8">
        <f t="shared" si="106"/>
        <v>23.414063000003807</v>
      </c>
      <c r="G3435" s="8">
        <f t="shared" si="107"/>
        <v>2.3414063000003808E-2</v>
      </c>
    </row>
    <row r="3436" spans="1:7" x14ac:dyDescent="0.25">
      <c r="A3436" s="8">
        <v>44</v>
      </c>
      <c r="B3436" s="8">
        <v>62</v>
      </c>
      <c r="C3436" s="8">
        <v>1517.134033</v>
      </c>
      <c r="D3436" s="8">
        <v>120374.617188</v>
      </c>
      <c r="E3436" s="8">
        <v>120394.164063</v>
      </c>
      <c r="F3436" s="8">
        <f t="shared" si="106"/>
        <v>19.546875</v>
      </c>
      <c r="G3436" s="8">
        <f t="shared" si="107"/>
        <v>1.9546874999999998E-2</v>
      </c>
    </row>
    <row r="3437" spans="1:7" x14ac:dyDescent="0.25">
      <c r="A3437" s="8">
        <v>44</v>
      </c>
      <c r="B3437" s="8">
        <v>63</v>
      </c>
      <c r="C3437" s="8">
        <v>112.031059</v>
      </c>
      <c r="D3437" s="8">
        <v>121923.9375</v>
      </c>
      <c r="E3437" s="8">
        <v>121931.695313</v>
      </c>
      <c r="F3437" s="8">
        <f t="shared" si="106"/>
        <v>7.7578130000038072</v>
      </c>
      <c r="G3437" s="8">
        <f t="shared" si="107"/>
        <v>7.7578130000038074E-3</v>
      </c>
    </row>
    <row r="3438" spans="1:7" x14ac:dyDescent="0.25">
      <c r="A3438" s="8">
        <v>44</v>
      </c>
      <c r="B3438" s="8">
        <v>64</v>
      </c>
      <c r="C3438" s="8">
        <v>558.04382299999997</v>
      </c>
      <c r="D3438" s="8">
        <v>122048.929688</v>
      </c>
      <c r="E3438" s="8">
        <v>122066.101563</v>
      </c>
      <c r="F3438" s="8">
        <f t="shared" si="106"/>
        <v>17.171875</v>
      </c>
      <c r="G3438" s="8">
        <f t="shared" si="107"/>
        <v>1.7171875E-2</v>
      </c>
    </row>
    <row r="3439" spans="1:7" x14ac:dyDescent="0.25">
      <c r="A3439" s="8">
        <v>44</v>
      </c>
      <c r="B3439" s="8">
        <v>65</v>
      </c>
      <c r="C3439" s="8">
        <v>2291.7734380000002</v>
      </c>
      <c r="D3439" s="8">
        <v>122627.164063</v>
      </c>
      <c r="E3439" s="8">
        <v>122654.890625</v>
      </c>
      <c r="F3439" s="8">
        <f t="shared" si="106"/>
        <v>27.726561999996193</v>
      </c>
      <c r="G3439" s="8">
        <f t="shared" si="107"/>
        <v>2.7726561999996194E-2</v>
      </c>
    </row>
    <row r="3440" spans="1:7" x14ac:dyDescent="0.25">
      <c r="A3440" s="8">
        <v>44</v>
      </c>
      <c r="B3440" s="8">
        <v>66</v>
      </c>
      <c r="C3440" s="8">
        <v>32.614066999999999</v>
      </c>
      <c r="D3440" s="8">
        <v>124955.054688</v>
      </c>
      <c r="E3440" s="8">
        <v>124975.554688</v>
      </c>
      <c r="F3440" s="8">
        <f t="shared" si="106"/>
        <v>20.5</v>
      </c>
      <c r="G3440" s="8">
        <f t="shared" si="107"/>
        <v>2.0500000000000001E-2</v>
      </c>
    </row>
    <row r="3441" spans="1:7" x14ac:dyDescent="0.25">
      <c r="A3441" s="8">
        <v>44</v>
      </c>
      <c r="B3441" s="8">
        <v>67</v>
      </c>
      <c r="C3441" s="8">
        <v>1662.5249020000001</v>
      </c>
      <c r="D3441" s="8">
        <v>125017.742188</v>
      </c>
      <c r="E3441" s="8">
        <v>125029.554688</v>
      </c>
      <c r="F3441" s="8">
        <f t="shared" si="106"/>
        <v>11.8125</v>
      </c>
      <c r="G3441" s="8">
        <f t="shared" si="107"/>
        <v>1.18125E-2</v>
      </c>
    </row>
    <row r="3442" spans="1:7" x14ac:dyDescent="0.25">
      <c r="A3442" s="8">
        <v>44</v>
      </c>
      <c r="B3442" s="8">
        <v>68</v>
      </c>
      <c r="C3442" s="8">
        <v>618.49066200000004</v>
      </c>
      <c r="D3442" s="8">
        <v>126706.023438</v>
      </c>
      <c r="E3442" s="8">
        <v>126712.695313</v>
      </c>
      <c r="F3442" s="8">
        <f t="shared" si="106"/>
        <v>6.671875</v>
      </c>
      <c r="G3442" s="8">
        <f t="shared" si="107"/>
        <v>6.6718749999999999E-3</v>
      </c>
    </row>
    <row r="3443" spans="1:7" x14ac:dyDescent="0.25">
      <c r="A3443" s="8">
        <v>44</v>
      </c>
      <c r="B3443" s="8">
        <v>69</v>
      </c>
      <c r="C3443" s="8">
        <v>1970.7329099999999</v>
      </c>
      <c r="D3443" s="8">
        <v>127331.15625</v>
      </c>
      <c r="E3443" s="8">
        <v>127348.203125</v>
      </c>
      <c r="F3443" s="8">
        <f t="shared" si="106"/>
        <v>17.046875</v>
      </c>
      <c r="G3443" s="8">
        <f t="shared" si="107"/>
        <v>1.7046875E-2</v>
      </c>
    </row>
    <row r="3444" spans="1:7" x14ac:dyDescent="0.25">
      <c r="A3444" s="8">
        <v>44</v>
      </c>
      <c r="B3444" s="8">
        <v>70</v>
      </c>
      <c r="C3444" s="8">
        <v>291.989868</v>
      </c>
      <c r="D3444" s="8">
        <v>129332.546875</v>
      </c>
      <c r="E3444" s="8">
        <v>129381.46875</v>
      </c>
      <c r="F3444" s="8">
        <f t="shared" si="106"/>
        <v>48.921875</v>
      </c>
      <c r="G3444" s="8">
        <f t="shared" si="107"/>
        <v>4.8921874999999997E-2</v>
      </c>
    </row>
    <row r="3445" spans="1:7" x14ac:dyDescent="0.25">
      <c r="A3445" s="8">
        <v>44</v>
      </c>
      <c r="B3445" s="8">
        <v>71</v>
      </c>
      <c r="C3445" s="8">
        <v>937.506348</v>
      </c>
      <c r="D3445" s="8">
        <v>129676.445313</v>
      </c>
      <c r="E3445" s="8">
        <v>129687.695313</v>
      </c>
      <c r="F3445" s="8">
        <f t="shared" si="106"/>
        <v>11.25</v>
      </c>
      <c r="G3445" s="8">
        <f t="shared" si="107"/>
        <v>1.125E-2</v>
      </c>
    </row>
    <row r="3446" spans="1:7" x14ac:dyDescent="0.25">
      <c r="A3446" s="8">
        <v>44</v>
      </c>
      <c r="B3446" s="8">
        <v>72</v>
      </c>
      <c r="C3446" s="8">
        <v>556.91449</v>
      </c>
      <c r="D3446" s="8">
        <v>130629.710938</v>
      </c>
      <c r="E3446" s="8">
        <v>130655.734375</v>
      </c>
      <c r="F3446" s="8">
        <f t="shared" si="106"/>
        <v>26.023436999996193</v>
      </c>
      <c r="G3446" s="8">
        <f t="shared" si="107"/>
        <v>2.6023436999996194E-2</v>
      </c>
    </row>
    <row r="3447" spans="1:7" x14ac:dyDescent="0.25">
      <c r="A3447" s="8">
        <v>44</v>
      </c>
      <c r="B3447" s="8">
        <v>73</v>
      </c>
      <c r="C3447" s="8">
        <v>2699.6525879999999</v>
      </c>
      <c r="D3447" s="8">
        <v>131223.46875</v>
      </c>
      <c r="E3447" s="8">
        <v>131238.03125</v>
      </c>
      <c r="F3447" s="8">
        <f t="shared" si="106"/>
        <v>14.5625</v>
      </c>
      <c r="G3447" s="8">
        <f t="shared" si="107"/>
        <v>1.4562500000000001E-2</v>
      </c>
    </row>
    <row r="3448" spans="1:7" x14ac:dyDescent="0.25">
      <c r="A3448" s="8">
        <v>44</v>
      </c>
      <c r="B3448" s="8">
        <v>74</v>
      </c>
      <c r="C3448" s="8">
        <v>4039.8715820000002</v>
      </c>
      <c r="D3448" s="8">
        <v>133941.28125</v>
      </c>
      <c r="E3448" s="8">
        <v>133965.34375</v>
      </c>
      <c r="F3448" s="8">
        <f t="shared" si="106"/>
        <v>24.0625</v>
      </c>
      <c r="G3448" s="8">
        <f t="shared" si="107"/>
        <v>2.4062500000000001E-2</v>
      </c>
    </row>
    <row r="3449" spans="1:7" x14ac:dyDescent="0.25">
      <c r="A3449" s="8">
        <v>44</v>
      </c>
      <c r="B3449" s="8">
        <v>75</v>
      </c>
      <c r="C3449" s="8">
        <v>807.69781499999999</v>
      </c>
      <c r="D3449" s="8">
        <v>138015.609375</v>
      </c>
      <c r="E3449" s="8">
        <v>138031.546875</v>
      </c>
      <c r="F3449" s="8">
        <f t="shared" si="106"/>
        <v>15.9375</v>
      </c>
      <c r="G3449" s="8">
        <f t="shared" si="107"/>
        <v>1.59375E-2</v>
      </c>
    </row>
    <row r="3450" spans="1:7" x14ac:dyDescent="0.25">
      <c r="A3450" s="8">
        <v>44</v>
      </c>
      <c r="B3450" s="8">
        <v>76</v>
      </c>
      <c r="C3450" s="8">
        <v>3142.9409179999998</v>
      </c>
      <c r="D3450" s="8">
        <v>138843.84375</v>
      </c>
      <c r="E3450" s="8">
        <v>138856.515625</v>
      </c>
      <c r="F3450" s="8">
        <f t="shared" si="106"/>
        <v>12.671875</v>
      </c>
      <c r="G3450" s="8">
        <f t="shared" si="107"/>
        <v>1.2671875000000001E-2</v>
      </c>
    </row>
    <row r="3451" spans="1:7" x14ac:dyDescent="0.25">
      <c r="A3451" s="8">
        <v>44</v>
      </c>
      <c r="B3451" s="8">
        <v>77</v>
      </c>
      <c r="C3451" s="8">
        <v>398.01419099999998</v>
      </c>
      <c r="D3451" s="8">
        <v>141999.5</v>
      </c>
      <c r="E3451" s="8">
        <v>142020.359375</v>
      </c>
      <c r="F3451" s="8">
        <f t="shared" si="106"/>
        <v>20.859375</v>
      </c>
      <c r="G3451" s="8">
        <f t="shared" si="107"/>
        <v>2.0859374999999999E-2</v>
      </c>
    </row>
    <row r="3452" spans="1:7" x14ac:dyDescent="0.25">
      <c r="A3452" s="8">
        <v>44</v>
      </c>
      <c r="B3452" s="8">
        <v>78</v>
      </c>
      <c r="C3452" s="8">
        <v>480.73217799999998</v>
      </c>
      <c r="D3452" s="8">
        <v>142421.4375</v>
      </c>
      <c r="E3452" s="8">
        <v>142433.03125</v>
      </c>
      <c r="F3452" s="8">
        <f t="shared" si="106"/>
        <v>11.59375</v>
      </c>
      <c r="G3452" s="8">
        <f t="shared" si="107"/>
        <v>1.159375E-2</v>
      </c>
    </row>
    <row r="3453" spans="1:7" x14ac:dyDescent="0.25">
      <c r="A3453" s="8">
        <v>44</v>
      </c>
      <c r="B3453" s="8">
        <v>79</v>
      </c>
      <c r="C3453" s="8">
        <v>1439.424683</v>
      </c>
      <c r="D3453" s="8">
        <v>142921.484375</v>
      </c>
      <c r="E3453" s="8">
        <v>142933.21875</v>
      </c>
      <c r="F3453" s="8">
        <f t="shared" si="106"/>
        <v>11.734375</v>
      </c>
      <c r="G3453" s="8">
        <f t="shared" si="107"/>
        <v>1.1734375E-2</v>
      </c>
    </row>
    <row r="3454" spans="1:7" x14ac:dyDescent="0.25">
      <c r="A3454" s="8">
        <v>44</v>
      </c>
      <c r="B3454" s="8">
        <v>80</v>
      </c>
      <c r="C3454" s="8">
        <v>5619.7333980000003</v>
      </c>
      <c r="D3454" s="8">
        <v>144384.9375</v>
      </c>
      <c r="E3454" s="8">
        <v>144408.953125</v>
      </c>
      <c r="F3454" s="8">
        <f t="shared" si="106"/>
        <v>24.015625</v>
      </c>
      <c r="G3454" s="8">
        <f t="shared" si="107"/>
        <v>2.4015624999999999E-2</v>
      </c>
    </row>
    <row r="3455" spans="1:7" x14ac:dyDescent="0.25">
      <c r="A3455" s="8">
        <v>44</v>
      </c>
      <c r="B3455" s="8">
        <v>81</v>
      </c>
      <c r="C3455" s="8">
        <v>1929.307495</v>
      </c>
      <c r="D3455" s="8">
        <v>150030.109375</v>
      </c>
      <c r="E3455" s="8">
        <v>150048.125</v>
      </c>
      <c r="F3455" s="8">
        <f t="shared" si="106"/>
        <v>18.015625</v>
      </c>
      <c r="G3455" s="8">
        <f t="shared" si="107"/>
        <v>1.8015625E-2</v>
      </c>
    </row>
    <row r="3456" spans="1:7" x14ac:dyDescent="0.25">
      <c r="A3456" s="8">
        <v>44</v>
      </c>
      <c r="B3456" s="8">
        <v>82</v>
      </c>
      <c r="C3456" s="8">
        <v>1027.6826169999999</v>
      </c>
      <c r="D3456" s="8">
        <v>151983.453125</v>
      </c>
      <c r="E3456" s="8">
        <v>152000.828125</v>
      </c>
      <c r="F3456" s="8">
        <f t="shared" si="106"/>
        <v>17.375</v>
      </c>
      <c r="G3456" s="8">
        <f t="shared" si="107"/>
        <v>1.7375000000000002E-2</v>
      </c>
    </row>
    <row r="3457" spans="1:7" x14ac:dyDescent="0.25">
      <c r="A3457" s="8">
        <v>44</v>
      </c>
      <c r="B3457" s="8">
        <v>83</v>
      </c>
      <c r="C3457" s="8">
        <v>13991.959961</v>
      </c>
      <c r="D3457" s="8">
        <v>153031.390625</v>
      </c>
      <c r="E3457" s="8">
        <v>153053.78125</v>
      </c>
      <c r="F3457" s="8">
        <f t="shared" si="106"/>
        <v>22.390625</v>
      </c>
      <c r="G3457" s="8">
        <f t="shared" si="107"/>
        <v>2.2390625000000001E-2</v>
      </c>
    </row>
    <row r="3458" spans="1:7" x14ac:dyDescent="0.25">
      <c r="A3458" s="8">
        <v>44</v>
      </c>
      <c r="B3458" s="8">
        <v>84</v>
      </c>
      <c r="C3458" s="8">
        <v>2094.6716310000002</v>
      </c>
      <c r="D3458" s="8">
        <v>167052.078125</v>
      </c>
      <c r="E3458" s="8">
        <v>167064.078125</v>
      </c>
      <c r="F3458" s="8">
        <f t="shared" si="106"/>
        <v>12</v>
      </c>
      <c r="G3458" s="8">
        <f t="shared" si="107"/>
        <v>1.2E-2</v>
      </c>
    </row>
    <row r="3459" spans="1:7" x14ac:dyDescent="0.25">
      <c r="A3459" s="8">
        <v>44</v>
      </c>
      <c r="B3459" s="8">
        <v>85</v>
      </c>
      <c r="C3459" s="8">
        <v>69.746764999999996</v>
      </c>
      <c r="D3459" s="8">
        <v>169173.4375</v>
      </c>
      <c r="E3459" s="8">
        <v>169181.125</v>
      </c>
      <c r="F3459" s="8">
        <f t="shared" si="106"/>
        <v>7.6875</v>
      </c>
      <c r="G3459" s="8">
        <f t="shared" si="107"/>
        <v>7.6874999999999999E-3</v>
      </c>
    </row>
    <row r="3460" spans="1:7" x14ac:dyDescent="0.25">
      <c r="A3460" s="8">
        <v>44</v>
      </c>
      <c r="B3460" s="8">
        <v>86</v>
      </c>
      <c r="C3460" s="8">
        <v>991.28308100000004</v>
      </c>
      <c r="D3460" s="8">
        <v>169251.609375</v>
      </c>
      <c r="E3460" s="8">
        <v>169277.515625</v>
      </c>
      <c r="F3460" s="8">
        <f t="shared" si="106"/>
        <v>25.90625</v>
      </c>
      <c r="G3460" s="8">
        <f t="shared" si="107"/>
        <v>2.5906249999999999E-2</v>
      </c>
    </row>
    <row r="3461" spans="1:7" x14ac:dyDescent="0.25">
      <c r="A3461" s="8">
        <v>45</v>
      </c>
      <c r="B3461" s="8">
        <v>0</v>
      </c>
      <c r="C3461" s="8">
        <v>4269.7524409999996</v>
      </c>
      <c r="D3461" s="8">
        <v>22907.011718999998</v>
      </c>
      <c r="E3461" s="8">
        <v>22923.146484000001</v>
      </c>
      <c r="F3461" s="8">
        <f t="shared" si="106"/>
        <v>16.134765000002517</v>
      </c>
      <c r="G3461" s="8">
        <f t="shared" si="107"/>
        <v>1.6134765000002518E-2</v>
      </c>
    </row>
    <row r="3462" spans="1:7" x14ac:dyDescent="0.25">
      <c r="A3462" s="8">
        <v>45</v>
      </c>
      <c r="B3462" s="8">
        <v>1</v>
      </c>
      <c r="C3462" s="8">
        <v>4531.2929690000001</v>
      </c>
      <c r="D3462" s="8">
        <v>27196.318359000001</v>
      </c>
      <c r="E3462" s="8">
        <v>27207.289063</v>
      </c>
      <c r="F3462" s="8">
        <f t="shared" si="106"/>
        <v>10.970703999999387</v>
      </c>
      <c r="G3462" s="8">
        <f t="shared" si="107"/>
        <v>1.0970703999999387E-2</v>
      </c>
    </row>
    <row r="3463" spans="1:7" x14ac:dyDescent="0.25">
      <c r="A3463" s="8">
        <v>45</v>
      </c>
      <c r="B3463" s="8">
        <v>2</v>
      </c>
      <c r="C3463" s="8">
        <v>1146.2232670000001</v>
      </c>
      <c r="D3463" s="8">
        <v>31738.785156000002</v>
      </c>
      <c r="E3463" s="8">
        <v>31746.037109000001</v>
      </c>
      <c r="F3463" s="8">
        <f t="shared" si="106"/>
        <v>7.2519529999990482</v>
      </c>
      <c r="G3463" s="8">
        <f t="shared" si="107"/>
        <v>7.2519529999990479E-3</v>
      </c>
    </row>
    <row r="3464" spans="1:7" x14ac:dyDescent="0.25">
      <c r="A3464" s="8">
        <v>45</v>
      </c>
      <c r="B3464" s="8">
        <v>3</v>
      </c>
      <c r="C3464" s="8">
        <v>2934.1599120000001</v>
      </c>
      <c r="D3464" s="8">
        <v>32895.128905999998</v>
      </c>
      <c r="E3464" s="8">
        <v>32916.359375</v>
      </c>
      <c r="F3464" s="8">
        <f t="shared" si="106"/>
        <v>21.230469000001904</v>
      </c>
      <c r="G3464" s="8">
        <f t="shared" si="107"/>
        <v>2.1230469000001903E-2</v>
      </c>
    </row>
    <row r="3465" spans="1:7" x14ac:dyDescent="0.25">
      <c r="A3465" s="8">
        <v>45</v>
      </c>
      <c r="B3465" s="8">
        <v>4</v>
      </c>
      <c r="C3465" s="8">
        <v>711.859375</v>
      </c>
      <c r="D3465" s="8">
        <v>35858.277344000002</v>
      </c>
      <c r="E3465" s="8">
        <v>35871.730469000002</v>
      </c>
      <c r="F3465" s="8">
        <f t="shared" si="106"/>
        <v>13.453125</v>
      </c>
      <c r="G3465" s="8">
        <f t="shared" si="107"/>
        <v>1.3453125E-2</v>
      </c>
    </row>
    <row r="3466" spans="1:7" x14ac:dyDescent="0.25">
      <c r="A3466" s="8">
        <v>45</v>
      </c>
      <c r="B3466" s="8">
        <v>5</v>
      </c>
      <c r="C3466" s="8">
        <v>1206.4510499999999</v>
      </c>
      <c r="D3466" s="8">
        <v>36597.175780999998</v>
      </c>
      <c r="E3466" s="8">
        <v>36618.140625</v>
      </c>
      <c r="F3466" s="8">
        <f t="shared" si="106"/>
        <v>20.964844000001904</v>
      </c>
      <c r="G3466" s="8">
        <f t="shared" si="107"/>
        <v>2.0964844000001905E-2</v>
      </c>
    </row>
    <row r="3467" spans="1:7" x14ac:dyDescent="0.25">
      <c r="A3467" s="8">
        <v>45</v>
      </c>
      <c r="B3467" s="8">
        <v>6</v>
      </c>
      <c r="C3467" s="8">
        <v>612.26361099999997</v>
      </c>
      <c r="D3467" s="8">
        <v>37839.332030999998</v>
      </c>
      <c r="E3467" s="8">
        <v>37870.144530999998</v>
      </c>
      <c r="F3467" s="8">
        <f t="shared" ref="F3467:F3530" si="108">E3467-D3467</f>
        <v>30.8125</v>
      </c>
      <c r="G3467" s="8">
        <f t="shared" ref="G3467:G3530" si="109">F3467/1000</f>
        <v>3.08125E-2</v>
      </c>
    </row>
    <row r="3468" spans="1:7" x14ac:dyDescent="0.25">
      <c r="A3468" s="8">
        <v>45</v>
      </c>
      <c r="B3468" s="8">
        <v>7</v>
      </c>
      <c r="C3468" s="8">
        <v>21.477813999999999</v>
      </c>
      <c r="D3468" s="8">
        <v>38495.652344000002</v>
      </c>
      <c r="E3468" s="8">
        <v>38506.207030999998</v>
      </c>
      <c r="F3468" s="8">
        <f t="shared" si="108"/>
        <v>10.554686999996193</v>
      </c>
      <c r="G3468" s="8">
        <f t="shared" si="109"/>
        <v>1.0554686999996192E-2</v>
      </c>
    </row>
    <row r="3469" spans="1:7" x14ac:dyDescent="0.25">
      <c r="A3469" s="8">
        <v>45</v>
      </c>
      <c r="B3469" s="8">
        <v>8</v>
      </c>
      <c r="C3469" s="8">
        <v>2804.024414</v>
      </c>
      <c r="D3469" s="8">
        <v>38542.535155999998</v>
      </c>
      <c r="E3469" s="8">
        <v>38561.554687999997</v>
      </c>
      <c r="F3469" s="8">
        <f t="shared" si="108"/>
        <v>19.019531999998435</v>
      </c>
      <c r="G3469" s="8">
        <f t="shared" si="109"/>
        <v>1.9019531999998434E-2</v>
      </c>
    </row>
    <row r="3470" spans="1:7" x14ac:dyDescent="0.25">
      <c r="A3470" s="8">
        <v>45</v>
      </c>
      <c r="B3470" s="8">
        <v>9</v>
      </c>
      <c r="C3470" s="8">
        <v>1410.1798100000001</v>
      </c>
      <c r="D3470" s="8">
        <v>41372.109375</v>
      </c>
      <c r="E3470" s="8">
        <v>41386.109375</v>
      </c>
      <c r="F3470" s="8">
        <f t="shared" si="108"/>
        <v>14</v>
      </c>
      <c r="G3470" s="8">
        <f t="shared" si="109"/>
        <v>1.4E-2</v>
      </c>
    </row>
    <row r="3471" spans="1:7" x14ac:dyDescent="0.25">
      <c r="A3471" s="8">
        <v>45</v>
      </c>
      <c r="B3471" s="8">
        <v>10</v>
      </c>
      <c r="C3471" s="8">
        <v>5.256043</v>
      </c>
      <c r="D3471" s="8">
        <v>42798.34375</v>
      </c>
      <c r="E3471" s="8">
        <v>42838.757812999997</v>
      </c>
      <c r="F3471" s="8">
        <f t="shared" si="108"/>
        <v>40.414062999996531</v>
      </c>
      <c r="G3471" s="8">
        <f t="shared" si="109"/>
        <v>4.0414062999996531E-2</v>
      </c>
    </row>
    <row r="3472" spans="1:7" x14ac:dyDescent="0.25">
      <c r="A3472" s="8">
        <v>45</v>
      </c>
      <c r="B3472" s="8">
        <v>11</v>
      </c>
      <c r="C3472" s="8">
        <v>2161.713135</v>
      </c>
      <c r="D3472" s="8">
        <v>42845.222655999998</v>
      </c>
      <c r="E3472" s="8">
        <v>42860.929687999997</v>
      </c>
      <c r="F3472" s="8">
        <f t="shared" si="108"/>
        <v>15.707031999998435</v>
      </c>
      <c r="G3472" s="8">
        <f t="shared" si="109"/>
        <v>1.5707031999998435E-2</v>
      </c>
    </row>
    <row r="3473" spans="1:7" x14ac:dyDescent="0.25">
      <c r="A3473" s="8">
        <v>45</v>
      </c>
      <c r="B3473" s="8">
        <v>12</v>
      </c>
      <c r="C3473" s="8">
        <v>1475.6030270000001</v>
      </c>
      <c r="D3473" s="8">
        <v>45037.554687999997</v>
      </c>
      <c r="E3473" s="8">
        <v>45062.222655999998</v>
      </c>
      <c r="F3473" s="8">
        <f t="shared" si="108"/>
        <v>24.667968000001565</v>
      </c>
      <c r="G3473" s="8">
        <f t="shared" si="109"/>
        <v>2.4667968000001567E-2</v>
      </c>
    </row>
    <row r="3474" spans="1:7" x14ac:dyDescent="0.25">
      <c r="A3474" s="8">
        <v>45</v>
      </c>
      <c r="B3474" s="8">
        <v>13</v>
      </c>
      <c r="C3474" s="8">
        <v>195.40531899999999</v>
      </c>
      <c r="D3474" s="8">
        <v>46547.484375</v>
      </c>
      <c r="E3474" s="8">
        <v>46563.117187999997</v>
      </c>
      <c r="F3474" s="8">
        <f t="shared" si="108"/>
        <v>15.632812999996531</v>
      </c>
      <c r="G3474" s="8">
        <f t="shared" si="109"/>
        <v>1.5632812999996533E-2</v>
      </c>
    </row>
    <row r="3475" spans="1:7" x14ac:dyDescent="0.25">
      <c r="A3475" s="8">
        <v>45</v>
      </c>
      <c r="B3475" s="8">
        <v>14</v>
      </c>
      <c r="C3475" s="8">
        <v>1136.0722659999999</v>
      </c>
      <c r="D3475" s="8">
        <v>46766.554687999997</v>
      </c>
      <c r="E3475" s="8">
        <v>46779.648437999997</v>
      </c>
      <c r="F3475" s="8">
        <f t="shared" si="108"/>
        <v>13.09375</v>
      </c>
      <c r="G3475" s="8">
        <f t="shared" si="109"/>
        <v>1.3093749999999999E-2</v>
      </c>
    </row>
    <row r="3476" spans="1:7" x14ac:dyDescent="0.25">
      <c r="A3476" s="8">
        <v>45</v>
      </c>
      <c r="B3476" s="8">
        <v>15</v>
      </c>
      <c r="C3476" s="8">
        <v>436.89416499999999</v>
      </c>
      <c r="D3476" s="8">
        <v>47922.851562999997</v>
      </c>
      <c r="E3476" s="8">
        <v>47942.882812999997</v>
      </c>
      <c r="F3476" s="8">
        <f t="shared" si="108"/>
        <v>20.03125</v>
      </c>
      <c r="G3476" s="8">
        <f t="shared" si="109"/>
        <v>2.003125E-2</v>
      </c>
    </row>
    <row r="3477" spans="1:7" x14ac:dyDescent="0.25">
      <c r="A3477" s="8">
        <v>45</v>
      </c>
      <c r="B3477" s="8">
        <v>16</v>
      </c>
      <c r="C3477" s="8">
        <v>494.98764</v>
      </c>
      <c r="D3477" s="8">
        <v>48392.367187999997</v>
      </c>
      <c r="E3477" s="8">
        <v>48411.34375</v>
      </c>
      <c r="F3477" s="8">
        <f t="shared" si="108"/>
        <v>18.976562000003469</v>
      </c>
      <c r="G3477" s="8">
        <f t="shared" si="109"/>
        <v>1.8976562000003468E-2</v>
      </c>
    </row>
    <row r="3478" spans="1:7" x14ac:dyDescent="0.25">
      <c r="A3478" s="8">
        <v>45</v>
      </c>
      <c r="B3478" s="8">
        <v>17</v>
      </c>
      <c r="C3478" s="8">
        <v>2600.6828609999998</v>
      </c>
      <c r="D3478" s="8">
        <v>48918.457030999998</v>
      </c>
      <c r="E3478" s="8">
        <v>48939.914062999997</v>
      </c>
      <c r="F3478" s="8">
        <f t="shared" si="108"/>
        <v>21.457031999998435</v>
      </c>
      <c r="G3478" s="8">
        <f t="shared" si="109"/>
        <v>2.1457031999998436E-2</v>
      </c>
    </row>
    <row r="3479" spans="1:7" x14ac:dyDescent="0.25">
      <c r="A3479" s="8">
        <v>45</v>
      </c>
      <c r="B3479" s="8">
        <v>18</v>
      </c>
      <c r="C3479" s="8">
        <v>1138.1198730000001</v>
      </c>
      <c r="D3479" s="8">
        <v>51544.90625</v>
      </c>
      <c r="E3479" s="8">
        <v>51563.070312999997</v>
      </c>
      <c r="F3479" s="8">
        <f t="shared" si="108"/>
        <v>18.164062999996531</v>
      </c>
      <c r="G3479" s="8">
        <f t="shared" si="109"/>
        <v>1.8164062999996532E-2</v>
      </c>
    </row>
    <row r="3480" spans="1:7" x14ac:dyDescent="0.25">
      <c r="A3480" s="8">
        <v>45</v>
      </c>
      <c r="B3480" s="8">
        <v>19</v>
      </c>
      <c r="C3480" s="8">
        <v>524.44164999999998</v>
      </c>
      <c r="D3480" s="8">
        <v>52701.511719000002</v>
      </c>
      <c r="E3480" s="8">
        <v>52719.113280999998</v>
      </c>
      <c r="F3480" s="8">
        <f t="shared" si="108"/>
        <v>17.601561999996193</v>
      </c>
      <c r="G3480" s="8">
        <f t="shared" si="109"/>
        <v>1.7601561999996192E-2</v>
      </c>
    </row>
    <row r="3481" spans="1:7" x14ac:dyDescent="0.25">
      <c r="A3481" s="8">
        <v>45</v>
      </c>
      <c r="B3481" s="8">
        <v>20</v>
      </c>
      <c r="C3481" s="8">
        <v>2881.6525879999999</v>
      </c>
      <c r="D3481" s="8">
        <v>53249.296875</v>
      </c>
      <c r="E3481" s="8">
        <v>53267.078125</v>
      </c>
      <c r="F3481" s="8">
        <f t="shared" si="108"/>
        <v>17.78125</v>
      </c>
      <c r="G3481" s="8">
        <f t="shared" si="109"/>
        <v>1.7781249999999998E-2</v>
      </c>
    </row>
    <row r="3482" spans="1:7" x14ac:dyDescent="0.25">
      <c r="A3482" s="8">
        <v>45</v>
      </c>
      <c r="B3482" s="8">
        <v>21</v>
      </c>
      <c r="C3482" s="8">
        <v>4341.2075199999999</v>
      </c>
      <c r="D3482" s="8">
        <v>56159.921875</v>
      </c>
      <c r="E3482" s="8">
        <v>56174.496094000002</v>
      </c>
      <c r="F3482" s="8">
        <f t="shared" si="108"/>
        <v>14.574219000001904</v>
      </c>
      <c r="G3482" s="8">
        <f t="shared" si="109"/>
        <v>1.4574219000001904E-2</v>
      </c>
    </row>
    <row r="3483" spans="1:7" x14ac:dyDescent="0.25">
      <c r="A3483" s="8">
        <v>45</v>
      </c>
      <c r="B3483" s="8">
        <v>22</v>
      </c>
      <c r="C3483" s="8">
        <v>990.682007</v>
      </c>
      <c r="D3483" s="8">
        <v>60528.550780999998</v>
      </c>
      <c r="E3483" s="8">
        <v>60540.078125</v>
      </c>
      <c r="F3483" s="8">
        <f t="shared" si="108"/>
        <v>11.527344000001904</v>
      </c>
      <c r="G3483" s="8">
        <f t="shared" si="109"/>
        <v>1.1527344000001903E-2</v>
      </c>
    </row>
    <row r="3484" spans="1:7" x14ac:dyDescent="0.25">
      <c r="A3484" s="8">
        <v>45</v>
      </c>
      <c r="B3484" s="8">
        <v>23</v>
      </c>
      <c r="C3484" s="8">
        <v>2142.556885</v>
      </c>
      <c r="D3484" s="8">
        <v>61544.28125</v>
      </c>
      <c r="E3484" s="8">
        <v>61554.867187999997</v>
      </c>
      <c r="F3484" s="8">
        <f t="shared" si="108"/>
        <v>10.585937999996531</v>
      </c>
      <c r="G3484" s="8">
        <f t="shared" si="109"/>
        <v>1.0585937999996532E-2</v>
      </c>
    </row>
    <row r="3485" spans="1:7" x14ac:dyDescent="0.25">
      <c r="A3485" s="8">
        <v>45</v>
      </c>
      <c r="B3485" s="8">
        <v>24</v>
      </c>
      <c r="C3485" s="8">
        <v>3396.9921880000002</v>
      </c>
      <c r="D3485" s="8">
        <v>63697.28125</v>
      </c>
      <c r="E3485" s="8">
        <v>63719.28125</v>
      </c>
      <c r="F3485" s="8">
        <f t="shared" si="108"/>
        <v>22</v>
      </c>
      <c r="G3485" s="8">
        <f t="shared" si="109"/>
        <v>2.1999999999999999E-2</v>
      </c>
    </row>
    <row r="3486" spans="1:7" x14ac:dyDescent="0.25">
      <c r="A3486" s="8">
        <v>45</v>
      </c>
      <c r="B3486" s="8">
        <v>25</v>
      </c>
      <c r="C3486" s="8">
        <v>100.188309</v>
      </c>
      <c r="D3486" s="8">
        <v>67122.632813000004</v>
      </c>
      <c r="E3486" s="8">
        <v>67140.773438000004</v>
      </c>
      <c r="F3486" s="8">
        <f t="shared" si="108"/>
        <v>18.140625</v>
      </c>
      <c r="G3486" s="8">
        <f t="shared" si="109"/>
        <v>1.8140625E-2</v>
      </c>
    </row>
    <row r="3487" spans="1:7" x14ac:dyDescent="0.25">
      <c r="A3487" s="8">
        <v>45</v>
      </c>
      <c r="B3487" s="8">
        <v>26</v>
      </c>
      <c r="C3487" s="8">
        <v>6005.3681640000004</v>
      </c>
      <c r="D3487" s="8">
        <v>67247.546875</v>
      </c>
      <c r="E3487" s="8">
        <v>67274.226563000004</v>
      </c>
      <c r="F3487" s="8">
        <f t="shared" si="108"/>
        <v>26.679688000003807</v>
      </c>
      <c r="G3487" s="8">
        <f t="shared" si="109"/>
        <v>2.6679688000003806E-2</v>
      </c>
    </row>
    <row r="3488" spans="1:7" x14ac:dyDescent="0.25">
      <c r="A3488" s="8">
        <v>45</v>
      </c>
      <c r="B3488" s="8">
        <v>27</v>
      </c>
      <c r="C3488" s="8">
        <v>2920.7060550000001</v>
      </c>
      <c r="D3488" s="8">
        <v>73294.984375</v>
      </c>
      <c r="E3488" s="8">
        <v>73302.140625</v>
      </c>
      <c r="F3488" s="8">
        <f t="shared" si="108"/>
        <v>7.15625</v>
      </c>
      <c r="G3488" s="8">
        <f t="shared" si="109"/>
        <v>7.1562500000000003E-3</v>
      </c>
    </row>
    <row r="3489" spans="1:7" x14ac:dyDescent="0.25">
      <c r="A3489" s="8">
        <v>45</v>
      </c>
      <c r="B3489" s="8">
        <v>28</v>
      </c>
      <c r="C3489" s="8">
        <v>743.475098</v>
      </c>
      <c r="D3489" s="8">
        <v>76225.78125</v>
      </c>
      <c r="E3489" s="8">
        <v>76244.78125</v>
      </c>
      <c r="F3489" s="8">
        <f t="shared" si="108"/>
        <v>19</v>
      </c>
      <c r="G3489" s="8">
        <f t="shared" si="109"/>
        <v>1.9E-2</v>
      </c>
    </row>
    <row r="3490" spans="1:7" x14ac:dyDescent="0.25">
      <c r="A3490" s="8">
        <v>45</v>
      </c>
      <c r="B3490" s="8">
        <v>29</v>
      </c>
      <c r="C3490" s="8">
        <v>1443.3145750000001</v>
      </c>
      <c r="D3490" s="8">
        <v>76991.453125</v>
      </c>
      <c r="E3490" s="8">
        <v>77003.554688000004</v>
      </c>
      <c r="F3490" s="8">
        <f t="shared" si="108"/>
        <v>12.101563000003807</v>
      </c>
      <c r="G3490" s="8">
        <f t="shared" si="109"/>
        <v>1.2101563000003807E-2</v>
      </c>
    </row>
    <row r="3491" spans="1:7" x14ac:dyDescent="0.25">
      <c r="A3491" s="8">
        <v>45</v>
      </c>
      <c r="B3491" s="8">
        <v>30</v>
      </c>
      <c r="C3491" s="8">
        <v>1225.9602050000001</v>
      </c>
      <c r="D3491" s="8">
        <v>78450.914063000004</v>
      </c>
      <c r="E3491" s="8">
        <v>78475.929688000004</v>
      </c>
      <c r="F3491" s="8">
        <f t="shared" si="108"/>
        <v>25.015625</v>
      </c>
      <c r="G3491" s="8">
        <f t="shared" si="109"/>
        <v>2.5015625E-2</v>
      </c>
    </row>
    <row r="3492" spans="1:7" x14ac:dyDescent="0.25">
      <c r="A3492" s="8">
        <v>45</v>
      </c>
      <c r="B3492" s="8">
        <v>31</v>
      </c>
      <c r="C3492" s="8">
        <v>750.391479</v>
      </c>
      <c r="D3492" s="8">
        <v>79707.289063000004</v>
      </c>
      <c r="E3492" s="8">
        <v>79730.6875</v>
      </c>
      <c r="F3492" s="8">
        <f t="shared" si="108"/>
        <v>23.398436999996193</v>
      </c>
      <c r="G3492" s="8">
        <f t="shared" si="109"/>
        <v>2.3398436999996192E-2</v>
      </c>
    </row>
    <row r="3493" spans="1:7" x14ac:dyDescent="0.25">
      <c r="A3493" s="8">
        <v>45</v>
      </c>
      <c r="B3493" s="8">
        <v>32</v>
      </c>
      <c r="C3493" s="8">
        <v>281.35275300000001</v>
      </c>
      <c r="D3493" s="8">
        <v>80489.390625</v>
      </c>
      <c r="E3493" s="8">
        <v>80515.867188000004</v>
      </c>
      <c r="F3493" s="8">
        <f t="shared" si="108"/>
        <v>26.476563000003807</v>
      </c>
      <c r="G3493" s="8">
        <f t="shared" si="109"/>
        <v>2.6476563000003808E-2</v>
      </c>
    </row>
    <row r="3494" spans="1:7" x14ac:dyDescent="0.25">
      <c r="A3494" s="8">
        <v>45</v>
      </c>
      <c r="B3494" s="8">
        <v>33</v>
      </c>
      <c r="C3494" s="8">
        <v>2396.1999510000001</v>
      </c>
      <c r="D3494" s="8">
        <v>80801.945313000004</v>
      </c>
      <c r="E3494" s="8">
        <v>80824.421875</v>
      </c>
      <c r="F3494" s="8">
        <f t="shared" si="108"/>
        <v>22.476561999996193</v>
      </c>
      <c r="G3494" s="8">
        <f t="shared" si="109"/>
        <v>2.2476561999996193E-2</v>
      </c>
    </row>
    <row r="3495" spans="1:7" x14ac:dyDescent="0.25">
      <c r="A3495" s="8">
        <v>45</v>
      </c>
      <c r="B3495" s="8">
        <v>34</v>
      </c>
      <c r="C3495" s="8">
        <v>5189.1181640000004</v>
      </c>
      <c r="D3495" s="8">
        <v>83230.007813000004</v>
      </c>
      <c r="E3495" s="8">
        <v>83241.96875</v>
      </c>
      <c r="F3495" s="8">
        <f t="shared" si="108"/>
        <v>11.960936999996193</v>
      </c>
      <c r="G3495" s="8">
        <f t="shared" si="109"/>
        <v>1.1960936999996192E-2</v>
      </c>
    </row>
    <row r="3496" spans="1:7" x14ac:dyDescent="0.25">
      <c r="A3496" s="8">
        <v>45</v>
      </c>
      <c r="B3496" s="8">
        <v>35</v>
      </c>
      <c r="C3496" s="8">
        <v>7475.7666019999997</v>
      </c>
      <c r="D3496" s="8">
        <v>88443.570313000004</v>
      </c>
      <c r="E3496" s="8">
        <v>88452.476563000004</v>
      </c>
      <c r="F3496" s="8">
        <f t="shared" si="108"/>
        <v>8.90625</v>
      </c>
      <c r="G3496" s="8">
        <f t="shared" si="109"/>
        <v>8.9062499999999992E-3</v>
      </c>
    </row>
    <row r="3497" spans="1:7" x14ac:dyDescent="0.25">
      <c r="A3497" s="8">
        <v>45</v>
      </c>
      <c r="B3497" s="8">
        <v>36</v>
      </c>
      <c r="C3497" s="8">
        <v>1730.3763429999999</v>
      </c>
      <c r="D3497" s="8">
        <v>95928.398438000004</v>
      </c>
      <c r="E3497" s="8">
        <v>95940.710938000004</v>
      </c>
      <c r="F3497" s="8">
        <f t="shared" si="108"/>
        <v>12.3125</v>
      </c>
      <c r="G3497" s="8">
        <f t="shared" si="109"/>
        <v>1.2312500000000001E-2</v>
      </c>
    </row>
    <row r="3498" spans="1:7" x14ac:dyDescent="0.25">
      <c r="A3498" s="8">
        <v>45</v>
      </c>
      <c r="B3498" s="8">
        <v>37</v>
      </c>
      <c r="C3498" s="8">
        <v>322.88113399999997</v>
      </c>
      <c r="D3498" s="8">
        <v>97684.773438000004</v>
      </c>
      <c r="E3498" s="8">
        <v>97704.375</v>
      </c>
      <c r="F3498" s="8">
        <f t="shared" si="108"/>
        <v>19.601561999996193</v>
      </c>
      <c r="G3498" s="8">
        <f t="shared" si="109"/>
        <v>1.9601561999996193E-2</v>
      </c>
    </row>
    <row r="3499" spans="1:7" x14ac:dyDescent="0.25">
      <c r="A3499" s="8">
        <v>45</v>
      </c>
      <c r="B3499" s="8">
        <v>38</v>
      </c>
      <c r="C3499" s="8">
        <v>4050.4821780000002</v>
      </c>
      <c r="D3499" s="8">
        <v>98035.242188000004</v>
      </c>
      <c r="E3499" s="8">
        <v>98060.335938000004</v>
      </c>
      <c r="F3499" s="8">
        <f t="shared" si="108"/>
        <v>25.09375</v>
      </c>
      <c r="G3499" s="8">
        <f t="shared" si="109"/>
        <v>2.5093750000000001E-2</v>
      </c>
    </row>
    <row r="3500" spans="1:7" x14ac:dyDescent="0.25">
      <c r="A3500" s="8">
        <v>45</v>
      </c>
      <c r="B3500" s="8">
        <v>39</v>
      </c>
      <c r="C3500" s="8">
        <v>520.00372300000004</v>
      </c>
      <c r="D3500" s="8">
        <v>102120.085938</v>
      </c>
      <c r="E3500" s="8">
        <v>102133.203125</v>
      </c>
      <c r="F3500" s="8">
        <f t="shared" si="108"/>
        <v>13.117186999996193</v>
      </c>
      <c r="G3500" s="8">
        <f t="shared" si="109"/>
        <v>1.3117186999996193E-2</v>
      </c>
    </row>
    <row r="3501" spans="1:7" x14ac:dyDescent="0.25">
      <c r="A3501" s="8">
        <v>45</v>
      </c>
      <c r="B3501" s="8">
        <v>40</v>
      </c>
      <c r="C3501" s="8">
        <v>2263.1826169999999</v>
      </c>
      <c r="D3501" s="8">
        <v>102656.710938</v>
      </c>
      <c r="E3501" s="8">
        <v>102770.515625</v>
      </c>
      <c r="F3501" s="8">
        <f t="shared" si="108"/>
        <v>113.80468699999619</v>
      </c>
      <c r="G3501" s="8">
        <f t="shared" si="109"/>
        <v>0.1138046869999962</v>
      </c>
    </row>
    <row r="3502" spans="1:7" x14ac:dyDescent="0.25">
      <c r="A3502" s="8">
        <v>45</v>
      </c>
      <c r="B3502" s="8">
        <v>41</v>
      </c>
      <c r="C3502" s="8">
        <v>8337.3330079999996</v>
      </c>
      <c r="D3502" s="8">
        <v>105034.664063</v>
      </c>
      <c r="E3502" s="8">
        <v>105042.101563</v>
      </c>
      <c r="F3502" s="8">
        <f t="shared" si="108"/>
        <v>7.4375</v>
      </c>
      <c r="G3502" s="8">
        <f t="shared" si="109"/>
        <v>7.4374999999999997E-3</v>
      </c>
    </row>
    <row r="3503" spans="1:7" x14ac:dyDescent="0.25">
      <c r="A3503" s="8">
        <v>45</v>
      </c>
      <c r="B3503" s="8">
        <v>42</v>
      </c>
      <c r="C3503" s="8">
        <v>4017.9086910000001</v>
      </c>
      <c r="D3503" s="8">
        <v>113393.757813</v>
      </c>
      <c r="E3503" s="8">
        <v>113433.195313</v>
      </c>
      <c r="F3503" s="8">
        <f t="shared" si="108"/>
        <v>39.4375</v>
      </c>
      <c r="G3503" s="8">
        <f t="shared" si="109"/>
        <v>3.94375E-2</v>
      </c>
    </row>
    <row r="3504" spans="1:7" x14ac:dyDescent="0.25">
      <c r="A3504" s="8">
        <v>45</v>
      </c>
      <c r="B3504" s="8">
        <v>43</v>
      </c>
      <c r="C3504" s="8">
        <v>68.293541000000005</v>
      </c>
      <c r="D3504" s="8">
        <v>117457.460938</v>
      </c>
      <c r="E3504" s="8">
        <v>117472.226563</v>
      </c>
      <c r="F3504" s="8">
        <f t="shared" si="108"/>
        <v>14.765625</v>
      </c>
      <c r="G3504" s="8">
        <f t="shared" si="109"/>
        <v>1.4765624999999999E-2</v>
      </c>
    </row>
    <row r="3505" spans="1:7" x14ac:dyDescent="0.25">
      <c r="A3505" s="8">
        <v>45</v>
      </c>
      <c r="B3505" s="8">
        <v>44</v>
      </c>
      <c r="C3505" s="8">
        <v>5541.2138670000004</v>
      </c>
      <c r="D3505" s="8">
        <v>117541.1875</v>
      </c>
      <c r="E3505" s="8">
        <v>117561.3125</v>
      </c>
      <c r="F3505" s="8">
        <f t="shared" si="108"/>
        <v>20.125</v>
      </c>
      <c r="G3505" s="8">
        <f t="shared" si="109"/>
        <v>2.0125000000000001E-2</v>
      </c>
    </row>
    <row r="3506" spans="1:7" x14ac:dyDescent="0.25">
      <c r="A3506" s="8">
        <v>45</v>
      </c>
      <c r="B3506" s="8">
        <v>45</v>
      </c>
      <c r="C3506" s="8">
        <v>7672.2929690000001</v>
      </c>
      <c r="D3506" s="8">
        <v>123115.789063</v>
      </c>
      <c r="E3506" s="8">
        <v>123130.054688</v>
      </c>
      <c r="F3506" s="8">
        <f t="shared" si="108"/>
        <v>14.265625</v>
      </c>
      <c r="G3506" s="8">
        <f t="shared" si="109"/>
        <v>1.4265625000000001E-2</v>
      </c>
    </row>
    <row r="3507" spans="1:7" x14ac:dyDescent="0.25">
      <c r="A3507" s="8">
        <v>45</v>
      </c>
      <c r="B3507" s="8">
        <v>46</v>
      </c>
      <c r="C3507" s="8">
        <v>393.550568</v>
      </c>
      <c r="D3507" s="8">
        <v>130817.164063</v>
      </c>
      <c r="E3507" s="8">
        <v>130828.804688</v>
      </c>
      <c r="F3507" s="8">
        <f t="shared" si="108"/>
        <v>11.640625</v>
      </c>
      <c r="G3507" s="8">
        <f t="shared" si="109"/>
        <v>1.1640625E-2</v>
      </c>
    </row>
    <row r="3508" spans="1:7" x14ac:dyDescent="0.25">
      <c r="A3508" s="8">
        <v>45</v>
      </c>
      <c r="B3508" s="8">
        <v>47</v>
      </c>
      <c r="C3508" s="8">
        <v>911.72814900000003</v>
      </c>
      <c r="D3508" s="8">
        <v>131223.46875</v>
      </c>
      <c r="E3508" s="8">
        <v>131234.5</v>
      </c>
      <c r="F3508" s="8">
        <f t="shared" si="108"/>
        <v>11.03125</v>
      </c>
      <c r="G3508" s="8">
        <f t="shared" si="109"/>
        <v>1.1031249999999999E-2</v>
      </c>
    </row>
    <row r="3509" spans="1:7" x14ac:dyDescent="0.25">
      <c r="A3509" s="8">
        <v>45</v>
      </c>
      <c r="B3509" s="8">
        <v>48</v>
      </c>
      <c r="C3509" s="8">
        <v>2184.1445309999999</v>
      </c>
      <c r="D3509" s="8">
        <v>132155.21875</v>
      </c>
      <c r="E3509" s="8">
        <v>132176.28125</v>
      </c>
      <c r="F3509" s="8">
        <f t="shared" si="108"/>
        <v>21.0625</v>
      </c>
      <c r="G3509" s="8">
        <f t="shared" si="109"/>
        <v>2.1062500000000001E-2</v>
      </c>
    </row>
    <row r="3510" spans="1:7" x14ac:dyDescent="0.25">
      <c r="A3510" s="8">
        <v>45</v>
      </c>
      <c r="B3510" s="8">
        <v>49</v>
      </c>
      <c r="C3510" s="8">
        <v>23.761921000000001</v>
      </c>
      <c r="D3510" s="8">
        <v>134363.171875</v>
      </c>
      <c r="E3510" s="8">
        <v>134382.9375</v>
      </c>
      <c r="F3510" s="8">
        <f t="shared" si="108"/>
        <v>19.765625</v>
      </c>
      <c r="G3510" s="8">
        <f t="shared" si="109"/>
        <v>1.9765624999999998E-2</v>
      </c>
    </row>
    <row r="3511" spans="1:7" x14ac:dyDescent="0.25">
      <c r="A3511" s="8">
        <v>45</v>
      </c>
      <c r="B3511" s="8">
        <v>50</v>
      </c>
      <c r="C3511" s="8">
        <v>624.73706100000004</v>
      </c>
      <c r="D3511" s="8">
        <v>134410.109375</v>
      </c>
      <c r="E3511" s="8">
        <v>134419.34375</v>
      </c>
      <c r="F3511" s="8">
        <f t="shared" si="108"/>
        <v>9.234375</v>
      </c>
      <c r="G3511" s="8">
        <f t="shared" si="109"/>
        <v>9.2343749999999995E-3</v>
      </c>
    </row>
    <row r="3512" spans="1:7" x14ac:dyDescent="0.25">
      <c r="A3512" s="8">
        <v>45</v>
      </c>
      <c r="B3512" s="8">
        <v>51</v>
      </c>
      <c r="C3512" s="8">
        <v>51.877074999999998</v>
      </c>
      <c r="D3512" s="8">
        <v>135053.703125</v>
      </c>
      <c r="E3512" s="8">
        <v>135061.171875</v>
      </c>
      <c r="F3512" s="8">
        <f t="shared" si="108"/>
        <v>7.46875</v>
      </c>
      <c r="G3512" s="8">
        <f t="shared" si="109"/>
        <v>7.4687499999999997E-3</v>
      </c>
    </row>
    <row r="3513" spans="1:7" x14ac:dyDescent="0.25">
      <c r="A3513" s="8">
        <v>45</v>
      </c>
      <c r="B3513" s="8">
        <v>52</v>
      </c>
      <c r="C3513" s="8">
        <v>1042.63562</v>
      </c>
      <c r="D3513" s="8">
        <v>135116.390625</v>
      </c>
      <c r="E3513" s="8">
        <v>135229.34375</v>
      </c>
      <c r="F3513" s="8">
        <f t="shared" si="108"/>
        <v>112.953125</v>
      </c>
      <c r="G3513" s="8">
        <f t="shared" si="109"/>
        <v>0.112953125</v>
      </c>
    </row>
    <row r="3514" spans="1:7" x14ac:dyDescent="0.25">
      <c r="A3514" s="8">
        <v>45</v>
      </c>
      <c r="B3514" s="8">
        <v>53</v>
      </c>
      <c r="C3514" s="8">
        <v>228.11054999999999</v>
      </c>
      <c r="D3514" s="8">
        <v>136272.6875</v>
      </c>
      <c r="E3514" s="8">
        <v>136286.171875</v>
      </c>
      <c r="F3514" s="8">
        <f t="shared" si="108"/>
        <v>13.484375</v>
      </c>
      <c r="G3514" s="8">
        <f t="shared" si="109"/>
        <v>1.3484375E-2</v>
      </c>
    </row>
    <row r="3515" spans="1:7" x14ac:dyDescent="0.25">
      <c r="A3515" s="8">
        <v>45</v>
      </c>
      <c r="B3515" s="8">
        <v>54</v>
      </c>
      <c r="C3515" s="8">
        <v>1682.951294</v>
      </c>
      <c r="D3515" s="8">
        <v>136524.0625</v>
      </c>
      <c r="E3515" s="8">
        <v>136543.9375</v>
      </c>
      <c r="F3515" s="8">
        <f t="shared" si="108"/>
        <v>19.875</v>
      </c>
      <c r="G3515" s="8">
        <f t="shared" si="109"/>
        <v>1.9875E-2</v>
      </c>
    </row>
    <row r="3516" spans="1:7" x14ac:dyDescent="0.25">
      <c r="A3516" s="8">
        <v>45</v>
      </c>
      <c r="B3516" s="8">
        <v>55</v>
      </c>
      <c r="C3516" s="8">
        <v>2405.7290039999998</v>
      </c>
      <c r="D3516" s="8">
        <v>138234.328125</v>
      </c>
      <c r="E3516" s="8">
        <v>138262.359375</v>
      </c>
      <c r="F3516" s="8">
        <f t="shared" si="108"/>
        <v>28.03125</v>
      </c>
      <c r="G3516" s="8">
        <f t="shared" si="109"/>
        <v>2.8031250000000001E-2</v>
      </c>
    </row>
    <row r="3517" spans="1:7" x14ac:dyDescent="0.25">
      <c r="A3517" s="8">
        <v>45</v>
      </c>
      <c r="B3517" s="8">
        <v>56</v>
      </c>
      <c r="C3517" s="8">
        <v>1993.755737</v>
      </c>
      <c r="D3517" s="8">
        <v>140670.375</v>
      </c>
      <c r="E3517" s="8">
        <v>140711.265625</v>
      </c>
      <c r="F3517" s="8">
        <f t="shared" si="108"/>
        <v>40.890625</v>
      </c>
      <c r="G3517" s="8">
        <f t="shared" si="109"/>
        <v>4.0890625E-2</v>
      </c>
    </row>
    <row r="3518" spans="1:7" x14ac:dyDescent="0.25">
      <c r="A3518" s="8">
        <v>45</v>
      </c>
      <c r="B3518" s="8">
        <v>57</v>
      </c>
      <c r="C3518" s="8">
        <v>2934.1599120000001</v>
      </c>
      <c r="D3518" s="8">
        <v>142718.359375</v>
      </c>
      <c r="E3518" s="8">
        <v>142733.75</v>
      </c>
      <c r="F3518" s="8">
        <f t="shared" si="108"/>
        <v>15.390625</v>
      </c>
      <c r="G3518" s="8">
        <f t="shared" si="109"/>
        <v>1.5390625E-2</v>
      </c>
    </row>
    <row r="3519" spans="1:7" x14ac:dyDescent="0.25">
      <c r="A3519" s="8">
        <v>45</v>
      </c>
      <c r="B3519" s="8">
        <v>58</v>
      </c>
      <c r="C3519" s="8">
        <v>856.64660600000002</v>
      </c>
      <c r="D3519" s="8">
        <v>145677.78125</v>
      </c>
      <c r="E3519" s="8">
        <v>145696.5</v>
      </c>
      <c r="F3519" s="8">
        <f t="shared" si="108"/>
        <v>18.71875</v>
      </c>
      <c r="G3519" s="8">
        <f t="shared" si="109"/>
        <v>1.8718749999999999E-2</v>
      </c>
    </row>
    <row r="3520" spans="1:7" x14ac:dyDescent="0.25">
      <c r="A3520" s="8">
        <v>45</v>
      </c>
      <c r="B3520" s="8">
        <v>59</v>
      </c>
      <c r="C3520" s="8">
        <v>2805.016846</v>
      </c>
      <c r="D3520" s="8">
        <v>146552.859375</v>
      </c>
      <c r="E3520" s="8">
        <v>146570.5</v>
      </c>
      <c r="F3520" s="8">
        <f t="shared" si="108"/>
        <v>17.640625</v>
      </c>
      <c r="G3520" s="8">
        <f t="shared" si="109"/>
        <v>1.7640625E-2</v>
      </c>
    </row>
    <row r="3521" spans="1:7" x14ac:dyDescent="0.25">
      <c r="A3521" s="8">
        <v>45</v>
      </c>
      <c r="B3521" s="8">
        <v>60</v>
      </c>
      <c r="C3521" s="8">
        <v>530.16204800000003</v>
      </c>
      <c r="D3521" s="8">
        <v>149384.78125</v>
      </c>
      <c r="E3521" s="8">
        <v>149398.9375</v>
      </c>
      <c r="F3521" s="8">
        <f t="shared" si="108"/>
        <v>14.15625</v>
      </c>
      <c r="G3521" s="8">
        <f t="shared" si="109"/>
        <v>1.415625E-2</v>
      </c>
    </row>
    <row r="3522" spans="1:7" x14ac:dyDescent="0.25">
      <c r="A3522" s="8">
        <v>45</v>
      </c>
      <c r="B3522" s="8">
        <v>61</v>
      </c>
      <c r="C3522" s="8">
        <v>3649.0986330000001</v>
      </c>
      <c r="D3522" s="8">
        <v>149936.296875</v>
      </c>
      <c r="E3522" s="8">
        <v>149947.890625</v>
      </c>
      <c r="F3522" s="8">
        <f t="shared" si="108"/>
        <v>11.59375</v>
      </c>
      <c r="G3522" s="8">
        <f t="shared" si="109"/>
        <v>1.159375E-2</v>
      </c>
    </row>
    <row r="3523" spans="1:7" x14ac:dyDescent="0.25">
      <c r="A3523" s="8">
        <v>45</v>
      </c>
      <c r="B3523" s="8">
        <v>62</v>
      </c>
      <c r="C3523" s="8">
        <v>11.323859000000001</v>
      </c>
      <c r="D3523" s="8">
        <v>153609.53125</v>
      </c>
      <c r="E3523" s="8">
        <v>153623.8125</v>
      </c>
      <c r="F3523" s="8">
        <f t="shared" si="108"/>
        <v>14.28125</v>
      </c>
      <c r="G3523" s="8">
        <f t="shared" si="109"/>
        <v>1.4281250000000001E-2</v>
      </c>
    </row>
    <row r="3524" spans="1:7" x14ac:dyDescent="0.25">
      <c r="A3524" s="8">
        <v>45</v>
      </c>
      <c r="B3524" s="8">
        <v>63</v>
      </c>
      <c r="C3524" s="8">
        <v>2518.169922</v>
      </c>
      <c r="D3524" s="8">
        <v>153640.765625</v>
      </c>
      <c r="E3524" s="8">
        <v>153648.25</v>
      </c>
      <c r="F3524" s="8">
        <f t="shared" si="108"/>
        <v>7.484375</v>
      </c>
      <c r="G3524" s="8">
        <f t="shared" si="109"/>
        <v>7.4843749999999997E-3</v>
      </c>
    </row>
    <row r="3525" spans="1:7" x14ac:dyDescent="0.25">
      <c r="A3525" s="8">
        <v>45</v>
      </c>
      <c r="B3525" s="8">
        <v>64</v>
      </c>
      <c r="C3525" s="8">
        <v>6313.0551759999998</v>
      </c>
      <c r="D3525" s="8">
        <v>156172.328125</v>
      </c>
      <c r="E3525" s="8">
        <v>156188.96875</v>
      </c>
      <c r="F3525" s="8">
        <f t="shared" si="108"/>
        <v>16.640625</v>
      </c>
      <c r="G3525" s="8">
        <f t="shared" si="109"/>
        <v>1.6640624999999999E-2</v>
      </c>
    </row>
    <row r="3526" spans="1:7" x14ac:dyDescent="0.25">
      <c r="A3526" s="8">
        <v>45</v>
      </c>
      <c r="B3526" s="8">
        <v>65</v>
      </c>
      <c r="C3526" s="8">
        <v>1815.079712</v>
      </c>
      <c r="D3526" s="8">
        <v>162502.609375</v>
      </c>
      <c r="E3526" s="8">
        <v>162525.0625</v>
      </c>
      <c r="F3526" s="8">
        <f t="shared" si="108"/>
        <v>22.453125</v>
      </c>
      <c r="G3526" s="8">
        <f t="shared" si="109"/>
        <v>2.2453125000000001E-2</v>
      </c>
    </row>
    <row r="3527" spans="1:7" x14ac:dyDescent="0.25">
      <c r="A3527" s="8">
        <v>45</v>
      </c>
      <c r="B3527" s="8">
        <v>66</v>
      </c>
      <c r="C3527" s="8">
        <v>2083.2231449999999</v>
      </c>
      <c r="D3527" s="8">
        <v>164346.640625</v>
      </c>
      <c r="E3527" s="8">
        <v>164357.953125</v>
      </c>
      <c r="F3527" s="8">
        <f t="shared" si="108"/>
        <v>11.3125</v>
      </c>
      <c r="G3527" s="8">
        <f t="shared" si="109"/>
        <v>1.13125E-2</v>
      </c>
    </row>
    <row r="3528" spans="1:7" x14ac:dyDescent="0.25">
      <c r="A3528" s="8">
        <v>45</v>
      </c>
      <c r="B3528" s="8">
        <v>67</v>
      </c>
      <c r="C3528" s="8">
        <v>5057.845703</v>
      </c>
      <c r="D3528" s="8">
        <v>166442.59375</v>
      </c>
      <c r="E3528" s="8">
        <v>166459.109375</v>
      </c>
      <c r="F3528" s="8">
        <f t="shared" si="108"/>
        <v>16.515625</v>
      </c>
      <c r="G3528" s="8">
        <f t="shared" si="109"/>
        <v>1.6515624999999999E-2</v>
      </c>
    </row>
    <row r="3529" spans="1:7" x14ac:dyDescent="0.25">
      <c r="A3529" s="8">
        <v>46</v>
      </c>
      <c r="B3529" s="8">
        <v>0</v>
      </c>
      <c r="C3529" s="8">
        <v>3175.524414</v>
      </c>
      <c r="D3529" s="8">
        <v>20766.175781000002</v>
      </c>
      <c r="E3529" s="8">
        <v>20788.072265999999</v>
      </c>
      <c r="F3529" s="8">
        <f t="shared" si="108"/>
        <v>21.896484999997483</v>
      </c>
      <c r="G3529" s="8">
        <f t="shared" si="109"/>
        <v>2.1896484999997481E-2</v>
      </c>
    </row>
    <row r="3530" spans="1:7" x14ac:dyDescent="0.25">
      <c r="A3530" s="8">
        <v>46</v>
      </c>
      <c r="B3530" s="8">
        <v>1</v>
      </c>
      <c r="C3530" s="8">
        <v>2046.546875</v>
      </c>
      <c r="D3530" s="8">
        <v>23974.648438</v>
      </c>
      <c r="E3530" s="8">
        <v>23986.476563</v>
      </c>
      <c r="F3530" s="8">
        <f t="shared" si="108"/>
        <v>11.828125</v>
      </c>
      <c r="G3530" s="8">
        <f t="shared" si="109"/>
        <v>1.1828125E-2</v>
      </c>
    </row>
    <row r="3531" spans="1:7" x14ac:dyDescent="0.25">
      <c r="A3531" s="8">
        <v>46</v>
      </c>
      <c r="B3531" s="8">
        <v>2</v>
      </c>
      <c r="C3531" s="8">
        <v>624.57031300000006</v>
      </c>
      <c r="D3531" s="8">
        <v>26037.480468999998</v>
      </c>
      <c r="E3531" s="8">
        <v>26049.181640999999</v>
      </c>
      <c r="F3531" s="8">
        <f t="shared" ref="F3531:F3594" si="110">E3531-D3531</f>
        <v>11.701172000000952</v>
      </c>
      <c r="G3531" s="8">
        <f t="shared" ref="G3531:G3594" si="111">F3531/1000</f>
        <v>1.1701172000000952E-2</v>
      </c>
    </row>
    <row r="3532" spans="1:7" x14ac:dyDescent="0.25">
      <c r="A3532" s="8">
        <v>46</v>
      </c>
      <c r="B3532" s="8">
        <v>3</v>
      </c>
      <c r="C3532" s="8">
        <v>18.765111999999998</v>
      </c>
      <c r="D3532" s="8">
        <v>26680.626952999999</v>
      </c>
      <c r="E3532" s="8">
        <v>26692.023438</v>
      </c>
      <c r="F3532" s="8">
        <f t="shared" si="110"/>
        <v>11.396485000001121</v>
      </c>
      <c r="G3532" s="8">
        <f t="shared" si="111"/>
        <v>1.139648500000112E-2</v>
      </c>
    </row>
    <row r="3533" spans="1:7" x14ac:dyDescent="0.25">
      <c r="A3533" s="8">
        <v>46</v>
      </c>
      <c r="B3533" s="8">
        <v>4</v>
      </c>
      <c r="C3533" s="8">
        <v>162.96130400000001</v>
      </c>
      <c r="D3533" s="8">
        <v>26711.880859000001</v>
      </c>
      <c r="E3533" s="8">
        <v>26725.767577999999</v>
      </c>
      <c r="F3533" s="8">
        <f t="shared" si="110"/>
        <v>13.886718999998266</v>
      </c>
      <c r="G3533" s="8">
        <f t="shared" si="111"/>
        <v>1.3886718999998266E-2</v>
      </c>
    </row>
    <row r="3534" spans="1:7" x14ac:dyDescent="0.25">
      <c r="A3534" s="8">
        <v>46</v>
      </c>
      <c r="B3534" s="8">
        <v>5</v>
      </c>
      <c r="C3534" s="8">
        <v>1.954199</v>
      </c>
      <c r="D3534" s="8">
        <v>26899.384765999999</v>
      </c>
      <c r="E3534" s="8">
        <v>26923.736327999999</v>
      </c>
      <c r="F3534" s="8">
        <f t="shared" si="110"/>
        <v>24.351561999999831</v>
      </c>
      <c r="G3534" s="8">
        <f t="shared" si="111"/>
        <v>2.435156199999983E-2</v>
      </c>
    </row>
    <row r="3535" spans="1:7" x14ac:dyDescent="0.25">
      <c r="A3535" s="8">
        <v>46</v>
      </c>
      <c r="B3535" s="8">
        <v>6</v>
      </c>
      <c r="C3535" s="8">
        <v>787.23620600000004</v>
      </c>
      <c r="D3535" s="8">
        <v>26930.652343999998</v>
      </c>
      <c r="E3535" s="8">
        <v>26951.369140999999</v>
      </c>
      <c r="F3535" s="8">
        <f t="shared" si="110"/>
        <v>20.716797000000952</v>
      </c>
      <c r="G3535" s="8">
        <f t="shared" si="111"/>
        <v>2.0716797000000953E-2</v>
      </c>
    </row>
    <row r="3536" spans="1:7" x14ac:dyDescent="0.25">
      <c r="A3536" s="8">
        <v>46</v>
      </c>
      <c r="B3536" s="8">
        <v>7</v>
      </c>
      <c r="C3536" s="8">
        <v>282.12570199999999</v>
      </c>
      <c r="D3536" s="8">
        <v>27744.044922000001</v>
      </c>
      <c r="E3536" s="8">
        <v>27751.396484000001</v>
      </c>
      <c r="F3536" s="8">
        <f t="shared" si="110"/>
        <v>7.3515619999998307</v>
      </c>
      <c r="G3536" s="8">
        <f t="shared" si="111"/>
        <v>7.3515619999998307E-3</v>
      </c>
    </row>
    <row r="3537" spans="1:7" x14ac:dyDescent="0.25">
      <c r="A3537" s="8">
        <v>46</v>
      </c>
      <c r="B3537" s="8">
        <v>8</v>
      </c>
      <c r="C3537" s="8">
        <v>2430.8840329999998</v>
      </c>
      <c r="D3537" s="8">
        <v>28040.761718999998</v>
      </c>
      <c r="E3537" s="8">
        <v>28048.482422000001</v>
      </c>
      <c r="F3537" s="8">
        <f t="shared" si="110"/>
        <v>7.7207030000026862</v>
      </c>
      <c r="G3537" s="8">
        <f t="shared" si="111"/>
        <v>7.720703000002686E-3</v>
      </c>
    </row>
    <row r="3538" spans="1:7" x14ac:dyDescent="0.25">
      <c r="A3538" s="8">
        <v>46</v>
      </c>
      <c r="B3538" s="8">
        <v>9</v>
      </c>
      <c r="C3538" s="8">
        <v>1513.4882809999999</v>
      </c>
      <c r="D3538" s="8">
        <v>30484.177734000001</v>
      </c>
      <c r="E3538" s="8">
        <v>30504.076172000001</v>
      </c>
      <c r="F3538" s="8">
        <f t="shared" si="110"/>
        <v>19.898438000000169</v>
      </c>
      <c r="G3538" s="8">
        <f t="shared" si="111"/>
        <v>1.9898438000000171E-2</v>
      </c>
    </row>
    <row r="3539" spans="1:7" x14ac:dyDescent="0.25">
      <c r="A3539" s="8">
        <v>46</v>
      </c>
      <c r="B3539" s="8">
        <v>10</v>
      </c>
      <c r="C3539" s="8">
        <v>947.97003199999995</v>
      </c>
      <c r="D3539" s="8">
        <v>32020.033202999999</v>
      </c>
      <c r="E3539" s="8">
        <v>32031.130859000001</v>
      </c>
      <c r="F3539" s="8">
        <f t="shared" si="110"/>
        <v>11.097656000001734</v>
      </c>
      <c r="G3539" s="8">
        <f t="shared" si="111"/>
        <v>1.1097656000001734E-2</v>
      </c>
    </row>
    <row r="3540" spans="1:7" x14ac:dyDescent="0.25">
      <c r="A3540" s="8">
        <v>46</v>
      </c>
      <c r="B3540" s="8">
        <v>11</v>
      </c>
      <c r="C3540" s="8">
        <v>1301.388794</v>
      </c>
      <c r="D3540" s="8">
        <v>32988.898437999997</v>
      </c>
      <c r="E3540" s="8">
        <v>33000.03125</v>
      </c>
      <c r="F3540" s="8">
        <f t="shared" si="110"/>
        <v>11.132812000003469</v>
      </c>
      <c r="G3540" s="8">
        <f t="shared" si="111"/>
        <v>1.1132812000003468E-2</v>
      </c>
    </row>
    <row r="3541" spans="1:7" x14ac:dyDescent="0.25">
      <c r="A3541" s="8">
        <v>46</v>
      </c>
      <c r="B3541" s="8">
        <v>12</v>
      </c>
      <c r="C3541" s="8">
        <v>4093.9670409999999</v>
      </c>
      <c r="D3541" s="8">
        <v>34311.03125</v>
      </c>
      <c r="E3541" s="8">
        <v>34359.726562999997</v>
      </c>
      <c r="F3541" s="8">
        <f t="shared" si="110"/>
        <v>48.695312999996531</v>
      </c>
      <c r="G3541" s="8">
        <f t="shared" si="111"/>
        <v>4.8695312999996535E-2</v>
      </c>
    </row>
    <row r="3542" spans="1:7" x14ac:dyDescent="0.25">
      <c r="A3542" s="8">
        <v>46</v>
      </c>
      <c r="B3542" s="8">
        <v>13</v>
      </c>
      <c r="C3542" s="8">
        <v>589.021973</v>
      </c>
      <c r="D3542" s="8">
        <v>38464.433594000002</v>
      </c>
      <c r="E3542" s="8">
        <v>38476.3125</v>
      </c>
      <c r="F3542" s="8">
        <f t="shared" si="110"/>
        <v>11.878905999998096</v>
      </c>
      <c r="G3542" s="8">
        <f t="shared" si="111"/>
        <v>1.1878905999998097E-2</v>
      </c>
    </row>
    <row r="3543" spans="1:7" x14ac:dyDescent="0.25">
      <c r="A3543" s="8">
        <v>46</v>
      </c>
      <c r="B3543" s="8">
        <v>14</v>
      </c>
      <c r="C3543" s="8">
        <v>7437.6704099999997</v>
      </c>
      <c r="D3543" s="8">
        <v>39074.054687999997</v>
      </c>
      <c r="E3543" s="8">
        <v>39085.230469000002</v>
      </c>
      <c r="F3543" s="8">
        <f t="shared" si="110"/>
        <v>11.175781000005372</v>
      </c>
      <c r="G3543" s="8">
        <f t="shared" si="111"/>
        <v>1.1175781000005372E-2</v>
      </c>
    </row>
    <row r="3544" spans="1:7" x14ac:dyDescent="0.25">
      <c r="A3544" s="8">
        <v>46</v>
      </c>
      <c r="B3544" s="8">
        <v>15</v>
      </c>
      <c r="C3544" s="8">
        <v>33.482917999999998</v>
      </c>
      <c r="D3544" s="8">
        <v>46532.003905999998</v>
      </c>
      <c r="E3544" s="8">
        <v>46560.230469000002</v>
      </c>
      <c r="F3544" s="8">
        <f t="shared" si="110"/>
        <v>28.226563000003807</v>
      </c>
      <c r="G3544" s="8">
        <f t="shared" si="111"/>
        <v>2.8226563000003806E-2</v>
      </c>
    </row>
    <row r="3545" spans="1:7" x14ac:dyDescent="0.25">
      <c r="A3545" s="8">
        <v>46</v>
      </c>
      <c r="B3545" s="8">
        <v>16</v>
      </c>
      <c r="C3545" s="8">
        <v>764.29656999999997</v>
      </c>
      <c r="D3545" s="8">
        <v>46594.425780999998</v>
      </c>
      <c r="E3545" s="8">
        <v>46606.792969000002</v>
      </c>
      <c r="F3545" s="8">
        <f t="shared" si="110"/>
        <v>12.367188000003807</v>
      </c>
      <c r="G3545" s="8">
        <f t="shared" si="111"/>
        <v>1.2367188000003807E-2</v>
      </c>
    </row>
    <row r="3546" spans="1:7" x14ac:dyDescent="0.25">
      <c r="A3546" s="8">
        <v>46</v>
      </c>
      <c r="B3546" s="8">
        <v>17</v>
      </c>
      <c r="C3546" s="8">
        <v>1589.8598629999999</v>
      </c>
      <c r="D3546" s="8">
        <v>47375.9375</v>
      </c>
      <c r="E3546" s="8">
        <v>47388.5</v>
      </c>
      <c r="F3546" s="8">
        <f t="shared" si="110"/>
        <v>12.5625</v>
      </c>
      <c r="G3546" s="8">
        <f t="shared" si="111"/>
        <v>1.2562500000000001E-2</v>
      </c>
    </row>
    <row r="3547" spans="1:7" x14ac:dyDescent="0.25">
      <c r="A3547" s="8">
        <v>46</v>
      </c>
      <c r="B3547" s="8">
        <v>18</v>
      </c>
      <c r="C3547" s="8">
        <v>2697.0651859999998</v>
      </c>
      <c r="D3547" s="8">
        <v>48980.945312999997</v>
      </c>
      <c r="E3547" s="8">
        <v>48992.871094000002</v>
      </c>
      <c r="F3547" s="8">
        <f t="shared" si="110"/>
        <v>11.925781000005372</v>
      </c>
      <c r="G3547" s="8">
        <f t="shared" si="111"/>
        <v>1.1925781000005372E-2</v>
      </c>
    </row>
    <row r="3548" spans="1:7" x14ac:dyDescent="0.25">
      <c r="A3548" s="8">
        <v>46</v>
      </c>
      <c r="B3548" s="8">
        <v>19</v>
      </c>
      <c r="C3548" s="8">
        <v>335.906769</v>
      </c>
      <c r="D3548" s="8">
        <v>51701.167969000002</v>
      </c>
      <c r="E3548" s="8">
        <v>51715.578125</v>
      </c>
      <c r="F3548" s="8">
        <f t="shared" si="110"/>
        <v>14.410155999998096</v>
      </c>
      <c r="G3548" s="8">
        <f t="shared" si="111"/>
        <v>1.4410155999998096E-2</v>
      </c>
    </row>
    <row r="3549" spans="1:7" x14ac:dyDescent="0.25">
      <c r="A3549" s="8">
        <v>46</v>
      </c>
      <c r="B3549" s="8">
        <v>20</v>
      </c>
      <c r="C3549" s="8">
        <v>1435.1669919999999</v>
      </c>
      <c r="D3549" s="8">
        <v>52060.824219000002</v>
      </c>
      <c r="E3549" s="8">
        <v>52084.503905999998</v>
      </c>
      <c r="F3549" s="8">
        <f t="shared" si="110"/>
        <v>23.679686999996193</v>
      </c>
      <c r="G3549" s="8">
        <f t="shared" si="111"/>
        <v>2.3679686999996192E-2</v>
      </c>
    </row>
    <row r="3550" spans="1:7" x14ac:dyDescent="0.25">
      <c r="A3550" s="8">
        <v>46</v>
      </c>
      <c r="B3550" s="8">
        <v>21</v>
      </c>
      <c r="C3550" s="8">
        <v>1112.939453</v>
      </c>
      <c r="D3550" s="8">
        <v>53530.597655999998</v>
      </c>
      <c r="E3550" s="8">
        <v>53583.867187999997</v>
      </c>
      <c r="F3550" s="8">
        <f t="shared" si="110"/>
        <v>53.269531999998435</v>
      </c>
      <c r="G3550" s="8">
        <f t="shared" si="111"/>
        <v>5.3269531999998433E-2</v>
      </c>
    </row>
    <row r="3551" spans="1:7" x14ac:dyDescent="0.25">
      <c r="A3551" s="8">
        <v>46</v>
      </c>
      <c r="B3551" s="8">
        <v>22</v>
      </c>
      <c r="C3551" s="8">
        <v>3915.0263669999999</v>
      </c>
      <c r="D3551" s="8">
        <v>54706.703125</v>
      </c>
      <c r="E3551" s="8">
        <v>54718.660155999998</v>
      </c>
      <c r="F3551" s="8">
        <f t="shared" si="110"/>
        <v>11.957030999998096</v>
      </c>
      <c r="G3551" s="8">
        <f t="shared" si="111"/>
        <v>1.1957030999998097E-2</v>
      </c>
    </row>
    <row r="3552" spans="1:7" x14ac:dyDescent="0.25">
      <c r="A3552" s="8">
        <v>46</v>
      </c>
      <c r="B3552" s="8">
        <v>23</v>
      </c>
      <c r="C3552" s="8">
        <v>262.05529799999999</v>
      </c>
      <c r="D3552" s="8">
        <v>58637.925780999998</v>
      </c>
      <c r="E3552" s="8">
        <v>58660.566405999998</v>
      </c>
      <c r="F3552" s="8">
        <f t="shared" si="110"/>
        <v>22.640625</v>
      </c>
      <c r="G3552" s="8">
        <f t="shared" si="111"/>
        <v>2.2640625000000001E-2</v>
      </c>
    </row>
    <row r="3553" spans="1:7" x14ac:dyDescent="0.25">
      <c r="A3553" s="8">
        <v>46</v>
      </c>
      <c r="B3553" s="8">
        <v>24</v>
      </c>
      <c r="C3553" s="8">
        <v>4331.6020509999998</v>
      </c>
      <c r="D3553" s="8">
        <v>58934.878905999998</v>
      </c>
      <c r="E3553" s="8">
        <v>58946.125</v>
      </c>
      <c r="F3553" s="8">
        <f t="shared" si="110"/>
        <v>11.246094000001904</v>
      </c>
      <c r="G3553" s="8">
        <f t="shared" si="111"/>
        <v>1.1246094000001903E-2</v>
      </c>
    </row>
    <row r="3554" spans="1:7" x14ac:dyDescent="0.25">
      <c r="A3554" s="8">
        <v>46</v>
      </c>
      <c r="B3554" s="8">
        <v>25</v>
      </c>
      <c r="C3554" s="8">
        <v>2612.5927729999999</v>
      </c>
      <c r="D3554" s="8">
        <v>63282.363280999998</v>
      </c>
      <c r="E3554" s="8">
        <v>63297.015625</v>
      </c>
      <c r="F3554" s="8">
        <f t="shared" si="110"/>
        <v>14.652344000001904</v>
      </c>
      <c r="G3554" s="8">
        <f t="shared" si="111"/>
        <v>1.4652344000001904E-2</v>
      </c>
    </row>
    <row r="3555" spans="1:7" x14ac:dyDescent="0.25">
      <c r="A3555" s="8">
        <v>46</v>
      </c>
      <c r="B3555" s="8">
        <v>26</v>
      </c>
      <c r="C3555" s="8">
        <v>4982.7338870000003</v>
      </c>
      <c r="D3555" s="8">
        <v>65918.570313000004</v>
      </c>
      <c r="E3555" s="8">
        <v>65936.242188000004</v>
      </c>
      <c r="F3555" s="8">
        <f t="shared" si="110"/>
        <v>17.671875</v>
      </c>
      <c r="G3555" s="8">
        <f t="shared" si="111"/>
        <v>1.7671875E-2</v>
      </c>
    </row>
    <row r="3556" spans="1:7" x14ac:dyDescent="0.25">
      <c r="A3556" s="8">
        <v>46</v>
      </c>
      <c r="B3556" s="8">
        <v>27</v>
      </c>
      <c r="C3556" s="8">
        <v>871.59631300000001</v>
      </c>
      <c r="D3556" s="8">
        <v>70929.476563000004</v>
      </c>
      <c r="E3556" s="8">
        <v>70940.953125</v>
      </c>
      <c r="F3556" s="8">
        <f t="shared" si="110"/>
        <v>11.476561999996193</v>
      </c>
      <c r="G3556" s="8">
        <f t="shared" si="111"/>
        <v>1.1476561999996193E-2</v>
      </c>
    </row>
    <row r="3557" spans="1:7" x14ac:dyDescent="0.25">
      <c r="A3557" s="8">
        <v>46</v>
      </c>
      <c r="B3557" s="8">
        <v>28</v>
      </c>
      <c r="C3557" s="8">
        <v>141.88282799999999</v>
      </c>
      <c r="D3557" s="8">
        <v>71823.273438000004</v>
      </c>
      <c r="E3557" s="8">
        <v>71841.945313000004</v>
      </c>
      <c r="F3557" s="8">
        <f t="shared" si="110"/>
        <v>18.671875</v>
      </c>
      <c r="G3557" s="8">
        <f t="shared" si="111"/>
        <v>1.8671875000000001E-2</v>
      </c>
    </row>
    <row r="3558" spans="1:7" x14ac:dyDescent="0.25">
      <c r="A3558" s="8">
        <v>46</v>
      </c>
      <c r="B3558" s="8">
        <v>29</v>
      </c>
      <c r="C3558" s="8">
        <v>658.97930899999994</v>
      </c>
      <c r="D3558" s="8">
        <v>71995.101563000004</v>
      </c>
      <c r="E3558" s="8">
        <v>72008.757813000004</v>
      </c>
      <c r="F3558" s="8">
        <f t="shared" si="110"/>
        <v>13.65625</v>
      </c>
      <c r="G3558" s="8">
        <f t="shared" si="111"/>
        <v>1.365625E-2</v>
      </c>
    </row>
    <row r="3559" spans="1:7" x14ac:dyDescent="0.25">
      <c r="A3559" s="8">
        <v>46</v>
      </c>
      <c r="B3559" s="8">
        <v>30</v>
      </c>
      <c r="C3559" s="8">
        <v>3079.608643</v>
      </c>
      <c r="D3559" s="8">
        <v>72669.867188000004</v>
      </c>
      <c r="E3559" s="8">
        <v>72684.921875</v>
      </c>
      <c r="F3559" s="8">
        <f t="shared" si="110"/>
        <v>15.054686999996193</v>
      </c>
      <c r="G3559" s="8">
        <f t="shared" si="111"/>
        <v>1.5054686999996193E-2</v>
      </c>
    </row>
    <row r="3560" spans="1:7" x14ac:dyDescent="0.25">
      <c r="A3560" s="8">
        <v>46</v>
      </c>
      <c r="B3560" s="8">
        <v>31</v>
      </c>
      <c r="C3560" s="8">
        <v>2412.6511230000001</v>
      </c>
      <c r="D3560" s="8">
        <v>75772.570313000004</v>
      </c>
      <c r="E3560" s="8">
        <v>75786.554688000004</v>
      </c>
      <c r="F3560" s="8">
        <f t="shared" si="110"/>
        <v>13.984375</v>
      </c>
      <c r="G3560" s="8">
        <f t="shared" si="111"/>
        <v>1.3984375E-2</v>
      </c>
    </row>
    <row r="3561" spans="1:7" x14ac:dyDescent="0.25">
      <c r="A3561" s="8">
        <v>46</v>
      </c>
      <c r="B3561" s="8">
        <v>32</v>
      </c>
      <c r="C3561" s="8">
        <v>1854.3370359999999</v>
      </c>
      <c r="D3561" s="8">
        <v>78213.507813000004</v>
      </c>
      <c r="E3561" s="8">
        <v>78236.09375</v>
      </c>
      <c r="F3561" s="8">
        <f t="shared" si="110"/>
        <v>22.585936999996193</v>
      </c>
      <c r="G3561" s="8">
        <f t="shared" si="111"/>
        <v>2.2585936999996194E-2</v>
      </c>
    </row>
    <row r="3562" spans="1:7" x14ac:dyDescent="0.25">
      <c r="A3562" s="8">
        <v>46</v>
      </c>
      <c r="B3562" s="8">
        <v>33</v>
      </c>
      <c r="C3562" s="8">
        <v>2001.2126459999999</v>
      </c>
      <c r="D3562" s="8">
        <v>80097.898438000004</v>
      </c>
      <c r="E3562" s="8">
        <v>80111.085938000004</v>
      </c>
      <c r="F3562" s="8">
        <f t="shared" si="110"/>
        <v>13.1875</v>
      </c>
      <c r="G3562" s="8">
        <f t="shared" si="111"/>
        <v>1.31875E-2</v>
      </c>
    </row>
    <row r="3563" spans="1:7" x14ac:dyDescent="0.25">
      <c r="A3563" s="8">
        <v>46</v>
      </c>
      <c r="B3563" s="8">
        <v>34</v>
      </c>
      <c r="C3563" s="8">
        <v>2969.4077149999998</v>
      </c>
      <c r="D3563" s="8">
        <v>82120.546875</v>
      </c>
      <c r="E3563" s="8">
        <v>82131.632813000004</v>
      </c>
      <c r="F3563" s="8">
        <f t="shared" si="110"/>
        <v>11.085938000003807</v>
      </c>
      <c r="G3563" s="8">
        <f t="shared" si="111"/>
        <v>1.1085938000003808E-2</v>
      </c>
    </row>
    <row r="3564" spans="1:7" x14ac:dyDescent="0.25">
      <c r="A3564" s="8">
        <v>46</v>
      </c>
      <c r="B3564" s="8">
        <v>35</v>
      </c>
      <c r="C3564" s="8">
        <v>3782.494385</v>
      </c>
      <c r="D3564" s="8">
        <v>85110.40625</v>
      </c>
      <c r="E3564" s="8">
        <v>85121.625</v>
      </c>
      <c r="F3564" s="8">
        <f t="shared" si="110"/>
        <v>11.21875</v>
      </c>
      <c r="G3564" s="8">
        <f t="shared" si="111"/>
        <v>1.121875E-2</v>
      </c>
    </row>
    <row r="3565" spans="1:7" x14ac:dyDescent="0.25">
      <c r="A3565" s="8">
        <v>46</v>
      </c>
      <c r="B3565" s="8">
        <v>36</v>
      </c>
      <c r="C3565" s="8">
        <v>215.97026099999999</v>
      </c>
      <c r="D3565" s="8">
        <v>88912.398438000004</v>
      </c>
      <c r="E3565" s="8">
        <v>88941.5625</v>
      </c>
      <c r="F3565" s="8">
        <f t="shared" si="110"/>
        <v>29.164061999996193</v>
      </c>
      <c r="G3565" s="8">
        <f t="shared" si="111"/>
        <v>2.9164061999996192E-2</v>
      </c>
    </row>
    <row r="3566" spans="1:7" x14ac:dyDescent="0.25">
      <c r="A3566" s="8">
        <v>46</v>
      </c>
      <c r="B3566" s="8">
        <v>37</v>
      </c>
      <c r="C3566" s="8">
        <v>1271.0825199999999</v>
      </c>
      <c r="D3566" s="8">
        <v>89162.40625</v>
      </c>
      <c r="E3566" s="8">
        <v>89184.734375</v>
      </c>
      <c r="F3566" s="8">
        <f t="shared" si="110"/>
        <v>22.328125</v>
      </c>
      <c r="G3566" s="8">
        <f t="shared" si="111"/>
        <v>2.2328125000000001E-2</v>
      </c>
    </row>
    <row r="3567" spans="1:7" x14ac:dyDescent="0.25">
      <c r="A3567" s="8">
        <v>46</v>
      </c>
      <c r="B3567" s="8">
        <v>38</v>
      </c>
      <c r="C3567" s="8">
        <v>2996.530518</v>
      </c>
      <c r="D3567" s="8">
        <v>90464.203125</v>
      </c>
      <c r="E3567" s="8">
        <v>90475.265625</v>
      </c>
      <c r="F3567" s="8">
        <f t="shared" si="110"/>
        <v>11.0625</v>
      </c>
      <c r="G3567" s="8">
        <f t="shared" si="111"/>
        <v>1.1062499999999999E-2</v>
      </c>
    </row>
    <row r="3568" spans="1:7" x14ac:dyDescent="0.25">
      <c r="A3568" s="8">
        <v>46</v>
      </c>
      <c r="B3568" s="8">
        <v>39</v>
      </c>
      <c r="C3568" s="8">
        <v>2754.3005370000001</v>
      </c>
      <c r="D3568" s="8">
        <v>93482.484375</v>
      </c>
      <c r="E3568" s="8">
        <v>93493.523438000004</v>
      </c>
      <c r="F3568" s="8">
        <f t="shared" si="110"/>
        <v>11.039063000003807</v>
      </c>
      <c r="G3568" s="8">
        <f t="shared" si="111"/>
        <v>1.1039063000003808E-2</v>
      </c>
    </row>
    <row r="3569" spans="1:7" x14ac:dyDescent="0.25">
      <c r="A3569" s="8">
        <v>46</v>
      </c>
      <c r="B3569" s="8">
        <v>40</v>
      </c>
      <c r="C3569" s="8">
        <v>731.73651099999995</v>
      </c>
      <c r="D3569" s="8">
        <v>96256.585938000004</v>
      </c>
      <c r="E3569" s="8">
        <v>96264.65625</v>
      </c>
      <c r="F3569" s="8">
        <f t="shared" si="110"/>
        <v>8.0703119999961928</v>
      </c>
      <c r="G3569" s="8">
        <f t="shared" si="111"/>
        <v>8.0703119999961919E-3</v>
      </c>
    </row>
    <row r="3570" spans="1:7" x14ac:dyDescent="0.25">
      <c r="A3570" s="8">
        <v>46</v>
      </c>
      <c r="B3570" s="8">
        <v>41</v>
      </c>
      <c r="C3570" s="8">
        <v>683.91229199999998</v>
      </c>
      <c r="D3570" s="8">
        <v>97009.0625</v>
      </c>
      <c r="E3570" s="8">
        <v>97028</v>
      </c>
      <c r="F3570" s="8">
        <f t="shared" si="110"/>
        <v>18.9375</v>
      </c>
      <c r="G3570" s="8">
        <f t="shared" si="111"/>
        <v>1.8937499999999999E-2</v>
      </c>
    </row>
    <row r="3571" spans="1:7" x14ac:dyDescent="0.25">
      <c r="A3571" s="8">
        <v>46</v>
      </c>
      <c r="B3571" s="8">
        <v>42</v>
      </c>
      <c r="C3571" s="8">
        <v>1998.392212</v>
      </c>
      <c r="D3571" s="8">
        <v>97716</v>
      </c>
      <c r="E3571" s="8">
        <v>97726.085938000004</v>
      </c>
      <c r="F3571" s="8">
        <f t="shared" si="110"/>
        <v>10.085938000003807</v>
      </c>
      <c r="G3571" s="8">
        <f t="shared" si="111"/>
        <v>1.0085938000003807E-2</v>
      </c>
    </row>
    <row r="3572" spans="1:7" x14ac:dyDescent="0.25">
      <c r="A3572" s="8">
        <v>46</v>
      </c>
      <c r="B3572" s="8">
        <v>43</v>
      </c>
      <c r="C3572" s="8">
        <v>1088.80835</v>
      </c>
      <c r="D3572" s="8">
        <v>99729.492188000004</v>
      </c>
      <c r="E3572" s="8">
        <v>99747.125</v>
      </c>
      <c r="F3572" s="8">
        <f t="shared" si="110"/>
        <v>17.632811999996193</v>
      </c>
      <c r="G3572" s="8">
        <f t="shared" si="111"/>
        <v>1.7632811999996192E-2</v>
      </c>
    </row>
    <row r="3573" spans="1:7" x14ac:dyDescent="0.25">
      <c r="A3573" s="8">
        <v>46</v>
      </c>
      <c r="B3573" s="8">
        <v>44</v>
      </c>
      <c r="C3573" s="8">
        <v>86.629836999999995</v>
      </c>
      <c r="D3573" s="8">
        <v>100838.992188</v>
      </c>
      <c r="E3573" s="8">
        <v>100849.921875</v>
      </c>
      <c r="F3573" s="8">
        <f t="shared" si="110"/>
        <v>10.929686999996193</v>
      </c>
      <c r="G3573" s="8">
        <f t="shared" si="111"/>
        <v>1.0929686999996193E-2</v>
      </c>
    </row>
    <row r="3574" spans="1:7" x14ac:dyDescent="0.25">
      <c r="A3574" s="8">
        <v>46</v>
      </c>
      <c r="B3574" s="8">
        <v>45</v>
      </c>
      <c r="C3574" s="8">
        <v>1104.3330080000001</v>
      </c>
      <c r="D3574" s="8">
        <v>100948.382813</v>
      </c>
      <c r="E3574" s="8">
        <v>100956.039063</v>
      </c>
      <c r="F3574" s="8">
        <f t="shared" si="110"/>
        <v>7.65625</v>
      </c>
      <c r="G3574" s="8">
        <f t="shared" si="111"/>
        <v>7.6562499999999999E-3</v>
      </c>
    </row>
    <row r="3575" spans="1:7" x14ac:dyDescent="0.25">
      <c r="A3575" s="8">
        <v>46</v>
      </c>
      <c r="B3575" s="8">
        <v>46</v>
      </c>
      <c r="C3575" s="8">
        <v>1025.2352289999999</v>
      </c>
      <c r="D3575" s="8">
        <v>102073.21875</v>
      </c>
      <c r="E3575" s="8">
        <v>102084.648438</v>
      </c>
      <c r="F3575" s="8">
        <f t="shared" si="110"/>
        <v>11.429688000003807</v>
      </c>
      <c r="G3575" s="8">
        <f t="shared" si="111"/>
        <v>1.1429688000003808E-2</v>
      </c>
    </row>
    <row r="3576" spans="1:7" x14ac:dyDescent="0.25">
      <c r="A3576" s="8">
        <v>46</v>
      </c>
      <c r="B3576" s="8">
        <v>47</v>
      </c>
      <c r="C3576" s="8">
        <v>8967.3476559999999</v>
      </c>
      <c r="D3576" s="8">
        <v>103119.539063</v>
      </c>
      <c r="E3576" s="8">
        <v>103142.515625</v>
      </c>
      <c r="F3576" s="8">
        <f t="shared" si="110"/>
        <v>22.976561999996193</v>
      </c>
      <c r="G3576" s="8">
        <f t="shared" si="111"/>
        <v>2.2976561999996193E-2</v>
      </c>
    </row>
    <row r="3577" spans="1:7" x14ac:dyDescent="0.25">
      <c r="A3577" s="8">
        <v>46</v>
      </c>
      <c r="B3577" s="8">
        <v>48</v>
      </c>
      <c r="C3577" s="8">
        <v>1452.5048830000001</v>
      </c>
      <c r="D3577" s="8">
        <v>112115.8125</v>
      </c>
      <c r="E3577" s="8">
        <v>112123.492188</v>
      </c>
      <c r="F3577" s="8">
        <f t="shared" si="110"/>
        <v>7.6796880000038072</v>
      </c>
      <c r="G3577" s="8">
        <f t="shared" si="111"/>
        <v>7.6796880000038073E-3</v>
      </c>
    </row>
    <row r="3578" spans="1:7" x14ac:dyDescent="0.25">
      <c r="A3578" s="8">
        <v>46</v>
      </c>
      <c r="B3578" s="8">
        <v>49</v>
      </c>
      <c r="C3578" s="8">
        <v>59.911228000000001</v>
      </c>
      <c r="D3578" s="8">
        <v>113581.226563</v>
      </c>
      <c r="E3578" s="8">
        <v>113635.773438</v>
      </c>
      <c r="F3578" s="8">
        <f t="shared" si="110"/>
        <v>54.546875</v>
      </c>
      <c r="G3578" s="8">
        <f t="shared" si="111"/>
        <v>5.4546875000000002E-2</v>
      </c>
    </row>
    <row r="3579" spans="1:7" x14ac:dyDescent="0.25">
      <c r="A3579" s="8">
        <v>46</v>
      </c>
      <c r="B3579" s="8">
        <v>50</v>
      </c>
      <c r="C3579" s="8">
        <v>3218.3876949999999</v>
      </c>
      <c r="D3579" s="8">
        <v>113706.203125</v>
      </c>
      <c r="E3579" s="8">
        <v>113723.140625</v>
      </c>
      <c r="F3579" s="8">
        <f t="shared" si="110"/>
        <v>16.9375</v>
      </c>
      <c r="G3579" s="8">
        <f t="shared" si="111"/>
        <v>1.6937500000000001E-2</v>
      </c>
    </row>
    <row r="3580" spans="1:7" x14ac:dyDescent="0.25">
      <c r="A3580" s="8">
        <v>46</v>
      </c>
      <c r="B3580" s="8">
        <v>51</v>
      </c>
      <c r="C3580" s="8">
        <v>612.51232900000002</v>
      </c>
      <c r="D3580" s="8">
        <v>116942.632813</v>
      </c>
      <c r="E3580" s="8">
        <v>116959.648438</v>
      </c>
      <c r="F3580" s="8">
        <f t="shared" si="110"/>
        <v>17.015625</v>
      </c>
      <c r="G3580" s="8">
        <f t="shared" si="111"/>
        <v>1.7015625E-2</v>
      </c>
    </row>
    <row r="3581" spans="1:7" x14ac:dyDescent="0.25">
      <c r="A3581" s="8">
        <v>46</v>
      </c>
      <c r="B3581" s="8">
        <v>52</v>
      </c>
      <c r="C3581" s="8">
        <v>5319.1220700000003</v>
      </c>
      <c r="D3581" s="8">
        <v>117572.4375</v>
      </c>
      <c r="E3581" s="8">
        <v>117580.15625</v>
      </c>
      <c r="F3581" s="8">
        <f t="shared" si="110"/>
        <v>7.71875</v>
      </c>
      <c r="G3581" s="8">
        <f t="shared" si="111"/>
        <v>7.7187499999999999E-3</v>
      </c>
    </row>
    <row r="3582" spans="1:7" x14ac:dyDescent="0.25">
      <c r="A3582" s="8">
        <v>46</v>
      </c>
      <c r="B3582" s="8">
        <v>53</v>
      </c>
      <c r="C3582" s="8">
        <v>228.93164100000001</v>
      </c>
      <c r="D3582" s="8">
        <v>122910.117188</v>
      </c>
      <c r="E3582" s="8">
        <v>122929.835938</v>
      </c>
      <c r="F3582" s="8">
        <f t="shared" si="110"/>
        <v>19.71875</v>
      </c>
      <c r="G3582" s="8">
        <f t="shared" si="111"/>
        <v>1.971875E-2</v>
      </c>
    </row>
    <row r="3583" spans="1:7" x14ac:dyDescent="0.25">
      <c r="A3583" s="8">
        <v>46</v>
      </c>
      <c r="B3583" s="8">
        <v>54</v>
      </c>
      <c r="C3583" s="8">
        <v>1358.4726559999999</v>
      </c>
      <c r="D3583" s="8">
        <v>123168.234375</v>
      </c>
      <c r="E3583" s="8">
        <v>123183.265625</v>
      </c>
      <c r="F3583" s="8">
        <f t="shared" si="110"/>
        <v>15.03125</v>
      </c>
      <c r="G3583" s="8">
        <f t="shared" si="111"/>
        <v>1.5031249999999999E-2</v>
      </c>
    </row>
    <row r="3584" spans="1:7" x14ac:dyDescent="0.25">
      <c r="A3584" s="8">
        <v>46</v>
      </c>
      <c r="B3584" s="8">
        <v>55</v>
      </c>
      <c r="C3584" s="8">
        <v>2629.3403320000002</v>
      </c>
      <c r="D3584" s="8">
        <v>124548.992188</v>
      </c>
      <c r="E3584" s="8">
        <v>124559.914063</v>
      </c>
      <c r="F3584" s="8">
        <f t="shared" si="110"/>
        <v>10.921875</v>
      </c>
      <c r="G3584" s="8">
        <f t="shared" si="111"/>
        <v>1.0921874999999999E-2</v>
      </c>
    </row>
    <row r="3585" spans="1:7" x14ac:dyDescent="0.25">
      <c r="A3585" s="8">
        <v>46</v>
      </c>
      <c r="B3585" s="8">
        <v>56</v>
      </c>
      <c r="C3585" s="8">
        <v>4323.1030270000001</v>
      </c>
      <c r="D3585" s="8">
        <v>127190.539063</v>
      </c>
      <c r="E3585" s="8">
        <v>127207.671875</v>
      </c>
      <c r="F3585" s="8">
        <f t="shared" si="110"/>
        <v>17.132811999996193</v>
      </c>
      <c r="G3585" s="8">
        <f t="shared" si="111"/>
        <v>1.7132811999996191E-2</v>
      </c>
    </row>
    <row r="3586" spans="1:7" x14ac:dyDescent="0.25">
      <c r="A3586" s="8">
        <v>46</v>
      </c>
      <c r="B3586" s="8">
        <v>57</v>
      </c>
      <c r="C3586" s="8">
        <v>388.13324</v>
      </c>
      <c r="D3586" s="8">
        <v>131545.71875</v>
      </c>
      <c r="E3586" s="8">
        <v>131562.09375</v>
      </c>
      <c r="F3586" s="8">
        <f t="shared" si="110"/>
        <v>16.375</v>
      </c>
      <c r="G3586" s="8">
        <f t="shared" si="111"/>
        <v>1.6375000000000001E-2</v>
      </c>
    </row>
    <row r="3587" spans="1:7" x14ac:dyDescent="0.25">
      <c r="A3587" s="8">
        <v>46</v>
      </c>
      <c r="B3587" s="8">
        <v>58</v>
      </c>
      <c r="C3587" s="8">
        <v>1279.0500489999999</v>
      </c>
      <c r="D3587" s="8">
        <v>131952.109375</v>
      </c>
      <c r="E3587" s="8">
        <v>131969.671875</v>
      </c>
      <c r="F3587" s="8">
        <f t="shared" si="110"/>
        <v>17.5625</v>
      </c>
      <c r="G3587" s="8">
        <f t="shared" si="111"/>
        <v>1.7562500000000002E-2</v>
      </c>
    </row>
    <row r="3588" spans="1:7" x14ac:dyDescent="0.25">
      <c r="A3588" s="8">
        <v>46</v>
      </c>
      <c r="B3588" s="8">
        <v>59</v>
      </c>
      <c r="C3588" s="8">
        <v>694.24957300000005</v>
      </c>
      <c r="D3588" s="8">
        <v>133253.734375</v>
      </c>
      <c r="E3588" s="8">
        <v>133272.859375</v>
      </c>
      <c r="F3588" s="8">
        <f t="shared" si="110"/>
        <v>19.125</v>
      </c>
      <c r="G3588" s="8">
        <f t="shared" si="111"/>
        <v>1.9125E-2</v>
      </c>
    </row>
    <row r="3589" spans="1:7" x14ac:dyDescent="0.25">
      <c r="A3589" s="8">
        <v>46</v>
      </c>
      <c r="B3589" s="8">
        <v>60</v>
      </c>
      <c r="C3589" s="8">
        <v>1554.626587</v>
      </c>
      <c r="D3589" s="8">
        <v>133972.46875</v>
      </c>
      <c r="E3589" s="8">
        <v>133992.859375</v>
      </c>
      <c r="F3589" s="8">
        <f t="shared" si="110"/>
        <v>20.390625</v>
      </c>
      <c r="G3589" s="8">
        <f t="shared" si="111"/>
        <v>2.0390624999999999E-2</v>
      </c>
    </row>
    <row r="3590" spans="1:7" x14ac:dyDescent="0.25">
      <c r="A3590" s="8">
        <v>46</v>
      </c>
      <c r="B3590" s="8">
        <v>61</v>
      </c>
      <c r="C3590" s="8">
        <v>2165.4941410000001</v>
      </c>
      <c r="D3590" s="8">
        <v>135553.984375</v>
      </c>
      <c r="E3590" s="8">
        <v>135569.25</v>
      </c>
      <c r="F3590" s="8">
        <f t="shared" si="110"/>
        <v>15.265625</v>
      </c>
      <c r="G3590" s="8">
        <f t="shared" si="111"/>
        <v>1.5265625E-2</v>
      </c>
    </row>
    <row r="3591" spans="1:7" x14ac:dyDescent="0.25">
      <c r="A3591" s="8">
        <v>46</v>
      </c>
      <c r="B3591" s="8">
        <v>62</v>
      </c>
      <c r="C3591" s="8">
        <v>548.14465299999995</v>
      </c>
      <c r="D3591" s="8">
        <v>137749.953125</v>
      </c>
      <c r="E3591" s="8">
        <v>137761.78125</v>
      </c>
      <c r="F3591" s="8">
        <f t="shared" si="110"/>
        <v>11.828125</v>
      </c>
      <c r="G3591" s="8">
        <f t="shared" si="111"/>
        <v>1.1828125E-2</v>
      </c>
    </row>
    <row r="3592" spans="1:7" x14ac:dyDescent="0.25">
      <c r="A3592" s="8">
        <v>46</v>
      </c>
      <c r="B3592" s="8">
        <v>63</v>
      </c>
      <c r="C3592" s="8">
        <v>1817.6527100000001</v>
      </c>
      <c r="D3592" s="8">
        <v>138312.46875</v>
      </c>
      <c r="E3592" s="8">
        <v>138327.453125</v>
      </c>
      <c r="F3592" s="8">
        <f t="shared" si="110"/>
        <v>14.984375</v>
      </c>
      <c r="G3592" s="8">
        <f t="shared" si="111"/>
        <v>1.4984374999999999E-2</v>
      </c>
    </row>
    <row r="3593" spans="1:7" x14ac:dyDescent="0.25">
      <c r="A3593" s="8">
        <v>46</v>
      </c>
      <c r="B3593" s="8">
        <v>64</v>
      </c>
      <c r="C3593" s="8">
        <v>12476.587890999999</v>
      </c>
      <c r="D3593" s="8">
        <v>140147.21875</v>
      </c>
      <c r="E3593" s="8">
        <v>140167.359375</v>
      </c>
      <c r="F3593" s="8">
        <f t="shared" si="110"/>
        <v>20.140625</v>
      </c>
      <c r="G3593" s="8">
        <f t="shared" si="111"/>
        <v>2.0140624999999999E-2</v>
      </c>
    </row>
    <row r="3594" spans="1:7" x14ac:dyDescent="0.25">
      <c r="A3594" s="8">
        <v>46</v>
      </c>
      <c r="B3594" s="8">
        <v>65</v>
      </c>
      <c r="C3594" s="8">
        <v>1961.5974120000001</v>
      </c>
      <c r="D3594" s="8">
        <v>152656.390625</v>
      </c>
      <c r="E3594" s="8">
        <v>152680.921875</v>
      </c>
      <c r="F3594" s="8">
        <f t="shared" si="110"/>
        <v>24.53125</v>
      </c>
      <c r="G3594" s="8">
        <f t="shared" si="111"/>
        <v>2.4531250000000001E-2</v>
      </c>
    </row>
    <row r="3595" spans="1:7" x14ac:dyDescent="0.25">
      <c r="A3595" s="8">
        <v>46</v>
      </c>
      <c r="B3595" s="8">
        <v>66</v>
      </c>
      <c r="C3595" s="8">
        <v>16.917528000000001</v>
      </c>
      <c r="D3595" s="8">
        <v>154656.609375</v>
      </c>
      <c r="E3595" s="8">
        <v>154671.765625</v>
      </c>
      <c r="F3595" s="8">
        <f t="shared" ref="F3595:F3658" si="112">E3595-D3595</f>
        <v>15.15625</v>
      </c>
      <c r="G3595" s="8">
        <f t="shared" ref="G3595:G3658" si="113">F3595/1000</f>
        <v>1.515625E-2</v>
      </c>
    </row>
    <row r="3596" spans="1:7" x14ac:dyDescent="0.25">
      <c r="A3596" s="8">
        <v>46</v>
      </c>
      <c r="B3596" s="8">
        <v>67</v>
      </c>
      <c r="C3596" s="8">
        <v>719.45422399999995</v>
      </c>
      <c r="D3596" s="8">
        <v>154703.484375</v>
      </c>
      <c r="E3596" s="8">
        <v>154711.65625</v>
      </c>
      <c r="F3596" s="8">
        <f t="shared" si="112"/>
        <v>8.171875</v>
      </c>
      <c r="G3596" s="8">
        <f t="shared" si="113"/>
        <v>8.1718750000000003E-3</v>
      </c>
    </row>
    <row r="3597" spans="1:7" x14ac:dyDescent="0.25">
      <c r="A3597" s="8">
        <v>46</v>
      </c>
      <c r="B3597" s="8">
        <v>68</v>
      </c>
      <c r="C3597" s="8">
        <v>4215.2753910000001</v>
      </c>
      <c r="D3597" s="8">
        <v>155437.90625</v>
      </c>
      <c r="E3597" s="8">
        <v>155460.21875</v>
      </c>
      <c r="F3597" s="8">
        <f t="shared" si="112"/>
        <v>22.3125</v>
      </c>
      <c r="G3597" s="8">
        <f t="shared" si="113"/>
        <v>2.2312499999999999E-2</v>
      </c>
    </row>
    <row r="3598" spans="1:7" x14ac:dyDescent="0.25">
      <c r="A3598" s="8">
        <v>46</v>
      </c>
      <c r="B3598" s="8">
        <v>69</v>
      </c>
      <c r="C3598" s="8">
        <v>4782.2861329999996</v>
      </c>
      <c r="D3598" s="8">
        <v>159689.359375</v>
      </c>
      <c r="E3598" s="8">
        <v>159710.953125</v>
      </c>
      <c r="F3598" s="8">
        <f t="shared" si="112"/>
        <v>21.59375</v>
      </c>
      <c r="G3598" s="8">
        <f t="shared" si="113"/>
        <v>2.1593749999999998E-2</v>
      </c>
    </row>
    <row r="3599" spans="1:7" x14ac:dyDescent="0.25">
      <c r="A3599" s="8">
        <v>46</v>
      </c>
      <c r="B3599" s="8">
        <v>70</v>
      </c>
      <c r="C3599" s="8">
        <v>2085.4729000000002</v>
      </c>
      <c r="D3599" s="8">
        <v>164497.140625</v>
      </c>
      <c r="E3599" s="8">
        <v>164509.28125</v>
      </c>
      <c r="F3599" s="8">
        <f t="shared" si="112"/>
        <v>12.140625</v>
      </c>
      <c r="G3599" s="8">
        <f t="shared" si="113"/>
        <v>1.2140625E-2</v>
      </c>
    </row>
    <row r="3600" spans="1:7" x14ac:dyDescent="0.25">
      <c r="A3600" s="8">
        <v>46</v>
      </c>
      <c r="B3600" s="8">
        <v>71</v>
      </c>
      <c r="C3600" s="8">
        <v>267.90872200000001</v>
      </c>
      <c r="D3600" s="8">
        <v>166598.9375</v>
      </c>
      <c r="E3600" s="8">
        <v>166616.625</v>
      </c>
      <c r="F3600" s="8">
        <f t="shared" si="112"/>
        <v>17.6875</v>
      </c>
      <c r="G3600" s="8">
        <f t="shared" si="113"/>
        <v>1.7687499999999998E-2</v>
      </c>
    </row>
    <row r="3601" spans="1:7" x14ac:dyDescent="0.25">
      <c r="A3601" s="8">
        <v>46</v>
      </c>
      <c r="B3601" s="8">
        <v>72</v>
      </c>
      <c r="C3601" s="8">
        <v>1643.2767329999999</v>
      </c>
      <c r="D3601" s="8">
        <v>166895.78125</v>
      </c>
      <c r="E3601" s="8">
        <v>166922.890625</v>
      </c>
      <c r="F3601" s="8">
        <f t="shared" si="112"/>
        <v>27.109375</v>
      </c>
      <c r="G3601" s="8">
        <f t="shared" si="113"/>
        <v>2.7109375000000002E-2</v>
      </c>
    </row>
    <row r="3602" spans="1:7" x14ac:dyDescent="0.25">
      <c r="A3602" s="8">
        <v>46</v>
      </c>
      <c r="B3602" s="8">
        <v>73</v>
      </c>
      <c r="C3602" s="8">
        <v>682.881531</v>
      </c>
      <c r="D3602" s="8">
        <v>168575.59375</v>
      </c>
      <c r="E3602" s="8">
        <v>168588.109375</v>
      </c>
      <c r="F3602" s="8">
        <f t="shared" si="112"/>
        <v>12.515625</v>
      </c>
      <c r="G3602" s="8">
        <f t="shared" si="113"/>
        <v>1.2515625000000001E-2</v>
      </c>
    </row>
    <row r="3603" spans="1:7" x14ac:dyDescent="0.25">
      <c r="A3603" s="8">
        <v>46</v>
      </c>
      <c r="B3603" s="8">
        <v>74</v>
      </c>
      <c r="C3603" s="8">
        <v>1752.5373540000001</v>
      </c>
      <c r="D3603" s="8">
        <v>169282.796875</v>
      </c>
      <c r="E3603" s="8">
        <v>169293.328125</v>
      </c>
      <c r="F3603" s="8">
        <f t="shared" si="112"/>
        <v>10.53125</v>
      </c>
      <c r="G3603" s="8">
        <f t="shared" si="113"/>
        <v>1.0531250000000001E-2</v>
      </c>
    </row>
    <row r="3604" spans="1:7" x14ac:dyDescent="0.25">
      <c r="A3604" s="8">
        <v>47</v>
      </c>
      <c r="B3604" s="8">
        <v>0</v>
      </c>
      <c r="C3604" s="8">
        <v>581.17108199999996</v>
      </c>
      <c r="D3604" s="8">
        <v>21016.203125</v>
      </c>
      <c r="E3604" s="8">
        <v>21036.505859000001</v>
      </c>
      <c r="F3604" s="8">
        <f t="shared" si="112"/>
        <v>20.302734000000783</v>
      </c>
      <c r="G3604" s="8">
        <f t="shared" si="113"/>
        <v>2.0302734000000783E-2</v>
      </c>
    </row>
    <row r="3605" spans="1:7" x14ac:dyDescent="0.25">
      <c r="A3605" s="8">
        <v>47</v>
      </c>
      <c r="B3605" s="8">
        <v>1</v>
      </c>
      <c r="C3605" s="8">
        <v>2137.3964839999999</v>
      </c>
      <c r="D3605" s="8">
        <v>21625.615234000001</v>
      </c>
      <c r="E3605" s="8">
        <v>21637.699218999998</v>
      </c>
      <c r="F3605" s="8">
        <f t="shared" si="112"/>
        <v>12.083984999997483</v>
      </c>
      <c r="G3605" s="8">
        <f t="shared" si="113"/>
        <v>1.2083984999997483E-2</v>
      </c>
    </row>
    <row r="3606" spans="1:7" x14ac:dyDescent="0.25">
      <c r="A3606" s="8">
        <v>47</v>
      </c>
      <c r="B3606" s="8">
        <v>2</v>
      </c>
      <c r="C3606" s="8">
        <v>565.39929199999995</v>
      </c>
      <c r="D3606" s="8">
        <v>23787.333984000001</v>
      </c>
      <c r="E3606" s="8">
        <v>23802.242188</v>
      </c>
      <c r="F3606" s="8">
        <f t="shared" si="112"/>
        <v>14.908203999999387</v>
      </c>
      <c r="G3606" s="8">
        <f t="shared" si="113"/>
        <v>1.4908203999999387E-2</v>
      </c>
    </row>
    <row r="3607" spans="1:7" x14ac:dyDescent="0.25">
      <c r="A3607" s="8">
        <v>47</v>
      </c>
      <c r="B3607" s="8">
        <v>3</v>
      </c>
      <c r="C3607" s="8">
        <v>5915.2353519999997</v>
      </c>
      <c r="D3607" s="8">
        <v>24381.158202999999</v>
      </c>
      <c r="E3607" s="8">
        <v>24408.634765999999</v>
      </c>
      <c r="F3607" s="8">
        <f t="shared" si="112"/>
        <v>27.476563000000169</v>
      </c>
      <c r="G3607" s="8">
        <f t="shared" si="113"/>
        <v>2.7476563000000169E-2</v>
      </c>
    </row>
    <row r="3608" spans="1:7" x14ac:dyDescent="0.25">
      <c r="A3608" s="8">
        <v>47</v>
      </c>
      <c r="B3608" s="8">
        <v>4</v>
      </c>
      <c r="C3608" s="8">
        <v>689.76348900000005</v>
      </c>
      <c r="D3608" s="8">
        <v>30327.912109000001</v>
      </c>
      <c r="E3608" s="8">
        <v>30351.833984000001</v>
      </c>
      <c r="F3608" s="8">
        <f t="shared" si="112"/>
        <v>23.921875</v>
      </c>
      <c r="G3608" s="8">
        <f t="shared" si="113"/>
        <v>2.3921874999999999E-2</v>
      </c>
    </row>
    <row r="3609" spans="1:7" x14ac:dyDescent="0.25">
      <c r="A3609" s="8">
        <v>47</v>
      </c>
      <c r="B3609" s="8">
        <v>5</v>
      </c>
      <c r="C3609" s="8">
        <v>3522.9802249999998</v>
      </c>
      <c r="D3609" s="8">
        <v>31050.140625</v>
      </c>
      <c r="E3609" s="8">
        <v>31061.099609000001</v>
      </c>
      <c r="F3609" s="8">
        <f t="shared" si="112"/>
        <v>10.958984000000783</v>
      </c>
      <c r="G3609" s="8">
        <f t="shared" si="113"/>
        <v>1.0958984000000782E-2</v>
      </c>
    </row>
    <row r="3610" spans="1:7" x14ac:dyDescent="0.25">
      <c r="A3610" s="8">
        <v>47</v>
      </c>
      <c r="B3610" s="8">
        <v>6</v>
      </c>
      <c r="C3610" s="8">
        <v>636.95330799999999</v>
      </c>
      <c r="D3610" s="8">
        <v>34592.425780999998</v>
      </c>
      <c r="E3610" s="8">
        <v>34609.144530999998</v>
      </c>
      <c r="F3610" s="8">
        <f t="shared" si="112"/>
        <v>16.71875</v>
      </c>
      <c r="G3610" s="8">
        <f t="shared" si="113"/>
        <v>1.6718750000000001E-2</v>
      </c>
    </row>
    <row r="3611" spans="1:7" x14ac:dyDescent="0.25">
      <c r="A3611" s="8">
        <v>47</v>
      </c>
      <c r="B3611" s="8">
        <v>7</v>
      </c>
      <c r="C3611" s="8">
        <v>16.055963999999999</v>
      </c>
      <c r="D3611" s="8">
        <v>35248.800780999998</v>
      </c>
      <c r="E3611" s="8">
        <v>35277.859375</v>
      </c>
      <c r="F3611" s="8">
        <f t="shared" si="112"/>
        <v>29.058594000001904</v>
      </c>
      <c r="G3611" s="8">
        <f t="shared" si="113"/>
        <v>2.9058594000001905E-2</v>
      </c>
    </row>
    <row r="3612" spans="1:7" x14ac:dyDescent="0.25">
      <c r="A3612" s="8">
        <v>47</v>
      </c>
      <c r="B3612" s="8">
        <v>8</v>
      </c>
      <c r="C3612" s="8">
        <v>1030.439453</v>
      </c>
      <c r="D3612" s="8">
        <v>35295.59375</v>
      </c>
      <c r="E3612" s="8">
        <v>35303.34375</v>
      </c>
      <c r="F3612" s="8">
        <f t="shared" si="112"/>
        <v>7.75</v>
      </c>
      <c r="G3612" s="8">
        <f t="shared" si="113"/>
        <v>7.7499999999999999E-3</v>
      </c>
    </row>
    <row r="3613" spans="1:7" x14ac:dyDescent="0.25">
      <c r="A3613" s="8">
        <v>47</v>
      </c>
      <c r="B3613" s="8">
        <v>9</v>
      </c>
      <c r="C3613" s="8">
        <v>1370.5478519999999</v>
      </c>
      <c r="D3613" s="8">
        <v>36342.6875</v>
      </c>
      <c r="E3613" s="8">
        <v>36359.992187999997</v>
      </c>
      <c r="F3613" s="8">
        <f t="shared" si="112"/>
        <v>17.304687999996531</v>
      </c>
      <c r="G3613" s="8">
        <f t="shared" si="113"/>
        <v>1.7304687999996533E-2</v>
      </c>
    </row>
    <row r="3614" spans="1:7" x14ac:dyDescent="0.25">
      <c r="A3614" s="8">
        <v>47</v>
      </c>
      <c r="B3614" s="8">
        <v>10</v>
      </c>
      <c r="C3614" s="8">
        <v>2089.1127929999998</v>
      </c>
      <c r="D3614" s="8">
        <v>37745.546875</v>
      </c>
      <c r="E3614" s="8">
        <v>37857.410155999998</v>
      </c>
      <c r="F3614" s="8">
        <f t="shared" si="112"/>
        <v>111.8632809999981</v>
      </c>
      <c r="G3614" s="8">
        <f t="shared" si="113"/>
        <v>0.11186328099999809</v>
      </c>
    </row>
    <row r="3615" spans="1:7" x14ac:dyDescent="0.25">
      <c r="A3615" s="8">
        <v>47</v>
      </c>
      <c r="B3615" s="8">
        <v>11</v>
      </c>
      <c r="C3615" s="8">
        <v>1844.9490969999999</v>
      </c>
      <c r="D3615" s="8">
        <v>39949.261719000002</v>
      </c>
      <c r="E3615" s="8">
        <v>39956.851562999997</v>
      </c>
      <c r="F3615" s="8">
        <f t="shared" si="112"/>
        <v>7.5898439999946277</v>
      </c>
      <c r="G3615" s="8">
        <f t="shared" si="113"/>
        <v>7.5898439999946277E-3</v>
      </c>
    </row>
    <row r="3616" spans="1:7" x14ac:dyDescent="0.25">
      <c r="A3616" s="8">
        <v>47</v>
      </c>
      <c r="B3616" s="8">
        <v>12</v>
      </c>
      <c r="C3616" s="8">
        <v>4325.7548829999996</v>
      </c>
      <c r="D3616" s="8">
        <v>41809.609375</v>
      </c>
      <c r="E3616" s="8">
        <v>41833.03125</v>
      </c>
      <c r="F3616" s="8">
        <f t="shared" si="112"/>
        <v>23.421875</v>
      </c>
      <c r="G3616" s="8">
        <f t="shared" si="113"/>
        <v>2.3421875000000002E-2</v>
      </c>
    </row>
    <row r="3617" spans="1:7" x14ac:dyDescent="0.25">
      <c r="A3617" s="8">
        <v>47</v>
      </c>
      <c r="B3617" s="8">
        <v>13</v>
      </c>
      <c r="C3617" s="8">
        <v>6917.7851559999999</v>
      </c>
      <c r="D3617" s="8">
        <v>46163.671875</v>
      </c>
      <c r="E3617" s="8">
        <v>46184.644530999998</v>
      </c>
      <c r="F3617" s="8">
        <f t="shared" si="112"/>
        <v>20.972655999998096</v>
      </c>
      <c r="G3617" s="8">
        <f t="shared" si="113"/>
        <v>2.0972655999998098E-2</v>
      </c>
    </row>
    <row r="3618" spans="1:7" x14ac:dyDescent="0.25">
      <c r="A3618" s="8">
        <v>47</v>
      </c>
      <c r="B3618" s="8">
        <v>14</v>
      </c>
      <c r="C3618" s="8">
        <v>776.04840100000001</v>
      </c>
      <c r="D3618" s="8">
        <v>53107.878905999998</v>
      </c>
      <c r="E3618" s="8">
        <v>53132.582030999998</v>
      </c>
      <c r="F3618" s="8">
        <f t="shared" si="112"/>
        <v>24.703125</v>
      </c>
      <c r="G3618" s="8">
        <f t="shared" si="113"/>
        <v>2.4703124999999999E-2</v>
      </c>
    </row>
    <row r="3619" spans="1:7" x14ac:dyDescent="0.25">
      <c r="A3619" s="8">
        <v>47</v>
      </c>
      <c r="B3619" s="8">
        <v>15</v>
      </c>
      <c r="C3619" s="8">
        <v>2857.5620119999999</v>
      </c>
      <c r="D3619" s="8">
        <v>53909.242187999997</v>
      </c>
      <c r="E3619" s="8">
        <v>53918.917969000002</v>
      </c>
      <c r="F3619" s="8">
        <f t="shared" si="112"/>
        <v>9.6757810000053723</v>
      </c>
      <c r="G3619" s="8">
        <f t="shared" si="113"/>
        <v>9.6757810000053721E-3</v>
      </c>
    </row>
    <row r="3620" spans="1:7" x14ac:dyDescent="0.25">
      <c r="A3620" s="8">
        <v>47</v>
      </c>
      <c r="B3620" s="8">
        <v>16</v>
      </c>
      <c r="C3620" s="8">
        <v>1478.4132079999999</v>
      </c>
      <c r="D3620" s="8">
        <v>56785.050780999998</v>
      </c>
      <c r="E3620" s="8">
        <v>56811.257812999997</v>
      </c>
      <c r="F3620" s="8">
        <f t="shared" si="112"/>
        <v>26.207031999998435</v>
      </c>
      <c r="G3620" s="8">
        <f t="shared" si="113"/>
        <v>2.6207031999998433E-2</v>
      </c>
    </row>
    <row r="3621" spans="1:7" x14ac:dyDescent="0.25">
      <c r="A3621" s="8">
        <v>47</v>
      </c>
      <c r="B3621" s="8">
        <v>17</v>
      </c>
      <c r="C3621" s="8">
        <v>3052.7475589999999</v>
      </c>
      <c r="D3621" s="8">
        <v>58304.699219000002</v>
      </c>
      <c r="E3621" s="8">
        <v>58320</v>
      </c>
      <c r="F3621" s="8">
        <f t="shared" si="112"/>
        <v>15.300780999998096</v>
      </c>
      <c r="G3621" s="8">
        <f t="shared" si="113"/>
        <v>1.5300780999998096E-2</v>
      </c>
    </row>
    <row r="3622" spans="1:7" x14ac:dyDescent="0.25">
      <c r="A3622" s="8">
        <v>47</v>
      </c>
      <c r="B3622" s="8">
        <v>18</v>
      </c>
      <c r="C3622" s="8">
        <v>1457.5584719999999</v>
      </c>
      <c r="D3622" s="8">
        <v>61372.597655999998</v>
      </c>
      <c r="E3622" s="8">
        <v>61387.4375</v>
      </c>
      <c r="F3622" s="8">
        <f t="shared" si="112"/>
        <v>14.839844000001904</v>
      </c>
      <c r="G3622" s="8">
        <f t="shared" si="113"/>
        <v>1.4839844000001904E-2</v>
      </c>
    </row>
    <row r="3623" spans="1:7" x14ac:dyDescent="0.25">
      <c r="A3623" s="8">
        <v>47</v>
      </c>
      <c r="B3623" s="8">
        <v>19</v>
      </c>
      <c r="C3623" s="8">
        <v>3244.4916990000002</v>
      </c>
      <c r="D3623" s="8">
        <v>62844.808594000002</v>
      </c>
      <c r="E3623" s="8">
        <v>62852.398437999997</v>
      </c>
      <c r="F3623" s="8">
        <f t="shared" si="112"/>
        <v>7.5898439999946277</v>
      </c>
      <c r="G3623" s="8">
        <f t="shared" si="113"/>
        <v>7.5898439999946277E-3</v>
      </c>
    </row>
    <row r="3624" spans="1:7" x14ac:dyDescent="0.25">
      <c r="A3624" s="8">
        <v>47</v>
      </c>
      <c r="B3624" s="8">
        <v>20</v>
      </c>
      <c r="C3624" s="8">
        <v>4111.0571289999998</v>
      </c>
      <c r="D3624" s="8">
        <v>66106.046875</v>
      </c>
      <c r="E3624" s="8">
        <v>66132.125</v>
      </c>
      <c r="F3624" s="8">
        <f t="shared" si="112"/>
        <v>26.078125</v>
      </c>
      <c r="G3624" s="8">
        <f t="shared" si="113"/>
        <v>2.6078125000000001E-2</v>
      </c>
    </row>
    <row r="3625" spans="1:7" x14ac:dyDescent="0.25">
      <c r="A3625" s="8">
        <v>47</v>
      </c>
      <c r="B3625" s="8">
        <v>21</v>
      </c>
      <c r="C3625" s="8">
        <v>473.68112200000002</v>
      </c>
      <c r="D3625" s="8">
        <v>70248.960938000004</v>
      </c>
      <c r="E3625" s="8">
        <v>70276.210938000004</v>
      </c>
      <c r="F3625" s="8">
        <f t="shared" si="112"/>
        <v>27.25</v>
      </c>
      <c r="G3625" s="8">
        <f t="shared" si="113"/>
        <v>2.725E-2</v>
      </c>
    </row>
    <row r="3626" spans="1:7" x14ac:dyDescent="0.25">
      <c r="A3626" s="8">
        <v>47</v>
      </c>
      <c r="B3626" s="8">
        <v>22</v>
      </c>
      <c r="C3626" s="8">
        <v>188.753479</v>
      </c>
      <c r="D3626" s="8">
        <v>70757.59375</v>
      </c>
      <c r="E3626" s="8">
        <v>70776.539063000004</v>
      </c>
      <c r="F3626" s="8">
        <f t="shared" si="112"/>
        <v>18.945313000003807</v>
      </c>
      <c r="G3626" s="8">
        <f t="shared" si="113"/>
        <v>1.8945313000003808E-2</v>
      </c>
    </row>
    <row r="3627" spans="1:7" x14ac:dyDescent="0.25">
      <c r="A3627" s="8">
        <v>47</v>
      </c>
      <c r="B3627" s="8">
        <v>23</v>
      </c>
      <c r="C3627" s="8">
        <v>2110.038818</v>
      </c>
      <c r="D3627" s="8">
        <v>70976.320313000004</v>
      </c>
      <c r="E3627" s="8">
        <v>70992.835938000004</v>
      </c>
      <c r="F3627" s="8">
        <f t="shared" si="112"/>
        <v>16.515625</v>
      </c>
      <c r="G3627" s="8">
        <f t="shared" si="113"/>
        <v>1.6515624999999999E-2</v>
      </c>
    </row>
    <row r="3628" spans="1:7" x14ac:dyDescent="0.25">
      <c r="A3628" s="8">
        <v>47</v>
      </c>
      <c r="B3628" s="8">
        <v>24</v>
      </c>
      <c r="C3628" s="8">
        <v>464.11282299999999</v>
      </c>
      <c r="D3628" s="8">
        <v>73107.429688000004</v>
      </c>
      <c r="E3628" s="8">
        <v>73125.484375</v>
      </c>
      <c r="F3628" s="8">
        <f t="shared" si="112"/>
        <v>18.054686999996193</v>
      </c>
      <c r="G3628" s="8">
        <f t="shared" si="113"/>
        <v>1.8054686999996194E-2</v>
      </c>
    </row>
    <row r="3629" spans="1:7" x14ac:dyDescent="0.25">
      <c r="A3629" s="8">
        <v>47</v>
      </c>
      <c r="B3629" s="8">
        <v>25</v>
      </c>
      <c r="C3629" s="8">
        <v>3265.9353030000002</v>
      </c>
      <c r="D3629" s="8">
        <v>73591.84375</v>
      </c>
      <c r="E3629" s="8">
        <v>73599.820313000004</v>
      </c>
      <c r="F3629" s="8">
        <f t="shared" si="112"/>
        <v>7.9765630000038072</v>
      </c>
      <c r="G3629" s="8">
        <f t="shared" si="113"/>
        <v>7.9765630000038067E-3</v>
      </c>
    </row>
    <row r="3630" spans="1:7" x14ac:dyDescent="0.25">
      <c r="A3630" s="8">
        <v>47</v>
      </c>
      <c r="B3630" s="8">
        <v>26</v>
      </c>
      <c r="C3630" s="8">
        <v>2915.1923830000001</v>
      </c>
      <c r="D3630" s="8">
        <v>76866.242188000004</v>
      </c>
      <c r="E3630" s="8">
        <v>76877.546875</v>
      </c>
      <c r="F3630" s="8">
        <f t="shared" si="112"/>
        <v>11.304686999996193</v>
      </c>
      <c r="G3630" s="8">
        <f t="shared" si="113"/>
        <v>1.1304686999996193E-2</v>
      </c>
    </row>
    <row r="3631" spans="1:7" x14ac:dyDescent="0.25">
      <c r="A3631" s="8">
        <v>47</v>
      </c>
      <c r="B3631" s="8">
        <v>27</v>
      </c>
      <c r="C3631" s="8">
        <v>1299.283936</v>
      </c>
      <c r="D3631" s="8">
        <v>79800.992188000004</v>
      </c>
      <c r="E3631" s="8">
        <v>79825.21875</v>
      </c>
      <c r="F3631" s="8">
        <f t="shared" si="112"/>
        <v>24.226561999996193</v>
      </c>
      <c r="G3631" s="8">
        <f t="shared" si="113"/>
        <v>2.4226561999996194E-2</v>
      </c>
    </row>
    <row r="3632" spans="1:7" x14ac:dyDescent="0.25">
      <c r="A3632" s="8">
        <v>47</v>
      </c>
      <c r="B3632" s="8">
        <v>28</v>
      </c>
      <c r="C3632" s="8">
        <v>1233.070923</v>
      </c>
      <c r="D3632" s="8">
        <v>81130.078125</v>
      </c>
      <c r="E3632" s="8">
        <v>81159.414063000004</v>
      </c>
      <c r="F3632" s="8">
        <f t="shared" si="112"/>
        <v>29.335938000003807</v>
      </c>
      <c r="G3632" s="8">
        <f t="shared" si="113"/>
        <v>2.9335938000003808E-2</v>
      </c>
    </row>
    <row r="3633" spans="1:7" x14ac:dyDescent="0.25">
      <c r="A3633" s="8">
        <v>47</v>
      </c>
      <c r="B3633" s="8">
        <v>29</v>
      </c>
      <c r="C3633" s="8">
        <v>5775.6840819999998</v>
      </c>
      <c r="D3633" s="8">
        <v>82401.796875</v>
      </c>
      <c r="E3633" s="8">
        <v>82409.289063000004</v>
      </c>
      <c r="F3633" s="8">
        <f t="shared" si="112"/>
        <v>7.4921880000038072</v>
      </c>
      <c r="G3633" s="8">
        <f t="shared" si="113"/>
        <v>7.4921880000038072E-3</v>
      </c>
    </row>
    <row r="3634" spans="1:7" x14ac:dyDescent="0.25">
      <c r="A3634" s="8">
        <v>47</v>
      </c>
      <c r="B3634" s="8">
        <v>30</v>
      </c>
      <c r="C3634" s="8">
        <v>943.56286599999999</v>
      </c>
      <c r="D3634" s="8">
        <v>88193.601563000004</v>
      </c>
      <c r="E3634" s="8">
        <v>88216.554688000004</v>
      </c>
      <c r="F3634" s="8">
        <f t="shared" si="112"/>
        <v>22.953125</v>
      </c>
      <c r="G3634" s="8">
        <f t="shared" si="113"/>
        <v>2.2953125000000001E-2</v>
      </c>
    </row>
    <row r="3635" spans="1:7" x14ac:dyDescent="0.25">
      <c r="A3635" s="8">
        <v>47</v>
      </c>
      <c r="B3635" s="8">
        <v>31</v>
      </c>
      <c r="C3635" s="8">
        <v>1000.7238160000001</v>
      </c>
      <c r="D3635" s="8">
        <v>89162.445313000004</v>
      </c>
      <c r="E3635" s="8">
        <v>89173.257813000004</v>
      </c>
      <c r="F3635" s="8">
        <f t="shared" si="112"/>
        <v>10.8125</v>
      </c>
      <c r="G3635" s="8">
        <f t="shared" si="113"/>
        <v>1.0812499999999999E-2</v>
      </c>
    </row>
    <row r="3636" spans="1:7" x14ac:dyDescent="0.25">
      <c r="A3636" s="8">
        <v>47</v>
      </c>
      <c r="B3636" s="8">
        <v>32</v>
      </c>
      <c r="C3636" s="8">
        <v>11.569400999999999</v>
      </c>
      <c r="D3636" s="8">
        <v>90182.90625</v>
      </c>
      <c r="E3636" s="8">
        <v>90194.304688000004</v>
      </c>
      <c r="F3636" s="8">
        <f t="shared" si="112"/>
        <v>11.398438000003807</v>
      </c>
      <c r="G3636" s="8">
        <f t="shared" si="113"/>
        <v>1.1398438000003808E-2</v>
      </c>
    </row>
    <row r="3637" spans="1:7" x14ac:dyDescent="0.25">
      <c r="A3637" s="8">
        <v>47</v>
      </c>
      <c r="B3637" s="8">
        <v>33</v>
      </c>
      <c r="C3637" s="8">
        <v>3978.705078</v>
      </c>
      <c r="D3637" s="8">
        <v>90214.226563000004</v>
      </c>
      <c r="E3637" s="8">
        <v>90228.484375</v>
      </c>
      <c r="F3637" s="8">
        <f t="shared" si="112"/>
        <v>14.257811999996193</v>
      </c>
      <c r="G3637" s="8">
        <f t="shared" si="113"/>
        <v>1.4257811999996192E-2</v>
      </c>
    </row>
    <row r="3638" spans="1:7" x14ac:dyDescent="0.25">
      <c r="A3638" s="8">
        <v>47</v>
      </c>
      <c r="B3638" s="8">
        <v>34</v>
      </c>
      <c r="C3638" s="8">
        <v>2075.9716800000001</v>
      </c>
      <c r="D3638" s="8">
        <v>94217.023438000004</v>
      </c>
      <c r="E3638" s="8">
        <v>94238.21875</v>
      </c>
      <c r="F3638" s="8">
        <f t="shared" si="112"/>
        <v>21.195311999996193</v>
      </c>
      <c r="G3638" s="8">
        <f t="shared" si="113"/>
        <v>2.1195311999996191E-2</v>
      </c>
    </row>
    <row r="3639" spans="1:7" x14ac:dyDescent="0.25">
      <c r="A3639" s="8">
        <v>47</v>
      </c>
      <c r="B3639" s="8">
        <v>35</v>
      </c>
      <c r="C3639" s="8">
        <v>1107.516357</v>
      </c>
      <c r="D3639" s="8">
        <v>96319.085938000004</v>
      </c>
      <c r="E3639" s="8">
        <v>96334.09375</v>
      </c>
      <c r="F3639" s="8">
        <f t="shared" si="112"/>
        <v>15.007811999996193</v>
      </c>
      <c r="G3639" s="8">
        <f t="shared" si="113"/>
        <v>1.5007811999996193E-2</v>
      </c>
    </row>
    <row r="3640" spans="1:7" x14ac:dyDescent="0.25">
      <c r="A3640" s="8">
        <v>47</v>
      </c>
      <c r="B3640" s="8">
        <v>36</v>
      </c>
      <c r="C3640" s="8">
        <v>1986.4913329999999</v>
      </c>
      <c r="D3640" s="8">
        <v>97450.34375</v>
      </c>
      <c r="E3640" s="8">
        <v>97471.617188000004</v>
      </c>
      <c r="F3640" s="8">
        <f t="shared" si="112"/>
        <v>21.273438000003807</v>
      </c>
      <c r="G3640" s="8">
        <f t="shared" si="113"/>
        <v>2.1273438000003808E-2</v>
      </c>
    </row>
    <row r="3641" spans="1:7" x14ac:dyDescent="0.25">
      <c r="A3641" s="8">
        <v>47</v>
      </c>
      <c r="B3641" s="8">
        <v>37</v>
      </c>
      <c r="C3641" s="8">
        <v>245.631912</v>
      </c>
      <c r="D3641" s="8">
        <v>99463.820313000004</v>
      </c>
      <c r="E3641" s="8">
        <v>99490.210938000004</v>
      </c>
      <c r="F3641" s="8">
        <f t="shared" si="112"/>
        <v>26.390625</v>
      </c>
      <c r="G3641" s="8">
        <f t="shared" si="113"/>
        <v>2.6390625000000001E-2</v>
      </c>
    </row>
    <row r="3642" spans="1:7" x14ac:dyDescent="0.25">
      <c r="A3642" s="8">
        <v>47</v>
      </c>
      <c r="B3642" s="8">
        <v>38</v>
      </c>
      <c r="C3642" s="8">
        <v>2271.5270999999998</v>
      </c>
      <c r="D3642" s="8">
        <v>99745.078125</v>
      </c>
      <c r="E3642" s="8">
        <v>99766.742188000004</v>
      </c>
      <c r="F3642" s="8">
        <f t="shared" si="112"/>
        <v>21.664063000003807</v>
      </c>
      <c r="G3642" s="8">
        <f t="shared" si="113"/>
        <v>2.1664063000003807E-2</v>
      </c>
    </row>
    <row r="3643" spans="1:7" x14ac:dyDescent="0.25">
      <c r="A3643" s="8">
        <v>47</v>
      </c>
      <c r="B3643" s="8">
        <v>39</v>
      </c>
      <c r="C3643" s="8">
        <v>1266.9381100000001</v>
      </c>
      <c r="D3643" s="8">
        <v>102041.898438</v>
      </c>
      <c r="E3643" s="8">
        <v>102062.6875</v>
      </c>
      <c r="F3643" s="8">
        <f t="shared" si="112"/>
        <v>20.789061999996193</v>
      </c>
      <c r="G3643" s="8">
        <f t="shared" si="113"/>
        <v>2.0789061999996191E-2</v>
      </c>
    </row>
    <row r="3644" spans="1:7" x14ac:dyDescent="0.25">
      <c r="A3644" s="8">
        <v>47</v>
      </c>
      <c r="B3644" s="8">
        <v>40</v>
      </c>
      <c r="C3644" s="8">
        <v>1498.5836179999999</v>
      </c>
      <c r="D3644" s="8">
        <v>103338.3125</v>
      </c>
      <c r="E3644" s="8">
        <v>103359.34375</v>
      </c>
      <c r="F3644" s="8">
        <f t="shared" si="112"/>
        <v>21.03125</v>
      </c>
      <c r="G3644" s="8">
        <f t="shared" si="113"/>
        <v>2.1031250000000001E-2</v>
      </c>
    </row>
    <row r="3645" spans="1:7" x14ac:dyDescent="0.25">
      <c r="A3645" s="8">
        <v>47</v>
      </c>
      <c r="B3645" s="8">
        <v>41</v>
      </c>
      <c r="C3645" s="8">
        <v>6256.5141599999997</v>
      </c>
      <c r="D3645" s="8">
        <v>104862.804688</v>
      </c>
      <c r="E3645" s="8">
        <v>104873.960938</v>
      </c>
      <c r="F3645" s="8">
        <f t="shared" si="112"/>
        <v>11.15625</v>
      </c>
      <c r="G3645" s="8">
        <f t="shared" si="113"/>
        <v>1.115625E-2</v>
      </c>
    </row>
    <row r="3646" spans="1:7" x14ac:dyDescent="0.25">
      <c r="A3646" s="8">
        <v>47</v>
      </c>
      <c r="B3646" s="8">
        <v>42</v>
      </c>
      <c r="C3646" s="8">
        <v>2323.5083009999998</v>
      </c>
      <c r="D3646" s="8">
        <v>111142.84375</v>
      </c>
      <c r="E3646" s="8">
        <v>111166.90625</v>
      </c>
      <c r="F3646" s="8">
        <f t="shared" si="112"/>
        <v>24.0625</v>
      </c>
      <c r="G3646" s="8">
        <f t="shared" si="113"/>
        <v>2.4062500000000001E-2</v>
      </c>
    </row>
    <row r="3647" spans="1:7" x14ac:dyDescent="0.25">
      <c r="A3647" s="8">
        <v>47</v>
      </c>
      <c r="B3647" s="8">
        <v>43</v>
      </c>
      <c r="C3647" s="8">
        <v>1239.07251</v>
      </c>
      <c r="D3647" s="8">
        <v>113503.148438</v>
      </c>
      <c r="E3647" s="8">
        <v>113510.53125</v>
      </c>
      <c r="F3647" s="8">
        <f t="shared" si="112"/>
        <v>7.3828119999961928</v>
      </c>
      <c r="G3647" s="8">
        <f t="shared" si="113"/>
        <v>7.382811999996193E-3</v>
      </c>
    </row>
    <row r="3648" spans="1:7" x14ac:dyDescent="0.25">
      <c r="A3648" s="8">
        <v>47</v>
      </c>
      <c r="B3648" s="8">
        <v>44</v>
      </c>
      <c r="C3648" s="8">
        <v>2250.9191890000002</v>
      </c>
      <c r="D3648" s="8">
        <v>114753.15625</v>
      </c>
      <c r="E3648" s="8">
        <v>114766.265625</v>
      </c>
      <c r="F3648" s="8">
        <f t="shared" si="112"/>
        <v>13.109375</v>
      </c>
      <c r="G3648" s="8">
        <f t="shared" si="113"/>
        <v>1.3109375E-2</v>
      </c>
    </row>
    <row r="3649" spans="1:7" x14ac:dyDescent="0.25">
      <c r="A3649" s="8">
        <v>47</v>
      </c>
      <c r="B3649" s="8">
        <v>45</v>
      </c>
      <c r="C3649" s="8">
        <v>1836.8280030000001</v>
      </c>
      <c r="D3649" s="8">
        <v>117028.484375</v>
      </c>
      <c r="E3649" s="8">
        <v>117047.15625</v>
      </c>
      <c r="F3649" s="8">
        <f t="shared" si="112"/>
        <v>18.671875</v>
      </c>
      <c r="G3649" s="8">
        <f t="shared" si="113"/>
        <v>1.8671875000000001E-2</v>
      </c>
    </row>
    <row r="3650" spans="1:7" x14ac:dyDescent="0.25">
      <c r="A3650" s="8">
        <v>47</v>
      </c>
      <c r="B3650" s="8">
        <v>46</v>
      </c>
      <c r="C3650" s="8">
        <v>177.64948999999999</v>
      </c>
      <c r="D3650" s="8">
        <v>118885.109375</v>
      </c>
      <c r="E3650" s="8">
        <v>118993.195313</v>
      </c>
      <c r="F3650" s="8">
        <f t="shared" si="112"/>
        <v>108.08593800000381</v>
      </c>
      <c r="G3650" s="8">
        <f t="shared" si="113"/>
        <v>0.10808593800000381</v>
      </c>
    </row>
    <row r="3651" spans="1:7" x14ac:dyDescent="0.25">
      <c r="A3651" s="8">
        <v>47</v>
      </c>
      <c r="B3651" s="8">
        <v>47</v>
      </c>
      <c r="C3651" s="8">
        <v>1283.1035159999999</v>
      </c>
      <c r="D3651" s="8">
        <v>119172.859375</v>
      </c>
      <c r="E3651" s="8">
        <v>119181.570313</v>
      </c>
      <c r="F3651" s="8">
        <f t="shared" si="112"/>
        <v>8.7109380000038072</v>
      </c>
      <c r="G3651" s="8">
        <f t="shared" si="113"/>
        <v>8.7109380000038074E-3</v>
      </c>
    </row>
    <row r="3652" spans="1:7" x14ac:dyDescent="0.25">
      <c r="A3652" s="8">
        <v>47</v>
      </c>
      <c r="B3652" s="8">
        <v>48</v>
      </c>
      <c r="C3652" s="8">
        <v>1090.702759</v>
      </c>
      <c r="D3652" s="8">
        <v>120468.5625</v>
      </c>
      <c r="E3652" s="8">
        <v>120479.625</v>
      </c>
      <c r="F3652" s="8">
        <f t="shared" si="112"/>
        <v>11.0625</v>
      </c>
      <c r="G3652" s="8">
        <f t="shared" si="113"/>
        <v>1.1062499999999999E-2</v>
      </c>
    </row>
    <row r="3653" spans="1:7" x14ac:dyDescent="0.25">
      <c r="A3653" s="8">
        <v>47</v>
      </c>
      <c r="B3653" s="8">
        <v>49</v>
      </c>
      <c r="C3653" s="8">
        <v>3625.772461</v>
      </c>
      <c r="D3653" s="8">
        <v>121580.195313</v>
      </c>
      <c r="E3653" s="8">
        <v>121600.351563</v>
      </c>
      <c r="F3653" s="8">
        <f t="shared" si="112"/>
        <v>20.15625</v>
      </c>
      <c r="G3653" s="8">
        <f t="shared" si="113"/>
        <v>2.0156250000000001E-2</v>
      </c>
    </row>
    <row r="3654" spans="1:7" x14ac:dyDescent="0.25">
      <c r="A3654" s="8">
        <v>47</v>
      </c>
      <c r="B3654" s="8">
        <v>50</v>
      </c>
      <c r="C3654" s="8">
        <v>1526.5397949999999</v>
      </c>
      <c r="D3654" s="8">
        <v>125236.367188</v>
      </c>
      <c r="E3654" s="8">
        <v>125250.6875</v>
      </c>
      <c r="F3654" s="8">
        <f t="shared" si="112"/>
        <v>14.320311999996193</v>
      </c>
      <c r="G3654" s="8">
        <f t="shared" si="113"/>
        <v>1.4320311999996192E-2</v>
      </c>
    </row>
    <row r="3655" spans="1:7" x14ac:dyDescent="0.25">
      <c r="A3655" s="8">
        <v>47</v>
      </c>
      <c r="B3655" s="8">
        <v>51</v>
      </c>
      <c r="C3655" s="8">
        <v>6063.9941410000001</v>
      </c>
      <c r="D3655" s="8">
        <v>126784.21875</v>
      </c>
      <c r="E3655" s="8">
        <v>126797.953125</v>
      </c>
      <c r="F3655" s="8">
        <f t="shared" si="112"/>
        <v>13.734375</v>
      </c>
      <c r="G3655" s="8">
        <f t="shared" si="113"/>
        <v>1.3734375E-2</v>
      </c>
    </row>
    <row r="3656" spans="1:7" x14ac:dyDescent="0.25">
      <c r="A3656" s="8">
        <v>47</v>
      </c>
      <c r="B3656" s="8">
        <v>52</v>
      </c>
      <c r="C3656" s="8">
        <v>1968.6083980000001</v>
      </c>
      <c r="D3656" s="8">
        <v>132873.96875</v>
      </c>
      <c r="E3656" s="8">
        <v>132895.578125</v>
      </c>
      <c r="F3656" s="8">
        <f t="shared" si="112"/>
        <v>21.609375</v>
      </c>
      <c r="G3656" s="8">
        <f t="shared" si="113"/>
        <v>2.1609375E-2</v>
      </c>
    </row>
    <row r="3657" spans="1:7" x14ac:dyDescent="0.25">
      <c r="A3657" s="8">
        <v>47</v>
      </c>
      <c r="B3657" s="8">
        <v>53</v>
      </c>
      <c r="C3657" s="8">
        <v>6041.3378910000001</v>
      </c>
      <c r="D3657" s="8">
        <v>134878.84375</v>
      </c>
      <c r="E3657" s="8">
        <v>134886.59375</v>
      </c>
      <c r="F3657" s="8">
        <f t="shared" si="112"/>
        <v>7.75</v>
      </c>
      <c r="G3657" s="8">
        <f t="shared" si="113"/>
        <v>7.7499999999999999E-3</v>
      </c>
    </row>
    <row r="3658" spans="1:7" x14ac:dyDescent="0.25">
      <c r="A3658" s="8">
        <v>47</v>
      </c>
      <c r="B3658" s="8">
        <v>54</v>
      </c>
      <c r="C3658" s="8">
        <v>62.869422999999998</v>
      </c>
      <c r="D3658" s="8">
        <v>140936.03125</v>
      </c>
      <c r="E3658" s="8">
        <v>140948.59375</v>
      </c>
      <c r="F3658" s="8">
        <f t="shared" si="112"/>
        <v>12.5625</v>
      </c>
      <c r="G3658" s="8">
        <f t="shared" si="113"/>
        <v>1.2562500000000001E-2</v>
      </c>
    </row>
    <row r="3659" spans="1:7" x14ac:dyDescent="0.25">
      <c r="A3659" s="8">
        <v>47</v>
      </c>
      <c r="B3659" s="8">
        <v>55</v>
      </c>
      <c r="C3659" s="8">
        <v>3520.139893</v>
      </c>
      <c r="D3659" s="8">
        <v>141014.171875</v>
      </c>
      <c r="E3659" s="8">
        <v>141023.796875</v>
      </c>
      <c r="F3659" s="8">
        <f t="shared" ref="F3659:F3722" si="114">E3659-D3659</f>
        <v>9.625</v>
      </c>
      <c r="G3659" s="8">
        <f t="shared" ref="G3659:G3722" si="115">F3659/1000</f>
        <v>9.6249999999999999E-3</v>
      </c>
    </row>
    <row r="3660" spans="1:7" x14ac:dyDescent="0.25">
      <c r="A3660" s="8">
        <v>47</v>
      </c>
      <c r="B3660" s="8">
        <v>56</v>
      </c>
      <c r="C3660" s="8">
        <v>520.24121100000002</v>
      </c>
      <c r="D3660" s="8">
        <v>144556.875</v>
      </c>
      <c r="E3660" s="8">
        <v>144571.6875</v>
      </c>
      <c r="F3660" s="8">
        <f t="shared" si="114"/>
        <v>14.8125</v>
      </c>
      <c r="G3660" s="8">
        <f t="shared" si="115"/>
        <v>1.4812499999999999E-2</v>
      </c>
    </row>
    <row r="3661" spans="1:7" x14ac:dyDescent="0.25">
      <c r="A3661" s="8">
        <v>47</v>
      </c>
      <c r="B3661" s="8">
        <v>57</v>
      </c>
      <c r="C3661" s="8">
        <v>1184.7008060000001</v>
      </c>
      <c r="D3661" s="8">
        <v>145097.84375</v>
      </c>
      <c r="E3661" s="8">
        <v>145108.546875</v>
      </c>
      <c r="F3661" s="8">
        <f t="shared" si="114"/>
        <v>10.703125</v>
      </c>
      <c r="G3661" s="8">
        <f t="shared" si="115"/>
        <v>1.0703125000000001E-2</v>
      </c>
    </row>
    <row r="3662" spans="1:7" x14ac:dyDescent="0.25">
      <c r="A3662" s="8">
        <v>47</v>
      </c>
      <c r="B3662" s="8">
        <v>58</v>
      </c>
      <c r="C3662" s="8">
        <v>2029.9730219999999</v>
      </c>
      <c r="D3662" s="8">
        <v>146302.828125</v>
      </c>
      <c r="E3662" s="8">
        <v>146402.046875</v>
      </c>
      <c r="F3662" s="8">
        <f t="shared" si="114"/>
        <v>99.21875</v>
      </c>
      <c r="G3662" s="8">
        <f t="shared" si="115"/>
        <v>9.9218749999999994E-2</v>
      </c>
    </row>
    <row r="3663" spans="1:7" x14ac:dyDescent="0.25">
      <c r="A3663" s="8">
        <v>47</v>
      </c>
      <c r="B3663" s="8">
        <v>59</v>
      </c>
      <c r="C3663" s="8">
        <v>2467.8569339999999</v>
      </c>
      <c r="D3663" s="8">
        <v>148431.640625</v>
      </c>
      <c r="E3663" s="8">
        <v>148458.0625</v>
      </c>
      <c r="F3663" s="8">
        <f t="shared" si="114"/>
        <v>26.421875</v>
      </c>
      <c r="G3663" s="8">
        <f t="shared" si="115"/>
        <v>2.6421875000000001E-2</v>
      </c>
    </row>
    <row r="3664" spans="1:7" x14ac:dyDescent="0.25">
      <c r="A3664" s="8">
        <v>47</v>
      </c>
      <c r="B3664" s="8">
        <v>60</v>
      </c>
      <c r="C3664" s="8">
        <v>1539.281616</v>
      </c>
      <c r="D3664" s="8">
        <v>150936.34375</v>
      </c>
      <c r="E3664" s="8">
        <v>150951.234375</v>
      </c>
      <c r="F3664" s="8">
        <f t="shared" si="114"/>
        <v>14.890625</v>
      </c>
      <c r="G3664" s="8">
        <f t="shared" si="115"/>
        <v>1.4890624999999999E-2</v>
      </c>
    </row>
    <row r="3665" spans="1:7" x14ac:dyDescent="0.25">
      <c r="A3665" s="8">
        <v>47</v>
      </c>
      <c r="B3665" s="8">
        <v>61</v>
      </c>
      <c r="C3665" s="8">
        <v>1443.5656739999999</v>
      </c>
      <c r="D3665" s="8">
        <v>152500.109375</v>
      </c>
      <c r="E3665" s="8">
        <v>152512.578125</v>
      </c>
      <c r="F3665" s="8">
        <f t="shared" si="114"/>
        <v>12.46875</v>
      </c>
      <c r="G3665" s="8">
        <f t="shared" si="115"/>
        <v>1.2468750000000001E-2</v>
      </c>
    </row>
    <row r="3666" spans="1:7" x14ac:dyDescent="0.25">
      <c r="A3666" s="8">
        <v>47</v>
      </c>
      <c r="B3666" s="8">
        <v>62</v>
      </c>
      <c r="C3666" s="8">
        <v>5603.580078</v>
      </c>
      <c r="D3666" s="8">
        <v>153969.046875</v>
      </c>
      <c r="E3666" s="8">
        <v>153992.515625</v>
      </c>
      <c r="F3666" s="8">
        <f t="shared" si="114"/>
        <v>23.46875</v>
      </c>
      <c r="G3666" s="8">
        <f t="shared" si="115"/>
        <v>2.346875E-2</v>
      </c>
    </row>
    <row r="3667" spans="1:7" x14ac:dyDescent="0.25">
      <c r="A3667" s="8">
        <v>47</v>
      </c>
      <c r="B3667" s="8">
        <v>63</v>
      </c>
      <c r="C3667" s="8">
        <v>4088.3027339999999</v>
      </c>
      <c r="D3667" s="8">
        <v>159611.21875</v>
      </c>
      <c r="E3667" s="8">
        <v>159623.265625</v>
      </c>
      <c r="F3667" s="8">
        <f t="shared" si="114"/>
        <v>12.046875</v>
      </c>
      <c r="G3667" s="8">
        <f t="shared" si="115"/>
        <v>1.2046875E-2</v>
      </c>
    </row>
    <row r="3668" spans="1:7" x14ac:dyDescent="0.25">
      <c r="A3668" s="8">
        <v>47</v>
      </c>
      <c r="B3668" s="8">
        <v>64</v>
      </c>
      <c r="C3668" s="8">
        <v>263.16891500000003</v>
      </c>
      <c r="D3668" s="8">
        <v>163721.578125</v>
      </c>
      <c r="E3668" s="8">
        <v>163735.484375</v>
      </c>
      <c r="F3668" s="8">
        <f t="shared" si="114"/>
        <v>13.90625</v>
      </c>
      <c r="G3668" s="8">
        <f t="shared" si="115"/>
        <v>1.390625E-2</v>
      </c>
    </row>
    <row r="3669" spans="1:7" x14ac:dyDescent="0.25">
      <c r="A3669" s="8">
        <v>47</v>
      </c>
      <c r="B3669" s="8">
        <v>65</v>
      </c>
      <c r="C3669" s="8">
        <v>2590.4038089999999</v>
      </c>
      <c r="D3669" s="8">
        <v>164002.84375</v>
      </c>
      <c r="E3669" s="8">
        <v>164019.5</v>
      </c>
      <c r="F3669" s="8">
        <f t="shared" si="114"/>
        <v>16.65625</v>
      </c>
      <c r="G3669" s="8">
        <f t="shared" si="115"/>
        <v>1.6656250000000001E-2</v>
      </c>
    </row>
    <row r="3670" spans="1:7" x14ac:dyDescent="0.25">
      <c r="A3670" s="8">
        <v>47</v>
      </c>
      <c r="B3670" s="8">
        <v>66</v>
      </c>
      <c r="C3670" s="8">
        <v>3572.2590329999998</v>
      </c>
      <c r="D3670" s="8">
        <v>166614.609375</v>
      </c>
      <c r="E3670" s="8">
        <v>166626.421875</v>
      </c>
      <c r="F3670" s="8">
        <f t="shared" si="114"/>
        <v>11.8125</v>
      </c>
      <c r="G3670" s="8">
        <f t="shared" si="115"/>
        <v>1.18125E-2</v>
      </c>
    </row>
    <row r="3671" spans="1:7" x14ac:dyDescent="0.25">
      <c r="A3671" s="8">
        <v>48</v>
      </c>
      <c r="B3671" s="8">
        <v>0</v>
      </c>
      <c r="C3671" s="8">
        <v>1538.754639</v>
      </c>
      <c r="D3671" s="8">
        <v>20469.189452999999</v>
      </c>
      <c r="E3671" s="8">
        <v>20476.613281000002</v>
      </c>
      <c r="F3671" s="8">
        <f t="shared" si="114"/>
        <v>7.4238280000026862</v>
      </c>
      <c r="G3671" s="8">
        <f t="shared" si="115"/>
        <v>7.4238280000026866E-3</v>
      </c>
    </row>
    <row r="3672" spans="1:7" x14ac:dyDescent="0.25">
      <c r="A3672" s="8">
        <v>48</v>
      </c>
      <c r="B3672" s="8">
        <v>1</v>
      </c>
      <c r="C3672" s="8">
        <v>327.98052999999999</v>
      </c>
      <c r="D3672" s="8">
        <v>22016.246093999998</v>
      </c>
      <c r="E3672" s="8">
        <v>22037.060547000001</v>
      </c>
      <c r="F3672" s="8">
        <f t="shared" si="114"/>
        <v>20.814453000002686</v>
      </c>
      <c r="G3672" s="8">
        <f t="shared" si="115"/>
        <v>2.0814453000002685E-2</v>
      </c>
    </row>
    <row r="3673" spans="1:7" x14ac:dyDescent="0.25">
      <c r="A3673" s="8">
        <v>48</v>
      </c>
      <c r="B3673" s="8">
        <v>2</v>
      </c>
      <c r="C3673" s="8">
        <v>76.203827000000004</v>
      </c>
      <c r="D3673" s="8">
        <v>22375.609375</v>
      </c>
      <c r="E3673" s="8">
        <v>22386.886718999998</v>
      </c>
      <c r="F3673" s="8">
        <f t="shared" si="114"/>
        <v>11.277343999998266</v>
      </c>
      <c r="G3673" s="8">
        <f t="shared" si="115"/>
        <v>1.1277343999998265E-2</v>
      </c>
    </row>
    <row r="3674" spans="1:7" x14ac:dyDescent="0.25">
      <c r="A3674" s="8">
        <v>48</v>
      </c>
      <c r="B3674" s="8">
        <v>3</v>
      </c>
      <c r="C3674" s="8">
        <v>3100.4973140000002</v>
      </c>
      <c r="D3674" s="8">
        <v>22469.449218999998</v>
      </c>
      <c r="E3674" s="8">
        <v>22480.460938</v>
      </c>
      <c r="F3674" s="8">
        <f t="shared" si="114"/>
        <v>11.011719000001904</v>
      </c>
      <c r="G3674" s="8">
        <f t="shared" si="115"/>
        <v>1.1011719000001904E-2</v>
      </c>
    </row>
    <row r="3675" spans="1:7" x14ac:dyDescent="0.25">
      <c r="A3675" s="8">
        <v>48</v>
      </c>
      <c r="B3675" s="8">
        <v>4</v>
      </c>
      <c r="C3675" s="8">
        <v>31.869743</v>
      </c>
      <c r="D3675" s="8">
        <v>25584.367188</v>
      </c>
      <c r="E3675" s="8">
        <v>25598.509765999999</v>
      </c>
      <c r="F3675" s="8">
        <f t="shared" si="114"/>
        <v>14.142577999999048</v>
      </c>
      <c r="G3675" s="8">
        <f t="shared" si="115"/>
        <v>1.4142577999999049E-2</v>
      </c>
    </row>
    <row r="3676" spans="1:7" x14ac:dyDescent="0.25">
      <c r="A3676" s="8">
        <v>48</v>
      </c>
      <c r="B3676" s="8">
        <v>5</v>
      </c>
      <c r="C3676" s="8">
        <v>649.32885699999997</v>
      </c>
      <c r="D3676" s="8">
        <v>25631.160156000002</v>
      </c>
      <c r="E3676" s="8">
        <v>25644.732422000001</v>
      </c>
      <c r="F3676" s="8">
        <f t="shared" si="114"/>
        <v>13.572265999999217</v>
      </c>
      <c r="G3676" s="8">
        <f t="shared" si="115"/>
        <v>1.3572265999999217E-2</v>
      </c>
    </row>
    <row r="3677" spans="1:7" x14ac:dyDescent="0.25">
      <c r="A3677" s="8">
        <v>48</v>
      </c>
      <c r="B3677" s="8">
        <v>6</v>
      </c>
      <c r="C3677" s="8">
        <v>13.350481</v>
      </c>
      <c r="D3677" s="8">
        <v>26305.572265999999</v>
      </c>
      <c r="E3677" s="8">
        <v>26324.716797000001</v>
      </c>
      <c r="F3677" s="8">
        <f t="shared" si="114"/>
        <v>19.144531000001734</v>
      </c>
      <c r="G3677" s="8">
        <f t="shared" si="115"/>
        <v>1.9144531000001734E-2</v>
      </c>
    </row>
    <row r="3678" spans="1:7" x14ac:dyDescent="0.25">
      <c r="A3678" s="8">
        <v>48</v>
      </c>
      <c r="B3678" s="8">
        <v>7</v>
      </c>
      <c r="C3678" s="8">
        <v>2596.654297</v>
      </c>
      <c r="D3678" s="8">
        <v>26352.423827999999</v>
      </c>
      <c r="E3678" s="8">
        <v>26366.046875</v>
      </c>
      <c r="F3678" s="8">
        <f t="shared" si="114"/>
        <v>13.623047000000952</v>
      </c>
      <c r="G3678" s="8">
        <f t="shared" si="115"/>
        <v>1.3623047000000952E-2</v>
      </c>
    </row>
    <row r="3679" spans="1:7" x14ac:dyDescent="0.25">
      <c r="A3679" s="8">
        <v>48</v>
      </c>
      <c r="B3679" s="8">
        <v>8</v>
      </c>
      <c r="C3679" s="8">
        <v>9440.8466800000006</v>
      </c>
      <c r="D3679" s="8">
        <v>28965.179688</v>
      </c>
      <c r="E3679" s="8">
        <v>28989.947265999999</v>
      </c>
      <c r="F3679" s="8">
        <f t="shared" si="114"/>
        <v>24.767577999999048</v>
      </c>
      <c r="G3679" s="8">
        <f t="shared" si="115"/>
        <v>2.4767577999999048E-2</v>
      </c>
    </row>
    <row r="3680" spans="1:7" x14ac:dyDescent="0.25">
      <c r="A3680" s="8">
        <v>48</v>
      </c>
      <c r="B3680" s="8">
        <v>9</v>
      </c>
      <c r="C3680" s="8">
        <v>7073.0273440000001</v>
      </c>
      <c r="D3680" s="8">
        <v>38433.148437999997</v>
      </c>
      <c r="E3680" s="8">
        <v>38440.976562999997</v>
      </c>
      <c r="F3680" s="8">
        <f t="shared" si="114"/>
        <v>7.828125</v>
      </c>
      <c r="G3680" s="8">
        <f t="shared" si="115"/>
        <v>7.828125E-3</v>
      </c>
    </row>
    <row r="3681" spans="1:7" x14ac:dyDescent="0.25">
      <c r="A3681" s="8">
        <v>48</v>
      </c>
      <c r="B3681" s="8">
        <v>10</v>
      </c>
      <c r="C3681" s="8">
        <v>152.32849100000001</v>
      </c>
      <c r="D3681" s="8">
        <v>45521.996094000002</v>
      </c>
      <c r="E3681" s="8">
        <v>45538.25</v>
      </c>
      <c r="F3681" s="8">
        <f t="shared" si="114"/>
        <v>16.253905999998096</v>
      </c>
      <c r="G3681" s="8">
        <f t="shared" si="115"/>
        <v>1.6253905999998097E-2</v>
      </c>
    </row>
    <row r="3682" spans="1:7" x14ac:dyDescent="0.25">
      <c r="A3682" s="8">
        <v>48</v>
      </c>
      <c r="B3682" s="8">
        <v>11</v>
      </c>
      <c r="C3682" s="8">
        <v>137.75903299999999</v>
      </c>
      <c r="D3682" s="8">
        <v>45693.835937999997</v>
      </c>
      <c r="E3682" s="8">
        <v>45717.074219000002</v>
      </c>
      <c r="F3682" s="8">
        <f t="shared" si="114"/>
        <v>23.238281000005372</v>
      </c>
      <c r="G3682" s="8">
        <f t="shared" si="115"/>
        <v>2.3238281000005374E-2</v>
      </c>
    </row>
    <row r="3683" spans="1:7" x14ac:dyDescent="0.25">
      <c r="A3683" s="8">
        <v>48</v>
      </c>
      <c r="B3683" s="8">
        <v>12</v>
      </c>
      <c r="C3683" s="8">
        <v>1042.532837</v>
      </c>
      <c r="D3683" s="8">
        <v>45866.414062999997</v>
      </c>
      <c r="E3683" s="8">
        <v>45900.695312999997</v>
      </c>
      <c r="F3683" s="8">
        <f t="shared" si="114"/>
        <v>34.28125</v>
      </c>
      <c r="G3683" s="8">
        <f t="shared" si="115"/>
        <v>3.4281249999999999E-2</v>
      </c>
    </row>
    <row r="3684" spans="1:7" x14ac:dyDescent="0.25">
      <c r="A3684" s="8">
        <v>48</v>
      </c>
      <c r="B3684" s="8">
        <v>13</v>
      </c>
      <c r="C3684" s="8">
        <v>617.82550000000003</v>
      </c>
      <c r="D3684" s="8">
        <v>46954.054687999997</v>
      </c>
      <c r="E3684" s="8">
        <v>46963.484375</v>
      </c>
      <c r="F3684" s="8">
        <f t="shared" si="114"/>
        <v>9.4296870000034687</v>
      </c>
      <c r="G3684" s="8">
        <f t="shared" si="115"/>
        <v>9.4296870000034685E-3</v>
      </c>
    </row>
    <row r="3685" spans="1:7" x14ac:dyDescent="0.25">
      <c r="A3685" s="8">
        <v>48</v>
      </c>
      <c r="B3685" s="8">
        <v>14</v>
      </c>
      <c r="C3685" s="8">
        <v>86.821060000000003</v>
      </c>
      <c r="D3685" s="8">
        <v>47594.566405999998</v>
      </c>
      <c r="E3685" s="8">
        <v>47611.128905999998</v>
      </c>
      <c r="F3685" s="8">
        <f t="shared" si="114"/>
        <v>16.5625</v>
      </c>
      <c r="G3685" s="8">
        <f t="shared" si="115"/>
        <v>1.6562500000000001E-2</v>
      </c>
    </row>
    <row r="3686" spans="1:7" x14ac:dyDescent="0.25">
      <c r="A3686" s="8">
        <v>48</v>
      </c>
      <c r="B3686" s="8">
        <v>15</v>
      </c>
      <c r="C3686" s="8">
        <v>382.582764</v>
      </c>
      <c r="D3686" s="8">
        <v>47704.183594000002</v>
      </c>
      <c r="E3686" s="8">
        <v>47722.445312999997</v>
      </c>
      <c r="F3686" s="8">
        <f t="shared" si="114"/>
        <v>18.261718999994628</v>
      </c>
      <c r="G3686" s="8">
        <f t="shared" si="115"/>
        <v>1.8261718999994628E-2</v>
      </c>
    </row>
    <row r="3687" spans="1:7" x14ac:dyDescent="0.25">
      <c r="A3687" s="8">
        <v>48</v>
      </c>
      <c r="B3687" s="8">
        <v>16</v>
      </c>
      <c r="C3687" s="8">
        <v>742.76702899999998</v>
      </c>
      <c r="D3687" s="8">
        <v>48111.222655999998</v>
      </c>
      <c r="E3687" s="8">
        <v>48133.769530999998</v>
      </c>
      <c r="F3687" s="8">
        <f t="shared" si="114"/>
        <v>22.546875</v>
      </c>
      <c r="G3687" s="8">
        <f t="shared" si="115"/>
        <v>2.2546875000000001E-2</v>
      </c>
    </row>
    <row r="3688" spans="1:7" x14ac:dyDescent="0.25">
      <c r="A3688" s="8">
        <v>48</v>
      </c>
      <c r="B3688" s="8">
        <v>17</v>
      </c>
      <c r="C3688" s="8">
        <v>122.191681</v>
      </c>
      <c r="D3688" s="8">
        <v>48886.964844000002</v>
      </c>
      <c r="E3688" s="8">
        <v>48902.027344000002</v>
      </c>
      <c r="F3688" s="8">
        <f t="shared" si="114"/>
        <v>15.0625</v>
      </c>
      <c r="G3688" s="8">
        <f t="shared" si="115"/>
        <v>1.50625E-2</v>
      </c>
    </row>
    <row r="3689" spans="1:7" x14ac:dyDescent="0.25">
      <c r="A3689" s="8">
        <v>48</v>
      </c>
      <c r="B3689" s="8">
        <v>18</v>
      </c>
      <c r="C3689" s="8">
        <v>1775.836182</v>
      </c>
      <c r="D3689" s="8">
        <v>49027.59375</v>
      </c>
      <c r="E3689" s="8">
        <v>49038.503905999998</v>
      </c>
      <c r="F3689" s="8">
        <f t="shared" si="114"/>
        <v>10.910155999998096</v>
      </c>
      <c r="G3689" s="8">
        <f t="shared" si="115"/>
        <v>1.0910155999998096E-2</v>
      </c>
    </row>
    <row r="3690" spans="1:7" x14ac:dyDescent="0.25">
      <c r="A3690" s="8">
        <v>48</v>
      </c>
      <c r="B3690" s="8">
        <v>19</v>
      </c>
      <c r="C3690" s="8">
        <v>1111.3427730000001</v>
      </c>
      <c r="D3690" s="8">
        <v>50815.347655999998</v>
      </c>
      <c r="E3690" s="8">
        <v>50834.175780999998</v>
      </c>
      <c r="F3690" s="8">
        <f t="shared" si="114"/>
        <v>18.828125</v>
      </c>
      <c r="G3690" s="8">
        <f t="shared" si="115"/>
        <v>1.8828125000000001E-2</v>
      </c>
    </row>
    <row r="3691" spans="1:7" x14ac:dyDescent="0.25">
      <c r="A3691" s="8">
        <v>48</v>
      </c>
      <c r="B3691" s="8">
        <v>20</v>
      </c>
      <c r="C3691" s="8">
        <v>4133.5913090000004</v>
      </c>
      <c r="D3691" s="8">
        <v>51951.5</v>
      </c>
      <c r="E3691" s="8">
        <v>51960.332030999998</v>
      </c>
      <c r="F3691" s="8">
        <f t="shared" si="114"/>
        <v>8.8320309999980964</v>
      </c>
      <c r="G3691" s="8">
        <f t="shared" si="115"/>
        <v>8.8320309999980959E-3</v>
      </c>
    </row>
    <row r="3692" spans="1:7" x14ac:dyDescent="0.25">
      <c r="A3692" s="8">
        <v>48</v>
      </c>
      <c r="B3692" s="8">
        <v>21</v>
      </c>
      <c r="C3692" s="8">
        <v>1158.9307859999999</v>
      </c>
      <c r="D3692" s="8">
        <v>56097.429687999997</v>
      </c>
      <c r="E3692" s="8">
        <v>56110.042969000002</v>
      </c>
      <c r="F3692" s="8">
        <f t="shared" si="114"/>
        <v>12.613281000005372</v>
      </c>
      <c r="G3692" s="8">
        <f t="shared" si="115"/>
        <v>1.2613281000005373E-2</v>
      </c>
    </row>
    <row r="3693" spans="1:7" x14ac:dyDescent="0.25">
      <c r="A3693" s="8">
        <v>48</v>
      </c>
      <c r="B3693" s="8">
        <v>22</v>
      </c>
      <c r="C3693" s="8">
        <v>322.73770100000002</v>
      </c>
      <c r="D3693" s="8">
        <v>57270.078125</v>
      </c>
      <c r="E3693" s="8">
        <v>57301.464844000002</v>
      </c>
      <c r="F3693" s="8">
        <f t="shared" si="114"/>
        <v>31.386719000001904</v>
      </c>
      <c r="G3693" s="8">
        <f t="shared" si="115"/>
        <v>3.1386719000001902E-2</v>
      </c>
    </row>
    <row r="3694" spans="1:7" x14ac:dyDescent="0.25">
      <c r="A3694" s="8">
        <v>48</v>
      </c>
      <c r="B3694" s="8">
        <v>23</v>
      </c>
      <c r="C3694" s="8">
        <v>4648.7954099999997</v>
      </c>
      <c r="D3694" s="8">
        <v>57632.804687999997</v>
      </c>
      <c r="E3694" s="8">
        <v>57647.5625</v>
      </c>
      <c r="F3694" s="8">
        <f t="shared" si="114"/>
        <v>14.757812000003469</v>
      </c>
      <c r="G3694" s="8">
        <f t="shared" si="115"/>
        <v>1.4757812000003468E-2</v>
      </c>
    </row>
    <row r="3695" spans="1:7" x14ac:dyDescent="0.25">
      <c r="A3695" s="8">
        <v>48</v>
      </c>
      <c r="B3695" s="8">
        <v>24</v>
      </c>
      <c r="C3695" s="8">
        <v>403.08502199999998</v>
      </c>
      <c r="D3695" s="8">
        <v>62297.832030999998</v>
      </c>
      <c r="E3695" s="8">
        <v>62309.253905999998</v>
      </c>
      <c r="F3695" s="8">
        <f t="shared" si="114"/>
        <v>11.421875</v>
      </c>
      <c r="G3695" s="8">
        <f t="shared" si="115"/>
        <v>1.1421875E-2</v>
      </c>
    </row>
    <row r="3696" spans="1:7" x14ac:dyDescent="0.25">
      <c r="A3696" s="8">
        <v>48</v>
      </c>
      <c r="B3696" s="8">
        <v>25</v>
      </c>
      <c r="C3696" s="8">
        <v>2251.6716310000002</v>
      </c>
      <c r="D3696" s="8">
        <v>62719.757812999997</v>
      </c>
      <c r="E3696" s="8">
        <v>62730.585937999997</v>
      </c>
      <c r="F3696" s="8">
        <f t="shared" si="114"/>
        <v>10.828125</v>
      </c>
      <c r="G3696" s="8">
        <f t="shared" si="115"/>
        <v>1.0828124999999999E-2</v>
      </c>
    </row>
    <row r="3697" spans="1:7" x14ac:dyDescent="0.25">
      <c r="A3697" s="8">
        <v>48</v>
      </c>
      <c r="B3697" s="8">
        <v>26</v>
      </c>
      <c r="C3697" s="8">
        <v>3576.2685550000001</v>
      </c>
      <c r="D3697" s="8">
        <v>64996.625</v>
      </c>
      <c r="E3697" s="8">
        <v>65013.457030999998</v>
      </c>
      <c r="F3697" s="8">
        <f t="shared" si="114"/>
        <v>16.832030999998096</v>
      </c>
      <c r="G3697" s="8">
        <f t="shared" si="115"/>
        <v>1.6832030999998096E-2</v>
      </c>
    </row>
    <row r="3698" spans="1:7" x14ac:dyDescent="0.25">
      <c r="A3698" s="8">
        <v>48</v>
      </c>
      <c r="B3698" s="8">
        <v>27</v>
      </c>
      <c r="C3698" s="8">
        <v>71.327415000000002</v>
      </c>
      <c r="D3698" s="8">
        <v>68592.164063000004</v>
      </c>
      <c r="E3698" s="8">
        <v>68599.84375</v>
      </c>
      <c r="F3698" s="8">
        <f t="shared" si="114"/>
        <v>7.6796869999961928</v>
      </c>
      <c r="G3698" s="8">
        <f t="shared" si="115"/>
        <v>7.6796869999961924E-3</v>
      </c>
    </row>
    <row r="3699" spans="1:7" x14ac:dyDescent="0.25">
      <c r="A3699" s="8">
        <v>48</v>
      </c>
      <c r="B3699" s="8">
        <v>28</v>
      </c>
      <c r="C3699" s="8">
        <v>347.27441399999998</v>
      </c>
      <c r="D3699" s="8">
        <v>68685.96875</v>
      </c>
      <c r="E3699" s="8">
        <v>68699.695313000004</v>
      </c>
      <c r="F3699" s="8">
        <f t="shared" si="114"/>
        <v>13.726563000003807</v>
      </c>
      <c r="G3699" s="8">
        <f t="shared" si="115"/>
        <v>1.3726563000003807E-2</v>
      </c>
    </row>
    <row r="3700" spans="1:7" x14ac:dyDescent="0.25">
      <c r="A3700" s="8">
        <v>48</v>
      </c>
      <c r="B3700" s="8">
        <v>29</v>
      </c>
      <c r="C3700" s="8">
        <v>3604.1948240000002</v>
      </c>
      <c r="D3700" s="8">
        <v>69061.039063000004</v>
      </c>
      <c r="E3700" s="8">
        <v>69073.109375</v>
      </c>
      <c r="F3700" s="8">
        <f t="shared" si="114"/>
        <v>12.070311999996193</v>
      </c>
      <c r="G3700" s="8">
        <f t="shared" si="115"/>
        <v>1.2070311999996192E-2</v>
      </c>
    </row>
    <row r="3701" spans="1:7" x14ac:dyDescent="0.25">
      <c r="A3701" s="8">
        <v>48</v>
      </c>
      <c r="B3701" s="8">
        <v>30</v>
      </c>
      <c r="C3701" s="8">
        <v>1138.659058</v>
      </c>
      <c r="D3701" s="8">
        <v>72685.34375</v>
      </c>
      <c r="E3701" s="8">
        <v>72712.5</v>
      </c>
      <c r="F3701" s="8">
        <f t="shared" si="114"/>
        <v>27.15625</v>
      </c>
      <c r="G3701" s="8">
        <f t="shared" si="115"/>
        <v>2.715625E-2</v>
      </c>
    </row>
    <row r="3702" spans="1:7" x14ac:dyDescent="0.25">
      <c r="A3702" s="8">
        <v>48</v>
      </c>
      <c r="B3702" s="8">
        <v>31</v>
      </c>
      <c r="C3702" s="8">
        <v>5731.2495120000003</v>
      </c>
      <c r="D3702" s="8">
        <v>73857.5625</v>
      </c>
      <c r="E3702" s="8">
        <v>73865.421875</v>
      </c>
      <c r="F3702" s="8">
        <f t="shared" si="114"/>
        <v>7.859375</v>
      </c>
      <c r="G3702" s="8">
        <f t="shared" si="115"/>
        <v>7.859375E-3</v>
      </c>
    </row>
    <row r="3703" spans="1:7" x14ac:dyDescent="0.25">
      <c r="A3703" s="8">
        <v>48</v>
      </c>
      <c r="B3703" s="8">
        <v>32</v>
      </c>
      <c r="C3703" s="8">
        <v>1180.0706789999999</v>
      </c>
      <c r="D3703" s="8">
        <v>79597.8125</v>
      </c>
      <c r="E3703" s="8">
        <v>79617.804688000004</v>
      </c>
      <c r="F3703" s="8">
        <f t="shared" si="114"/>
        <v>19.992188000003807</v>
      </c>
      <c r="G3703" s="8">
        <f t="shared" si="115"/>
        <v>1.9992188000003807E-2</v>
      </c>
    </row>
    <row r="3704" spans="1:7" x14ac:dyDescent="0.25">
      <c r="A3704" s="8">
        <v>48</v>
      </c>
      <c r="B3704" s="8">
        <v>33</v>
      </c>
      <c r="C3704" s="8">
        <v>1410.6739500000001</v>
      </c>
      <c r="D3704" s="8">
        <v>80801.945313000004</v>
      </c>
      <c r="E3704" s="8">
        <v>80824.4375</v>
      </c>
      <c r="F3704" s="8">
        <f t="shared" si="114"/>
        <v>22.492186999996193</v>
      </c>
      <c r="G3704" s="8">
        <f t="shared" si="115"/>
        <v>2.2492186999996194E-2</v>
      </c>
    </row>
    <row r="3705" spans="1:7" x14ac:dyDescent="0.25">
      <c r="A3705" s="8">
        <v>48</v>
      </c>
      <c r="B3705" s="8">
        <v>34</v>
      </c>
      <c r="C3705" s="8">
        <v>324.38815299999999</v>
      </c>
      <c r="D3705" s="8">
        <v>82245.539063000004</v>
      </c>
      <c r="E3705" s="8">
        <v>82274.945313000004</v>
      </c>
      <c r="F3705" s="8">
        <f t="shared" si="114"/>
        <v>29.40625</v>
      </c>
      <c r="G3705" s="8">
        <f t="shared" si="115"/>
        <v>2.9406249999999998E-2</v>
      </c>
    </row>
    <row r="3706" spans="1:7" x14ac:dyDescent="0.25">
      <c r="A3706" s="8">
        <v>48</v>
      </c>
      <c r="B3706" s="8">
        <v>35</v>
      </c>
      <c r="C3706" s="8">
        <v>2128.1767580000001</v>
      </c>
      <c r="D3706" s="8">
        <v>82604.953125</v>
      </c>
      <c r="E3706" s="8">
        <v>82618.53125</v>
      </c>
      <c r="F3706" s="8">
        <f t="shared" si="114"/>
        <v>13.578125</v>
      </c>
      <c r="G3706" s="8">
        <f t="shared" si="115"/>
        <v>1.3578125E-2</v>
      </c>
    </row>
    <row r="3707" spans="1:7" x14ac:dyDescent="0.25">
      <c r="A3707" s="8">
        <v>48</v>
      </c>
      <c r="B3707" s="8">
        <v>36</v>
      </c>
      <c r="C3707" s="8">
        <v>1826.9129640000001</v>
      </c>
      <c r="D3707" s="8">
        <v>84750.96875</v>
      </c>
      <c r="E3707" s="8">
        <v>84768.117188000004</v>
      </c>
      <c r="F3707" s="8">
        <f t="shared" si="114"/>
        <v>17.148438000003807</v>
      </c>
      <c r="G3707" s="8">
        <f t="shared" si="115"/>
        <v>1.7148438000003808E-2</v>
      </c>
    </row>
    <row r="3708" spans="1:7" x14ac:dyDescent="0.25">
      <c r="A3708" s="8">
        <v>48</v>
      </c>
      <c r="B3708" s="8">
        <v>37</v>
      </c>
      <c r="C3708" s="8">
        <v>1755.177856</v>
      </c>
      <c r="D3708" s="8">
        <v>86596.453125</v>
      </c>
      <c r="E3708" s="8">
        <v>86612.78125</v>
      </c>
      <c r="F3708" s="8">
        <f t="shared" si="114"/>
        <v>16.328125</v>
      </c>
      <c r="G3708" s="8">
        <f t="shared" si="115"/>
        <v>1.6328124999999999E-2</v>
      </c>
    </row>
    <row r="3709" spans="1:7" x14ac:dyDescent="0.25">
      <c r="A3709" s="8">
        <v>48</v>
      </c>
      <c r="B3709" s="8">
        <v>38</v>
      </c>
      <c r="C3709" s="8">
        <v>187.27836600000001</v>
      </c>
      <c r="D3709" s="8">
        <v>88381.0625</v>
      </c>
      <c r="E3709" s="8">
        <v>88395.382813000004</v>
      </c>
      <c r="F3709" s="8">
        <f t="shared" si="114"/>
        <v>14.320313000003807</v>
      </c>
      <c r="G3709" s="8">
        <f t="shared" si="115"/>
        <v>1.4320313000003807E-2</v>
      </c>
    </row>
    <row r="3710" spans="1:7" x14ac:dyDescent="0.25">
      <c r="A3710" s="8">
        <v>48</v>
      </c>
      <c r="B3710" s="8">
        <v>39</v>
      </c>
      <c r="C3710" s="8">
        <v>6083.0722660000001</v>
      </c>
      <c r="D3710" s="8">
        <v>88584.195313000004</v>
      </c>
      <c r="E3710" s="8">
        <v>88591.921875</v>
      </c>
      <c r="F3710" s="8">
        <f t="shared" si="114"/>
        <v>7.7265619999961928</v>
      </c>
      <c r="G3710" s="8">
        <f t="shared" si="115"/>
        <v>7.7265619999961925E-3</v>
      </c>
    </row>
    <row r="3711" spans="1:7" x14ac:dyDescent="0.25">
      <c r="A3711" s="8">
        <v>48</v>
      </c>
      <c r="B3711" s="8">
        <v>40</v>
      </c>
      <c r="C3711" s="8">
        <v>1166.9003909999999</v>
      </c>
      <c r="D3711" s="8">
        <v>94686.414063000004</v>
      </c>
      <c r="E3711" s="8">
        <v>94694.085938000004</v>
      </c>
      <c r="F3711" s="8">
        <f t="shared" si="114"/>
        <v>7.671875</v>
      </c>
      <c r="G3711" s="8">
        <f t="shared" si="115"/>
        <v>7.6718749999999999E-3</v>
      </c>
    </row>
    <row r="3712" spans="1:7" x14ac:dyDescent="0.25">
      <c r="A3712" s="8">
        <v>48</v>
      </c>
      <c r="B3712" s="8">
        <v>41</v>
      </c>
      <c r="C3712" s="8">
        <v>1820.9875489999999</v>
      </c>
      <c r="D3712" s="8">
        <v>95865.867188000004</v>
      </c>
      <c r="E3712" s="8">
        <v>95885.6875</v>
      </c>
      <c r="F3712" s="8">
        <f t="shared" si="114"/>
        <v>19.820311999996193</v>
      </c>
      <c r="G3712" s="8">
        <f t="shared" si="115"/>
        <v>1.9820311999996194E-2</v>
      </c>
    </row>
    <row r="3713" spans="1:7" x14ac:dyDescent="0.25">
      <c r="A3713" s="8">
        <v>48</v>
      </c>
      <c r="B3713" s="8">
        <v>42</v>
      </c>
      <c r="C3713" s="8">
        <v>386.94787600000001</v>
      </c>
      <c r="D3713" s="8">
        <v>97715.984375</v>
      </c>
      <c r="E3713" s="8">
        <v>97729.710938000004</v>
      </c>
      <c r="F3713" s="8">
        <f t="shared" si="114"/>
        <v>13.726563000003807</v>
      </c>
      <c r="G3713" s="8">
        <f t="shared" si="115"/>
        <v>1.3726563000003807E-2</v>
      </c>
    </row>
    <row r="3714" spans="1:7" x14ac:dyDescent="0.25">
      <c r="A3714" s="8">
        <v>48</v>
      </c>
      <c r="B3714" s="8">
        <v>43</v>
      </c>
      <c r="C3714" s="8">
        <v>91.160415999999998</v>
      </c>
      <c r="D3714" s="8">
        <v>98128.828125</v>
      </c>
      <c r="E3714" s="8">
        <v>98138.15625</v>
      </c>
      <c r="F3714" s="8">
        <f t="shared" si="114"/>
        <v>9.328125</v>
      </c>
      <c r="G3714" s="8">
        <f t="shared" si="115"/>
        <v>9.3281249999999996E-3</v>
      </c>
    </row>
    <row r="3715" spans="1:7" x14ac:dyDescent="0.25">
      <c r="A3715" s="8">
        <v>48</v>
      </c>
      <c r="B3715" s="8">
        <v>44</v>
      </c>
      <c r="C3715" s="8">
        <v>4862.5688479999999</v>
      </c>
      <c r="D3715" s="8">
        <v>98238.328125</v>
      </c>
      <c r="E3715" s="8">
        <v>98255.570313000004</v>
      </c>
      <c r="F3715" s="8">
        <f t="shared" si="114"/>
        <v>17.242188000003807</v>
      </c>
      <c r="G3715" s="8">
        <f t="shared" si="115"/>
        <v>1.7242188000003808E-2</v>
      </c>
    </row>
    <row r="3716" spans="1:7" x14ac:dyDescent="0.25">
      <c r="A3716" s="8">
        <v>48</v>
      </c>
      <c r="B3716" s="8">
        <v>45</v>
      </c>
      <c r="C3716" s="8">
        <v>1545.0882570000001</v>
      </c>
      <c r="D3716" s="8">
        <v>103119.539063</v>
      </c>
      <c r="E3716" s="8">
        <v>103136.726563</v>
      </c>
      <c r="F3716" s="8">
        <f t="shared" si="114"/>
        <v>17.1875</v>
      </c>
      <c r="G3716" s="8">
        <f t="shared" si="115"/>
        <v>1.7187500000000001E-2</v>
      </c>
    </row>
    <row r="3717" spans="1:7" x14ac:dyDescent="0.25">
      <c r="A3717" s="8">
        <v>48</v>
      </c>
      <c r="B3717" s="8">
        <v>46</v>
      </c>
      <c r="C3717" s="8">
        <v>1498.325439</v>
      </c>
      <c r="D3717" s="8">
        <v>104690.679688</v>
      </c>
      <c r="E3717" s="8">
        <v>104700.226563</v>
      </c>
      <c r="F3717" s="8">
        <f t="shared" si="114"/>
        <v>9.546875</v>
      </c>
      <c r="G3717" s="8">
        <f t="shared" si="115"/>
        <v>9.5468749999999998E-3</v>
      </c>
    </row>
    <row r="3718" spans="1:7" x14ac:dyDescent="0.25">
      <c r="A3718" s="8">
        <v>48</v>
      </c>
      <c r="B3718" s="8">
        <v>47</v>
      </c>
      <c r="C3718" s="8">
        <v>3202.2817380000001</v>
      </c>
      <c r="D3718" s="8">
        <v>106203.492188</v>
      </c>
      <c r="E3718" s="8">
        <v>106222.554688</v>
      </c>
      <c r="F3718" s="8">
        <f t="shared" si="114"/>
        <v>19.0625</v>
      </c>
      <c r="G3718" s="8">
        <f t="shared" si="115"/>
        <v>1.90625E-2</v>
      </c>
    </row>
    <row r="3719" spans="1:7" x14ac:dyDescent="0.25">
      <c r="A3719" s="8">
        <v>48</v>
      </c>
      <c r="B3719" s="8">
        <v>48</v>
      </c>
      <c r="C3719" s="8">
        <v>573.43231200000002</v>
      </c>
      <c r="D3719" s="8">
        <v>109438.789063</v>
      </c>
      <c r="E3719" s="8">
        <v>109454.710938</v>
      </c>
      <c r="F3719" s="8">
        <f t="shared" si="114"/>
        <v>15.921875</v>
      </c>
      <c r="G3719" s="8">
        <f t="shared" si="115"/>
        <v>1.5921874999999999E-2</v>
      </c>
    </row>
    <row r="3720" spans="1:7" x14ac:dyDescent="0.25">
      <c r="A3720" s="8">
        <v>48</v>
      </c>
      <c r="B3720" s="8">
        <v>49</v>
      </c>
      <c r="C3720" s="8">
        <v>2197.102539</v>
      </c>
      <c r="D3720" s="8">
        <v>110033.273438</v>
      </c>
      <c r="E3720" s="8">
        <v>110059.539063</v>
      </c>
      <c r="F3720" s="8">
        <f t="shared" si="114"/>
        <v>26.265625</v>
      </c>
      <c r="G3720" s="8">
        <f t="shared" si="115"/>
        <v>2.6265625000000001E-2</v>
      </c>
    </row>
    <row r="3721" spans="1:7" x14ac:dyDescent="0.25">
      <c r="A3721" s="8">
        <v>48</v>
      </c>
      <c r="B3721" s="8">
        <v>50</v>
      </c>
      <c r="C3721" s="8">
        <v>4926.7607420000004</v>
      </c>
      <c r="D3721" s="8">
        <v>112272.070313</v>
      </c>
      <c r="E3721" s="8">
        <v>112283.421875</v>
      </c>
      <c r="F3721" s="8">
        <f t="shared" si="114"/>
        <v>11.351561999996193</v>
      </c>
      <c r="G3721" s="8">
        <f t="shared" si="115"/>
        <v>1.1351561999996193E-2</v>
      </c>
    </row>
    <row r="3722" spans="1:7" x14ac:dyDescent="0.25">
      <c r="A3722" s="8">
        <v>48</v>
      </c>
      <c r="B3722" s="8">
        <v>51</v>
      </c>
      <c r="C3722" s="8">
        <v>2666.2702640000002</v>
      </c>
      <c r="D3722" s="8">
        <v>117215.976563</v>
      </c>
      <c r="E3722" s="8">
        <v>117231.695313</v>
      </c>
      <c r="F3722" s="8">
        <f t="shared" si="114"/>
        <v>15.71875</v>
      </c>
      <c r="G3722" s="8">
        <f t="shared" si="115"/>
        <v>1.571875E-2</v>
      </c>
    </row>
    <row r="3723" spans="1:7" x14ac:dyDescent="0.25">
      <c r="A3723" s="8">
        <v>48</v>
      </c>
      <c r="B3723" s="8">
        <v>52</v>
      </c>
      <c r="C3723" s="8">
        <v>4125.8916019999997</v>
      </c>
      <c r="D3723" s="8">
        <v>119906.03125</v>
      </c>
      <c r="E3723" s="8">
        <v>119930.84375</v>
      </c>
      <c r="F3723" s="8">
        <f t="shared" ref="F3723:F3786" si="116">E3723-D3723</f>
        <v>24.8125</v>
      </c>
      <c r="G3723" s="8">
        <f t="shared" ref="G3723:G3786" si="117">F3723/1000</f>
        <v>2.4812500000000001E-2</v>
      </c>
    </row>
    <row r="3724" spans="1:7" x14ac:dyDescent="0.25">
      <c r="A3724" s="8">
        <v>48</v>
      </c>
      <c r="B3724" s="8">
        <v>53</v>
      </c>
      <c r="C3724" s="8">
        <v>607.62664800000005</v>
      </c>
      <c r="D3724" s="8">
        <v>124064.46875</v>
      </c>
      <c r="E3724" s="8">
        <v>124088.015625</v>
      </c>
      <c r="F3724" s="8">
        <f t="shared" si="116"/>
        <v>23.546875</v>
      </c>
      <c r="G3724" s="8">
        <f t="shared" si="117"/>
        <v>2.3546874999999998E-2</v>
      </c>
    </row>
    <row r="3725" spans="1:7" x14ac:dyDescent="0.25">
      <c r="A3725" s="8">
        <v>48</v>
      </c>
      <c r="B3725" s="8">
        <v>54</v>
      </c>
      <c r="C3725" s="8">
        <v>995.59619099999998</v>
      </c>
      <c r="D3725" s="8">
        <v>124705.070313</v>
      </c>
      <c r="E3725" s="8">
        <v>124721.257813</v>
      </c>
      <c r="F3725" s="8">
        <f t="shared" si="116"/>
        <v>16.1875</v>
      </c>
      <c r="G3725" s="8">
        <f t="shared" si="117"/>
        <v>1.61875E-2</v>
      </c>
    </row>
    <row r="3726" spans="1:7" x14ac:dyDescent="0.25">
      <c r="A3726" s="8">
        <v>48</v>
      </c>
      <c r="B3726" s="8">
        <v>55</v>
      </c>
      <c r="C3726" s="8">
        <v>1501.943726</v>
      </c>
      <c r="D3726" s="8">
        <v>125721.367188</v>
      </c>
      <c r="E3726" s="8">
        <v>125732.875</v>
      </c>
      <c r="F3726" s="8">
        <f t="shared" si="116"/>
        <v>11.507811999996193</v>
      </c>
      <c r="G3726" s="8">
        <f t="shared" si="117"/>
        <v>1.1507811999996193E-2</v>
      </c>
    </row>
    <row r="3727" spans="1:7" x14ac:dyDescent="0.25">
      <c r="A3727" s="8">
        <v>48</v>
      </c>
      <c r="B3727" s="8">
        <v>56</v>
      </c>
      <c r="C3727" s="8">
        <v>3081.3173830000001</v>
      </c>
      <c r="D3727" s="8">
        <v>127237.289063</v>
      </c>
      <c r="E3727" s="8">
        <v>127258.695313</v>
      </c>
      <c r="F3727" s="8">
        <f t="shared" si="116"/>
        <v>21.40625</v>
      </c>
      <c r="G3727" s="8">
        <f t="shared" si="117"/>
        <v>2.1406250000000002E-2</v>
      </c>
    </row>
    <row r="3728" spans="1:7" x14ac:dyDescent="0.25">
      <c r="A3728" s="8">
        <v>48</v>
      </c>
      <c r="B3728" s="8">
        <v>57</v>
      </c>
      <c r="C3728" s="8">
        <v>3048.258789</v>
      </c>
      <c r="D3728" s="8">
        <v>130348.382813</v>
      </c>
      <c r="E3728" s="8">
        <v>130363.523438</v>
      </c>
      <c r="F3728" s="8">
        <f t="shared" si="116"/>
        <v>15.140625</v>
      </c>
      <c r="G3728" s="8">
        <f t="shared" si="117"/>
        <v>1.5140625E-2</v>
      </c>
    </row>
    <row r="3729" spans="1:7" x14ac:dyDescent="0.25">
      <c r="A3729" s="8">
        <v>48</v>
      </c>
      <c r="B3729" s="8">
        <v>58</v>
      </c>
      <c r="C3729" s="8">
        <v>2318.4433589999999</v>
      </c>
      <c r="D3729" s="8">
        <v>133425.5625</v>
      </c>
      <c r="E3729" s="8">
        <v>133437.96875</v>
      </c>
      <c r="F3729" s="8">
        <f t="shared" si="116"/>
        <v>12.40625</v>
      </c>
      <c r="G3729" s="8">
        <f t="shared" si="117"/>
        <v>1.2406250000000001E-2</v>
      </c>
    </row>
    <row r="3730" spans="1:7" x14ac:dyDescent="0.25">
      <c r="A3730" s="8">
        <v>48</v>
      </c>
      <c r="B3730" s="8">
        <v>59</v>
      </c>
      <c r="C3730" s="8">
        <v>418.45053100000001</v>
      </c>
      <c r="D3730" s="8">
        <v>135757.046875</v>
      </c>
      <c r="E3730" s="8">
        <v>135834.546875</v>
      </c>
      <c r="F3730" s="8">
        <f t="shared" si="116"/>
        <v>77.5</v>
      </c>
      <c r="G3730" s="8">
        <f t="shared" si="117"/>
        <v>7.7499999999999999E-2</v>
      </c>
    </row>
    <row r="3731" spans="1:7" x14ac:dyDescent="0.25">
      <c r="A3731" s="8">
        <v>48</v>
      </c>
      <c r="B3731" s="8">
        <v>60</v>
      </c>
      <c r="C3731" s="8">
        <v>3818.8256839999999</v>
      </c>
      <c r="D3731" s="8">
        <v>136257.109375</v>
      </c>
      <c r="E3731" s="8">
        <v>136271.359375</v>
      </c>
      <c r="F3731" s="8">
        <f t="shared" si="116"/>
        <v>14.25</v>
      </c>
      <c r="G3731" s="8">
        <f t="shared" si="117"/>
        <v>1.4250000000000001E-2</v>
      </c>
    </row>
    <row r="3732" spans="1:7" x14ac:dyDescent="0.25">
      <c r="A3732" s="8">
        <v>48</v>
      </c>
      <c r="B3732" s="8">
        <v>61</v>
      </c>
      <c r="C3732" s="8">
        <v>1042.1217039999999</v>
      </c>
      <c r="D3732" s="8">
        <v>140100.328125</v>
      </c>
      <c r="E3732" s="8">
        <v>140119.5</v>
      </c>
      <c r="F3732" s="8">
        <f t="shared" si="116"/>
        <v>19.171875</v>
      </c>
      <c r="G3732" s="8">
        <f t="shared" si="117"/>
        <v>1.9171875000000001E-2</v>
      </c>
    </row>
    <row r="3733" spans="1:7" x14ac:dyDescent="0.25">
      <c r="A3733" s="8">
        <v>48</v>
      </c>
      <c r="B3733" s="8">
        <v>62</v>
      </c>
      <c r="C3733" s="8">
        <v>1187.3514399999999</v>
      </c>
      <c r="D3733" s="8">
        <v>141170.40625</v>
      </c>
      <c r="E3733" s="8">
        <v>141184.34375</v>
      </c>
      <c r="F3733" s="8">
        <f t="shared" si="116"/>
        <v>13.9375</v>
      </c>
      <c r="G3733" s="8">
        <f t="shared" si="117"/>
        <v>1.39375E-2</v>
      </c>
    </row>
    <row r="3734" spans="1:7" x14ac:dyDescent="0.25">
      <c r="A3734" s="8">
        <v>48</v>
      </c>
      <c r="B3734" s="8">
        <v>63</v>
      </c>
      <c r="C3734" s="8">
        <v>2449.908203</v>
      </c>
      <c r="D3734" s="8">
        <v>142374.5625</v>
      </c>
      <c r="E3734" s="8">
        <v>142394.96875</v>
      </c>
      <c r="F3734" s="8">
        <f t="shared" si="116"/>
        <v>20.40625</v>
      </c>
      <c r="G3734" s="8">
        <f t="shared" si="117"/>
        <v>2.0406250000000001E-2</v>
      </c>
    </row>
    <row r="3735" spans="1:7" x14ac:dyDescent="0.25">
      <c r="A3735" s="8">
        <v>48</v>
      </c>
      <c r="B3735" s="8">
        <v>64</v>
      </c>
      <c r="C3735" s="8">
        <v>3130.638672</v>
      </c>
      <c r="D3735" s="8">
        <v>144847</v>
      </c>
      <c r="E3735" s="8">
        <v>144864.953125</v>
      </c>
      <c r="F3735" s="8">
        <f t="shared" si="116"/>
        <v>17.953125</v>
      </c>
      <c r="G3735" s="8">
        <f t="shared" si="117"/>
        <v>1.7953125E-2</v>
      </c>
    </row>
    <row r="3736" spans="1:7" x14ac:dyDescent="0.25">
      <c r="A3736" s="8">
        <v>48</v>
      </c>
      <c r="B3736" s="8">
        <v>65</v>
      </c>
      <c r="C3736" s="8">
        <v>1106.7733149999999</v>
      </c>
      <c r="D3736" s="8">
        <v>148008.6875</v>
      </c>
      <c r="E3736" s="8">
        <v>148028.1875</v>
      </c>
      <c r="F3736" s="8">
        <f t="shared" si="116"/>
        <v>19.5</v>
      </c>
      <c r="G3736" s="8">
        <f t="shared" si="117"/>
        <v>1.95E-2</v>
      </c>
    </row>
    <row r="3737" spans="1:7" x14ac:dyDescent="0.25">
      <c r="A3737" s="8">
        <v>48</v>
      </c>
      <c r="B3737" s="8">
        <v>66</v>
      </c>
      <c r="C3737" s="8">
        <v>6013.9912109999996</v>
      </c>
      <c r="D3737" s="8">
        <v>149134.671875</v>
      </c>
      <c r="E3737" s="8">
        <v>149158.234375</v>
      </c>
      <c r="F3737" s="8">
        <f t="shared" si="116"/>
        <v>23.5625</v>
      </c>
      <c r="G3737" s="8">
        <f t="shared" si="117"/>
        <v>2.35625E-2</v>
      </c>
    </row>
    <row r="3738" spans="1:7" x14ac:dyDescent="0.25">
      <c r="A3738" s="8">
        <v>48</v>
      </c>
      <c r="B3738" s="8">
        <v>67</v>
      </c>
      <c r="C3738" s="8">
        <v>753.76977499999998</v>
      </c>
      <c r="D3738" s="8">
        <v>155172.234375</v>
      </c>
      <c r="E3738" s="8">
        <v>155198.03125</v>
      </c>
      <c r="F3738" s="8">
        <f t="shared" si="116"/>
        <v>25.796875</v>
      </c>
      <c r="G3738" s="8">
        <f t="shared" si="117"/>
        <v>2.5796875E-2</v>
      </c>
    </row>
    <row r="3739" spans="1:7" x14ac:dyDescent="0.25">
      <c r="A3739" s="8">
        <v>48</v>
      </c>
      <c r="B3739" s="8">
        <v>68</v>
      </c>
      <c r="C3739" s="8">
        <v>532.55053699999996</v>
      </c>
      <c r="D3739" s="8">
        <v>155953.609375</v>
      </c>
      <c r="E3739" s="8">
        <v>155970.921875</v>
      </c>
      <c r="F3739" s="8">
        <f t="shared" si="116"/>
        <v>17.3125</v>
      </c>
      <c r="G3739" s="8">
        <f t="shared" si="117"/>
        <v>1.7312500000000001E-2</v>
      </c>
    </row>
    <row r="3740" spans="1:7" x14ac:dyDescent="0.25">
      <c r="A3740" s="8">
        <v>48</v>
      </c>
      <c r="B3740" s="8">
        <v>69</v>
      </c>
      <c r="C3740" s="8">
        <v>1204.220947</v>
      </c>
      <c r="D3740" s="8">
        <v>156516.140625</v>
      </c>
      <c r="E3740" s="8">
        <v>156547.296875</v>
      </c>
      <c r="F3740" s="8">
        <f t="shared" si="116"/>
        <v>31.15625</v>
      </c>
      <c r="G3740" s="8">
        <f t="shared" si="117"/>
        <v>3.115625E-2</v>
      </c>
    </row>
    <row r="3741" spans="1:7" x14ac:dyDescent="0.25">
      <c r="A3741" s="8">
        <v>48</v>
      </c>
      <c r="B3741" s="8">
        <v>70</v>
      </c>
      <c r="C3741" s="8">
        <v>825.78668200000004</v>
      </c>
      <c r="D3741" s="8">
        <v>157766.296875</v>
      </c>
      <c r="E3741" s="8">
        <v>157787.609375</v>
      </c>
      <c r="F3741" s="8">
        <f t="shared" si="116"/>
        <v>21.3125</v>
      </c>
      <c r="G3741" s="8">
        <f t="shared" si="117"/>
        <v>2.1312500000000002E-2</v>
      </c>
    </row>
    <row r="3742" spans="1:7" x14ac:dyDescent="0.25">
      <c r="A3742" s="8">
        <v>48</v>
      </c>
      <c r="B3742" s="8">
        <v>71</v>
      </c>
      <c r="C3742" s="8">
        <v>279.03567500000003</v>
      </c>
      <c r="D3742" s="8">
        <v>158626.578125</v>
      </c>
      <c r="E3742" s="8">
        <v>158646.390625</v>
      </c>
      <c r="F3742" s="8">
        <f t="shared" si="116"/>
        <v>19.8125</v>
      </c>
      <c r="G3742" s="8">
        <f t="shared" si="117"/>
        <v>1.98125E-2</v>
      </c>
    </row>
    <row r="3743" spans="1:7" x14ac:dyDescent="0.25">
      <c r="A3743" s="8">
        <v>48</v>
      </c>
      <c r="B3743" s="8">
        <v>72</v>
      </c>
      <c r="C3743" s="8">
        <v>2285.4482419999999</v>
      </c>
      <c r="D3743" s="8">
        <v>158939.21875</v>
      </c>
      <c r="E3743" s="8">
        <v>158963.296875</v>
      </c>
      <c r="F3743" s="8">
        <f t="shared" si="116"/>
        <v>24.078125</v>
      </c>
      <c r="G3743" s="8">
        <f t="shared" si="117"/>
        <v>2.4078124999999999E-2</v>
      </c>
    </row>
    <row r="3744" spans="1:7" x14ac:dyDescent="0.25">
      <c r="A3744" s="8">
        <v>48</v>
      </c>
      <c r="B3744" s="8">
        <v>73</v>
      </c>
      <c r="C3744" s="8">
        <v>5072.4414059999999</v>
      </c>
      <c r="D3744" s="8">
        <v>161251.953125</v>
      </c>
      <c r="E3744" s="8">
        <v>161277.25</v>
      </c>
      <c r="F3744" s="8">
        <f t="shared" si="116"/>
        <v>25.296875</v>
      </c>
      <c r="G3744" s="8">
        <f t="shared" si="117"/>
        <v>2.5296875E-2</v>
      </c>
    </row>
    <row r="3745" spans="1:7" x14ac:dyDescent="0.25">
      <c r="A3745" s="8">
        <v>48</v>
      </c>
      <c r="B3745" s="8">
        <v>74</v>
      </c>
      <c r="C3745" s="8">
        <v>15.379281000000001</v>
      </c>
      <c r="D3745" s="8">
        <v>166364.421875</v>
      </c>
      <c r="E3745" s="8">
        <v>166379.8125</v>
      </c>
      <c r="F3745" s="8">
        <f t="shared" si="116"/>
        <v>15.390625</v>
      </c>
      <c r="G3745" s="8">
        <f t="shared" si="117"/>
        <v>1.5390625E-2</v>
      </c>
    </row>
    <row r="3746" spans="1:7" x14ac:dyDescent="0.25">
      <c r="A3746" s="8">
        <v>48</v>
      </c>
      <c r="B3746" s="8">
        <v>75</v>
      </c>
      <c r="C3746" s="8">
        <v>955.63250700000003</v>
      </c>
      <c r="D3746" s="8">
        <v>166395.703125</v>
      </c>
      <c r="E3746" s="8">
        <v>166408.21875</v>
      </c>
      <c r="F3746" s="8">
        <f t="shared" si="116"/>
        <v>12.515625</v>
      </c>
      <c r="G3746" s="8">
        <f t="shared" si="117"/>
        <v>1.2515625000000001E-2</v>
      </c>
    </row>
    <row r="3747" spans="1:7" x14ac:dyDescent="0.25">
      <c r="A3747" s="8">
        <v>48</v>
      </c>
      <c r="B3747" s="8">
        <v>76</v>
      </c>
      <c r="C3747" s="8">
        <v>2484.0646969999998</v>
      </c>
      <c r="D3747" s="8">
        <v>167369.171875</v>
      </c>
      <c r="E3747" s="8">
        <v>167380.71875</v>
      </c>
      <c r="F3747" s="8">
        <f t="shared" si="116"/>
        <v>11.546875</v>
      </c>
      <c r="G3747" s="8">
        <f t="shared" si="117"/>
        <v>1.1546875E-2</v>
      </c>
    </row>
    <row r="3748" spans="1:7" x14ac:dyDescent="0.25">
      <c r="A3748" s="8">
        <v>48</v>
      </c>
      <c r="B3748" s="8">
        <v>77</v>
      </c>
      <c r="C3748" s="8">
        <v>3604.5649410000001</v>
      </c>
      <c r="D3748" s="8">
        <v>169876.59375</v>
      </c>
      <c r="E3748" s="8">
        <v>169888.265625</v>
      </c>
      <c r="F3748" s="8">
        <f t="shared" si="116"/>
        <v>11.671875</v>
      </c>
      <c r="G3748" s="8">
        <f t="shared" si="117"/>
        <v>1.1671875E-2</v>
      </c>
    </row>
    <row r="3749" spans="1:7" x14ac:dyDescent="0.25">
      <c r="A3749" s="8">
        <v>49</v>
      </c>
      <c r="B3749" s="8">
        <v>0</v>
      </c>
      <c r="C3749" s="8">
        <v>1571.5627440000001</v>
      </c>
      <c r="D3749" s="8">
        <v>20672.392577999999</v>
      </c>
      <c r="E3749" s="8">
        <v>20695.210938</v>
      </c>
      <c r="F3749" s="8">
        <f t="shared" si="116"/>
        <v>22.818360000001121</v>
      </c>
      <c r="G3749" s="8">
        <f t="shared" si="117"/>
        <v>2.281836000000112E-2</v>
      </c>
    </row>
    <row r="3750" spans="1:7" x14ac:dyDescent="0.25">
      <c r="A3750" s="8">
        <v>49</v>
      </c>
      <c r="B3750" s="8">
        <v>1</v>
      </c>
      <c r="C3750" s="8">
        <v>570.42620799999997</v>
      </c>
      <c r="D3750" s="8">
        <v>22281.978515999999</v>
      </c>
      <c r="E3750" s="8">
        <v>22289.408202999999</v>
      </c>
      <c r="F3750" s="8">
        <f t="shared" si="116"/>
        <v>7.4296869999998307</v>
      </c>
      <c r="G3750" s="8">
        <f t="shared" si="117"/>
        <v>7.4296869999998308E-3</v>
      </c>
    </row>
    <row r="3751" spans="1:7" x14ac:dyDescent="0.25">
      <c r="A3751" s="8">
        <v>49</v>
      </c>
      <c r="B3751" s="8">
        <v>2</v>
      </c>
      <c r="C3751" s="8">
        <v>3714.8798830000001</v>
      </c>
      <c r="D3751" s="8">
        <v>22859.927734000001</v>
      </c>
      <c r="E3751" s="8">
        <v>22874.328125</v>
      </c>
      <c r="F3751" s="8">
        <f t="shared" si="116"/>
        <v>14.400390999999217</v>
      </c>
      <c r="G3751" s="8">
        <f t="shared" si="117"/>
        <v>1.4400390999999218E-2</v>
      </c>
    </row>
    <row r="3752" spans="1:7" x14ac:dyDescent="0.25">
      <c r="A3752" s="8">
        <v>49</v>
      </c>
      <c r="B3752" s="8">
        <v>3</v>
      </c>
      <c r="C3752" s="8">
        <v>471.130157</v>
      </c>
      <c r="D3752" s="8">
        <v>26602.482422000001</v>
      </c>
      <c r="E3752" s="8">
        <v>26651.869140999999</v>
      </c>
      <c r="F3752" s="8">
        <f t="shared" si="116"/>
        <v>49.386718999998266</v>
      </c>
      <c r="G3752" s="8">
        <f t="shared" si="117"/>
        <v>4.9386718999998268E-2</v>
      </c>
    </row>
    <row r="3753" spans="1:7" x14ac:dyDescent="0.25">
      <c r="A3753" s="8">
        <v>49</v>
      </c>
      <c r="B3753" s="8">
        <v>4</v>
      </c>
      <c r="C3753" s="8">
        <v>784.79473900000005</v>
      </c>
      <c r="D3753" s="8">
        <v>27133.810547000001</v>
      </c>
      <c r="E3753" s="8">
        <v>27144.181640999999</v>
      </c>
      <c r="F3753" s="8">
        <f t="shared" si="116"/>
        <v>10.371093999998266</v>
      </c>
      <c r="G3753" s="8">
        <f t="shared" si="117"/>
        <v>1.0371093999998266E-2</v>
      </c>
    </row>
    <row r="3754" spans="1:7" x14ac:dyDescent="0.25">
      <c r="A3754" s="8">
        <v>49</v>
      </c>
      <c r="B3754" s="8">
        <v>5</v>
      </c>
      <c r="C3754" s="8">
        <v>3494.7561040000001</v>
      </c>
      <c r="D3754" s="8">
        <v>27931.582031000002</v>
      </c>
      <c r="E3754" s="8">
        <v>27947.759765999999</v>
      </c>
      <c r="F3754" s="8">
        <f t="shared" si="116"/>
        <v>16.177734999997483</v>
      </c>
      <c r="G3754" s="8">
        <f t="shared" si="117"/>
        <v>1.6177734999997483E-2</v>
      </c>
    </row>
    <row r="3755" spans="1:7" x14ac:dyDescent="0.25">
      <c r="A3755" s="8">
        <v>49</v>
      </c>
      <c r="B3755" s="8">
        <v>6</v>
      </c>
      <c r="C3755" s="8">
        <v>3637.7778320000002</v>
      </c>
      <c r="D3755" s="8">
        <v>31456.591797000001</v>
      </c>
      <c r="E3755" s="8">
        <v>31477.804688</v>
      </c>
      <c r="F3755" s="8">
        <f t="shared" si="116"/>
        <v>21.212890999999217</v>
      </c>
      <c r="G3755" s="8">
        <f t="shared" si="117"/>
        <v>2.1212890999999217E-2</v>
      </c>
    </row>
    <row r="3756" spans="1:7" x14ac:dyDescent="0.25">
      <c r="A3756" s="8">
        <v>49</v>
      </c>
      <c r="B3756" s="8">
        <v>7</v>
      </c>
      <c r="C3756" s="8">
        <v>1837.898682</v>
      </c>
      <c r="D3756" s="8">
        <v>35123.816405999998</v>
      </c>
      <c r="E3756" s="8">
        <v>35139.902344000002</v>
      </c>
      <c r="F3756" s="8">
        <f t="shared" si="116"/>
        <v>16.085938000003807</v>
      </c>
      <c r="G3756" s="8">
        <f t="shared" si="117"/>
        <v>1.6085938000003807E-2</v>
      </c>
    </row>
    <row r="3757" spans="1:7" x14ac:dyDescent="0.25">
      <c r="A3757" s="8">
        <v>49</v>
      </c>
      <c r="B3757" s="8">
        <v>8</v>
      </c>
      <c r="C3757" s="8">
        <v>938.09167500000001</v>
      </c>
      <c r="D3757" s="8">
        <v>36987.839844000002</v>
      </c>
      <c r="E3757" s="8">
        <v>37010.035155999998</v>
      </c>
      <c r="F3757" s="8">
        <f t="shared" si="116"/>
        <v>22.195311999996193</v>
      </c>
      <c r="G3757" s="8">
        <f t="shared" si="117"/>
        <v>2.2195311999996192E-2</v>
      </c>
    </row>
    <row r="3758" spans="1:7" x14ac:dyDescent="0.25">
      <c r="A3758" s="8">
        <v>49</v>
      </c>
      <c r="B3758" s="8">
        <v>9</v>
      </c>
      <c r="C3758" s="8">
        <v>7893.4135740000002</v>
      </c>
      <c r="D3758" s="8">
        <v>37948.761719000002</v>
      </c>
      <c r="E3758" s="8">
        <v>37962.960937999997</v>
      </c>
      <c r="F3758" s="8">
        <f t="shared" si="116"/>
        <v>14.199218999994628</v>
      </c>
      <c r="G3758" s="8">
        <f t="shared" si="117"/>
        <v>1.4199218999994628E-2</v>
      </c>
    </row>
    <row r="3759" spans="1:7" x14ac:dyDescent="0.25">
      <c r="A3759" s="8">
        <v>49</v>
      </c>
      <c r="B3759" s="8">
        <v>10</v>
      </c>
      <c r="C3759" s="8">
        <v>1535.463745</v>
      </c>
      <c r="D3759" s="8">
        <v>45866.398437999997</v>
      </c>
      <c r="E3759" s="8">
        <v>45883.019530999998</v>
      </c>
      <c r="F3759" s="8">
        <f t="shared" si="116"/>
        <v>16.621093000001565</v>
      </c>
      <c r="G3759" s="8">
        <f t="shared" si="117"/>
        <v>1.6621093000001565E-2</v>
      </c>
    </row>
    <row r="3760" spans="1:7" x14ac:dyDescent="0.25">
      <c r="A3760" s="8">
        <v>49</v>
      </c>
      <c r="B3760" s="8">
        <v>11</v>
      </c>
      <c r="C3760" s="8">
        <v>3116.6708979999999</v>
      </c>
      <c r="D3760" s="8">
        <v>47422.929687999997</v>
      </c>
      <c r="E3760" s="8">
        <v>47442.179687999997</v>
      </c>
      <c r="F3760" s="8">
        <f t="shared" si="116"/>
        <v>19.25</v>
      </c>
      <c r="G3760" s="8">
        <f t="shared" si="117"/>
        <v>1.925E-2</v>
      </c>
    </row>
    <row r="3761" spans="1:7" x14ac:dyDescent="0.25">
      <c r="A3761" s="8">
        <v>49</v>
      </c>
      <c r="B3761" s="8">
        <v>12</v>
      </c>
      <c r="C3761" s="8">
        <v>2078.2133789999998</v>
      </c>
      <c r="D3761" s="8">
        <v>50565.363280999998</v>
      </c>
      <c r="E3761" s="8">
        <v>50572.6875</v>
      </c>
      <c r="F3761" s="8">
        <f t="shared" si="116"/>
        <v>7.3242190000019036</v>
      </c>
      <c r="G3761" s="8">
        <f t="shared" si="117"/>
        <v>7.3242190000019037E-3</v>
      </c>
    </row>
    <row r="3762" spans="1:7" x14ac:dyDescent="0.25">
      <c r="A3762" s="8">
        <v>49</v>
      </c>
      <c r="B3762" s="8">
        <v>13</v>
      </c>
      <c r="C3762" s="8">
        <v>1818.561768</v>
      </c>
      <c r="D3762" s="8">
        <v>52654.617187999997</v>
      </c>
      <c r="E3762" s="8">
        <v>52663.378905999998</v>
      </c>
      <c r="F3762" s="8">
        <f t="shared" si="116"/>
        <v>8.7617180000015651</v>
      </c>
      <c r="G3762" s="8">
        <f t="shared" si="117"/>
        <v>8.7617180000015647E-3</v>
      </c>
    </row>
    <row r="3763" spans="1:7" x14ac:dyDescent="0.25">
      <c r="A3763" s="8">
        <v>49</v>
      </c>
      <c r="B3763" s="8">
        <v>14</v>
      </c>
      <c r="C3763" s="8">
        <v>1643.9708250000001</v>
      </c>
      <c r="D3763" s="8">
        <v>54487.859375</v>
      </c>
      <c r="E3763" s="8">
        <v>54501.996094000002</v>
      </c>
      <c r="F3763" s="8">
        <f t="shared" si="116"/>
        <v>14.136719000001904</v>
      </c>
      <c r="G3763" s="8">
        <f t="shared" si="117"/>
        <v>1.4136719000001904E-2</v>
      </c>
    </row>
    <row r="3764" spans="1:7" x14ac:dyDescent="0.25">
      <c r="A3764" s="8">
        <v>49</v>
      </c>
      <c r="B3764" s="8">
        <v>15</v>
      </c>
      <c r="C3764" s="8">
        <v>1754.2973629999999</v>
      </c>
      <c r="D3764" s="8">
        <v>56159.914062999997</v>
      </c>
      <c r="E3764" s="8">
        <v>56182.6875</v>
      </c>
      <c r="F3764" s="8">
        <f t="shared" si="116"/>
        <v>22.773437000003469</v>
      </c>
      <c r="G3764" s="8">
        <f t="shared" si="117"/>
        <v>2.277343700000347E-2</v>
      </c>
    </row>
    <row r="3765" spans="1:7" x14ac:dyDescent="0.25">
      <c r="A3765" s="8">
        <v>49</v>
      </c>
      <c r="B3765" s="8">
        <v>16</v>
      </c>
      <c r="C3765" s="8">
        <v>415.66845699999999</v>
      </c>
      <c r="D3765" s="8">
        <v>57945.292969000002</v>
      </c>
      <c r="E3765" s="8">
        <v>57963.261719000002</v>
      </c>
      <c r="F3765" s="8">
        <f t="shared" si="116"/>
        <v>17.96875</v>
      </c>
      <c r="G3765" s="8">
        <f t="shared" si="117"/>
        <v>1.7968749999999999E-2</v>
      </c>
    </row>
    <row r="3766" spans="1:7" x14ac:dyDescent="0.25">
      <c r="A3766" s="8">
        <v>49</v>
      </c>
      <c r="B3766" s="8">
        <v>17</v>
      </c>
      <c r="C3766" s="8">
        <v>1882.7680660000001</v>
      </c>
      <c r="D3766" s="8">
        <v>58384.664062999997</v>
      </c>
      <c r="E3766" s="8">
        <v>58392.28125</v>
      </c>
      <c r="F3766" s="8">
        <f t="shared" si="116"/>
        <v>7.6171870000034687</v>
      </c>
      <c r="G3766" s="8">
        <f t="shared" si="117"/>
        <v>7.6171870000034687E-3</v>
      </c>
    </row>
    <row r="3767" spans="1:7" x14ac:dyDescent="0.25">
      <c r="A3767" s="8">
        <v>49</v>
      </c>
      <c r="B3767" s="8">
        <v>18</v>
      </c>
      <c r="C3767" s="8">
        <v>938.38433799999996</v>
      </c>
      <c r="D3767" s="8">
        <v>60278.652344000002</v>
      </c>
      <c r="E3767" s="8">
        <v>60286.085937999997</v>
      </c>
      <c r="F3767" s="8">
        <f t="shared" si="116"/>
        <v>7.4335939999946277</v>
      </c>
      <c r="G3767" s="8">
        <f t="shared" si="117"/>
        <v>7.4335939999946275E-3</v>
      </c>
    </row>
    <row r="3768" spans="1:7" x14ac:dyDescent="0.25">
      <c r="A3768" s="8">
        <v>49</v>
      </c>
      <c r="B3768" s="8">
        <v>19</v>
      </c>
      <c r="C3768" s="8">
        <v>696.15063499999997</v>
      </c>
      <c r="D3768" s="8">
        <v>61231.945312999997</v>
      </c>
      <c r="E3768" s="8">
        <v>61243.28125</v>
      </c>
      <c r="F3768" s="8">
        <f t="shared" si="116"/>
        <v>11.335937000003469</v>
      </c>
      <c r="G3768" s="8">
        <f t="shared" si="117"/>
        <v>1.1335937000003469E-2</v>
      </c>
    </row>
    <row r="3769" spans="1:7" x14ac:dyDescent="0.25">
      <c r="A3769" s="8">
        <v>49</v>
      </c>
      <c r="B3769" s="8">
        <v>20</v>
      </c>
      <c r="C3769" s="8">
        <v>1286.8168949999999</v>
      </c>
      <c r="D3769" s="8">
        <v>61950.828125</v>
      </c>
      <c r="E3769" s="8">
        <v>61974.207030999998</v>
      </c>
      <c r="F3769" s="8">
        <f t="shared" si="116"/>
        <v>23.378905999998096</v>
      </c>
      <c r="G3769" s="8">
        <f t="shared" si="117"/>
        <v>2.3378905999998097E-2</v>
      </c>
    </row>
    <row r="3770" spans="1:7" x14ac:dyDescent="0.25">
      <c r="A3770" s="8">
        <v>49</v>
      </c>
      <c r="B3770" s="8">
        <v>21</v>
      </c>
      <c r="C3770" s="8">
        <v>4245.6401370000003</v>
      </c>
      <c r="D3770" s="8">
        <v>63266.761719000002</v>
      </c>
      <c r="E3770" s="8">
        <v>63277.84375</v>
      </c>
      <c r="F3770" s="8">
        <f t="shared" si="116"/>
        <v>11.082030999998096</v>
      </c>
      <c r="G3770" s="8">
        <f t="shared" si="117"/>
        <v>1.1082030999998096E-2</v>
      </c>
    </row>
    <row r="3771" spans="1:7" x14ac:dyDescent="0.25">
      <c r="A3771" s="8">
        <v>49</v>
      </c>
      <c r="B3771" s="8">
        <v>22</v>
      </c>
      <c r="C3771" s="8">
        <v>57.083008</v>
      </c>
      <c r="D3771" s="8">
        <v>67529.625</v>
      </c>
      <c r="E3771" s="8">
        <v>67540.03125</v>
      </c>
      <c r="F3771" s="8">
        <f t="shared" si="116"/>
        <v>10.40625</v>
      </c>
      <c r="G3771" s="8">
        <f t="shared" si="117"/>
        <v>1.0406250000000001E-2</v>
      </c>
    </row>
    <row r="3772" spans="1:7" x14ac:dyDescent="0.25">
      <c r="A3772" s="8">
        <v>49</v>
      </c>
      <c r="B3772" s="8">
        <v>23</v>
      </c>
      <c r="C3772" s="8">
        <v>912.402466</v>
      </c>
      <c r="D3772" s="8">
        <v>67607.773438000004</v>
      </c>
      <c r="E3772" s="8">
        <v>67628.203125</v>
      </c>
      <c r="F3772" s="8">
        <f t="shared" si="116"/>
        <v>20.429686999996193</v>
      </c>
      <c r="G3772" s="8">
        <f t="shared" si="117"/>
        <v>2.0429686999996192E-2</v>
      </c>
    </row>
    <row r="3773" spans="1:7" x14ac:dyDescent="0.25">
      <c r="A3773" s="8">
        <v>49</v>
      </c>
      <c r="B3773" s="8">
        <v>24</v>
      </c>
      <c r="C3773" s="8">
        <v>4147.1372069999998</v>
      </c>
      <c r="D3773" s="8">
        <v>68545.367188000004</v>
      </c>
      <c r="E3773" s="8">
        <v>68561.195313000004</v>
      </c>
      <c r="F3773" s="8">
        <f t="shared" si="116"/>
        <v>15.828125</v>
      </c>
      <c r="G3773" s="8">
        <f t="shared" si="117"/>
        <v>1.5828124999999998E-2</v>
      </c>
    </row>
    <row r="3774" spans="1:7" x14ac:dyDescent="0.25">
      <c r="A3774" s="8">
        <v>49</v>
      </c>
      <c r="B3774" s="8">
        <v>25</v>
      </c>
      <c r="C3774" s="8">
        <v>2280.4792480000001</v>
      </c>
      <c r="D3774" s="8">
        <v>72716.75</v>
      </c>
      <c r="E3774" s="8">
        <v>72744.46875</v>
      </c>
      <c r="F3774" s="8">
        <f t="shared" si="116"/>
        <v>27.71875</v>
      </c>
      <c r="G3774" s="8">
        <f t="shared" si="117"/>
        <v>2.771875E-2</v>
      </c>
    </row>
    <row r="3775" spans="1:7" x14ac:dyDescent="0.25">
      <c r="A3775" s="8">
        <v>49</v>
      </c>
      <c r="B3775" s="8">
        <v>26</v>
      </c>
      <c r="C3775" s="8">
        <v>171.32229599999999</v>
      </c>
      <c r="D3775" s="8">
        <v>75025.085938000004</v>
      </c>
      <c r="E3775" s="8">
        <v>75048.84375</v>
      </c>
      <c r="F3775" s="8">
        <f t="shared" si="116"/>
        <v>23.757811999996193</v>
      </c>
      <c r="G3775" s="8">
        <f t="shared" si="117"/>
        <v>2.3757811999996194E-2</v>
      </c>
    </row>
    <row r="3776" spans="1:7" x14ac:dyDescent="0.25">
      <c r="A3776" s="8">
        <v>49</v>
      </c>
      <c r="B3776" s="8">
        <v>27</v>
      </c>
      <c r="C3776" s="8">
        <v>1345.154297</v>
      </c>
      <c r="D3776" s="8">
        <v>75221.460938000004</v>
      </c>
      <c r="E3776" s="8">
        <v>75232.226563000004</v>
      </c>
      <c r="F3776" s="8">
        <f t="shared" si="116"/>
        <v>10.765625</v>
      </c>
      <c r="G3776" s="8">
        <f t="shared" si="117"/>
        <v>1.0765624999999999E-2</v>
      </c>
    </row>
    <row r="3777" spans="1:7" x14ac:dyDescent="0.25">
      <c r="A3777" s="8">
        <v>49</v>
      </c>
      <c r="B3777" s="8">
        <v>28</v>
      </c>
      <c r="C3777" s="8">
        <v>2472.6845699999999</v>
      </c>
      <c r="D3777" s="8">
        <v>76585.15625</v>
      </c>
      <c r="E3777" s="8">
        <v>76601.578125</v>
      </c>
      <c r="F3777" s="8">
        <f t="shared" si="116"/>
        <v>16.421875</v>
      </c>
      <c r="G3777" s="8">
        <f t="shared" si="117"/>
        <v>1.6421874999999999E-2</v>
      </c>
    </row>
    <row r="3778" spans="1:7" x14ac:dyDescent="0.25">
      <c r="A3778" s="8">
        <v>49</v>
      </c>
      <c r="B3778" s="8">
        <v>29</v>
      </c>
      <c r="C3778" s="8">
        <v>946.79388400000005</v>
      </c>
      <c r="D3778" s="8">
        <v>79076.039063000004</v>
      </c>
      <c r="E3778" s="8">
        <v>79092.539063000004</v>
      </c>
      <c r="F3778" s="8">
        <f t="shared" si="116"/>
        <v>16.5</v>
      </c>
      <c r="G3778" s="8">
        <f t="shared" si="117"/>
        <v>1.6500000000000001E-2</v>
      </c>
    </row>
    <row r="3779" spans="1:7" x14ac:dyDescent="0.25">
      <c r="A3779" s="8">
        <v>49</v>
      </c>
      <c r="B3779" s="8">
        <v>30</v>
      </c>
      <c r="C3779" s="8">
        <v>5258.9799800000001</v>
      </c>
      <c r="D3779" s="8">
        <v>80051.09375</v>
      </c>
      <c r="E3779" s="8">
        <v>80069.0625</v>
      </c>
      <c r="F3779" s="8">
        <f t="shared" si="116"/>
        <v>17.96875</v>
      </c>
      <c r="G3779" s="8">
        <f t="shared" si="117"/>
        <v>1.7968749999999999E-2</v>
      </c>
    </row>
    <row r="3780" spans="1:7" x14ac:dyDescent="0.25">
      <c r="A3780" s="8">
        <v>49</v>
      </c>
      <c r="B3780" s="8">
        <v>31</v>
      </c>
      <c r="C3780" s="8">
        <v>1419.590942</v>
      </c>
      <c r="D3780" s="8">
        <v>85329.3125</v>
      </c>
      <c r="E3780" s="8">
        <v>85354.1875</v>
      </c>
      <c r="F3780" s="8">
        <f t="shared" si="116"/>
        <v>24.875</v>
      </c>
      <c r="G3780" s="8">
        <f t="shared" si="117"/>
        <v>2.4875000000000001E-2</v>
      </c>
    </row>
    <row r="3781" spans="1:7" x14ac:dyDescent="0.25">
      <c r="A3781" s="8">
        <v>49</v>
      </c>
      <c r="B3781" s="8">
        <v>32</v>
      </c>
      <c r="C3781" s="8">
        <v>4415.310547</v>
      </c>
      <c r="D3781" s="8">
        <v>86783.984375</v>
      </c>
      <c r="E3781" s="8">
        <v>86807.5</v>
      </c>
      <c r="F3781" s="8">
        <f t="shared" si="116"/>
        <v>23.515625</v>
      </c>
      <c r="G3781" s="8">
        <f t="shared" si="117"/>
        <v>2.3515624999999998E-2</v>
      </c>
    </row>
    <row r="3782" spans="1:7" x14ac:dyDescent="0.25">
      <c r="A3782" s="8">
        <v>49</v>
      </c>
      <c r="B3782" s="8">
        <v>33</v>
      </c>
      <c r="C3782" s="8">
        <v>1067.565552</v>
      </c>
      <c r="D3782" s="8">
        <v>91229.929688000004</v>
      </c>
      <c r="E3782" s="8">
        <v>91252.90625</v>
      </c>
      <c r="F3782" s="8">
        <f t="shared" si="116"/>
        <v>22.976561999996193</v>
      </c>
      <c r="G3782" s="8">
        <f t="shared" si="117"/>
        <v>2.2976561999996193E-2</v>
      </c>
    </row>
    <row r="3783" spans="1:7" x14ac:dyDescent="0.25">
      <c r="A3783" s="8">
        <v>49</v>
      </c>
      <c r="B3783" s="8">
        <v>34</v>
      </c>
      <c r="C3783" s="8">
        <v>505.33371</v>
      </c>
      <c r="D3783" s="8">
        <v>92323.757813000004</v>
      </c>
      <c r="E3783" s="8">
        <v>92338.625</v>
      </c>
      <c r="F3783" s="8">
        <f t="shared" si="116"/>
        <v>14.867186999996193</v>
      </c>
      <c r="G3783" s="8">
        <f t="shared" si="117"/>
        <v>1.4867186999996193E-2</v>
      </c>
    </row>
    <row r="3784" spans="1:7" x14ac:dyDescent="0.25">
      <c r="A3784" s="8">
        <v>49</v>
      </c>
      <c r="B3784" s="8">
        <v>35</v>
      </c>
      <c r="C3784" s="8">
        <v>9503.4609380000002</v>
      </c>
      <c r="D3784" s="8">
        <v>92857.09375</v>
      </c>
      <c r="E3784" s="8">
        <v>92870.304688000004</v>
      </c>
      <c r="F3784" s="8">
        <f t="shared" si="116"/>
        <v>13.210938000003807</v>
      </c>
      <c r="G3784" s="8">
        <f t="shared" si="117"/>
        <v>1.3210938000003808E-2</v>
      </c>
    </row>
    <row r="3785" spans="1:7" x14ac:dyDescent="0.25">
      <c r="A3785" s="8">
        <v>49</v>
      </c>
      <c r="B3785" s="8">
        <v>36</v>
      </c>
      <c r="C3785" s="8">
        <v>1739.5317379999999</v>
      </c>
      <c r="D3785" s="8">
        <v>102375.429688</v>
      </c>
      <c r="E3785" s="8">
        <v>102394.390625</v>
      </c>
      <c r="F3785" s="8">
        <f t="shared" si="116"/>
        <v>18.960936999996193</v>
      </c>
      <c r="G3785" s="8">
        <f t="shared" si="117"/>
        <v>1.8960936999996191E-2</v>
      </c>
    </row>
    <row r="3786" spans="1:7" x14ac:dyDescent="0.25">
      <c r="A3786" s="8">
        <v>49</v>
      </c>
      <c r="B3786" s="8">
        <v>37</v>
      </c>
      <c r="C3786" s="8">
        <v>387.76272599999999</v>
      </c>
      <c r="D3786" s="8">
        <v>104143.929688</v>
      </c>
      <c r="E3786" s="8">
        <v>104203.4375</v>
      </c>
      <c r="F3786" s="8">
        <f t="shared" si="116"/>
        <v>59.507811999996193</v>
      </c>
      <c r="G3786" s="8">
        <f t="shared" si="117"/>
        <v>5.9507811999996191E-2</v>
      </c>
    </row>
    <row r="3787" spans="1:7" x14ac:dyDescent="0.25">
      <c r="A3787" s="8">
        <v>49</v>
      </c>
      <c r="B3787" s="8">
        <v>38</v>
      </c>
      <c r="C3787" s="8">
        <v>2168.0190429999998</v>
      </c>
      <c r="D3787" s="8">
        <v>104597.046875</v>
      </c>
      <c r="E3787" s="8">
        <v>104604.5</v>
      </c>
      <c r="F3787" s="8">
        <f t="shared" ref="F3787:F3850" si="118">E3787-D3787</f>
        <v>7.453125</v>
      </c>
      <c r="G3787" s="8">
        <f t="shared" ref="G3787:G3850" si="119">F3787/1000</f>
        <v>7.4531249999999997E-3</v>
      </c>
    </row>
    <row r="3788" spans="1:7" x14ac:dyDescent="0.25">
      <c r="A3788" s="8">
        <v>49</v>
      </c>
      <c r="B3788" s="8">
        <v>39</v>
      </c>
      <c r="C3788" s="8">
        <v>3213.2075199999999</v>
      </c>
      <c r="D3788" s="8">
        <v>106781.648438</v>
      </c>
      <c r="E3788" s="8">
        <v>106791.867188</v>
      </c>
      <c r="F3788" s="8">
        <f t="shared" si="118"/>
        <v>10.21875</v>
      </c>
      <c r="G3788" s="8">
        <f t="shared" si="119"/>
        <v>1.021875E-2</v>
      </c>
    </row>
    <row r="3789" spans="1:7" x14ac:dyDescent="0.25">
      <c r="A3789" s="8">
        <v>49</v>
      </c>
      <c r="B3789" s="8">
        <v>40</v>
      </c>
      <c r="C3789" s="8">
        <v>4206.2548829999996</v>
      </c>
      <c r="D3789" s="8">
        <v>110017.710938</v>
      </c>
      <c r="E3789" s="8">
        <v>110039.453125</v>
      </c>
      <c r="F3789" s="8">
        <f t="shared" si="118"/>
        <v>21.742186999996193</v>
      </c>
      <c r="G3789" s="8">
        <f t="shared" si="119"/>
        <v>2.1742186999996194E-2</v>
      </c>
    </row>
    <row r="3790" spans="1:7" x14ac:dyDescent="0.25">
      <c r="A3790" s="8">
        <v>49</v>
      </c>
      <c r="B3790" s="8">
        <v>41</v>
      </c>
      <c r="C3790" s="8">
        <v>3746.4140630000002</v>
      </c>
      <c r="D3790" s="8">
        <v>114253.234375</v>
      </c>
      <c r="E3790" s="8">
        <v>114272.476563</v>
      </c>
      <c r="F3790" s="8">
        <f t="shared" si="118"/>
        <v>19.242188000003807</v>
      </c>
      <c r="G3790" s="8">
        <f t="shared" si="119"/>
        <v>1.9242188000003806E-2</v>
      </c>
    </row>
    <row r="3791" spans="1:7" x14ac:dyDescent="0.25">
      <c r="A3791" s="8">
        <v>49</v>
      </c>
      <c r="B3791" s="8">
        <v>42</v>
      </c>
      <c r="C3791" s="8">
        <v>3165.9904790000001</v>
      </c>
      <c r="D3791" s="8">
        <v>118025.640625</v>
      </c>
      <c r="E3791" s="8">
        <v>118038.929688</v>
      </c>
      <c r="F3791" s="8">
        <f t="shared" si="118"/>
        <v>13.289063000003807</v>
      </c>
      <c r="G3791" s="8">
        <f t="shared" si="119"/>
        <v>1.3289063000003808E-2</v>
      </c>
    </row>
    <row r="3792" spans="1:7" x14ac:dyDescent="0.25">
      <c r="A3792" s="8">
        <v>49</v>
      </c>
      <c r="B3792" s="8">
        <v>43</v>
      </c>
      <c r="C3792" s="8">
        <v>1358.5931399999999</v>
      </c>
      <c r="D3792" s="8">
        <v>121205.070313</v>
      </c>
      <c r="E3792" s="8">
        <v>121231.023438</v>
      </c>
      <c r="F3792" s="8">
        <f t="shared" si="118"/>
        <v>25.953125</v>
      </c>
      <c r="G3792" s="8">
        <f t="shared" si="119"/>
        <v>2.5953125E-2</v>
      </c>
    </row>
    <row r="3793" spans="1:7" x14ac:dyDescent="0.25">
      <c r="A3793" s="8">
        <v>49</v>
      </c>
      <c r="B3793" s="8">
        <v>44</v>
      </c>
      <c r="C3793" s="8">
        <v>6260.6997069999998</v>
      </c>
      <c r="D3793" s="8">
        <v>122595.90625</v>
      </c>
      <c r="E3793" s="8">
        <v>122603.359375</v>
      </c>
      <c r="F3793" s="8">
        <f t="shared" si="118"/>
        <v>7.453125</v>
      </c>
      <c r="G3793" s="8">
        <f t="shared" si="119"/>
        <v>7.4531249999999997E-3</v>
      </c>
    </row>
    <row r="3794" spans="1:7" x14ac:dyDescent="0.25">
      <c r="A3794" s="8">
        <v>49</v>
      </c>
      <c r="B3794" s="8">
        <v>45</v>
      </c>
      <c r="C3794" s="8">
        <v>3510.5832519999999</v>
      </c>
      <c r="D3794" s="8">
        <v>128863.617188</v>
      </c>
      <c r="E3794" s="8">
        <v>128876.898438</v>
      </c>
      <c r="F3794" s="8">
        <f t="shared" si="118"/>
        <v>13.28125</v>
      </c>
      <c r="G3794" s="8">
        <f t="shared" si="119"/>
        <v>1.328125E-2</v>
      </c>
    </row>
    <row r="3795" spans="1:7" x14ac:dyDescent="0.25">
      <c r="A3795" s="8">
        <v>49</v>
      </c>
      <c r="B3795" s="8">
        <v>46</v>
      </c>
      <c r="C3795" s="8">
        <v>265.95575000000002</v>
      </c>
      <c r="D3795" s="8">
        <v>132389.5625</v>
      </c>
      <c r="E3795" s="8">
        <v>132405.75</v>
      </c>
      <c r="F3795" s="8">
        <f t="shared" si="118"/>
        <v>16.1875</v>
      </c>
      <c r="G3795" s="8">
        <f t="shared" si="119"/>
        <v>1.61875E-2</v>
      </c>
    </row>
    <row r="3796" spans="1:7" x14ac:dyDescent="0.25">
      <c r="A3796" s="8">
        <v>49</v>
      </c>
      <c r="B3796" s="8">
        <v>47</v>
      </c>
      <c r="C3796" s="8">
        <v>5228.7397460000002</v>
      </c>
      <c r="D3796" s="8">
        <v>132686.46875</v>
      </c>
      <c r="E3796" s="8">
        <v>132709.296875</v>
      </c>
      <c r="F3796" s="8">
        <f t="shared" si="118"/>
        <v>22.828125</v>
      </c>
      <c r="G3796" s="8">
        <f t="shared" si="119"/>
        <v>2.2828125000000001E-2</v>
      </c>
    </row>
    <row r="3797" spans="1:7" x14ac:dyDescent="0.25">
      <c r="A3797" s="8">
        <v>49</v>
      </c>
      <c r="B3797" s="8">
        <v>48</v>
      </c>
      <c r="C3797" s="8">
        <v>2179.6015630000002</v>
      </c>
      <c r="D3797" s="8">
        <v>137953.078125</v>
      </c>
      <c r="E3797" s="8">
        <v>137973.84375</v>
      </c>
      <c r="F3797" s="8">
        <f t="shared" si="118"/>
        <v>20.765625</v>
      </c>
      <c r="G3797" s="8">
        <f t="shared" si="119"/>
        <v>2.0765624999999999E-2</v>
      </c>
    </row>
    <row r="3798" spans="1:7" x14ac:dyDescent="0.25">
      <c r="A3798" s="8">
        <v>49</v>
      </c>
      <c r="B3798" s="8">
        <v>49</v>
      </c>
      <c r="C3798" s="8">
        <v>3674.998779</v>
      </c>
      <c r="D3798" s="8">
        <v>140162.859375</v>
      </c>
      <c r="E3798" s="8">
        <v>140176.984375</v>
      </c>
      <c r="F3798" s="8">
        <f t="shared" si="118"/>
        <v>14.125</v>
      </c>
      <c r="G3798" s="8">
        <f t="shared" si="119"/>
        <v>1.4125E-2</v>
      </c>
    </row>
    <row r="3799" spans="1:7" x14ac:dyDescent="0.25">
      <c r="A3799" s="8">
        <v>49</v>
      </c>
      <c r="B3799" s="8">
        <v>50</v>
      </c>
      <c r="C3799" s="8">
        <v>420.25707999999997</v>
      </c>
      <c r="D3799" s="8">
        <v>143853.640625</v>
      </c>
      <c r="E3799" s="8">
        <v>143873.75</v>
      </c>
      <c r="F3799" s="8">
        <f t="shared" si="118"/>
        <v>20.109375</v>
      </c>
      <c r="G3799" s="8">
        <f t="shared" si="119"/>
        <v>2.0109374999999999E-2</v>
      </c>
    </row>
    <row r="3800" spans="1:7" x14ac:dyDescent="0.25">
      <c r="A3800" s="8">
        <v>49</v>
      </c>
      <c r="B3800" s="8">
        <v>51</v>
      </c>
      <c r="C3800" s="8">
        <v>4126.3720700000003</v>
      </c>
      <c r="D3800" s="8">
        <v>144306.875</v>
      </c>
      <c r="E3800" s="8">
        <v>144315.71875</v>
      </c>
      <c r="F3800" s="8">
        <f t="shared" si="118"/>
        <v>8.84375</v>
      </c>
      <c r="G3800" s="8">
        <f t="shared" si="119"/>
        <v>8.8437499999999992E-3</v>
      </c>
    </row>
    <row r="3801" spans="1:7" x14ac:dyDescent="0.25">
      <c r="A3801" s="8">
        <v>49</v>
      </c>
      <c r="B3801" s="8">
        <v>52</v>
      </c>
      <c r="C3801" s="8">
        <v>50.374302</v>
      </c>
      <c r="D3801" s="8">
        <v>148447.234375</v>
      </c>
      <c r="E3801" s="8">
        <v>148462.859375</v>
      </c>
      <c r="F3801" s="8">
        <f t="shared" si="118"/>
        <v>15.625</v>
      </c>
      <c r="G3801" s="8">
        <f t="shared" si="119"/>
        <v>1.5625E-2</v>
      </c>
    </row>
    <row r="3802" spans="1:7" x14ac:dyDescent="0.25">
      <c r="A3802" s="8">
        <v>49</v>
      </c>
      <c r="B3802" s="8">
        <v>53</v>
      </c>
      <c r="C3802" s="8">
        <v>682.62390100000005</v>
      </c>
      <c r="D3802" s="8">
        <v>148525.359375</v>
      </c>
      <c r="E3802" s="8">
        <v>148545.828125</v>
      </c>
      <c r="F3802" s="8">
        <f t="shared" si="118"/>
        <v>20.46875</v>
      </c>
      <c r="G3802" s="8">
        <f t="shared" si="119"/>
        <v>2.0468750000000001E-2</v>
      </c>
    </row>
    <row r="3803" spans="1:7" x14ac:dyDescent="0.25">
      <c r="A3803" s="8">
        <v>49</v>
      </c>
      <c r="B3803" s="8">
        <v>54</v>
      </c>
      <c r="C3803" s="8">
        <v>3873.1088869999999</v>
      </c>
      <c r="D3803" s="8">
        <v>149228.546875</v>
      </c>
      <c r="E3803" s="8">
        <v>149253.015625</v>
      </c>
      <c r="F3803" s="8">
        <f t="shared" si="118"/>
        <v>24.46875</v>
      </c>
      <c r="G3803" s="8">
        <f t="shared" si="119"/>
        <v>2.4468750000000001E-2</v>
      </c>
    </row>
    <row r="3804" spans="1:7" x14ac:dyDescent="0.25">
      <c r="A3804" s="8">
        <v>49</v>
      </c>
      <c r="B3804" s="8">
        <v>55</v>
      </c>
      <c r="C3804" s="8">
        <v>35.532131</v>
      </c>
      <c r="D3804" s="8">
        <v>153140.78125</v>
      </c>
      <c r="E3804" s="8">
        <v>153158.578125</v>
      </c>
      <c r="F3804" s="8">
        <f t="shared" si="118"/>
        <v>17.796875</v>
      </c>
      <c r="G3804" s="8">
        <f t="shared" si="119"/>
        <v>1.7796875E-2</v>
      </c>
    </row>
    <row r="3805" spans="1:7" x14ac:dyDescent="0.25">
      <c r="A3805" s="8">
        <v>49</v>
      </c>
      <c r="B3805" s="8">
        <v>56</v>
      </c>
      <c r="C3805" s="8">
        <v>1974.1694339999999</v>
      </c>
      <c r="D3805" s="8">
        <v>153203.3125</v>
      </c>
      <c r="E3805" s="8">
        <v>153215.453125</v>
      </c>
      <c r="F3805" s="8">
        <f t="shared" si="118"/>
        <v>12.140625</v>
      </c>
      <c r="G3805" s="8">
        <f t="shared" si="119"/>
        <v>1.2140625E-2</v>
      </c>
    </row>
    <row r="3806" spans="1:7" x14ac:dyDescent="0.25">
      <c r="A3806" s="8">
        <v>49</v>
      </c>
      <c r="B3806" s="8">
        <v>57</v>
      </c>
      <c r="C3806" s="8">
        <v>7152.1391599999997</v>
      </c>
      <c r="D3806" s="8">
        <v>155203.453125</v>
      </c>
      <c r="E3806" s="8">
        <v>155220</v>
      </c>
      <c r="F3806" s="8">
        <f t="shared" si="118"/>
        <v>16.546875</v>
      </c>
      <c r="G3806" s="8">
        <f t="shared" si="119"/>
        <v>1.6546874999999999E-2</v>
      </c>
    </row>
    <row r="3807" spans="1:7" x14ac:dyDescent="0.25">
      <c r="A3807" s="8">
        <v>49</v>
      </c>
      <c r="B3807" s="8">
        <v>58</v>
      </c>
      <c r="C3807" s="8">
        <v>1545.0882570000001</v>
      </c>
      <c r="D3807" s="8">
        <v>162377.53125</v>
      </c>
      <c r="E3807" s="8">
        <v>162397.765625</v>
      </c>
      <c r="F3807" s="8">
        <f t="shared" si="118"/>
        <v>20.234375</v>
      </c>
      <c r="G3807" s="8">
        <f t="shared" si="119"/>
        <v>2.0234374999999999E-2</v>
      </c>
    </row>
    <row r="3808" spans="1:7" x14ac:dyDescent="0.25">
      <c r="A3808" s="8">
        <v>49</v>
      </c>
      <c r="B3808" s="8">
        <v>59</v>
      </c>
      <c r="C3808" s="8">
        <v>383.02621499999998</v>
      </c>
      <c r="D3808" s="8">
        <v>163955.96875</v>
      </c>
      <c r="E3808" s="8">
        <v>163972.421875</v>
      </c>
      <c r="F3808" s="8">
        <f t="shared" si="118"/>
        <v>16.453125</v>
      </c>
      <c r="G3808" s="8">
        <f t="shared" si="119"/>
        <v>1.6453124999999999E-2</v>
      </c>
    </row>
    <row r="3809" spans="1:7" x14ac:dyDescent="0.25">
      <c r="A3809" s="8">
        <v>49</v>
      </c>
      <c r="B3809" s="8">
        <v>60</v>
      </c>
      <c r="C3809" s="8">
        <v>881.15087900000003</v>
      </c>
      <c r="D3809" s="8">
        <v>164362.265625</v>
      </c>
      <c r="E3809" s="8">
        <v>164385.546875</v>
      </c>
      <c r="F3809" s="8">
        <f t="shared" si="118"/>
        <v>23.28125</v>
      </c>
      <c r="G3809" s="8">
        <f t="shared" si="119"/>
        <v>2.328125E-2</v>
      </c>
    </row>
    <row r="3810" spans="1:7" x14ac:dyDescent="0.25">
      <c r="A3810" s="8">
        <v>49</v>
      </c>
      <c r="B3810" s="8">
        <v>61</v>
      </c>
      <c r="C3810" s="8">
        <v>2822.211914</v>
      </c>
      <c r="D3810" s="8">
        <v>165280.375</v>
      </c>
      <c r="E3810" s="8">
        <v>165289.328125</v>
      </c>
      <c r="F3810" s="8">
        <f t="shared" si="118"/>
        <v>8.953125</v>
      </c>
      <c r="G3810" s="8">
        <f t="shared" si="119"/>
        <v>8.9531249999999993E-3</v>
      </c>
    </row>
    <row r="3811" spans="1:7" x14ac:dyDescent="0.25">
      <c r="A3811" s="8">
        <v>49</v>
      </c>
      <c r="B3811" s="8">
        <v>62</v>
      </c>
      <c r="C3811" s="8">
        <v>1675.7430420000001</v>
      </c>
      <c r="D3811" s="8">
        <v>168119.890625</v>
      </c>
      <c r="E3811" s="8">
        <v>168133.390625</v>
      </c>
      <c r="F3811" s="8">
        <f t="shared" si="118"/>
        <v>13.5</v>
      </c>
      <c r="G3811" s="8">
        <f t="shared" si="119"/>
        <v>1.35E-2</v>
      </c>
    </row>
    <row r="3812" spans="1:7" x14ac:dyDescent="0.25">
      <c r="A3812" s="8">
        <v>49</v>
      </c>
      <c r="B3812" s="8">
        <v>63</v>
      </c>
      <c r="C3812" s="8">
        <v>118.367271</v>
      </c>
      <c r="D3812" s="8">
        <v>169814.15625</v>
      </c>
      <c r="E3812" s="8">
        <v>169834.359375</v>
      </c>
      <c r="F3812" s="8">
        <f t="shared" si="118"/>
        <v>20.203125</v>
      </c>
      <c r="G3812" s="8">
        <f t="shared" si="119"/>
        <v>2.0203124999999999E-2</v>
      </c>
    </row>
    <row r="3813" spans="1:7" x14ac:dyDescent="0.25">
      <c r="A3813" s="8">
        <v>49</v>
      </c>
      <c r="B3813" s="8">
        <v>64</v>
      </c>
      <c r="C3813" s="8">
        <v>1191.444702</v>
      </c>
      <c r="D3813" s="8">
        <v>169954.765625</v>
      </c>
      <c r="E3813" s="8">
        <v>169975.390625</v>
      </c>
      <c r="F3813" s="8">
        <f t="shared" si="118"/>
        <v>20.625</v>
      </c>
      <c r="G3813" s="8">
        <f t="shared" si="119"/>
        <v>2.0625000000000001E-2</v>
      </c>
    </row>
    <row r="3814" spans="1:7" x14ac:dyDescent="0.25">
      <c r="A3814" s="8">
        <v>50</v>
      </c>
      <c r="B3814" s="8">
        <v>0</v>
      </c>
      <c r="C3814" s="8">
        <v>486.79595899999998</v>
      </c>
      <c r="D3814" s="8">
        <v>26195.392577999999</v>
      </c>
      <c r="E3814" s="8">
        <v>26207.251952999999</v>
      </c>
      <c r="F3814" s="8">
        <f t="shared" si="118"/>
        <v>11.859375</v>
      </c>
      <c r="G3814" s="8">
        <f t="shared" si="119"/>
        <v>1.1859375E-2</v>
      </c>
    </row>
    <row r="3815" spans="1:7" x14ac:dyDescent="0.25">
      <c r="A3815" s="8">
        <v>50</v>
      </c>
      <c r="B3815" s="8">
        <v>1</v>
      </c>
      <c r="C3815" s="8">
        <v>3028.460693</v>
      </c>
      <c r="D3815" s="8">
        <v>26696.261718999998</v>
      </c>
      <c r="E3815" s="8">
        <v>26716.5625</v>
      </c>
      <c r="F3815" s="8">
        <f t="shared" si="118"/>
        <v>20.300781000001734</v>
      </c>
      <c r="G3815" s="8">
        <f t="shared" si="119"/>
        <v>2.0300781000001735E-2</v>
      </c>
    </row>
    <row r="3816" spans="1:7" x14ac:dyDescent="0.25">
      <c r="A3816" s="8">
        <v>50</v>
      </c>
      <c r="B3816" s="8">
        <v>2</v>
      </c>
      <c r="C3816" s="8">
        <v>992.08471699999996</v>
      </c>
      <c r="D3816" s="8">
        <v>29746.537109000001</v>
      </c>
      <c r="E3816" s="8">
        <v>29762.212890999999</v>
      </c>
      <c r="F3816" s="8">
        <f t="shared" si="118"/>
        <v>15.675781999998435</v>
      </c>
      <c r="G3816" s="8">
        <f t="shared" si="119"/>
        <v>1.5675781999998434E-2</v>
      </c>
    </row>
    <row r="3817" spans="1:7" x14ac:dyDescent="0.25">
      <c r="A3817" s="8">
        <v>50</v>
      </c>
      <c r="B3817" s="8">
        <v>3</v>
      </c>
      <c r="C3817" s="8">
        <v>674.48327600000005</v>
      </c>
      <c r="D3817" s="8">
        <v>30766.802734000001</v>
      </c>
      <c r="E3817" s="8">
        <v>30784.792968999998</v>
      </c>
      <c r="F3817" s="8">
        <f t="shared" si="118"/>
        <v>17.990234999997483</v>
      </c>
      <c r="G3817" s="8">
        <f t="shared" si="119"/>
        <v>1.7990234999997481E-2</v>
      </c>
    </row>
    <row r="3818" spans="1:7" x14ac:dyDescent="0.25">
      <c r="A3818" s="8">
        <v>50</v>
      </c>
      <c r="B3818" s="8">
        <v>4</v>
      </c>
      <c r="C3818" s="8">
        <v>7.9505910000000002</v>
      </c>
      <c r="D3818" s="8">
        <v>31472.339843999998</v>
      </c>
      <c r="E3818" s="8">
        <v>31485.605468999998</v>
      </c>
      <c r="F3818" s="8">
        <f t="shared" si="118"/>
        <v>13.265625</v>
      </c>
      <c r="G3818" s="8">
        <f t="shared" si="119"/>
        <v>1.3265625E-2</v>
      </c>
    </row>
    <row r="3819" spans="1:7" x14ac:dyDescent="0.25">
      <c r="A3819" s="8">
        <v>50</v>
      </c>
      <c r="B3819" s="8">
        <v>5</v>
      </c>
      <c r="C3819" s="8">
        <v>942.38909899999999</v>
      </c>
      <c r="D3819" s="8">
        <v>31504.363281000002</v>
      </c>
      <c r="E3819" s="8">
        <v>31522.560547000001</v>
      </c>
      <c r="F3819" s="8">
        <f t="shared" si="118"/>
        <v>18.197265999999217</v>
      </c>
      <c r="G3819" s="8">
        <f t="shared" si="119"/>
        <v>1.8197265999999216E-2</v>
      </c>
    </row>
    <row r="3820" spans="1:7" x14ac:dyDescent="0.25">
      <c r="A3820" s="8">
        <v>50</v>
      </c>
      <c r="B3820" s="8">
        <v>6</v>
      </c>
      <c r="C3820" s="8">
        <v>7947.8603519999997</v>
      </c>
      <c r="D3820" s="8">
        <v>32473.21875</v>
      </c>
      <c r="E3820" s="8">
        <v>32488.880859000001</v>
      </c>
      <c r="F3820" s="8">
        <f t="shared" si="118"/>
        <v>15.662109000000783</v>
      </c>
      <c r="G3820" s="8">
        <f t="shared" si="119"/>
        <v>1.5662109000000781E-2</v>
      </c>
    </row>
    <row r="3821" spans="1:7" x14ac:dyDescent="0.25">
      <c r="A3821" s="8">
        <v>50</v>
      </c>
      <c r="B3821" s="8">
        <v>7</v>
      </c>
      <c r="C3821" s="8">
        <v>1916.2177730000001</v>
      </c>
      <c r="D3821" s="8">
        <v>40449.269530999998</v>
      </c>
      <c r="E3821" s="8">
        <v>40465.90625</v>
      </c>
      <c r="F3821" s="8">
        <f t="shared" si="118"/>
        <v>16.636719000001904</v>
      </c>
      <c r="G3821" s="8">
        <f t="shared" si="119"/>
        <v>1.6636719000001902E-2</v>
      </c>
    </row>
    <row r="3822" spans="1:7" x14ac:dyDescent="0.25">
      <c r="A3822" s="8">
        <v>50</v>
      </c>
      <c r="B3822" s="8">
        <v>8</v>
      </c>
      <c r="C3822" s="8">
        <v>30.443892000000002</v>
      </c>
      <c r="D3822" s="8">
        <v>42392.035155999998</v>
      </c>
      <c r="E3822" s="8">
        <v>42412.246094000002</v>
      </c>
      <c r="F3822" s="8">
        <f t="shared" si="118"/>
        <v>20.210938000003807</v>
      </c>
      <c r="G3822" s="8">
        <f t="shared" si="119"/>
        <v>2.0210938000003807E-2</v>
      </c>
    </row>
    <row r="3823" spans="1:7" x14ac:dyDescent="0.25">
      <c r="A3823" s="8">
        <v>50</v>
      </c>
      <c r="B3823" s="8">
        <v>9</v>
      </c>
      <c r="C3823" s="8">
        <v>1123.294678</v>
      </c>
      <c r="D3823" s="8">
        <v>42454.550780999998</v>
      </c>
      <c r="E3823" s="8">
        <v>42465.65625</v>
      </c>
      <c r="F3823" s="8">
        <f t="shared" si="118"/>
        <v>11.105469000001904</v>
      </c>
      <c r="G3823" s="8">
        <f t="shared" si="119"/>
        <v>1.1105469000001904E-2</v>
      </c>
    </row>
    <row r="3824" spans="1:7" x14ac:dyDescent="0.25">
      <c r="A3824" s="8">
        <v>50</v>
      </c>
      <c r="B3824" s="8">
        <v>10</v>
      </c>
      <c r="C3824" s="8">
        <v>661.52655000000004</v>
      </c>
      <c r="D3824" s="8">
        <v>43599.832030999998</v>
      </c>
      <c r="E3824" s="8">
        <v>43610.890625</v>
      </c>
      <c r="F3824" s="8">
        <f t="shared" si="118"/>
        <v>11.058594000001904</v>
      </c>
      <c r="G3824" s="8">
        <f t="shared" si="119"/>
        <v>1.1058594000001904E-2</v>
      </c>
    </row>
    <row r="3825" spans="1:7" x14ac:dyDescent="0.25">
      <c r="A3825" s="8">
        <v>50</v>
      </c>
      <c r="B3825" s="8">
        <v>11</v>
      </c>
      <c r="C3825" s="8">
        <v>334.463348</v>
      </c>
      <c r="D3825" s="8">
        <v>44287.328125</v>
      </c>
      <c r="E3825" s="8">
        <v>44297.65625</v>
      </c>
      <c r="F3825" s="8">
        <f t="shared" si="118"/>
        <v>10.328125</v>
      </c>
      <c r="G3825" s="8">
        <f t="shared" si="119"/>
        <v>1.0328125E-2</v>
      </c>
    </row>
    <row r="3826" spans="1:7" x14ac:dyDescent="0.25">
      <c r="A3826" s="8">
        <v>50</v>
      </c>
      <c r="B3826" s="8">
        <v>12</v>
      </c>
      <c r="C3826" s="8">
        <v>1866.095337</v>
      </c>
      <c r="D3826" s="8">
        <v>44646.800780999998</v>
      </c>
      <c r="E3826" s="8">
        <v>44657.847655999998</v>
      </c>
      <c r="F3826" s="8">
        <f t="shared" si="118"/>
        <v>11.046875</v>
      </c>
      <c r="G3826" s="8">
        <f t="shared" si="119"/>
        <v>1.1046874999999999E-2</v>
      </c>
    </row>
    <row r="3827" spans="1:7" x14ac:dyDescent="0.25">
      <c r="A3827" s="8">
        <v>50</v>
      </c>
      <c r="B3827" s="8">
        <v>13</v>
      </c>
      <c r="C3827" s="8">
        <v>1297.7650149999999</v>
      </c>
      <c r="D3827" s="8">
        <v>46531.972655999998</v>
      </c>
      <c r="E3827" s="8">
        <v>46560.230469000002</v>
      </c>
      <c r="F3827" s="8">
        <f t="shared" si="118"/>
        <v>28.257813000003807</v>
      </c>
      <c r="G3827" s="8">
        <f t="shared" si="119"/>
        <v>2.8257813000003806E-2</v>
      </c>
    </row>
    <row r="3828" spans="1:7" x14ac:dyDescent="0.25">
      <c r="A3828" s="8">
        <v>50</v>
      </c>
      <c r="B3828" s="8">
        <v>14</v>
      </c>
      <c r="C3828" s="8">
        <v>909.41863999999998</v>
      </c>
      <c r="D3828" s="8">
        <v>47860.402344000002</v>
      </c>
      <c r="E3828" s="8">
        <v>47931.308594000002</v>
      </c>
      <c r="F3828" s="8">
        <f t="shared" si="118"/>
        <v>70.90625</v>
      </c>
      <c r="G3828" s="8">
        <f t="shared" si="119"/>
        <v>7.0906250000000004E-2</v>
      </c>
    </row>
    <row r="3829" spans="1:7" x14ac:dyDescent="0.25">
      <c r="A3829" s="8">
        <v>50</v>
      </c>
      <c r="B3829" s="8">
        <v>15</v>
      </c>
      <c r="C3829" s="8">
        <v>308.301331</v>
      </c>
      <c r="D3829" s="8">
        <v>48845.664062999997</v>
      </c>
      <c r="E3829" s="8">
        <v>48854.421875</v>
      </c>
      <c r="F3829" s="8">
        <f t="shared" si="118"/>
        <v>8.7578120000034687</v>
      </c>
      <c r="G3829" s="8">
        <f t="shared" si="119"/>
        <v>8.7578120000034679E-3</v>
      </c>
    </row>
    <row r="3830" spans="1:7" x14ac:dyDescent="0.25">
      <c r="A3830" s="8">
        <v>50</v>
      </c>
      <c r="B3830" s="8">
        <v>16</v>
      </c>
      <c r="C3830" s="8">
        <v>349.45385700000003</v>
      </c>
      <c r="D3830" s="8">
        <v>49168.449219000002</v>
      </c>
      <c r="E3830" s="8">
        <v>49181.140625</v>
      </c>
      <c r="F3830" s="8">
        <f t="shared" si="118"/>
        <v>12.691405999998096</v>
      </c>
      <c r="G3830" s="8">
        <f t="shared" si="119"/>
        <v>1.2691405999998096E-2</v>
      </c>
    </row>
    <row r="3831" spans="1:7" x14ac:dyDescent="0.25">
      <c r="A3831" s="8">
        <v>50</v>
      </c>
      <c r="B3831" s="8">
        <v>17</v>
      </c>
      <c r="C3831" s="8">
        <v>1531.521851</v>
      </c>
      <c r="D3831" s="8">
        <v>49545.566405999998</v>
      </c>
      <c r="E3831" s="8">
        <v>49564.332030999998</v>
      </c>
      <c r="F3831" s="8">
        <f t="shared" si="118"/>
        <v>18.765625</v>
      </c>
      <c r="G3831" s="8">
        <f t="shared" si="119"/>
        <v>1.8765625000000001E-2</v>
      </c>
    </row>
    <row r="3832" spans="1:7" x14ac:dyDescent="0.25">
      <c r="A3832" s="8">
        <v>50</v>
      </c>
      <c r="B3832" s="8">
        <v>18</v>
      </c>
      <c r="C3832" s="8">
        <v>442.36938500000002</v>
      </c>
      <c r="D3832" s="8">
        <v>51096.675780999998</v>
      </c>
      <c r="E3832" s="8">
        <v>51110.742187999997</v>
      </c>
      <c r="F3832" s="8">
        <f t="shared" si="118"/>
        <v>14.066406999998435</v>
      </c>
      <c r="G3832" s="8">
        <f t="shared" si="119"/>
        <v>1.4066406999998435E-2</v>
      </c>
    </row>
    <row r="3833" spans="1:7" x14ac:dyDescent="0.25">
      <c r="A3833" s="8">
        <v>50</v>
      </c>
      <c r="B3833" s="8">
        <v>19</v>
      </c>
      <c r="C3833" s="8">
        <v>299.84524499999998</v>
      </c>
      <c r="D3833" s="8">
        <v>51560.484375</v>
      </c>
      <c r="E3833" s="8">
        <v>51574.847655999998</v>
      </c>
      <c r="F3833" s="8">
        <f t="shared" si="118"/>
        <v>14.363280999998096</v>
      </c>
      <c r="G3833" s="8">
        <f t="shared" si="119"/>
        <v>1.4363280999998096E-2</v>
      </c>
    </row>
    <row r="3834" spans="1:7" x14ac:dyDescent="0.25">
      <c r="A3834" s="8">
        <v>50</v>
      </c>
      <c r="B3834" s="8">
        <v>20</v>
      </c>
      <c r="C3834" s="8">
        <v>309.58349600000003</v>
      </c>
      <c r="D3834" s="8">
        <v>51888.9375</v>
      </c>
      <c r="E3834" s="8">
        <v>51904.558594000002</v>
      </c>
      <c r="F3834" s="8">
        <f t="shared" si="118"/>
        <v>15.621094000001904</v>
      </c>
      <c r="G3834" s="8">
        <f t="shared" si="119"/>
        <v>1.5621094000001903E-2</v>
      </c>
    </row>
    <row r="3835" spans="1:7" x14ac:dyDescent="0.25">
      <c r="A3835" s="8">
        <v>50</v>
      </c>
      <c r="B3835" s="8">
        <v>21</v>
      </c>
      <c r="C3835" s="8">
        <v>691.22912599999995</v>
      </c>
      <c r="D3835" s="8">
        <v>52217.089844000002</v>
      </c>
      <c r="E3835" s="8">
        <v>52232.53125</v>
      </c>
      <c r="F3835" s="8">
        <f t="shared" si="118"/>
        <v>15.441405999998096</v>
      </c>
      <c r="G3835" s="8">
        <f t="shared" si="119"/>
        <v>1.5441405999998097E-2</v>
      </c>
    </row>
    <row r="3836" spans="1:7" x14ac:dyDescent="0.25">
      <c r="A3836" s="8">
        <v>50</v>
      </c>
      <c r="B3836" s="8">
        <v>22</v>
      </c>
      <c r="C3836" s="8">
        <v>5572.6489259999998</v>
      </c>
      <c r="D3836" s="8">
        <v>52935.984375</v>
      </c>
      <c r="E3836" s="8">
        <v>52958.683594000002</v>
      </c>
      <c r="F3836" s="8">
        <f t="shared" si="118"/>
        <v>22.699219000001904</v>
      </c>
      <c r="G3836" s="8">
        <f t="shared" si="119"/>
        <v>2.2699219000001904E-2</v>
      </c>
    </row>
    <row r="3837" spans="1:7" x14ac:dyDescent="0.25">
      <c r="A3837" s="8">
        <v>50</v>
      </c>
      <c r="B3837" s="8">
        <v>23</v>
      </c>
      <c r="C3837" s="8">
        <v>1356.306885</v>
      </c>
      <c r="D3837" s="8">
        <v>58544.175780999998</v>
      </c>
      <c r="E3837" s="8">
        <v>58570.261719000002</v>
      </c>
      <c r="F3837" s="8">
        <f t="shared" si="118"/>
        <v>26.085938000003807</v>
      </c>
      <c r="G3837" s="8">
        <f t="shared" si="119"/>
        <v>2.6085938000003809E-2</v>
      </c>
    </row>
    <row r="3838" spans="1:7" x14ac:dyDescent="0.25">
      <c r="A3838" s="8">
        <v>50</v>
      </c>
      <c r="B3838" s="8">
        <v>24</v>
      </c>
      <c r="C3838" s="8">
        <v>1564.610962</v>
      </c>
      <c r="D3838" s="8">
        <v>59934.941405999998</v>
      </c>
      <c r="E3838" s="8">
        <v>59957.183594000002</v>
      </c>
      <c r="F3838" s="8">
        <f t="shared" si="118"/>
        <v>22.242188000003807</v>
      </c>
      <c r="G3838" s="8">
        <f t="shared" si="119"/>
        <v>2.2242188000003806E-2</v>
      </c>
    </row>
    <row r="3839" spans="1:7" x14ac:dyDescent="0.25">
      <c r="A3839" s="8">
        <v>50</v>
      </c>
      <c r="B3839" s="8">
        <v>25</v>
      </c>
      <c r="C3839" s="8">
        <v>408.54321299999998</v>
      </c>
      <c r="D3839" s="8">
        <v>61528.875</v>
      </c>
      <c r="E3839" s="8">
        <v>61543.320312999997</v>
      </c>
      <c r="F3839" s="8">
        <f t="shared" si="118"/>
        <v>14.445312999996531</v>
      </c>
      <c r="G3839" s="8">
        <f t="shared" si="119"/>
        <v>1.4445312999996532E-2</v>
      </c>
    </row>
    <row r="3840" spans="1:7" x14ac:dyDescent="0.25">
      <c r="A3840" s="8">
        <v>50</v>
      </c>
      <c r="B3840" s="8">
        <v>26</v>
      </c>
      <c r="C3840" s="8">
        <v>1781.3317870000001</v>
      </c>
      <c r="D3840" s="8">
        <v>61966.3125</v>
      </c>
      <c r="E3840" s="8">
        <v>61985.324219000002</v>
      </c>
      <c r="F3840" s="8">
        <f t="shared" si="118"/>
        <v>19.011719000001904</v>
      </c>
      <c r="G3840" s="8">
        <f t="shared" si="119"/>
        <v>1.9011719000001905E-2</v>
      </c>
    </row>
    <row r="3841" spans="1:7" x14ac:dyDescent="0.25">
      <c r="A3841" s="8">
        <v>50</v>
      </c>
      <c r="B3841" s="8">
        <v>27</v>
      </c>
      <c r="C3841" s="8">
        <v>2795.8564449999999</v>
      </c>
      <c r="D3841" s="8">
        <v>63776.808594000002</v>
      </c>
      <c r="E3841" s="8">
        <v>63788.148437999997</v>
      </c>
      <c r="F3841" s="8">
        <f t="shared" si="118"/>
        <v>11.339843999994628</v>
      </c>
      <c r="G3841" s="8">
        <f t="shared" si="119"/>
        <v>1.1339843999994628E-2</v>
      </c>
    </row>
    <row r="3842" spans="1:7" x14ac:dyDescent="0.25">
      <c r="A3842" s="8">
        <v>50</v>
      </c>
      <c r="B3842" s="8">
        <v>28</v>
      </c>
      <c r="C3842" s="8">
        <v>1446.9604489999999</v>
      </c>
      <c r="D3842" s="8">
        <v>66590.523438000004</v>
      </c>
      <c r="E3842" s="8">
        <v>66602.046875</v>
      </c>
      <c r="F3842" s="8">
        <f t="shared" si="118"/>
        <v>11.523436999996193</v>
      </c>
      <c r="G3842" s="8">
        <f t="shared" si="119"/>
        <v>1.1523436999996193E-2</v>
      </c>
    </row>
    <row r="3843" spans="1:7" x14ac:dyDescent="0.25">
      <c r="A3843" s="8">
        <v>50</v>
      </c>
      <c r="B3843" s="8">
        <v>29</v>
      </c>
      <c r="C3843" s="8">
        <v>3402.6716310000002</v>
      </c>
      <c r="D3843" s="8">
        <v>68060.898438000004</v>
      </c>
      <c r="E3843" s="8">
        <v>68081.421875</v>
      </c>
      <c r="F3843" s="8">
        <f t="shared" si="118"/>
        <v>20.523436999996193</v>
      </c>
      <c r="G3843" s="8">
        <f t="shared" si="119"/>
        <v>2.0523436999996193E-2</v>
      </c>
    </row>
    <row r="3844" spans="1:7" x14ac:dyDescent="0.25">
      <c r="A3844" s="8">
        <v>50</v>
      </c>
      <c r="B3844" s="8">
        <v>30</v>
      </c>
      <c r="C3844" s="8">
        <v>1886.5267329999999</v>
      </c>
      <c r="D3844" s="8">
        <v>71494.390625</v>
      </c>
      <c r="E3844" s="8">
        <v>71515.367188000004</v>
      </c>
      <c r="F3844" s="8">
        <f t="shared" si="118"/>
        <v>20.976563000003807</v>
      </c>
      <c r="G3844" s="8">
        <f t="shared" si="119"/>
        <v>2.0976563000003806E-2</v>
      </c>
    </row>
    <row r="3845" spans="1:7" x14ac:dyDescent="0.25">
      <c r="A3845" s="8">
        <v>50</v>
      </c>
      <c r="B3845" s="8">
        <v>31</v>
      </c>
      <c r="C3845" s="8">
        <v>513.83868399999994</v>
      </c>
      <c r="D3845" s="8">
        <v>73404.296875</v>
      </c>
      <c r="E3845" s="8">
        <v>73412.945313000004</v>
      </c>
      <c r="F3845" s="8">
        <f t="shared" si="118"/>
        <v>8.6484380000038072</v>
      </c>
      <c r="G3845" s="8">
        <f t="shared" si="119"/>
        <v>8.6484380000038073E-3</v>
      </c>
    </row>
    <row r="3846" spans="1:7" x14ac:dyDescent="0.25">
      <c r="A3846" s="8">
        <v>50</v>
      </c>
      <c r="B3846" s="8">
        <v>32</v>
      </c>
      <c r="C3846" s="8">
        <v>1826.4566649999999</v>
      </c>
      <c r="D3846" s="8">
        <v>73937.570313000004</v>
      </c>
      <c r="E3846" s="8">
        <v>73957.890625</v>
      </c>
      <c r="F3846" s="8">
        <f t="shared" si="118"/>
        <v>20.320311999996193</v>
      </c>
      <c r="G3846" s="8">
        <f t="shared" si="119"/>
        <v>2.0320311999996194E-2</v>
      </c>
    </row>
    <row r="3847" spans="1:7" x14ac:dyDescent="0.25">
      <c r="A3847" s="8">
        <v>50</v>
      </c>
      <c r="B3847" s="8">
        <v>33</v>
      </c>
      <c r="C3847" s="8">
        <v>2445.342529</v>
      </c>
      <c r="D3847" s="8">
        <v>75788.101563000004</v>
      </c>
      <c r="E3847" s="8">
        <v>75806.28125</v>
      </c>
      <c r="F3847" s="8">
        <f t="shared" si="118"/>
        <v>18.179686999996193</v>
      </c>
      <c r="G3847" s="8">
        <f t="shared" si="119"/>
        <v>1.8179686999996194E-2</v>
      </c>
    </row>
    <row r="3848" spans="1:7" x14ac:dyDescent="0.25">
      <c r="A3848" s="8">
        <v>50</v>
      </c>
      <c r="B3848" s="8">
        <v>34</v>
      </c>
      <c r="C3848" s="8">
        <v>1666.453125</v>
      </c>
      <c r="D3848" s="8">
        <v>78260.398438000004</v>
      </c>
      <c r="E3848" s="8">
        <v>78269.054688000004</v>
      </c>
      <c r="F3848" s="8">
        <f t="shared" si="118"/>
        <v>8.65625</v>
      </c>
      <c r="G3848" s="8">
        <f t="shared" si="119"/>
        <v>8.6562500000000007E-3</v>
      </c>
    </row>
    <row r="3849" spans="1:7" x14ac:dyDescent="0.25">
      <c r="A3849" s="8">
        <v>50</v>
      </c>
      <c r="B3849" s="8">
        <v>35</v>
      </c>
      <c r="C3849" s="8">
        <v>1005.158081</v>
      </c>
      <c r="D3849" s="8">
        <v>79941.476563000004</v>
      </c>
      <c r="E3849" s="8">
        <v>79958.210938000004</v>
      </c>
      <c r="F3849" s="8">
        <f t="shared" si="118"/>
        <v>16.734375</v>
      </c>
      <c r="G3849" s="8">
        <f t="shared" si="119"/>
        <v>1.6734374999999999E-2</v>
      </c>
    </row>
    <row r="3850" spans="1:7" x14ac:dyDescent="0.25">
      <c r="A3850" s="8">
        <v>50</v>
      </c>
      <c r="B3850" s="8">
        <v>36</v>
      </c>
      <c r="C3850" s="8">
        <v>800.03436299999998</v>
      </c>
      <c r="D3850" s="8">
        <v>80973.796875</v>
      </c>
      <c r="E3850" s="8">
        <v>80994.976563000004</v>
      </c>
      <c r="F3850" s="8">
        <f t="shared" si="118"/>
        <v>21.179688000003807</v>
      </c>
      <c r="G3850" s="8">
        <f t="shared" si="119"/>
        <v>2.1179688000003808E-2</v>
      </c>
    </row>
    <row r="3851" spans="1:7" x14ac:dyDescent="0.25">
      <c r="A3851" s="8">
        <v>50</v>
      </c>
      <c r="B3851" s="8">
        <v>37</v>
      </c>
      <c r="C3851" s="8">
        <v>3239.5517580000001</v>
      </c>
      <c r="D3851" s="8">
        <v>81806.945313000004</v>
      </c>
      <c r="E3851" s="8">
        <v>81825.054688000004</v>
      </c>
      <c r="F3851" s="8">
        <f t="shared" ref="F3851:F3914" si="120">E3851-D3851</f>
        <v>18.109375</v>
      </c>
      <c r="G3851" s="8">
        <f t="shared" ref="G3851:G3914" si="121">F3851/1000</f>
        <v>1.8109375E-2</v>
      </c>
    </row>
    <row r="3852" spans="1:7" x14ac:dyDescent="0.25">
      <c r="A3852" s="8">
        <v>50</v>
      </c>
      <c r="B3852" s="8">
        <v>38</v>
      </c>
      <c r="C3852" s="8">
        <v>1067.9819339999999</v>
      </c>
      <c r="D3852" s="8">
        <v>85079.171875</v>
      </c>
      <c r="E3852" s="8">
        <v>85093.273438000004</v>
      </c>
      <c r="F3852" s="8">
        <f t="shared" si="120"/>
        <v>14.101563000003807</v>
      </c>
      <c r="G3852" s="8">
        <f t="shared" si="121"/>
        <v>1.4101563000003807E-2</v>
      </c>
    </row>
    <row r="3853" spans="1:7" x14ac:dyDescent="0.25">
      <c r="A3853" s="8">
        <v>50</v>
      </c>
      <c r="B3853" s="8">
        <v>39</v>
      </c>
      <c r="C3853" s="8">
        <v>1085.549561</v>
      </c>
      <c r="D3853" s="8">
        <v>86174.53125</v>
      </c>
      <c r="E3853" s="8">
        <v>86182.21875</v>
      </c>
      <c r="F3853" s="8">
        <f t="shared" si="120"/>
        <v>7.6875</v>
      </c>
      <c r="G3853" s="8">
        <f t="shared" si="121"/>
        <v>7.6874999999999999E-3</v>
      </c>
    </row>
    <row r="3854" spans="1:7" x14ac:dyDescent="0.25">
      <c r="A3854" s="8">
        <v>50</v>
      </c>
      <c r="B3854" s="8">
        <v>40</v>
      </c>
      <c r="C3854" s="8">
        <v>1853.411621</v>
      </c>
      <c r="D3854" s="8">
        <v>87270.03125</v>
      </c>
      <c r="E3854" s="8">
        <v>87277.6875</v>
      </c>
      <c r="F3854" s="8">
        <f t="shared" si="120"/>
        <v>7.65625</v>
      </c>
      <c r="G3854" s="8">
        <f t="shared" si="121"/>
        <v>7.6562499999999999E-3</v>
      </c>
    </row>
    <row r="3855" spans="1:7" x14ac:dyDescent="0.25">
      <c r="A3855" s="8">
        <v>50</v>
      </c>
      <c r="B3855" s="8">
        <v>41</v>
      </c>
      <c r="C3855" s="8">
        <v>3053.0283199999999</v>
      </c>
      <c r="D3855" s="8">
        <v>89131.1875</v>
      </c>
      <c r="E3855" s="8">
        <v>89158.296875</v>
      </c>
      <c r="F3855" s="8">
        <f t="shared" si="120"/>
        <v>27.109375</v>
      </c>
      <c r="G3855" s="8">
        <f t="shared" si="121"/>
        <v>2.7109375000000002E-2</v>
      </c>
    </row>
    <row r="3856" spans="1:7" x14ac:dyDescent="0.25">
      <c r="A3856" s="8">
        <v>50</v>
      </c>
      <c r="B3856" s="8">
        <v>42</v>
      </c>
      <c r="C3856" s="8">
        <v>1529.2913820000001</v>
      </c>
      <c r="D3856" s="8">
        <v>92214.398438000004</v>
      </c>
      <c r="E3856" s="8">
        <v>92248.0625</v>
      </c>
      <c r="F3856" s="8">
        <f t="shared" si="120"/>
        <v>33.664061999996193</v>
      </c>
      <c r="G3856" s="8">
        <f t="shared" si="121"/>
        <v>3.3664061999996192E-2</v>
      </c>
    </row>
    <row r="3857" spans="1:7" x14ac:dyDescent="0.25">
      <c r="A3857" s="8">
        <v>50</v>
      </c>
      <c r="B3857" s="8">
        <v>43</v>
      </c>
      <c r="C3857" s="8">
        <v>1175.8907469999999</v>
      </c>
      <c r="D3857" s="8">
        <v>93779.445313000004</v>
      </c>
      <c r="E3857" s="8">
        <v>93793</v>
      </c>
      <c r="F3857" s="8">
        <f t="shared" si="120"/>
        <v>13.554686999996193</v>
      </c>
      <c r="G3857" s="8">
        <f t="shared" si="121"/>
        <v>1.3554686999996193E-2</v>
      </c>
    </row>
    <row r="3858" spans="1:7" x14ac:dyDescent="0.25">
      <c r="A3858" s="8">
        <v>50</v>
      </c>
      <c r="B3858" s="8">
        <v>44</v>
      </c>
      <c r="C3858" s="8">
        <v>2013.7026370000001</v>
      </c>
      <c r="D3858" s="8">
        <v>94983.320313000004</v>
      </c>
      <c r="E3858" s="8">
        <v>94996.429688000004</v>
      </c>
      <c r="F3858" s="8">
        <f t="shared" si="120"/>
        <v>13.109375</v>
      </c>
      <c r="G3858" s="8">
        <f t="shared" si="121"/>
        <v>1.3109375E-2</v>
      </c>
    </row>
    <row r="3859" spans="1:7" x14ac:dyDescent="0.25">
      <c r="A3859" s="8">
        <v>50</v>
      </c>
      <c r="B3859" s="8">
        <v>45</v>
      </c>
      <c r="C3859" s="8">
        <v>1615.842163</v>
      </c>
      <c r="D3859" s="8">
        <v>97024.875</v>
      </c>
      <c r="E3859" s="8">
        <v>97168.1875</v>
      </c>
      <c r="F3859" s="8">
        <f t="shared" si="120"/>
        <v>143.3125</v>
      </c>
      <c r="G3859" s="8">
        <f t="shared" si="121"/>
        <v>0.14331250000000001</v>
      </c>
    </row>
    <row r="3860" spans="1:7" x14ac:dyDescent="0.25">
      <c r="A3860" s="8">
        <v>50</v>
      </c>
      <c r="B3860" s="8">
        <v>46</v>
      </c>
      <c r="C3860" s="8">
        <v>154.30543499999999</v>
      </c>
      <c r="D3860" s="8">
        <v>98785.257813000004</v>
      </c>
      <c r="E3860" s="8">
        <v>98792.664063000004</v>
      </c>
      <c r="F3860" s="8">
        <f t="shared" si="120"/>
        <v>7.40625</v>
      </c>
      <c r="G3860" s="8">
        <f t="shared" si="121"/>
        <v>7.4062499999999996E-3</v>
      </c>
    </row>
    <row r="3861" spans="1:7" x14ac:dyDescent="0.25">
      <c r="A3861" s="8">
        <v>50</v>
      </c>
      <c r="B3861" s="8">
        <v>47</v>
      </c>
      <c r="C3861" s="8">
        <v>5382.9287109999996</v>
      </c>
      <c r="D3861" s="8">
        <v>98957.15625</v>
      </c>
      <c r="E3861" s="8">
        <v>98973.65625</v>
      </c>
      <c r="F3861" s="8">
        <f t="shared" si="120"/>
        <v>16.5</v>
      </c>
      <c r="G3861" s="8">
        <f t="shared" si="121"/>
        <v>1.6500000000000001E-2</v>
      </c>
    </row>
    <row r="3862" spans="1:7" x14ac:dyDescent="0.25">
      <c r="A3862" s="8">
        <v>50</v>
      </c>
      <c r="B3862" s="8">
        <v>48</v>
      </c>
      <c r="C3862" s="8">
        <v>3677.6840820000002</v>
      </c>
      <c r="D3862" s="8">
        <v>104362.679688</v>
      </c>
      <c r="E3862" s="8">
        <v>104382.601563</v>
      </c>
      <c r="F3862" s="8">
        <f t="shared" si="120"/>
        <v>19.921875</v>
      </c>
      <c r="G3862" s="8">
        <f t="shared" si="121"/>
        <v>1.9921874999999999E-2</v>
      </c>
    </row>
    <row r="3863" spans="1:7" x14ac:dyDescent="0.25">
      <c r="A3863" s="8">
        <v>50</v>
      </c>
      <c r="B3863" s="8">
        <v>49</v>
      </c>
      <c r="C3863" s="8">
        <v>6264.8940430000002</v>
      </c>
      <c r="D3863" s="8">
        <v>108063.609375</v>
      </c>
      <c r="E3863" s="8">
        <v>108071.367188</v>
      </c>
      <c r="F3863" s="8">
        <f t="shared" si="120"/>
        <v>7.7578130000038072</v>
      </c>
      <c r="G3863" s="8">
        <f t="shared" si="121"/>
        <v>7.7578130000038074E-3</v>
      </c>
    </row>
    <row r="3864" spans="1:7" x14ac:dyDescent="0.25">
      <c r="A3864" s="8">
        <v>50</v>
      </c>
      <c r="B3864" s="8">
        <v>50</v>
      </c>
      <c r="C3864" s="8">
        <v>2519.8908689999998</v>
      </c>
      <c r="D3864" s="8">
        <v>114347</v>
      </c>
      <c r="E3864" s="8">
        <v>114370.34375</v>
      </c>
      <c r="F3864" s="8">
        <f t="shared" si="120"/>
        <v>23.34375</v>
      </c>
      <c r="G3864" s="8">
        <f t="shared" si="121"/>
        <v>2.334375E-2</v>
      </c>
    </row>
    <row r="3865" spans="1:7" x14ac:dyDescent="0.25">
      <c r="A3865" s="8">
        <v>50</v>
      </c>
      <c r="B3865" s="8">
        <v>51</v>
      </c>
      <c r="C3865" s="8">
        <v>2575.0830080000001</v>
      </c>
      <c r="D3865" s="8">
        <v>116895.6875</v>
      </c>
      <c r="E3865" s="8">
        <v>116903.546875</v>
      </c>
      <c r="F3865" s="8">
        <f t="shared" si="120"/>
        <v>7.859375</v>
      </c>
      <c r="G3865" s="8">
        <f t="shared" si="121"/>
        <v>7.859375E-3</v>
      </c>
    </row>
    <row r="3866" spans="1:7" x14ac:dyDescent="0.25">
      <c r="A3866" s="8">
        <v>50</v>
      </c>
      <c r="B3866" s="8">
        <v>52</v>
      </c>
      <c r="C3866" s="8">
        <v>1469.739746</v>
      </c>
      <c r="D3866" s="8">
        <v>119485.382813</v>
      </c>
      <c r="E3866" s="8">
        <v>119503.320313</v>
      </c>
      <c r="F3866" s="8">
        <f t="shared" si="120"/>
        <v>17.9375</v>
      </c>
      <c r="G3866" s="8">
        <f t="shared" si="121"/>
        <v>1.7937499999999999E-2</v>
      </c>
    </row>
    <row r="3867" spans="1:7" x14ac:dyDescent="0.25">
      <c r="A3867" s="8">
        <v>50</v>
      </c>
      <c r="B3867" s="8">
        <v>53</v>
      </c>
      <c r="C3867" s="8">
        <v>269.72406000000001</v>
      </c>
      <c r="D3867" s="8">
        <v>120986.335938</v>
      </c>
      <c r="E3867" s="8">
        <v>121006.984375</v>
      </c>
      <c r="F3867" s="8">
        <f t="shared" si="120"/>
        <v>20.648436999996193</v>
      </c>
      <c r="G3867" s="8">
        <f t="shared" si="121"/>
        <v>2.0648436999996193E-2</v>
      </c>
    </row>
    <row r="3868" spans="1:7" x14ac:dyDescent="0.25">
      <c r="A3868" s="8">
        <v>50</v>
      </c>
      <c r="B3868" s="8">
        <v>54</v>
      </c>
      <c r="C3868" s="8">
        <v>1244.751221</v>
      </c>
      <c r="D3868" s="8">
        <v>121283.242188</v>
      </c>
      <c r="E3868" s="8">
        <v>121304.03125</v>
      </c>
      <c r="F3868" s="8">
        <f t="shared" si="120"/>
        <v>20.789061999996193</v>
      </c>
      <c r="G3868" s="8">
        <f t="shared" si="121"/>
        <v>2.0789061999996191E-2</v>
      </c>
    </row>
    <row r="3869" spans="1:7" x14ac:dyDescent="0.25">
      <c r="A3869" s="8">
        <v>50</v>
      </c>
      <c r="B3869" s="8">
        <v>55</v>
      </c>
      <c r="C3869" s="8">
        <v>148.117401</v>
      </c>
      <c r="D3869" s="8">
        <v>122549.023438</v>
      </c>
      <c r="E3869" s="8">
        <v>122562.703125</v>
      </c>
      <c r="F3869" s="8">
        <f t="shared" si="120"/>
        <v>13.679686999996193</v>
      </c>
      <c r="G3869" s="8">
        <f t="shared" si="121"/>
        <v>1.3679686999996193E-2</v>
      </c>
    </row>
    <row r="3870" spans="1:7" x14ac:dyDescent="0.25">
      <c r="A3870" s="8">
        <v>50</v>
      </c>
      <c r="B3870" s="8">
        <v>56</v>
      </c>
      <c r="C3870" s="8">
        <v>2049.6062010000001</v>
      </c>
      <c r="D3870" s="8">
        <v>122722.5625</v>
      </c>
      <c r="E3870" s="8">
        <v>122743.390625</v>
      </c>
      <c r="F3870" s="8">
        <f t="shared" si="120"/>
        <v>20.828125</v>
      </c>
      <c r="G3870" s="8">
        <f t="shared" si="121"/>
        <v>2.0828124999999999E-2</v>
      </c>
    </row>
    <row r="3871" spans="1:7" x14ac:dyDescent="0.25">
      <c r="A3871" s="8">
        <v>50</v>
      </c>
      <c r="B3871" s="8">
        <v>57</v>
      </c>
      <c r="C3871" s="8">
        <v>1357.509888</v>
      </c>
      <c r="D3871" s="8">
        <v>124798.992188</v>
      </c>
      <c r="E3871" s="8">
        <v>124818.382813</v>
      </c>
      <c r="F3871" s="8">
        <f t="shared" si="120"/>
        <v>19.390625</v>
      </c>
      <c r="G3871" s="8">
        <f t="shared" si="121"/>
        <v>1.9390625000000002E-2</v>
      </c>
    </row>
    <row r="3872" spans="1:7" x14ac:dyDescent="0.25">
      <c r="A3872" s="8">
        <v>50</v>
      </c>
      <c r="B3872" s="8">
        <v>58</v>
      </c>
      <c r="C3872" s="8">
        <v>1498.325439</v>
      </c>
      <c r="D3872" s="8">
        <v>126190.40625</v>
      </c>
      <c r="E3872" s="8">
        <v>126215.226563</v>
      </c>
      <c r="F3872" s="8">
        <f t="shared" si="120"/>
        <v>24.820313000003807</v>
      </c>
      <c r="G3872" s="8">
        <f t="shared" si="121"/>
        <v>2.4820313000003806E-2</v>
      </c>
    </row>
    <row r="3873" spans="1:7" x14ac:dyDescent="0.25">
      <c r="A3873" s="8">
        <v>50</v>
      </c>
      <c r="B3873" s="8">
        <v>59</v>
      </c>
      <c r="C3873" s="8">
        <v>830.21911599999999</v>
      </c>
      <c r="D3873" s="8">
        <v>127721.820313</v>
      </c>
      <c r="E3873" s="8">
        <v>127729.539063</v>
      </c>
      <c r="F3873" s="8">
        <f t="shared" si="120"/>
        <v>7.71875</v>
      </c>
      <c r="G3873" s="8">
        <f t="shared" si="121"/>
        <v>7.7187499999999999E-3</v>
      </c>
    </row>
    <row r="3874" spans="1:7" x14ac:dyDescent="0.25">
      <c r="A3874" s="8">
        <v>50</v>
      </c>
      <c r="B3874" s="8">
        <v>60</v>
      </c>
      <c r="C3874" s="8">
        <v>1843.107544</v>
      </c>
      <c r="D3874" s="8">
        <v>128566.984375</v>
      </c>
      <c r="E3874" s="8">
        <v>128586.804688</v>
      </c>
      <c r="F3874" s="8">
        <f t="shared" si="120"/>
        <v>19.820313000003807</v>
      </c>
      <c r="G3874" s="8">
        <f t="shared" si="121"/>
        <v>1.9820313000003809E-2</v>
      </c>
    </row>
    <row r="3875" spans="1:7" x14ac:dyDescent="0.25">
      <c r="A3875" s="8">
        <v>50</v>
      </c>
      <c r="B3875" s="8">
        <v>61</v>
      </c>
      <c r="C3875" s="8">
        <v>4113.4423829999996</v>
      </c>
      <c r="D3875" s="8">
        <v>130442.046875</v>
      </c>
      <c r="E3875" s="8">
        <v>130462.023438</v>
      </c>
      <c r="F3875" s="8">
        <f t="shared" si="120"/>
        <v>19.976563000003807</v>
      </c>
      <c r="G3875" s="8">
        <f t="shared" si="121"/>
        <v>1.9976563000003809E-2</v>
      </c>
    </row>
    <row r="3876" spans="1:7" x14ac:dyDescent="0.25">
      <c r="A3876" s="8">
        <v>50</v>
      </c>
      <c r="B3876" s="8">
        <v>62</v>
      </c>
      <c r="C3876" s="8">
        <v>5067.0517579999996</v>
      </c>
      <c r="D3876" s="8">
        <v>134581.921875</v>
      </c>
      <c r="E3876" s="8">
        <v>134598.671875</v>
      </c>
      <c r="F3876" s="8">
        <f t="shared" si="120"/>
        <v>16.75</v>
      </c>
      <c r="G3876" s="8">
        <f t="shared" si="121"/>
        <v>1.6750000000000001E-2</v>
      </c>
    </row>
    <row r="3877" spans="1:7" x14ac:dyDescent="0.25">
      <c r="A3877" s="8">
        <v>50</v>
      </c>
      <c r="B3877" s="8">
        <v>63</v>
      </c>
      <c r="C3877" s="8">
        <v>1884.4898679999999</v>
      </c>
      <c r="D3877" s="8">
        <v>139678.421875</v>
      </c>
      <c r="E3877" s="8">
        <v>139686.09375</v>
      </c>
      <c r="F3877" s="8">
        <f t="shared" si="120"/>
        <v>7.671875</v>
      </c>
      <c r="G3877" s="8">
        <f t="shared" si="121"/>
        <v>7.6718749999999999E-3</v>
      </c>
    </row>
    <row r="3878" spans="1:7" x14ac:dyDescent="0.25">
      <c r="A3878" s="8">
        <v>50</v>
      </c>
      <c r="B3878" s="8">
        <v>64</v>
      </c>
      <c r="C3878" s="8">
        <v>725.05969200000004</v>
      </c>
      <c r="D3878" s="8">
        <v>141579.296875</v>
      </c>
      <c r="E3878" s="8">
        <v>141588.0625</v>
      </c>
      <c r="F3878" s="8">
        <f t="shared" si="120"/>
        <v>8.765625</v>
      </c>
      <c r="G3878" s="8">
        <f t="shared" si="121"/>
        <v>8.7656250000000008E-3</v>
      </c>
    </row>
    <row r="3879" spans="1:7" x14ac:dyDescent="0.25">
      <c r="A3879" s="8">
        <v>50</v>
      </c>
      <c r="B3879" s="8">
        <v>65</v>
      </c>
      <c r="C3879" s="8">
        <v>1988.4698490000001</v>
      </c>
      <c r="D3879" s="8">
        <v>142327.703125</v>
      </c>
      <c r="E3879" s="8">
        <v>142336.484375</v>
      </c>
      <c r="F3879" s="8">
        <f t="shared" si="120"/>
        <v>8.78125</v>
      </c>
      <c r="G3879" s="8">
        <f t="shared" si="121"/>
        <v>8.7812500000000009E-3</v>
      </c>
    </row>
    <row r="3880" spans="1:7" x14ac:dyDescent="0.25">
      <c r="A3880" s="8">
        <v>50</v>
      </c>
      <c r="B3880" s="8">
        <v>66</v>
      </c>
      <c r="C3880" s="8">
        <v>3697.3583979999999</v>
      </c>
      <c r="D3880" s="8">
        <v>144338.09375</v>
      </c>
      <c r="E3880" s="8">
        <v>144354.90625</v>
      </c>
      <c r="F3880" s="8">
        <f t="shared" si="120"/>
        <v>16.8125</v>
      </c>
      <c r="G3880" s="8">
        <f t="shared" si="121"/>
        <v>1.6812500000000001E-2</v>
      </c>
    </row>
    <row r="3881" spans="1:7" x14ac:dyDescent="0.25">
      <c r="A3881" s="8">
        <v>50</v>
      </c>
      <c r="B3881" s="8">
        <v>67</v>
      </c>
      <c r="C3881" s="8">
        <v>4531.8813479999999</v>
      </c>
      <c r="D3881" s="8">
        <v>148055.84375</v>
      </c>
      <c r="E3881" s="8">
        <v>148074.90625</v>
      </c>
      <c r="F3881" s="8">
        <f t="shared" si="120"/>
        <v>19.0625</v>
      </c>
      <c r="G3881" s="8">
        <f t="shared" si="121"/>
        <v>1.90625E-2</v>
      </c>
    </row>
    <row r="3882" spans="1:7" x14ac:dyDescent="0.25">
      <c r="A3882" s="8">
        <v>50</v>
      </c>
      <c r="B3882" s="8">
        <v>68</v>
      </c>
      <c r="C3882" s="8">
        <v>938.09167500000001</v>
      </c>
      <c r="D3882" s="8">
        <v>152609.484375</v>
      </c>
      <c r="E3882" s="8">
        <v>152629.859375</v>
      </c>
      <c r="F3882" s="8">
        <f t="shared" si="120"/>
        <v>20.375</v>
      </c>
      <c r="G3882" s="8">
        <f t="shared" si="121"/>
        <v>2.0375000000000001E-2</v>
      </c>
    </row>
    <row r="3883" spans="1:7" x14ac:dyDescent="0.25">
      <c r="A3883" s="8">
        <v>50</v>
      </c>
      <c r="B3883" s="8">
        <v>69</v>
      </c>
      <c r="C3883" s="8">
        <v>962.53430200000003</v>
      </c>
      <c r="D3883" s="8">
        <v>153578.34375</v>
      </c>
      <c r="E3883" s="8">
        <v>153598.484375</v>
      </c>
      <c r="F3883" s="8">
        <f t="shared" si="120"/>
        <v>20.140625</v>
      </c>
      <c r="G3883" s="8">
        <f t="shared" si="121"/>
        <v>2.0140624999999999E-2</v>
      </c>
    </row>
    <row r="3884" spans="1:7" x14ac:dyDescent="0.25">
      <c r="A3884" s="8">
        <v>50</v>
      </c>
      <c r="B3884" s="8">
        <v>70</v>
      </c>
      <c r="C3884" s="8">
        <v>1209.0189210000001</v>
      </c>
      <c r="D3884" s="8">
        <v>154562.8125</v>
      </c>
      <c r="E3884" s="8">
        <v>154579.03125</v>
      </c>
      <c r="F3884" s="8">
        <f t="shared" si="120"/>
        <v>16.21875</v>
      </c>
      <c r="G3884" s="8">
        <f t="shared" si="121"/>
        <v>1.6218750000000001E-2</v>
      </c>
    </row>
    <row r="3885" spans="1:7" x14ac:dyDescent="0.25">
      <c r="A3885" s="8">
        <v>50</v>
      </c>
      <c r="B3885" s="8">
        <v>71</v>
      </c>
      <c r="C3885" s="8">
        <v>431.66125499999998</v>
      </c>
      <c r="D3885" s="8">
        <v>155797.359375</v>
      </c>
      <c r="E3885" s="8">
        <v>155806.171875</v>
      </c>
      <c r="F3885" s="8">
        <f t="shared" si="120"/>
        <v>8.8125</v>
      </c>
      <c r="G3885" s="8">
        <f t="shared" si="121"/>
        <v>8.8124999999999992E-3</v>
      </c>
    </row>
    <row r="3886" spans="1:7" x14ac:dyDescent="0.25">
      <c r="A3886" s="8">
        <v>50</v>
      </c>
      <c r="B3886" s="8">
        <v>72</v>
      </c>
      <c r="C3886" s="8">
        <v>4414.7548829999996</v>
      </c>
      <c r="D3886" s="8">
        <v>156250.546875</v>
      </c>
      <c r="E3886" s="8">
        <v>156272.234375</v>
      </c>
      <c r="F3886" s="8">
        <f t="shared" si="120"/>
        <v>21.6875</v>
      </c>
      <c r="G3886" s="8">
        <f t="shared" si="121"/>
        <v>2.1687499999999998E-2</v>
      </c>
    </row>
    <row r="3887" spans="1:7" x14ac:dyDescent="0.25">
      <c r="A3887" s="8">
        <v>50</v>
      </c>
      <c r="B3887" s="8">
        <v>73</v>
      </c>
      <c r="C3887" s="8">
        <v>444.88372800000002</v>
      </c>
      <c r="D3887" s="8">
        <v>160689.40625</v>
      </c>
      <c r="E3887" s="8">
        <v>160699.09375</v>
      </c>
      <c r="F3887" s="8">
        <f t="shared" si="120"/>
        <v>9.6875</v>
      </c>
      <c r="G3887" s="8">
        <f t="shared" si="121"/>
        <v>9.6874999999999999E-3</v>
      </c>
    </row>
    <row r="3888" spans="1:7" x14ac:dyDescent="0.25">
      <c r="A3888" s="8">
        <v>50</v>
      </c>
      <c r="B3888" s="8">
        <v>74</v>
      </c>
      <c r="C3888" s="8">
        <v>285.71343999999999</v>
      </c>
      <c r="D3888" s="8">
        <v>161158.3125</v>
      </c>
      <c r="E3888" s="8">
        <v>161181.65625</v>
      </c>
      <c r="F3888" s="8">
        <f t="shared" si="120"/>
        <v>23.34375</v>
      </c>
      <c r="G3888" s="8">
        <f t="shared" si="121"/>
        <v>2.334375E-2</v>
      </c>
    </row>
    <row r="3889" spans="1:7" x14ac:dyDescent="0.25">
      <c r="A3889" s="8">
        <v>50</v>
      </c>
      <c r="B3889" s="8">
        <v>75</v>
      </c>
      <c r="C3889" s="8">
        <v>180.85386700000001</v>
      </c>
      <c r="D3889" s="8">
        <v>161470.796875</v>
      </c>
      <c r="E3889" s="8">
        <v>161491.734375</v>
      </c>
      <c r="F3889" s="8">
        <f t="shared" si="120"/>
        <v>20.9375</v>
      </c>
      <c r="G3889" s="8">
        <f t="shared" si="121"/>
        <v>2.0937500000000001E-2</v>
      </c>
    </row>
    <row r="3890" spans="1:7" x14ac:dyDescent="0.25">
      <c r="A3890" s="8">
        <v>50</v>
      </c>
      <c r="B3890" s="8">
        <v>76</v>
      </c>
      <c r="C3890" s="8">
        <v>1167.994629</v>
      </c>
      <c r="D3890" s="8">
        <v>161673.984375</v>
      </c>
      <c r="E3890" s="8">
        <v>161693.890625</v>
      </c>
      <c r="F3890" s="8">
        <f t="shared" si="120"/>
        <v>19.90625</v>
      </c>
      <c r="G3890" s="8">
        <f t="shared" si="121"/>
        <v>1.990625E-2</v>
      </c>
    </row>
    <row r="3891" spans="1:7" x14ac:dyDescent="0.25">
      <c r="A3891" s="8">
        <v>50</v>
      </c>
      <c r="B3891" s="8">
        <v>77</v>
      </c>
      <c r="C3891" s="8">
        <v>3121.6066890000002</v>
      </c>
      <c r="D3891" s="8">
        <v>162862.125</v>
      </c>
      <c r="E3891" s="8">
        <v>162882.4375</v>
      </c>
      <c r="F3891" s="8">
        <f t="shared" si="120"/>
        <v>20.3125</v>
      </c>
      <c r="G3891" s="8">
        <f t="shared" si="121"/>
        <v>2.0312500000000001E-2</v>
      </c>
    </row>
    <row r="3892" spans="1:7" x14ac:dyDescent="0.25">
      <c r="A3892" s="8">
        <v>50</v>
      </c>
      <c r="B3892" s="8">
        <v>78</v>
      </c>
      <c r="C3892" s="8">
        <v>3343.9892580000001</v>
      </c>
      <c r="D3892" s="8">
        <v>166014.875</v>
      </c>
      <c r="E3892" s="8">
        <v>166043.71875</v>
      </c>
      <c r="F3892" s="8">
        <f t="shared" si="120"/>
        <v>28.84375</v>
      </c>
      <c r="G3892" s="8">
        <f t="shared" si="121"/>
        <v>2.8843750000000001E-2</v>
      </c>
    </row>
    <row r="3893" spans="1:7" x14ac:dyDescent="0.25">
      <c r="A3893" s="8">
        <v>50</v>
      </c>
      <c r="B3893" s="8">
        <v>79</v>
      </c>
      <c r="C3893" s="8">
        <v>249.15472399999999</v>
      </c>
      <c r="D3893" s="8">
        <v>169392.171875</v>
      </c>
      <c r="E3893" s="8">
        <v>169410.8125</v>
      </c>
      <c r="F3893" s="8">
        <f t="shared" si="120"/>
        <v>18.640625</v>
      </c>
      <c r="G3893" s="8">
        <f t="shared" si="121"/>
        <v>1.8640625000000001E-2</v>
      </c>
    </row>
    <row r="3894" spans="1:7" x14ac:dyDescent="0.25">
      <c r="A3894" s="8">
        <v>50</v>
      </c>
      <c r="B3894" s="8">
        <v>80</v>
      </c>
      <c r="C3894" s="8">
        <v>4371.388672</v>
      </c>
      <c r="D3894" s="8">
        <v>169673.5</v>
      </c>
      <c r="E3894" s="8">
        <v>169689.578125</v>
      </c>
      <c r="F3894" s="8">
        <f t="shared" si="120"/>
        <v>16.078125</v>
      </c>
      <c r="G3894" s="8">
        <f t="shared" si="121"/>
        <v>1.6078124999999999E-2</v>
      </c>
    </row>
    <row r="3895" spans="1:7" x14ac:dyDescent="0.25">
      <c r="A3895" s="8">
        <v>51</v>
      </c>
      <c r="B3895" s="8">
        <v>0</v>
      </c>
      <c r="C3895" s="8">
        <v>390.06109600000002</v>
      </c>
      <c r="D3895" s="8">
        <v>25209.398438</v>
      </c>
      <c r="E3895" s="8">
        <v>25217.210938</v>
      </c>
      <c r="F3895" s="8">
        <f t="shared" si="120"/>
        <v>7.8125</v>
      </c>
      <c r="G3895" s="8">
        <f t="shared" si="121"/>
        <v>7.8125E-3</v>
      </c>
    </row>
    <row r="3896" spans="1:7" x14ac:dyDescent="0.25">
      <c r="A3896" s="8">
        <v>51</v>
      </c>
      <c r="B3896" s="8">
        <v>1</v>
      </c>
      <c r="C3896" s="8">
        <v>4024.7463379999999</v>
      </c>
      <c r="D3896" s="8">
        <v>25615.664063</v>
      </c>
      <c r="E3896" s="8">
        <v>25626.722656000002</v>
      </c>
      <c r="F3896" s="8">
        <f t="shared" si="120"/>
        <v>11.058593000001565</v>
      </c>
      <c r="G3896" s="8">
        <f t="shared" si="121"/>
        <v>1.1058593000001565E-2</v>
      </c>
    </row>
    <row r="3897" spans="1:7" x14ac:dyDescent="0.25">
      <c r="A3897" s="8">
        <v>51</v>
      </c>
      <c r="B3897" s="8">
        <v>2</v>
      </c>
      <c r="C3897" s="8">
        <v>728.74664299999995</v>
      </c>
      <c r="D3897" s="8">
        <v>29652.794922000001</v>
      </c>
      <c r="E3897" s="8">
        <v>29671.433593999998</v>
      </c>
      <c r="F3897" s="8">
        <f t="shared" si="120"/>
        <v>18.638671999997314</v>
      </c>
      <c r="G3897" s="8">
        <f t="shared" si="121"/>
        <v>1.8638671999997313E-2</v>
      </c>
    </row>
    <row r="3898" spans="1:7" x14ac:dyDescent="0.25">
      <c r="A3898" s="8">
        <v>51</v>
      </c>
      <c r="B3898" s="8">
        <v>3</v>
      </c>
      <c r="C3898" s="8">
        <v>646.29095500000005</v>
      </c>
      <c r="D3898" s="8">
        <v>30406.023438</v>
      </c>
      <c r="E3898" s="8">
        <v>30432.427734000001</v>
      </c>
      <c r="F3898" s="8">
        <f t="shared" si="120"/>
        <v>26.404296000000613</v>
      </c>
      <c r="G3898" s="8">
        <f t="shared" si="121"/>
        <v>2.6404296000000615E-2</v>
      </c>
    </row>
    <row r="3899" spans="1:7" x14ac:dyDescent="0.25">
      <c r="A3899" s="8">
        <v>51</v>
      </c>
      <c r="B3899" s="8">
        <v>4</v>
      </c>
      <c r="C3899" s="8">
        <v>1728.7822269999999</v>
      </c>
      <c r="D3899" s="8">
        <v>31081.615234000001</v>
      </c>
      <c r="E3899" s="8">
        <v>31103.386718999998</v>
      </c>
      <c r="F3899" s="8">
        <f t="shared" si="120"/>
        <v>21.771484999997483</v>
      </c>
      <c r="G3899" s="8">
        <f t="shared" si="121"/>
        <v>2.1771484999997485E-2</v>
      </c>
    </row>
    <row r="3900" spans="1:7" x14ac:dyDescent="0.25">
      <c r="A3900" s="8">
        <v>51</v>
      </c>
      <c r="B3900" s="8">
        <v>5</v>
      </c>
      <c r="C3900" s="8">
        <v>687.18005400000004</v>
      </c>
      <c r="D3900" s="8">
        <v>32832.628905999998</v>
      </c>
      <c r="E3900" s="8">
        <v>32843.617187999997</v>
      </c>
      <c r="F3900" s="8">
        <f t="shared" si="120"/>
        <v>10.988281999998435</v>
      </c>
      <c r="G3900" s="8">
        <f t="shared" si="121"/>
        <v>1.0988281999998436E-2</v>
      </c>
    </row>
    <row r="3901" spans="1:7" x14ac:dyDescent="0.25">
      <c r="A3901" s="8">
        <v>51</v>
      </c>
      <c r="B3901" s="8">
        <v>6</v>
      </c>
      <c r="C3901" s="8">
        <v>5.256043</v>
      </c>
      <c r="D3901" s="8">
        <v>33540.695312999997</v>
      </c>
      <c r="E3901" s="8">
        <v>33560.613280999998</v>
      </c>
      <c r="F3901" s="8">
        <f t="shared" si="120"/>
        <v>19.917968000001565</v>
      </c>
      <c r="G3901" s="8">
        <f t="shared" si="121"/>
        <v>1.9917968000001566E-2</v>
      </c>
    </row>
    <row r="3902" spans="1:7" x14ac:dyDescent="0.25">
      <c r="A3902" s="8">
        <v>51</v>
      </c>
      <c r="B3902" s="8">
        <v>7</v>
      </c>
      <c r="C3902" s="8">
        <v>2408.9833979999999</v>
      </c>
      <c r="D3902" s="8">
        <v>33571.945312999997</v>
      </c>
      <c r="E3902" s="8">
        <v>33585.910155999998</v>
      </c>
      <c r="F3902" s="8">
        <f t="shared" si="120"/>
        <v>13.964843000001565</v>
      </c>
      <c r="G3902" s="8">
        <f t="shared" si="121"/>
        <v>1.3964843000001566E-2</v>
      </c>
    </row>
    <row r="3903" spans="1:7" x14ac:dyDescent="0.25">
      <c r="A3903" s="8">
        <v>51</v>
      </c>
      <c r="B3903" s="8">
        <v>8</v>
      </c>
      <c r="C3903" s="8">
        <v>1293.3321530000001</v>
      </c>
      <c r="D3903" s="8">
        <v>35998.902344000002</v>
      </c>
      <c r="E3903" s="8">
        <v>36016.148437999997</v>
      </c>
      <c r="F3903" s="8">
        <f t="shared" si="120"/>
        <v>17.246093999994628</v>
      </c>
      <c r="G3903" s="8">
        <f t="shared" si="121"/>
        <v>1.7246093999994629E-2</v>
      </c>
    </row>
    <row r="3904" spans="1:7" x14ac:dyDescent="0.25">
      <c r="A3904" s="8">
        <v>51</v>
      </c>
      <c r="B3904" s="8">
        <v>9</v>
      </c>
      <c r="C3904" s="8">
        <v>5598.5585940000001</v>
      </c>
      <c r="D3904" s="8">
        <v>37315.953125</v>
      </c>
      <c r="E3904" s="8">
        <v>37339.488280999998</v>
      </c>
      <c r="F3904" s="8">
        <f t="shared" si="120"/>
        <v>23.535155999998096</v>
      </c>
      <c r="G3904" s="8">
        <f t="shared" si="121"/>
        <v>2.3535155999998097E-2</v>
      </c>
    </row>
    <row r="3905" spans="1:7" x14ac:dyDescent="0.25">
      <c r="A3905" s="8">
        <v>51</v>
      </c>
      <c r="B3905" s="8">
        <v>10</v>
      </c>
      <c r="C3905" s="8">
        <v>1331.0924070000001</v>
      </c>
      <c r="D3905" s="8">
        <v>42939.546875</v>
      </c>
      <c r="E3905" s="8">
        <v>42958.964844000002</v>
      </c>
      <c r="F3905" s="8">
        <f t="shared" si="120"/>
        <v>19.417969000001904</v>
      </c>
      <c r="G3905" s="8">
        <f t="shared" si="121"/>
        <v>1.9417969000001905E-2</v>
      </c>
    </row>
    <row r="3906" spans="1:7" x14ac:dyDescent="0.25">
      <c r="A3906" s="8">
        <v>51</v>
      </c>
      <c r="B3906" s="8">
        <v>11</v>
      </c>
      <c r="C3906" s="8">
        <v>1889.9785159999999</v>
      </c>
      <c r="D3906" s="8">
        <v>44303.070312999997</v>
      </c>
      <c r="E3906" s="8">
        <v>44320.675780999998</v>
      </c>
      <c r="F3906" s="8">
        <f t="shared" si="120"/>
        <v>17.605468000001565</v>
      </c>
      <c r="G3906" s="8">
        <f t="shared" si="121"/>
        <v>1.7605468000001564E-2</v>
      </c>
    </row>
    <row r="3907" spans="1:7" x14ac:dyDescent="0.25">
      <c r="A3907" s="8">
        <v>51</v>
      </c>
      <c r="B3907" s="8">
        <v>12</v>
      </c>
      <c r="C3907" s="8">
        <v>2541.3066410000001</v>
      </c>
      <c r="D3907" s="8">
        <v>46217.550780999998</v>
      </c>
      <c r="E3907" s="8">
        <v>46228.097655999998</v>
      </c>
      <c r="F3907" s="8">
        <f t="shared" si="120"/>
        <v>10.546875</v>
      </c>
      <c r="G3907" s="8">
        <f t="shared" si="121"/>
        <v>1.0546875000000001E-2</v>
      </c>
    </row>
    <row r="3908" spans="1:7" x14ac:dyDescent="0.25">
      <c r="A3908" s="8">
        <v>51</v>
      </c>
      <c r="B3908" s="8">
        <v>13</v>
      </c>
      <c r="C3908" s="8">
        <v>206.60862700000001</v>
      </c>
      <c r="D3908" s="8">
        <v>48783.125</v>
      </c>
      <c r="E3908" s="8">
        <v>48790.808594000002</v>
      </c>
      <c r="F3908" s="8">
        <f t="shared" si="120"/>
        <v>7.6835940000019036</v>
      </c>
      <c r="G3908" s="8">
        <f t="shared" si="121"/>
        <v>7.683594000001904E-3</v>
      </c>
    </row>
    <row r="3909" spans="1:7" x14ac:dyDescent="0.25">
      <c r="A3909" s="8">
        <v>51</v>
      </c>
      <c r="B3909" s="8">
        <v>14</v>
      </c>
      <c r="C3909" s="8">
        <v>4392.1308589999999</v>
      </c>
      <c r="D3909" s="8">
        <v>49012.210937999997</v>
      </c>
      <c r="E3909" s="8">
        <v>49027.347655999998</v>
      </c>
      <c r="F3909" s="8">
        <f t="shared" si="120"/>
        <v>15.136718000001565</v>
      </c>
      <c r="G3909" s="8">
        <f t="shared" si="121"/>
        <v>1.5136718000001565E-2</v>
      </c>
    </row>
    <row r="3910" spans="1:7" x14ac:dyDescent="0.25">
      <c r="A3910" s="8">
        <v>51</v>
      </c>
      <c r="B3910" s="8">
        <v>15</v>
      </c>
      <c r="C3910" s="8">
        <v>276.230591</v>
      </c>
      <c r="D3910" s="8">
        <v>53421.257812999997</v>
      </c>
      <c r="E3910" s="8">
        <v>53429.167969000002</v>
      </c>
      <c r="F3910" s="8">
        <f t="shared" si="120"/>
        <v>7.9101560000053723</v>
      </c>
      <c r="G3910" s="8">
        <f t="shared" si="121"/>
        <v>7.9101560000053722E-3</v>
      </c>
    </row>
    <row r="3911" spans="1:7" x14ac:dyDescent="0.25">
      <c r="A3911" s="8">
        <v>51</v>
      </c>
      <c r="B3911" s="8">
        <v>16</v>
      </c>
      <c r="C3911" s="8">
        <v>4468.7514650000003</v>
      </c>
      <c r="D3911" s="8">
        <v>53718.117187999997</v>
      </c>
      <c r="E3911" s="8">
        <v>53740.652344000002</v>
      </c>
      <c r="F3911" s="8">
        <f t="shared" si="120"/>
        <v>22.535156000005372</v>
      </c>
      <c r="G3911" s="8">
        <f t="shared" si="121"/>
        <v>2.2535156000005371E-2</v>
      </c>
    </row>
    <row r="3912" spans="1:7" x14ac:dyDescent="0.25">
      <c r="A3912" s="8">
        <v>51</v>
      </c>
      <c r="B3912" s="8">
        <v>17</v>
      </c>
      <c r="C3912" s="8">
        <v>2308.1584469999998</v>
      </c>
      <c r="D3912" s="8">
        <v>58210.9375</v>
      </c>
      <c r="E3912" s="8">
        <v>58222.027344000002</v>
      </c>
      <c r="F3912" s="8">
        <f t="shared" si="120"/>
        <v>11.089844000001904</v>
      </c>
      <c r="G3912" s="8">
        <f t="shared" si="121"/>
        <v>1.1089844000001904E-2</v>
      </c>
    </row>
    <row r="3913" spans="1:7" x14ac:dyDescent="0.25">
      <c r="A3913" s="8">
        <v>51</v>
      </c>
      <c r="B3913" s="8">
        <v>18</v>
      </c>
      <c r="C3913" s="8">
        <v>5848.2158200000003</v>
      </c>
      <c r="D3913" s="8">
        <v>60544.355469000002</v>
      </c>
      <c r="E3913" s="8">
        <v>60567.3125</v>
      </c>
      <c r="F3913" s="8">
        <f t="shared" si="120"/>
        <v>22.957030999998096</v>
      </c>
      <c r="G3913" s="8">
        <f t="shared" si="121"/>
        <v>2.2957030999998098E-2</v>
      </c>
    </row>
    <row r="3914" spans="1:7" x14ac:dyDescent="0.25">
      <c r="A3914" s="8">
        <v>51</v>
      </c>
      <c r="B3914" s="8">
        <v>19</v>
      </c>
      <c r="C3914" s="8">
        <v>187.21133399999999</v>
      </c>
      <c r="D3914" s="8">
        <v>66418.609375</v>
      </c>
      <c r="E3914" s="8">
        <v>66435.96875</v>
      </c>
      <c r="F3914" s="8">
        <f t="shared" si="120"/>
        <v>17.359375</v>
      </c>
      <c r="G3914" s="8">
        <f t="shared" si="121"/>
        <v>1.7359375E-2</v>
      </c>
    </row>
    <row r="3915" spans="1:7" x14ac:dyDescent="0.25">
      <c r="A3915" s="8">
        <v>51</v>
      </c>
      <c r="B3915" s="8">
        <v>20</v>
      </c>
      <c r="C3915" s="8">
        <v>3945.9536130000001</v>
      </c>
      <c r="D3915" s="8">
        <v>66637.367188000004</v>
      </c>
      <c r="E3915" s="8">
        <v>66654.617188000004</v>
      </c>
      <c r="F3915" s="8">
        <f t="shared" ref="F3915:F3978" si="122">E3915-D3915</f>
        <v>17.25</v>
      </c>
      <c r="G3915" s="8">
        <f t="shared" ref="G3915:G3978" si="123">F3915/1000</f>
        <v>1.7250000000000001E-2</v>
      </c>
    </row>
    <row r="3916" spans="1:7" x14ac:dyDescent="0.25">
      <c r="A3916" s="8">
        <v>51</v>
      </c>
      <c r="B3916" s="8">
        <v>21</v>
      </c>
      <c r="C3916" s="8">
        <v>1342.5249020000001</v>
      </c>
      <c r="D3916" s="8">
        <v>70601.265625</v>
      </c>
      <c r="E3916" s="8">
        <v>70613.039063000004</v>
      </c>
      <c r="F3916" s="8">
        <f t="shared" si="122"/>
        <v>11.773438000003807</v>
      </c>
      <c r="G3916" s="8">
        <f t="shared" si="123"/>
        <v>1.1773438000003807E-2</v>
      </c>
    </row>
    <row r="3917" spans="1:7" x14ac:dyDescent="0.25">
      <c r="A3917" s="8">
        <v>51</v>
      </c>
      <c r="B3917" s="8">
        <v>22</v>
      </c>
      <c r="C3917" s="8">
        <v>2046.7166749999999</v>
      </c>
      <c r="D3917" s="8">
        <v>71963.898438000004</v>
      </c>
      <c r="E3917" s="8">
        <v>71988.882813000004</v>
      </c>
      <c r="F3917" s="8">
        <f t="shared" si="122"/>
        <v>24.984375</v>
      </c>
      <c r="G3917" s="8">
        <f t="shared" si="123"/>
        <v>2.4984375E-2</v>
      </c>
    </row>
    <row r="3918" spans="1:7" x14ac:dyDescent="0.25">
      <c r="A3918" s="8">
        <v>51</v>
      </c>
      <c r="B3918" s="8">
        <v>23</v>
      </c>
      <c r="C3918" s="8">
        <v>8728.1816409999992</v>
      </c>
      <c r="D3918" s="8">
        <v>74046.976563000004</v>
      </c>
      <c r="E3918" s="8">
        <v>74065.554688000004</v>
      </c>
      <c r="F3918" s="8">
        <f t="shared" si="122"/>
        <v>18.578125</v>
      </c>
      <c r="G3918" s="8">
        <f t="shared" si="123"/>
        <v>1.8578125000000001E-2</v>
      </c>
    </row>
    <row r="3919" spans="1:7" x14ac:dyDescent="0.25">
      <c r="A3919" s="8">
        <v>51</v>
      </c>
      <c r="B3919" s="8">
        <v>24</v>
      </c>
      <c r="C3919" s="8">
        <v>760.27551300000005</v>
      </c>
      <c r="D3919" s="8">
        <v>82808.101563000004</v>
      </c>
      <c r="E3919" s="8">
        <v>82825.203125</v>
      </c>
      <c r="F3919" s="8">
        <f t="shared" si="122"/>
        <v>17.101561999996193</v>
      </c>
      <c r="G3919" s="8">
        <f t="shared" si="123"/>
        <v>1.7101561999996191E-2</v>
      </c>
    </row>
    <row r="3920" spans="1:7" x14ac:dyDescent="0.25">
      <c r="A3920" s="8">
        <v>51</v>
      </c>
      <c r="B3920" s="8">
        <v>25</v>
      </c>
      <c r="C3920" s="8">
        <v>1024.5219729999999</v>
      </c>
      <c r="D3920" s="8">
        <v>83593.59375</v>
      </c>
      <c r="E3920" s="8">
        <v>83601.390625</v>
      </c>
      <c r="F3920" s="8">
        <f t="shared" si="122"/>
        <v>7.796875</v>
      </c>
      <c r="G3920" s="8">
        <f t="shared" si="123"/>
        <v>7.796875E-3</v>
      </c>
    </row>
    <row r="3921" spans="1:7" x14ac:dyDescent="0.25">
      <c r="A3921" s="8">
        <v>51</v>
      </c>
      <c r="B3921" s="8">
        <v>26</v>
      </c>
      <c r="C3921" s="8">
        <v>4557.9404299999997</v>
      </c>
      <c r="D3921" s="8">
        <v>84625.960938000004</v>
      </c>
      <c r="E3921" s="8">
        <v>84642.070313000004</v>
      </c>
      <c r="F3921" s="8">
        <f t="shared" si="122"/>
        <v>16.109375</v>
      </c>
      <c r="G3921" s="8">
        <f t="shared" si="123"/>
        <v>1.6109374999999999E-2</v>
      </c>
    </row>
    <row r="3922" spans="1:7" x14ac:dyDescent="0.25">
      <c r="A3922" s="8">
        <v>51</v>
      </c>
      <c r="B3922" s="8">
        <v>27</v>
      </c>
      <c r="C3922" s="8">
        <v>2851.2033689999998</v>
      </c>
      <c r="D3922" s="8">
        <v>89209.28125</v>
      </c>
      <c r="E3922" s="8">
        <v>89220.398438000004</v>
      </c>
      <c r="F3922" s="8">
        <f t="shared" si="122"/>
        <v>11.117188000003807</v>
      </c>
      <c r="G3922" s="8">
        <f t="shared" si="123"/>
        <v>1.1117188000003808E-2</v>
      </c>
    </row>
    <row r="3923" spans="1:7" x14ac:dyDescent="0.25">
      <c r="A3923" s="8">
        <v>51</v>
      </c>
      <c r="B3923" s="8">
        <v>28</v>
      </c>
      <c r="C3923" s="8">
        <v>3266.8728030000002</v>
      </c>
      <c r="D3923" s="8">
        <v>92073.757813000004</v>
      </c>
      <c r="E3923" s="8">
        <v>92098.117188000004</v>
      </c>
      <c r="F3923" s="8">
        <f t="shared" si="122"/>
        <v>24.359375</v>
      </c>
      <c r="G3923" s="8">
        <f t="shared" si="123"/>
        <v>2.4359374999999999E-2</v>
      </c>
    </row>
    <row r="3924" spans="1:7" x14ac:dyDescent="0.25">
      <c r="A3924" s="8">
        <v>51</v>
      </c>
      <c r="B3924" s="8">
        <v>29</v>
      </c>
      <c r="C3924" s="8">
        <v>476.002838</v>
      </c>
      <c r="D3924" s="8">
        <v>95374.65625</v>
      </c>
      <c r="E3924" s="8">
        <v>95388.1875</v>
      </c>
      <c r="F3924" s="8">
        <f t="shared" si="122"/>
        <v>13.53125</v>
      </c>
      <c r="G3924" s="8">
        <f t="shared" si="123"/>
        <v>1.353125E-2</v>
      </c>
    </row>
    <row r="3925" spans="1:7" x14ac:dyDescent="0.25">
      <c r="A3925" s="8">
        <v>51</v>
      </c>
      <c r="B3925" s="8">
        <v>30</v>
      </c>
      <c r="C3925" s="8">
        <v>1620.9145510000001</v>
      </c>
      <c r="D3925" s="8">
        <v>95865.921875</v>
      </c>
      <c r="E3925" s="8">
        <v>95881.515625</v>
      </c>
      <c r="F3925" s="8">
        <f t="shared" si="122"/>
        <v>15.59375</v>
      </c>
      <c r="G3925" s="8">
        <f t="shared" si="123"/>
        <v>1.559375E-2</v>
      </c>
    </row>
    <row r="3926" spans="1:7" x14ac:dyDescent="0.25">
      <c r="A3926" s="8">
        <v>51</v>
      </c>
      <c r="B3926" s="8">
        <v>31</v>
      </c>
      <c r="C3926" s="8">
        <v>2811.7277829999998</v>
      </c>
      <c r="D3926" s="8">
        <v>97512.859375</v>
      </c>
      <c r="E3926" s="8">
        <v>97524.375</v>
      </c>
      <c r="F3926" s="8">
        <f t="shared" si="122"/>
        <v>11.515625</v>
      </c>
      <c r="G3926" s="8">
        <f t="shared" si="123"/>
        <v>1.1515625E-2</v>
      </c>
    </row>
    <row r="3927" spans="1:7" x14ac:dyDescent="0.25">
      <c r="A3927" s="8">
        <v>51</v>
      </c>
      <c r="B3927" s="8">
        <v>32</v>
      </c>
      <c r="C3927" s="8">
        <v>429.16345200000001</v>
      </c>
      <c r="D3927" s="8">
        <v>100338.90625</v>
      </c>
      <c r="E3927" s="8">
        <v>100359.039063</v>
      </c>
      <c r="F3927" s="8">
        <f t="shared" si="122"/>
        <v>20.132813000003807</v>
      </c>
      <c r="G3927" s="8">
        <f t="shared" si="123"/>
        <v>2.0132813000003809E-2</v>
      </c>
    </row>
    <row r="3928" spans="1:7" x14ac:dyDescent="0.25">
      <c r="A3928" s="8">
        <v>51</v>
      </c>
      <c r="B3928" s="8">
        <v>33</v>
      </c>
      <c r="C3928" s="8">
        <v>181.65576200000001</v>
      </c>
      <c r="D3928" s="8">
        <v>100792.0625</v>
      </c>
      <c r="E3928" s="8">
        <v>100803.390625</v>
      </c>
      <c r="F3928" s="8">
        <f t="shared" si="122"/>
        <v>11.328125</v>
      </c>
      <c r="G3928" s="8">
        <f t="shared" si="123"/>
        <v>1.1328125E-2</v>
      </c>
    </row>
    <row r="3929" spans="1:7" x14ac:dyDescent="0.25">
      <c r="A3929" s="8">
        <v>51</v>
      </c>
      <c r="B3929" s="8">
        <v>34</v>
      </c>
      <c r="C3929" s="8">
        <v>781.00305200000003</v>
      </c>
      <c r="D3929" s="8">
        <v>100995.21875</v>
      </c>
      <c r="E3929" s="8">
        <v>101010.53125</v>
      </c>
      <c r="F3929" s="8">
        <f t="shared" si="122"/>
        <v>15.3125</v>
      </c>
      <c r="G3929" s="8">
        <f t="shared" si="123"/>
        <v>1.53125E-2</v>
      </c>
    </row>
    <row r="3930" spans="1:7" x14ac:dyDescent="0.25">
      <c r="A3930" s="8">
        <v>51</v>
      </c>
      <c r="B3930" s="8">
        <v>35</v>
      </c>
      <c r="C3930" s="8">
        <v>2625.2534179999998</v>
      </c>
      <c r="D3930" s="8">
        <v>101791.882813</v>
      </c>
      <c r="E3930" s="8">
        <v>101805.703125</v>
      </c>
      <c r="F3930" s="8">
        <f t="shared" si="122"/>
        <v>13.820311999996193</v>
      </c>
      <c r="G3930" s="8">
        <f t="shared" si="123"/>
        <v>1.3820311999996194E-2</v>
      </c>
    </row>
    <row r="3931" spans="1:7" x14ac:dyDescent="0.25">
      <c r="A3931" s="8">
        <v>51</v>
      </c>
      <c r="B3931" s="8">
        <v>36</v>
      </c>
      <c r="C3931" s="8">
        <v>99.675010999999998</v>
      </c>
      <c r="D3931" s="8">
        <v>104440.875</v>
      </c>
      <c r="E3931" s="8">
        <v>104452</v>
      </c>
      <c r="F3931" s="8">
        <f t="shared" si="122"/>
        <v>11.125</v>
      </c>
      <c r="G3931" s="8">
        <f t="shared" si="123"/>
        <v>1.1124999999999999E-2</v>
      </c>
    </row>
    <row r="3932" spans="1:7" x14ac:dyDescent="0.25">
      <c r="A3932" s="8">
        <v>51</v>
      </c>
      <c r="B3932" s="8">
        <v>37</v>
      </c>
      <c r="C3932" s="8">
        <v>714.56231700000001</v>
      </c>
      <c r="D3932" s="8">
        <v>104565.867188</v>
      </c>
      <c r="E3932" s="8">
        <v>104576.851563</v>
      </c>
      <c r="F3932" s="8">
        <f t="shared" si="122"/>
        <v>10.984375</v>
      </c>
      <c r="G3932" s="8">
        <f t="shared" si="123"/>
        <v>1.0984374999999999E-2</v>
      </c>
    </row>
    <row r="3933" spans="1:7" x14ac:dyDescent="0.25">
      <c r="A3933" s="8">
        <v>51</v>
      </c>
      <c r="B3933" s="8">
        <v>38</v>
      </c>
      <c r="C3933" s="8">
        <v>5985.7958980000003</v>
      </c>
      <c r="D3933" s="8">
        <v>105300.367188</v>
      </c>
      <c r="E3933" s="8">
        <v>105321.304688</v>
      </c>
      <c r="F3933" s="8">
        <f t="shared" si="122"/>
        <v>20.9375</v>
      </c>
      <c r="G3933" s="8">
        <f t="shared" si="123"/>
        <v>2.0937500000000001E-2</v>
      </c>
    </row>
    <row r="3934" spans="1:7" x14ac:dyDescent="0.25">
      <c r="A3934" s="8">
        <v>51</v>
      </c>
      <c r="B3934" s="8">
        <v>39</v>
      </c>
      <c r="C3934" s="8">
        <v>514.864868</v>
      </c>
      <c r="D3934" s="8">
        <v>111314.710938</v>
      </c>
      <c r="E3934" s="8">
        <v>111328.203125</v>
      </c>
      <c r="F3934" s="8">
        <f t="shared" si="122"/>
        <v>13.492186999996193</v>
      </c>
      <c r="G3934" s="8">
        <f t="shared" si="123"/>
        <v>1.3492186999996193E-2</v>
      </c>
    </row>
    <row r="3935" spans="1:7" x14ac:dyDescent="0.25">
      <c r="A3935" s="8">
        <v>51</v>
      </c>
      <c r="B3935" s="8">
        <v>40</v>
      </c>
      <c r="C3935" s="8">
        <v>4597.0688479999999</v>
      </c>
      <c r="D3935" s="8">
        <v>111848.632813</v>
      </c>
      <c r="E3935" s="8">
        <v>111868.445313</v>
      </c>
      <c r="F3935" s="8">
        <f t="shared" si="122"/>
        <v>19.8125</v>
      </c>
      <c r="G3935" s="8">
        <f t="shared" si="123"/>
        <v>1.98125E-2</v>
      </c>
    </row>
    <row r="3936" spans="1:7" x14ac:dyDescent="0.25">
      <c r="A3936" s="8">
        <v>51</v>
      </c>
      <c r="B3936" s="8">
        <v>41</v>
      </c>
      <c r="C3936" s="8">
        <v>799.30602999999996</v>
      </c>
      <c r="D3936" s="8">
        <v>116473.882813</v>
      </c>
      <c r="E3936" s="8">
        <v>116493.453125</v>
      </c>
      <c r="F3936" s="8">
        <f t="shared" si="122"/>
        <v>19.570311999996193</v>
      </c>
      <c r="G3936" s="8">
        <f t="shared" si="123"/>
        <v>1.9570311999996193E-2</v>
      </c>
    </row>
    <row r="3937" spans="1:7" x14ac:dyDescent="0.25">
      <c r="A3937" s="8">
        <v>51</v>
      </c>
      <c r="B3937" s="8">
        <v>42</v>
      </c>
      <c r="C3937" s="8">
        <v>766.17571999999996</v>
      </c>
      <c r="D3937" s="8">
        <v>117301.1875</v>
      </c>
      <c r="E3937" s="8">
        <v>117314.9375</v>
      </c>
      <c r="F3937" s="8">
        <f t="shared" si="122"/>
        <v>13.75</v>
      </c>
      <c r="G3937" s="8">
        <f t="shared" si="123"/>
        <v>1.375E-2</v>
      </c>
    </row>
    <row r="3938" spans="1:7" x14ac:dyDescent="0.25">
      <c r="A3938" s="8">
        <v>51</v>
      </c>
      <c r="B3938" s="8">
        <v>43</v>
      </c>
      <c r="C3938" s="8">
        <v>329.20352200000002</v>
      </c>
      <c r="D3938" s="8">
        <v>118088.085938</v>
      </c>
      <c r="E3938" s="8">
        <v>118104.6875</v>
      </c>
      <c r="F3938" s="8">
        <f t="shared" si="122"/>
        <v>16.601561999996193</v>
      </c>
      <c r="G3938" s="8">
        <f t="shared" si="123"/>
        <v>1.6601561999996194E-2</v>
      </c>
    </row>
    <row r="3939" spans="1:7" x14ac:dyDescent="0.25">
      <c r="A3939" s="8">
        <v>51</v>
      </c>
      <c r="B3939" s="8">
        <v>44</v>
      </c>
      <c r="C3939" s="8">
        <v>3738.088135</v>
      </c>
      <c r="D3939" s="8">
        <v>118447.570313</v>
      </c>
      <c r="E3939" s="8">
        <v>118468.820313</v>
      </c>
      <c r="F3939" s="8">
        <f t="shared" si="122"/>
        <v>21.25</v>
      </c>
      <c r="G3939" s="8">
        <f t="shared" si="123"/>
        <v>2.1250000000000002E-2</v>
      </c>
    </row>
    <row r="3940" spans="1:7" x14ac:dyDescent="0.25">
      <c r="A3940" s="8">
        <v>51</v>
      </c>
      <c r="B3940" s="8">
        <v>45</v>
      </c>
      <c r="C3940" s="8">
        <v>4560.326172</v>
      </c>
      <c r="D3940" s="8">
        <v>122220.835938</v>
      </c>
      <c r="E3940" s="8">
        <v>122230.117188</v>
      </c>
      <c r="F3940" s="8">
        <f t="shared" si="122"/>
        <v>9.28125</v>
      </c>
      <c r="G3940" s="8">
        <f t="shared" si="123"/>
        <v>9.2812499999999996E-3</v>
      </c>
    </row>
    <row r="3941" spans="1:7" x14ac:dyDescent="0.25">
      <c r="A3941" s="8">
        <v>51</v>
      </c>
      <c r="B3941" s="8">
        <v>46</v>
      </c>
      <c r="C3941" s="8">
        <v>2331.716797</v>
      </c>
      <c r="D3941" s="8">
        <v>126799.765625</v>
      </c>
      <c r="E3941" s="8">
        <v>126813.515625</v>
      </c>
      <c r="F3941" s="8">
        <f t="shared" si="122"/>
        <v>13.75</v>
      </c>
      <c r="G3941" s="8">
        <f t="shared" si="123"/>
        <v>1.375E-2</v>
      </c>
    </row>
    <row r="3942" spans="1:7" x14ac:dyDescent="0.25">
      <c r="A3942" s="8">
        <v>51</v>
      </c>
      <c r="B3942" s="8">
        <v>47</v>
      </c>
      <c r="C3942" s="8">
        <v>5382.0288090000004</v>
      </c>
      <c r="D3942" s="8">
        <v>129145.09375</v>
      </c>
      <c r="E3942" s="8">
        <v>129167.992188</v>
      </c>
      <c r="F3942" s="8">
        <f t="shared" si="122"/>
        <v>22.898438000003807</v>
      </c>
      <c r="G3942" s="8">
        <f t="shared" si="123"/>
        <v>2.2898438000003806E-2</v>
      </c>
    </row>
    <row r="3943" spans="1:7" x14ac:dyDescent="0.25">
      <c r="A3943" s="8">
        <v>51</v>
      </c>
      <c r="B3943" s="8">
        <v>48</v>
      </c>
      <c r="C3943" s="8">
        <v>1333.944336</v>
      </c>
      <c r="D3943" s="8">
        <v>134550.671875</v>
      </c>
      <c r="E3943" s="8">
        <v>134567.8125</v>
      </c>
      <c r="F3943" s="8">
        <f t="shared" si="122"/>
        <v>17.140625</v>
      </c>
      <c r="G3943" s="8">
        <f t="shared" si="123"/>
        <v>1.7140625E-2</v>
      </c>
    </row>
    <row r="3944" spans="1:7" x14ac:dyDescent="0.25">
      <c r="A3944" s="8">
        <v>51</v>
      </c>
      <c r="B3944" s="8">
        <v>49</v>
      </c>
      <c r="C3944" s="8">
        <v>134.361649</v>
      </c>
      <c r="D3944" s="8">
        <v>135913.296875</v>
      </c>
      <c r="E3944" s="8">
        <v>135924.1875</v>
      </c>
      <c r="F3944" s="8">
        <f t="shared" si="122"/>
        <v>10.890625</v>
      </c>
      <c r="G3944" s="8">
        <f t="shared" si="123"/>
        <v>1.0890624999999999E-2</v>
      </c>
    </row>
    <row r="3945" spans="1:7" x14ac:dyDescent="0.25">
      <c r="A3945" s="8">
        <v>51</v>
      </c>
      <c r="B3945" s="8">
        <v>50</v>
      </c>
      <c r="C3945" s="8">
        <v>3260.007568</v>
      </c>
      <c r="D3945" s="8">
        <v>136069.625</v>
      </c>
      <c r="E3945" s="8">
        <v>136082.859375</v>
      </c>
      <c r="F3945" s="8">
        <f t="shared" si="122"/>
        <v>13.234375</v>
      </c>
      <c r="G3945" s="8">
        <f t="shared" si="123"/>
        <v>1.3234375E-2</v>
      </c>
    </row>
    <row r="3946" spans="1:7" x14ac:dyDescent="0.25">
      <c r="A3946" s="8">
        <v>51</v>
      </c>
      <c r="B3946" s="8">
        <v>51</v>
      </c>
      <c r="C3946" s="8">
        <v>137.432129</v>
      </c>
      <c r="D3946" s="8">
        <v>139350.109375</v>
      </c>
      <c r="E3946" s="8">
        <v>139365.546875</v>
      </c>
      <c r="F3946" s="8">
        <f t="shared" si="122"/>
        <v>15.4375</v>
      </c>
      <c r="G3946" s="8">
        <f t="shared" si="123"/>
        <v>1.54375E-2</v>
      </c>
    </row>
    <row r="3947" spans="1:7" x14ac:dyDescent="0.25">
      <c r="A3947" s="8">
        <v>51</v>
      </c>
      <c r="B3947" s="8">
        <v>52</v>
      </c>
      <c r="C3947" s="8">
        <v>2032.3323969999999</v>
      </c>
      <c r="D3947" s="8">
        <v>139506.3125</v>
      </c>
      <c r="E3947" s="8">
        <v>139534.96875</v>
      </c>
      <c r="F3947" s="8">
        <f t="shared" si="122"/>
        <v>28.65625</v>
      </c>
      <c r="G3947" s="8">
        <f t="shared" si="123"/>
        <v>2.8656250000000001E-2</v>
      </c>
    </row>
    <row r="3948" spans="1:7" x14ac:dyDescent="0.25">
      <c r="A3948" s="8">
        <v>51</v>
      </c>
      <c r="B3948" s="8">
        <v>53</v>
      </c>
      <c r="C3948" s="8">
        <v>6205.5996089999999</v>
      </c>
      <c r="D3948" s="8">
        <v>141579.296875</v>
      </c>
      <c r="E3948" s="8">
        <v>141595.875</v>
      </c>
      <c r="F3948" s="8">
        <f t="shared" si="122"/>
        <v>16.578125</v>
      </c>
      <c r="G3948" s="8">
        <f t="shared" si="123"/>
        <v>1.6578124999999999E-2</v>
      </c>
    </row>
    <row r="3949" spans="1:7" x14ac:dyDescent="0.25">
      <c r="A3949" s="8">
        <v>51</v>
      </c>
      <c r="B3949" s="8">
        <v>54</v>
      </c>
      <c r="C3949" s="8">
        <v>176.78237899999999</v>
      </c>
      <c r="D3949" s="8">
        <v>147803.0625</v>
      </c>
      <c r="E3949" s="8">
        <v>147813.125</v>
      </c>
      <c r="F3949" s="8">
        <f t="shared" si="122"/>
        <v>10.0625</v>
      </c>
      <c r="G3949" s="8">
        <f t="shared" si="123"/>
        <v>1.00625E-2</v>
      </c>
    </row>
    <row r="3950" spans="1:7" x14ac:dyDescent="0.25">
      <c r="A3950" s="8">
        <v>51</v>
      </c>
      <c r="B3950" s="8">
        <v>55</v>
      </c>
      <c r="C3950" s="8">
        <v>1107.516357</v>
      </c>
      <c r="D3950" s="8">
        <v>147993.234375</v>
      </c>
      <c r="E3950" s="8">
        <v>148007.921875</v>
      </c>
      <c r="F3950" s="8">
        <f t="shared" si="122"/>
        <v>14.6875</v>
      </c>
      <c r="G3950" s="8">
        <f t="shared" si="123"/>
        <v>1.4687499999999999E-2</v>
      </c>
    </row>
    <row r="3951" spans="1:7" x14ac:dyDescent="0.25">
      <c r="A3951" s="8">
        <v>51</v>
      </c>
      <c r="B3951" s="8">
        <v>56</v>
      </c>
      <c r="C3951" s="8">
        <v>3240.1684570000002</v>
      </c>
      <c r="D3951" s="8">
        <v>149119.171875</v>
      </c>
      <c r="E3951" s="8">
        <v>149133.125</v>
      </c>
      <c r="F3951" s="8">
        <f t="shared" si="122"/>
        <v>13.953125</v>
      </c>
      <c r="G3951" s="8">
        <f t="shared" si="123"/>
        <v>1.3953125E-2</v>
      </c>
    </row>
    <row r="3952" spans="1:7" x14ac:dyDescent="0.25">
      <c r="A3952" s="8">
        <v>51</v>
      </c>
      <c r="B3952" s="8">
        <v>57</v>
      </c>
      <c r="C3952" s="8">
        <v>486.640289</v>
      </c>
      <c r="D3952" s="8">
        <v>152374.90625</v>
      </c>
      <c r="E3952" s="8">
        <v>152385.1875</v>
      </c>
      <c r="F3952" s="8">
        <f t="shared" si="122"/>
        <v>10.28125</v>
      </c>
      <c r="G3952" s="8">
        <f t="shared" si="123"/>
        <v>1.028125E-2</v>
      </c>
    </row>
    <row r="3953" spans="1:7" x14ac:dyDescent="0.25">
      <c r="A3953" s="8">
        <v>51</v>
      </c>
      <c r="B3953" s="8">
        <v>58</v>
      </c>
      <c r="C3953" s="8">
        <v>1927.546509</v>
      </c>
      <c r="D3953" s="8">
        <v>152874.96875</v>
      </c>
      <c r="E3953" s="8">
        <v>152901.078125</v>
      </c>
      <c r="F3953" s="8">
        <f t="shared" si="122"/>
        <v>26.109375</v>
      </c>
      <c r="G3953" s="8">
        <f t="shared" si="123"/>
        <v>2.6109375000000001E-2</v>
      </c>
    </row>
    <row r="3954" spans="1:7" x14ac:dyDescent="0.25">
      <c r="A3954" s="8">
        <v>51</v>
      </c>
      <c r="B3954" s="8">
        <v>59</v>
      </c>
      <c r="C3954" s="8">
        <v>312.64987200000002</v>
      </c>
      <c r="D3954" s="8">
        <v>154828.515625</v>
      </c>
      <c r="E3954" s="8">
        <v>154849.625</v>
      </c>
      <c r="F3954" s="8">
        <f t="shared" si="122"/>
        <v>21.109375</v>
      </c>
      <c r="G3954" s="8">
        <f t="shared" si="123"/>
        <v>2.1109375E-2</v>
      </c>
    </row>
    <row r="3955" spans="1:7" x14ac:dyDescent="0.25">
      <c r="A3955" s="8">
        <v>51</v>
      </c>
      <c r="B3955" s="8">
        <v>60</v>
      </c>
      <c r="C3955" s="8">
        <v>4004.3029790000001</v>
      </c>
      <c r="D3955" s="8">
        <v>155172.25</v>
      </c>
      <c r="E3955" s="8">
        <v>155183.828125</v>
      </c>
      <c r="F3955" s="8">
        <f t="shared" si="122"/>
        <v>11.578125</v>
      </c>
      <c r="G3955" s="8">
        <f t="shared" si="123"/>
        <v>1.1578125E-2</v>
      </c>
    </row>
    <row r="3956" spans="1:7" x14ac:dyDescent="0.25">
      <c r="A3956" s="8">
        <v>51</v>
      </c>
      <c r="B3956" s="8">
        <v>61</v>
      </c>
      <c r="C3956" s="8">
        <v>3285.7172850000002</v>
      </c>
      <c r="D3956" s="8">
        <v>159189.359375</v>
      </c>
      <c r="E3956" s="8">
        <v>159216.4375</v>
      </c>
      <c r="F3956" s="8">
        <f t="shared" si="122"/>
        <v>27.078125</v>
      </c>
      <c r="G3956" s="8">
        <f t="shared" si="123"/>
        <v>2.7078125000000001E-2</v>
      </c>
    </row>
    <row r="3957" spans="1:7" x14ac:dyDescent="0.25">
      <c r="A3957" s="8">
        <v>51</v>
      </c>
      <c r="B3957" s="8">
        <v>62</v>
      </c>
      <c r="C3957" s="8">
        <v>395.18615699999998</v>
      </c>
      <c r="D3957" s="8">
        <v>162502.625</v>
      </c>
      <c r="E3957" s="8">
        <v>162517.84375</v>
      </c>
      <c r="F3957" s="8">
        <f t="shared" si="122"/>
        <v>15.21875</v>
      </c>
      <c r="G3957" s="8">
        <f t="shared" si="123"/>
        <v>1.521875E-2</v>
      </c>
    </row>
    <row r="3958" spans="1:7" x14ac:dyDescent="0.25">
      <c r="A3958" s="8">
        <v>51</v>
      </c>
      <c r="B3958" s="8">
        <v>63</v>
      </c>
      <c r="C3958" s="8">
        <v>1214.164673</v>
      </c>
      <c r="D3958" s="8">
        <v>162924.640625</v>
      </c>
      <c r="E3958" s="8">
        <v>162939.90625</v>
      </c>
      <c r="F3958" s="8">
        <f t="shared" si="122"/>
        <v>15.265625</v>
      </c>
      <c r="G3958" s="8">
        <f t="shared" si="123"/>
        <v>1.5265625E-2</v>
      </c>
    </row>
    <row r="3959" spans="1:7" x14ac:dyDescent="0.25">
      <c r="A3959" s="8">
        <v>51</v>
      </c>
      <c r="B3959" s="8">
        <v>64</v>
      </c>
      <c r="C3959" s="8">
        <v>8459.3212889999995</v>
      </c>
      <c r="D3959" s="8">
        <v>164159.140625</v>
      </c>
      <c r="E3959" s="8">
        <v>164170.921875</v>
      </c>
      <c r="F3959" s="8">
        <f t="shared" si="122"/>
        <v>11.78125</v>
      </c>
      <c r="G3959" s="8">
        <f t="shared" si="123"/>
        <v>1.178125E-2</v>
      </c>
    </row>
    <row r="3960" spans="1:7" x14ac:dyDescent="0.25">
      <c r="A3960" s="8">
        <v>52</v>
      </c>
      <c r="B3960" s="8">
        <v>0</v>
      </c>
      <c r="C3960" s="8">
        <v>2958.928711</v>
      </c>
      <c r="D3960" s="8">
        <v>20182.015625</v>
      </c>
      <c r="E3960" s="8">
        <v>20208.263672000001</v>
      </c>
      <c r="F3960" s="8">
        <f t="shared" si="122"/>
        <v>26.248047000000952</v>
      </c>
      <c r="G3960" s="8">
        <f t="shared" si="123"/>
        <v>2.6248047000000951E-2</v>
      </c>
    </row>
    <row r="3961" spans="1:7" x14ac:dyDescent="0.25">
      <c r="A3961" s="8">
        <v>52</v>
      </c>
      <c r="B3961" s="8">
        <v>1</v>
      </c>
      <c r="C3961" s="8">
        <v>2907.6032709999999</v>
      </c>
      <c r="D3961" s="8">
        <v>23175.291015999999</v>
      </c>
      <c r="E3961" s="8">
        <v>23183.892577999999</v>
      </c>
      <c r="F3961" s="8">
        <f t="shared" si="122"/>
        <v>8.6015619999998307</v>
      </c>
      <c r="G3961" s="8">
        <f t="shared" si="123"/>
        <v>8.6015619999998301E-3</v>
      </c>
    </row>
    <row r="3962" spans="1:7" x14ac:dyDescent="0.25">
      <c r="A3962" s="8">
        <v>52</v>
      </c>
      <c r="B3962" s="8">
        <v>2</v>
      </c>
      <c r="C3962" s="8">
        <v>699.95788600000003</v>
      </c>
      <c r="D3962" s="8">
        <v>26099.912109000001</v>
      </c>
      <c r="E3962" s="8">
        <v>26114.673827999999</v>
      </c>
      <c r="F3962" s="8">
        <f t="shared" si="122"/>
        <v>14.761718999998266</v>
      </c>
      <c r="G3962" s="8">
        <f t="shared" si="123"/>
        <v>1.4761718999998265E-2</v>
      </c>
    </row>
    <row r="3963" spans="1:7" x14ac:dyDescent="0.25">
      <c r="A3963" s="8">
        <v>52</v>
      </c>
      <c r="B3963" s="8">
        <v>3</v>
      </c>
      <c r="C3963" s="8">
        <v>2.5652400000000002</v>
      </c>
      <c r="D3963" s="8">
        <v>26821.236327999999</v>
      </c>
      <c r="E3963" s="8">
        <v>26841.679688</v>
      </c>
      <c r="F3963" s="8">
        <f t="shared" si="122"/>
        <v>20.443360000001121</v>
      </c>
      <c r="G3963" s="8">
        <f t="shared" si="123"/>
        <v>2.0443360000001121E-2</v>
      </c>
    </row>
    <row r="3964" spans="1:7" x14ac:dyDescent="0.25">
      <c r="A3964" s="8">
        <v>52</v>
      </c>
      <c r="B3964" s="8">
        <v>4</v>
      </c>
      <c r="C3964" s="8">
        <v>49.623341000000003</v>
      </c>
      <c r="D3964" s="8">
        <v>26852.525390999999</v>
      </c>
      <c r="E3964" s="8">
        <v>26873.822265999999</v>
      </c>
      <c r="F3964" s="8">
        <f t="shared" si="122"/>
        <v>21.296875</v>
      </c>
      <c r="G3964" s="8">
        <f t="shared" si="123"/>
        <v>2.1296875E-2</v>
      </c>
    </row>
    <row r="3965" spans="1:7" x14ac:dyDescent="0.25">
      <c r="A3965" s="8">
        <v>52</v>
      </c>
      <c r="B3965" s="8">
        <v>5</v>
      </c>
      <c r="C3965" s="8">
        <v>7100.4682620000003</v>
      </c>
      <c r="D3965" s="8">
        <v>26930.660156000002</v>
      </c>
      <c r="E3965" s="8">
        <v>26951.376952999999</v>
      </c>
      <c r="F3965" s="8">
        <f t="shared" si="122"/>
        <v>20.716796999997314</v>
      </c>
      <c r="G3965" s="8">
        <f t="shared" si="123"/>
        <v>2.0716796999997313E-2</v>
      </c>
    </row>
    <row r="3966" spans="1:7" x14ac:dyDescent="0.25">
      <c r="A3966" s="8">
        <v>52</v>
      </c>
      <c r="B3966" s="8">
        <v>6</v>
      </c>
      <c r="C3966" s="8">
        <v>607.29595900000004</v>
      </c>
      <c r="D3966" s="8">
        <v>34056.324219000002</v>
      </c>
      <c r="E3966" s="8">
        <v>34068.078125</v>
      </c>
      <c r="F3966" s="8">
        <f t="shared" si="122"/>
        <v>11.753905999998096</v>
      </c>
      <c r="G3966" s="8">
        <f t="shared" si="123"/>
        <v>1.1753905999998097E-2</v>
      </c>
    </row>
    <row r="3967" spans="1:7" x14ac:dyDescent="0.25">
      <c r="A3967" s="8">
        <v>52</v>
      </c>
      <c r="B3967" s="8">
        <v>7</v>
      </c>
      <c r="C3967" s="8">
        <v>6288.8291019999997</v>
      </c>
      <c r="D3967" s="8">
        <v>34686.234375</v>
      </c>
      <c r="E3967" s="8">
        <v>34710.648437999997</v>
      </c>
      <c r="F3967" s="8">
        <f t="shared" si="122"/>
        <v>24.414062999996531</v>
      </c>
      <c r="G3967" s="8">
        <f t="shared" si="123"/>
        <v>2.441406299999653E-2</v>
      </c>
    </row>
    <row r="3968" spans="1:7" x14ac:dyDescent="0.25">
      <c r="A3968" s="8">
        <v>52</v>
      </c>
      <c r="B3968" s="8">
        <v>8</v>
      </c>
      <c r="C3968" s="8">
        <v>3149.1206050000001</v>
      </c>
      <c r="D3968" s="8">
        <v>41012.625</v>
      </c>
      <c r="E3968" s="8">
        <v>41042.761719000002</v>
      </c>
      <c r="F3968" s="8">
        <f t="shared" si="122"/>
        <v>30.136719000001904</v>
      </c>
      <c r="G3968" s="8">
        <f t="shared" si="123"/>
        <v>3.0136719000001904E-2</v>
      </c>
    </row>
    <row r="3969" spans="1:7" x14ac:dyDescent="0.25">
      <c r="A3969" s="8">
        <v>52</v>
      </c>
      <c r="B3969" s="8">
        <v>9</v>
      </c>
      <c r="C3969" s="8">
        <v>341.69103999999999</v>
      </c>
      <c r="D3969" s="8">
        <v>44193.695312999997</v>
      </c>
      <c r="E3969" s="8">
        <v>44205.363280999998</v>
      </c>
      <c r="F3969" s="8">
        <f t="shared" si="122"/>
        <v>11.667968000001565</v>
      </c>
      <c r="G3969" s="8">
        <f t="shared" si="123"/>
        <v>1.1667968000001566E-2</v>
      </c>
    </row>
    <row r="3970" spans="1:7" x14ac:dyDescent="0.25">
      <c r="A3970" s="8">
        <v>52</v>
      </c>
      <c r="B3970" s="8">
        <v>10</v>
      </c>
      <c r="C3970" s="8">
        <v>86.374908000000005</v>
      </c>
      <c r="D3970" s="8">
        <v>44553.109375</v>
      </c>
      <c r="E3970" s="8">
        <v>44575.175780999998</v>
      </c>
      <c r="F3970" s="8">
        <f t="shared" si="122"/>
        <v>22.066405999998096</v>
      </c>
      <c r="G3970" s="8">
        <f t="shared" si="123"/>
        <v>2.2066405999998095E-2</v>
      </c>
    </row>
    <row r="3971" spans="1:7" x14ac:dyDescent="0.25">
      <c r="A3971" s="8">
        <v>52</v>
      </c>
      <c r="B3971" s="8">
        <v>11</v>
      </c>
      <c r="C3971" s="8">
        <v>374.61691300000001</v>
      </c>
      <c r="D3971" s="8">
        <v>44662.464844000002</v>
      </c>
      <c r="E3971" s="8">
        <v>44683.839844000002</v>
      </c>
      <c r="F3971" s="8">
        <f t="shared" si="122"/>
        <v>21.375</v>
      </c>
      <c r="G3971" s="8">
        <f t="shared" si="123"/>
        <v>2.1375000000000002E-2</v>
      </c>
    </row>
    <row r="3972" spans="1:7" x14ac:dyDescent="0.25">
      <c r="A3972" s="8">
        <v>52</v>
      </c>
      <c r="B3972" s="8">
        <v>12</v>
      </c>
      <c r="C3972" s="8">
        <v>3034.0180660000001</v>
      </c>
      <c r="D3972" s="8">
        <v>45068.792969000002</v>
      </c>
      <c r="E3972" s="8">
        <v>45086.570312999997</v>
      </c>
      <c r="F3972" s="8">
        <f t="shared" si="122"/>
        <v>17.777343999994628</v>
      </c>
      <c r="G3972" s="8">
        <f t="shared" si="123"/>
        <v>1.7777343999994626E-2</v>
      </c>
    </row>
    <row r="3973" spans="1:7" x14ac:dyDescent="0.25">
      <c r="A3973" s="8">
        <v>52</v>
      </c>
      <c r="B3973" s="8">
        <v>13</v>
      </c>
      <c r="C3973" s="8">
        <v>1091.1240230000001</v>
      </c>
      <c r="D3973" s="8">
        <v>48126.773437999997</v>
      </c>
      <c r="E3973" s="8">
        <v>48146.039062999997</v>
      </c>
      <c r="F3973" s="8">
        <f t="shared" si="122"/>
        <v>19.265625</v>
      </c>
      <c r="G3973" s="8">
        <f t="shared" si="123"/>
        <v>1.9265625000000001E-2</v>
      </c>
    </row>
    <row r="3974" spans="1:7" x14ac:dyDescent="0.25">
      <c r="A3974" s="8">
        <v>52</v>
      </c>
      <c r="B3974" s="8">
        <v>14</v>
      </c>
      <c r="C3974" s="8">
        <v>513.44421399999999</v>
      </c>
      <c r="D3974" s="8">
        <v>49248.617187999997</v>
      </c>
      <c r="E3974" s="8">
        <v>49262.421875</v>
      </c>
      <c r="F3974" s="8">
        <f t="shared" si="122"/>
        <v>13.804687000003469</v>
      </c>
      <c r="G3974" s="8">
        <f t="shared" si="123"/>
        <v>1.3804687000003469E-2</v>
      </c>
    </row>
    <row r="3975" spans="1:7" x14ac:dyDescent="0.25">
      <c r="A3975" s="8">
        <v>52</v>
      </c>
      <c r="B3975" s="8">
        <v>15</v>
      </c>
      <c r="C3975" s="8">
        <v>2635.0302729999999</v>
      </c>
      <c r="D3975" s="8">
        <v>49779.9375</v>
      </c>
      <c r="E3975" s="8">
        <v>49798.359375</v>
      </c>
      <c r="F3975" s="8">
        <f t="shared" si="122"/>
        <v>18.421875</v>
      </c>
      <c r="G3975" s="8">
        <f t="shared" si="123"/>
        <v>1.8421875000000001E-2</v>
      </c>
    </row>
    <row r="3976" spans="1:7" x14ac:dyDescent="0.25">
      <c r="A3976" s="8">
        <v>52</v>
      </c>
      <c r="B3976" s="8">
        <v>16</v>
      </c>
      <c r="C3976" s="8">
        <v>2064.1154790000001</v>
      </c>
      <c r="D3976" s="8">
        <v>52435.917969000002</v>
      </c>
      <c r="E3976" s="8">
        <v>52450.171875</v>
      </c>
      <c r="F3976" s="8">
        <f t="shared" si="122"/>
        <v>14.253905999998096</v>
      </c>
      <c r="G3976" s="8">
        <f t="shared" si="123"/>
        <v>1.4253905999998097E-2</v>
      </c>
    </row>
    <row r="3977" spans="1:7" x14ac:dyDescent="0.25">
      <c r="A3977" s="8">
        <v>52</v>
      </c>
      <c r="B3977" s="8">
        <v>17</v>
      </c>
      <c r="C3977" s="8">
        <v>1482.3797609999999</v>
      </c>
      <c r="D3977" s="8">
        <v>54519.125</v>
      </c>
      <c r="E3977" s="8">
        <v>54528.164062999997</v>
      </c>
      <c r="F3977" s="8">
        <f t="shared" si="122"/>
        <v>9.0390629999965313</v>
      </c>
      <c r="G3977" s="8">
        <f t="shared" si="123"/>
        <v>9.0390629999965305E-3</v>
      </c>
    </row>
    <row r="3978" spans="1:7" x14ac:dyDescent="0.25">
      <c r="A3978" s="8">
        <v>52</v>
      </c>
      <c r="B3978" s="8">
        <v>18</v>
      </c>
      <c r="C3978" s="8">
        <v>3648.7202149999998</v>
      </c>
      <c r="D3978" s="8">
        <v>56019.339844000002</v>
      </c>
      <c r="E3978" s="8">
        <v>56036.554687999997</v>
      </c>
      <c r="F3978" s="8">
        <f t="shared" si="122"/>
        <v>17.214843999994628</v>
      </c>
      <c r="G3978" s="8">
        <f t="shared" si="123"/>
        <v>1.7214843999994629E-2</v>
      </c>
    </row>
    <row r="3979" spans="1:7" x14ac:dyDescent="0.25">
      <c r="A3979" s="8">
        <v>52</v>
      </c>
      <c r="B3979" s="8">
        <v>19</v>
      </c>
      <c r="C3979" s="8">
        <v>296.58618200000001</v>
      </c>
      <c r="D3979" s="8">
        <v>59684.882812999997</v>
      </c>
      <c r="E3979" s="8">
        <v>59703.003905999998</v>
      </c>
      <c r="F3979" s="8">
        <f t="shared" ref="F3979:F4042" si="124">E3979-D3979</f>
        <v>18.121093000001565</v>
      </c>
      <c r="G3979" s="8">
        <f t="shared" ref="G3979:G4042" si="125">F3979/1000</f>
        <v>1.8121093000001566E-2</v>
      </c>
    </row>
    <row r="3980" spans="1:7" x14ac:dyDescent="0.25">
      <c r="A3980" s="8">
        <v>52</v>
      </c>
      <c r="B3980" s="8">
        <v>20</v>
      </c>
      <c r="C3980" s="8">
        <v>2293.3100589999999</v>
      </c>
      <c r="D3980" s="8">
        <v>60013.058594000002</v>
      </c>
      <c r="E3980" s="8">
        <v>60026.832030999998</v>
      </c>
      <c r="F3980" s="8">
        <f t="shared" si="124"/>
        <v>13.773436999996193</v>
      </c>
      <c r="G3980" s="8">
        <f t="shared" si="125"/>
        <v>1.3773436999996194E-2</v>
      </c>
    </row>
    <row r="3981" spans="1:7" x14ac:dyDescent="0.25">
      <c r="A3981" s="8">
        <v>52</v>
      </c>
      <c r="B3981" s="8">
        <v>21</v>
      </c>
      <c r="C3981" s="8">
        <v>2369.2783199999999</v>
      </c>
      <c r="D3981" s="8">
        <v>62329.019530999998</v>
      </c>
      <c r="E3981" s="8">
        <v>62337.761719000002</v>
      </c>
      <c r="F3981" s="8">
        <f t="shared" si="124"/>
        <v>8.7421880000038072</v>
      </c>
      <c r="G3981" s="8">
        <f t="shared" si="125"/>
        <v>8.7421880000038074E-3</v>
      </c>
    </row>
    <row r="3982" spans="1:7" x14ac:dyDescent="0.25">
      <c r="A3982" s="8">
        <v>52</v>
      </c>
      <c r="B3982" s="8">
        <v>22</v>
      </c>
      <c r="C3982" s="8">
        <v>740.02569600000004</v>
      </c>
      <c r="D3982" s="8">
        <v>64715.320312999997</v>
      </c>
      <c r="E3982" s="8">
        <v>64733.066405999998</v>
      </c>
      <c r="F3982" s="8">
        <f t="shared" si="124"/>
        <v>17.746093000001565</v>
      </c>
      <c r="G3982" s="8">
        <f t="shared" si="125"/>
        <v>1.7746093000001566E-2</v>
      </c>
    </row>
    <row r="3983" spans="1:7" x14ac:dyDescent="0.25">
      <c r="A3983" s="8">
        <v>52</v>
      </c>
      <c r="B3983" s="8">
        <v>23</v>
      </c>
      <c r="C3983" s="8">
        <v>582.15069600000004</v>
      </c>
      <c r="D3983" s="8">
        <v>65481.078125</v>
      </c>
      <c r="E3983" s="8">
        <v>65499.683594000002</v>
      </c>
      <c r="F3983" s="8">
        <f t="shared" si="124"/>
        <v>18.605469000001904</v>
      </c>
      <c r="G3983" s="8">
        <f t="shared" si="125"/>
        <v>1.8605469000001904E-2</v>
      </c>
    </row>
    <row r="3984" spans="1:7" x14ac:dyDescent="0.25">
      <c r="A3984" s="8">
        <v>52</v>
      </c>
      <c r="B3984" s="8">
        <v>24</v>
      </c>
      <c r="C3984" s="8">
        <v>814.38171399999999</v>
      </c>
      <c r="D3984" s="8">
        <v>66090.460938000004</v>
      </c>
      <c r="E3984" s="8">
        <v>66098.289063000004</v>
      </c>
      <c r="F3984" s="8">
        <f t="shared" si="124"/>
        <v>7.828125</v>
      </c>
      <c r="G3984" s="8">
        <f t="shared" si="125"/>
        <v>7.828125E-3</v>
      </c>
    </row>
    <row r="3985" spans="1:7" x14ac:dyDescent="0.25">
      <c r="A3985" s="8">
        <v>52</v>
      </c>
      <c r="B3985" s="8">
        <v>25</v>
      </c>
      <c r="C3985" s="8">
        <v>40.072834</v>
      </c>
      <c r="D3985" s="8">
        <v>66919.375</v>
      </c>
      <c r="E3985" s="8">
        <v>66926.78125</v>
      </c>
      <c r="F3985" s="8">
        <f t="shared" si="124"/>
        <v>7.40625</v>
      </c>
      <c r="G3985" s="8">
        <f t="shared" si="125"/>
        <v>7.4062499999999996E-3</v>
      </c>
    </row>
    <row r="3986" spans="1:7" x14ac:dyDescent="0.25">
      <c r="A3986" s="8">
        <v>52</v>
      </c>
      <c r="B3986" s="8">
        <v>26</v>
      </c>
      <c r="C3986" s="8">
        <v>2221.7895509999998</v>
      </c>
      <c r="D3986" s="8">
        <v>66981.867188000004</v>
      </c>
      <c r="E3986" s="8">
        <v>66989.320313000004</v>
      </c>
      <c r="F3986" s="8">
        <f t="shared" si="124"/>
        <v>7.453125</v>
      </c>
      <c r="G3986" s="8">
        <f t="shared" si="125"/>
        <v>7.4531249999999997E-3</v>
      </c>
    </row>
    <row r="3987" spans="1:7" x14ac:dyDescent="0.25">
      <c r="A3987" s="8">
        <v>52</v>
      </c>
      <c r="B3987" s="8">
        <v>27</v>
      </c>
      <c r="C3987" s="8">
        <v>1811.6035159999999</v>
      </c>
      <c r="D3987" s="8">
        <v>69217.664063000004</v>
      </c>
      <c r="E3987" s="8">
        <v>69226.617188000004</v>
      </c>
      <c r="F3987" s="8">
        <f t="shared" si="124"/>
        <v>8.953125</v>
      </c>
      <c r="G3987" s="8">
        <f t="shared" si="125"/>
        <v>8.9531249999999993E-3</v>
      </c>
    </row>
    <row r="3988" spans="1:7" x14ac:dyDescent="0.25">
      <c r="A3988" s="8">
        <v>52</v>
      </c>
      <c r="B3988" s="8">
        <v>28</v>
      </c>
      <c r="C3988" s="8">
        <v>2355.952393</v>
      </c>
      <c r="D3988" s="8">
        <v>71040.679688000004</v>
      </c>
      <c r="E3988" s="8">
        <v>71060.34375</v>
      </c>
      <c r="F3988" s="8">
        <f t="shared" si="124"/>
        <v>19.664061999996193</v>
      </c>
      <c r="G3988" s="8">
        <f t="shared" si="125"/>
        <v>1.9664061999996194E-2</v>
      </c>
    </row>
    <row r="3989" spans="1:7" x14ac:dyDescent="0.25">
      <c r="A3989" s="8">
        <v>52</v>
      </c>
      <c r="B3989" s="8">
        <v>29</v>
      </c>
      <c r="C3989" s="8">
        <v>2988.8989259999998</v>
      </c>
      <c r="D3989" s="8">
        <v>73419.953125</v>
      </c>
      <c r="E3989" s="8">
        <v>73439.632813000004</v>
      </c>
      <c r="F3989" s="8">
        <f t="shared" si="124"/>
        <v>19.679688000003807</v>
      </c>
      <c r="G3989" s="8">
        <f t="shared" si="125"/>
        <v>1.9679688000003807E-2</v>
      </c>
    </row>
    <row r="3990" spans="1:7" x14ac:dyDescent="0.25">
      <c r="A3990" s="8">
        <v>52</v>
      </c>
      <c r="B3990" s="8">
        <v>30</v>
      </c>
      <c r="C3990" s="8">
        <v>5879.1357420000004</v>
      </c>
      <c r="D3990" s="8">
        <v>76428.835938000004</v>
      </c>
      <c r="E3990" s="8">
        <v>76451.8125</v>
      </c>
      <c r="F3990" s="8">
        <f t="shared" si="124"/>
        <v>22.976561999996193</v>
      </c>
      <c r="G3990" s="8">
        <f t="shared" si="125"/>
        <v>2.2976561999996193E-2</v>
      </c>
    </row>
    <row r="3991" spans="1:7" x14ac:dyDescent="0.25">
      <c r="A3991" s="8">
        <v>52</v>
      </c>
      <c r="B3991" s="8">
        <v>31</v>
      </c>
      <c r="C3991" s="8">
        <v>97.879372000000004</v>
      </c>
      <c r="D3991" s="8">
        <v>82339.296875</v>
      </c>
      <c r="E3991" s="8">
        <v>82362.6875</v>
      </c>
      <c r="F3991" s="8">
        <f t="shared" si="124"/>
        <v>23.390625</v>
      </c>
      <c r="G3991" s="8">
        <f t="shared" si="125"/>
        <v>2.3390625000000002E-2</v>
      </c>
    </row>
    <row r="3992" spans="1:7" x14ac:dyDescent="0.25">
      <c r="A3992" s="8">
        <v>52</v>
      </c>
      <c r="B3992" s="8">
        <v>32</v>
      </c>
      <c r="C3992" s="8">
        <v>2822.7126459999999</v>
      </c>
      <c r="D3992" s="8">
        <v>82464.3125</v>
      </c>
      <c r="E3992" s="8">
        <v>82491.242188000004</v>
      </c>
      <c r="F3992" s="8">
        <f t="shared" si="124"/>
        <v>26.929688000003807</v>
      </c>
      <c r="G3992" s="8">
        <f t="shared" si="125"/>
        <v>2.6929688000003806E-2</v>
      </c>
    </row>
    <row r="3993" spans="1:7" x14ac:dyDescent="0.25">
      <c r="A3993" s="8">
        <v>52</v>
      </c>
      <c r="B3993" s="8">
        <v>33</v>
      </c>
      <c r="C3993" s="8">
        <v>1518.0466309999999</v>
      </c>
      <c r="D3993" s="8">
        <v>85313.734375</v>
      </c>
      <c r="E3993" s="8">
        <v>85331.703125</v>
      </c>
      <c r="F3993" s="8">
        <f t="shared" si="124"/>
        <v>17.96875</v>
      </c>
      <c r="G3993" s="8">
        <f t="shared" si="125"/>
        <v>1.7968749999999999E-2</v>
      </c>
    </row>
    <row r="3994" spans="1:7" x14ac:dyDescent="0.25">
      <c r="A3994" s="8">
        <v>52</v>
      </c>
      <c r="B3994" s="8">
        <v>34</v>
      </c>
      <c r="C3994" s="8">
        <v>460.88223299999999</v>
      </c>
      <c r="D3994" s="8">
        <v>86862.15625</v>
      </c>
      <c r="E3994" s="8">
        <v>86890.273438000004</v>
      </c>
      <c r="F3994" s="8">
        <f t="shared" si="124"/>
        <v>28.117188000003807</v>
      </c>
      <c r="G3994" s="8">
        <f t="shared" si="125"/>
        <v>2.8117188000003807E-2</v>
      </c>
    </row>
    <row r="3995" spans="1:7" x14ac:dyDescent="0.25">
      <c r="A3995" s="8">
        <v>52</v>
      </c>
      <c r="B3995" s="8">
        <v>35</v>
      </c>
      <c r="C3995" s="8">
        <v>1688.0551760000001</v>
      </c>
      <c r="D3995" s="8">
        <v>87363.851563000004</v>
      </c>
      <c r="E3995" s="8">
        <v>87379.492188000004</v>
      </c>
      <c r="F3995" s="8">
        <f t="shared" si="124"/>
        <v>15.640625</v>
      </c>
      <c r="G3995" s="8">
        <f t="shared" si="125"/>
        <v>1.5640624999999998E-2</v>
      </c>
    </row>
    <row r="3996" spans="1:7" x14ac:dyDescent="0.25">
      <c r="A3996" s="8">
        <v>52</v>
      </c>
      <c r="B3996" s="8">
        <v>36</v>
      </c>
      <c r="C3996" s="8">
        <v>2110.389404</v>
      </c>
      <c r="D3996" s="8">
        <v>89068.632813000004</v>
      </c>
      <c r="E3996" s="8">
        <v>89095.476563000004</v>
      </c>
      <c r="F3996" s="8">
        <f t="shared" si="124"/>
        <v>26.84375</v>
      </c>
      <c r="G3996" s="8">
        <f t="shared" si="125"/>
        <v>2.684375E-2</v>
      </c>
    </row>
    <row r="3997" spans="1:7" x14ac:dyDescent="0.25">
      <c r="A3997" s="8">
        <v>52</v>
      </c>
      <c r="B3997" s="8">
        <v>37</v>
      </c>
      <c r="C3997" s="8">
        <v>973.62658699999997</v>
      </c>
      <c r="D3997" s="8">
        <v>91214.25</v>
      </c>
      <c r="E3997" s="8">
        <v>91231.515625</v>
      </c>
      <c r="F3997" s="8">
        <f t="shared" si="124"/>
        <v>17.265625</v>
      </c>
      <c r="G3997" s="8">
        <f t="shared" si="125"/>
        <v>1.7265625E-2</v>
      </c>
    </row>
    <row r="3998" spans="1:7" x14ac:dyDescent="0.25">
      <c r="A3998" s="8">
        <v>52</v>
      </c>
      <c r="B3998" s="8">
        <v>38</v>
      </c>
      <c r="C3998" s="8">
        <v>548.94757100000004</v>
      </c>
      <c r="D3998" s="8">
        <v>92214.359375</v>
      </c>
      <c r="E3998" s="8">
        <v>92240.929688000004</v>
      </c>
      <c r="F3998" s="8">
        <f t="shared" si="124"/>
        <v>26.570313000003807</v>
      </c>
      <c r="G3998" s="8">
        <f t="shared" si="125"/>
        <v>2.6570313000003808E-2</v>
      </c>
    </row>
    <row r="3999" spans="1:7" x14ac:dyDescent="0.25">
      <c r="A3999" s="8">
        <v>52</v>
      </c>
      <c r="B3999" s="8">
        <v>39</v>
      </c>
      <c r="C3999" s="8">
        <v>65.768921000000006</v>
      </c>
      <c r="D3999" s="8">
        <v>92794.6875</v>
      </c>
      <c r="E3999" s="8">
        <v>92805.976563000004</v>
      </c>
      <c r="F3999" s="8">
        <f t="shared" si="124"/>
        <v>11.289063000003807</v>
      </c>
      <c r="G3999" s="8">
        <f t="shared" si="125"/>
        <v>1.1289063000003808E-2</v>
      </c>
    </row>
    <row r="4000" spans="1:7" x14ac:dyDescent="0.25">
      <c r="A4000" s="8">
        <v>52</v>
      </c>
      <c r="B4000" s="8">
        <v>40</v>
      </c>
      <c r="C4000" s="8">
        <v>1471.3950199999999</v>
      </c>
      <c r="D4000" s="8">
        <v>92872.757813000004</v>
      </c>
      <c r="E4000" s="8">
        <v>92885.21875</v>
      </c>
      <c r="F4000" s="8">
        <f t="shared" si="124"/>
        <v>12.460936999996193</v>
      </c>
      <c r="G4000" s="8">
        <f t="shared" si="125"/>
        <v>1.2460936999996192E-2</v>
      </c>
    </row>
    <row r="4001" spans="1:7" x14ac:dyDescent="0.25">
      <c r="A4001" s="8">
        <v>52</v>
      </c>
      <c r="B4001" s="8">
        <v>41</v>
      </c>
      <c r="C4001" s="8">
        <v>341.40145899999999</v>
      </c>
      <c r="D4001" s="8">
        <v>94357.632813000004</v>
      </c>
      <c r="E4001" s="8">
        <v>94378.742188000004</v>
      </c>
      <c r="F4001" s="8">
        <f t="shared" si="124"/>
        <v>21.109375</v>
      </c>
      <c r="G4001" s="8">
        <f t="shared" si="125"/>
        <v>2.1109375E-2</v>
      </c>
    </row>
    <row r="4002" spans="1:7" x14ac:dyDescent="0.25">
      <c r="A4002" s="8">
        <v>52</v>
      </c>
      <c r="B4002" s="8">
        <v>42</v>
      </c>
      <c r="C4002" s="8">
        <v>864.24865699999998</v>
      </c>
      <c r="D4002" s="8">
        <v>94733.289063000004</v>
      </c>
      <c r="E4002" s="8">
        <v>94753.65625</v>
      </c>
      <c r="F4002" s="8">
        <f t="shared" si="124"/>
        <v>20.367186999996193</v>
      </c>
      <c r="G4002" s="8">
        <f t="shared" si="125"/>
        <v>2.0367186999996192E-2</v>
      </c>
    </row>
    <row r="4003" spans="1:7" x14ac:dyDescent="0.25">
      <c r="A4003" s="8">
        <v>52</v>
      </c>
      <c r="B4003" s="8">
        <v>43</v>
      </c>
      <c r="C4003" s="8">
        <v>2710.0375979999999</v>
      </c>
      <c r="D4003" s="8">
        <v>95631.484375</v>
      </c>
      <c r="E4003" s="8">
        <v>95648.953125</v>
      </c>
      <c r="F4003" s="8">
        <f t="shared" si="124"/>
        <v>17.46875</v>
      </c>
      <c r="G4003" s="8">
        <f t="shared" si="125"/>
        <v>1.7468750000000002E-2</v>
      </c>
    </row>
    <row r="4004" spans="1:7" x14ac:dyDescent="0.25">
      <c r="A4004" s="8">
        <v>52</v>
      </c>
      <c r="B4004" s="8">
        <v>44</v>
      </c>
      <c r="C4004" s="8">
        <v>742.50158699999997</v>
      </c>
      <c r="D4004" s="8">
        <v>98363.328125</v>
      </c>
      <c r="E4004" s="8">
        <v>98371.015625</v>
      </c>
      <c r="F4004" s="8">
        <f t="shared" si="124"/>
        <v>7.6875</v>
      </c>
      <c r="G4004" s="8">
        <f t="shared" si="125"/>
        <v>7.6874999999999999E-3</v>
      </c>
    </row>
    <row r="4005" spans="1:7" x14ac:dyDescent="0.25">
      <c r="A4005" s="8">
        <v>52</v>
      </c>
      <c r="B4005" s="8">
        <v>45</v>
      </c>
      <c r="C4005" s="8">
        <v>4590.3930659999996</v>
      </c>
      <c r="D4005" s="8">
        <v>99113.429688000004</v>
      </c>
      <c r="E4005" s="8">
        <v>99135.71875</v>
      </c>
      <c r="F4005" s="8">
        <f t="shared" si="124"/>
        <v>22.289061999996193</v>
      </c>
      <c r="G4005" s="8">
        <f t="shared" si="125"/>
        <v>2.2289061999996192E-2</v>
      </c>
    </row>
    <row r="4006" spans="1:7" x14ac:dyDescent="0.25">
      <c r="A4006" s="8">
        <v>52</v>
      </c>
      <c r="B4006" s="8">
        <v>46</v>
      </c>
      <c r="C4006" s="8">
        <v>440.69476300000002</v>
      </c>
      <c r="D4006" s="8">
        <v>103731.609375</v>
      </c>
      <c r="E4006" s="8">
        <v>103748.773438</v>
      </c>
      <c r="F4006" s="8">
        <f t="shared" si="124"/>
        <v>17.164063000003807</v>
      </c>
      <c r="G4006" s="8">
        <f t="shared" si="125"/>
        <v>1.7164063000003806E-2</v>
      </c>
    </row>
    <row r="4007" spans="1:7" x14ac:dyDescent="0.25">
      <c r="A4007" s="8">
        <v>52</v>
      </c>
      <c r="B4007" s="8">
        <v>47</v>
      </c>
      <c r="C4007" s="8">
        <v>2914.6679690000001</v>
      </c>
      <c r="D4007" s="8">
        <v>104190.789063</v>
      </c>
      <c r="E4007" s="8">
        <v>104229.203125</v>
      </c>
      <c r="F4007" s="8">
        <f t="shared" si="124"/>
        <v>38.414061999996193</v>
      </c>
      <c r="G4007" s="8">
        <f t="shared" si="125"/>
        <v>3.8414061999996189E-2</v>
      </c>
    </row>
    <row r="4008" spans="1:7" x14ac:dyDescent="0.25">
      <c r="A4008" s="8">
        <v>52</v>
      </c>
      <c r="B4008" s="8">
        <v>48</v>
      </c>
      <c r="C4008" s="8">
        <v>388.207336</v>
      </c>
      <c r="D4008" s="8">
        <v>107156.6875</v>
      </c>
      <c r="E4008" s="8">
        <v>107177.195313</v>
      </c>
      <c r="F4008" s="8">
        <f t="shared" si="124"/>
        <v>20.507813000003807</v>
      </c>
      <c r="G4008" s="8">
        <f t="shared" si="125"/>
        <v>2.0507813000003806E-2</v>
      </c>
    </row>
    <row r="4009" spans="1:7" x14ac:dyDescent="0.25">
      <c r="A4009" s="8">
        <v>52</v>
      </c>
      <c r="B4009" s="8">
        <v>49</v>
      </c>
      <c r="C4009" s="8">
        <v>1640.7795410000001</v>
      </c>
      <c r="D4009" s="8">
        <v>107579.25</v>
      </c>
      <c r="E4009" s="8">
        <v>107604.375</v>
      </c>
      <c r="F4009" s="8">
        <f t="shared" si="124"/>
        <v>25.125</v>
      </c>
      <c r="G4009" s="8">
        <f t="shared" si="125"/>
        <v>2.5125000000000001E-2</v>
      </c>
    </row>
    <row r="4010" spans="1:7" x14ac:dyDescent="0.25">
      <c r="A4010" s="8">
        <v>52</v>
      </c>
      <c r="B4010" s="8">
        <v>50</v>
      </c>
      <c r="C4010" s="8">
        <v>411.765106</v>
      </c>
      <c r="D4010" s="8">
        <v>109251.265625</v>
      </c>
      <c r="E4010" s="8">
        <v>109270.648438</v>
      </c>
      <c r="F4010" s="8">
        <f t="shared" si="124"/>
        <v>19.382813000003807</v>
      </c>
      <c r="G4010" s="8">
        <f t="shared" si="125"/>
        <v>1.9382813000003808E-2</v>
      </c>
    </row>
    <row r="4011" spans="1:7" x14ac:dyDescent="0.25">
      <c r="A4011" s="8">
        <v>52</v>
      </c>
      <c r="B4011" s="8">
        <v>51</v>
      </c>
      <c r="C4011" s="8">
        <v>2092.5852049999999</v>
      </c>
      <c r="D4011" s="8">
        <v>109689.492188</v>
      </c>
      <c r="E4011" s="8">
        <v>109706.882813</v>
      </c>
      <c r="F4011" s="8">
        <f t="shared" si="124"/>
        <v>17.390625</v>
      </c>
      <c r="G4011" s="8">
        <f t="shared" si="125"/>
        <v>1.7390625E-2</v>
      </c>
    </row>
    <row r="4012" spans="1:7" x14ac:dyDescent="0.25">
      <c r="A4012" s="8">
        <v>52</v>
      </c>
      <c r="B4012" s="8">
        <v>52</v>
      </c>
      <c r="C4012" s="8">
        <v>2576.6320799999999</v>
      </c>
      <c r="D4012" s="8">
        <v>111801.515625</v>
      </c>
      <c r="E4012" s="8">
        <v>111815.296875</v>
      </c>
      <c r="F4012" s="8">
        <f t="shared" si="124"/>
        <v>13.78125</v>
      </c>
      <c r="G4012" s="8">
        <f t="shared" si="125"/>
        <v>1.378125E-2</v>
      </c>
    </row>
    <row r="4013" spans="1:7" x14ac:dyDescent="0.25">
      <c r="A4013" s="8">
        <v>52</v>
      </c>
      <c r="B4013" s="8">
        <v>53</v>
      </c>
      <c r="C4013" s="8">
        <v>303.67804000000001</v>
      </c>
      <c r="D4013" s="8">
        <v>114393.835938</v>
      </c>
      <c r="E4013" s="8">
        <v>114420.757813</v>
      </c>
      <c r="F4013" s="8">
        <f t="shared" si="124"/>
        <v>26.921875</v>
      </c>
      <c r="G4013" s="8">
        <f t="shared" si="125"/>
        <v>2.6921875000000001E-2</v>
      </c>
    </row>
    <row r="4014" spans="1:7" x14ac:dyDescent="0.25">
      <c r="A4014" s="8">
        <v>52</v>
      </c>
      <c r="B4014" s="8">
        <v>54</v>
      </c>
      <c r="C4014" s="8">
        <v>894.37567100000001</v>
      </c>
      <c r="D4014" s="8">
        <v>114737.640625</v>
      </c>
      <c r="E4014" s="8">
        <v>114762.421875</v>
      </c>
      <c r="F4014" s="8">
        <f t="shared" si="124"/>
        <v>24.78125</v>
      </c>
      <c r="G4014" s="8">
        <f t="shared" si="125"/>
        <v>2.4781250000000001E-2</v>
      </c>
    </row>
    <row r="4015" spans="1:7" x14ac:dyDescent="0.25">
      <c r="A4015" s="8">
        <v>52</v>
      </c>
      <c r="B4015" s="8">
        <v>55</v>
      </c>
      <c r="C4015" s="8">
        <v>1812.5097659999999</v>
      </c>
      <c r="D4015" s="8">
        <v>115661.195313</v>
      </c>
      <c r="E4015" s="8">
        <v>115679.164063</v>
      </c>
      <c r="F4015" s="8">
        <f t="shared" si="124"/>
        <v>17.96875</v>
      </c>
      <c r="G4015" s="8">
        <f t="shared" si="125"/>
        <v>1.7968749999999999E-2</v>
      </c>
    </row>
    <row r="4016" spans="1:7" x14ac:dyDescent="0.25">
      <c r="A4016" s="8">
        <v>52</v>
      </c>
      <c r="B4016" s="8">
        <v>56</v>
      </c>
      <c r="C4016" s="8">
        <v>3186.3046880000002</v>
      </c>
      <c r="D4016" s="8">
        <v>117504.171875</v>
      </c>
      <c r="E4016" s="8">
        <v>117518.484375</v>
      </c>
      <c r="F4016" s="8">
        <f t="shared" si="124"/>
        <v>14.3125</v>
      </c>
      <c r="G4016" s="8">
        <f t="shared" si="125"/>
        <v>1.4312500000000001E-2</v>
      </c>
    </row>
    <row r="4017" spans="1:7" x14ac:dyDescent="0.25">
      <c r="A4017" s="8">
        <v>52</v>
      </c>
      <c r="B4017" s="8">
        <v>57</v>
      </c>
      <c r="C4017" s="8">
        <v>452.90533399999998</v>
      </c>
      <c r="D4017" s="8">
        <v>120718.578125</v>
      </c>
      <c r="E4017" s="8">
        <v>120729.695313</v>
      </c>
      <c r="F4017" s="8">
        <f t="shared" si="124"/>
        <v>11.117188000003807</v>
      </c>
      <c r="G4017" s="8">
        <f t="shared" si="125"/>
        <v>1.1117188000003808E-2</v>
      </c>
    </row>
    <row r="4018" spans="1:7" x14ac:dyDescent="0.25">
      <c r="A4018" s="8">
        <v>52</v>
      </c>
      <c r="B4018" s="8">
        <v>58</v>
      </c>
      <c r="C4018" s="8">
        <v>638.71649200000002</v>
      </c>
      <c r="D4018" s="8">
        <v>121189.476563</v>
      </c>
      <c r="E4018" s="8">
        <v>121203.007813</v>
      </c>
      <c r="F4018" s="8">
        <f t="shared" si="124"/>
        <v>13.53125</v>
      </c>
      <c r="G4018" s="8">
        <f t="shared" si="125"/>
        <v>1.353125E-2</v>
      </c>
    </row>
    <row r="4019" spans="1:7" x14ac:dyDescent="0.25">
      <c r="A4019" s="8">
        <v>52</v>
      </c>
      <c r="B4019" s="8">
        <v>59</v>
      </c>
      <c r="C4019" s="8">
        <v>2825.4682619999999</v>
      </c>
      <c r="D4019" s="8">
        <v>121845.789063</v>
      </c>
      <c r="E4019" s="8">
        <v>121862.117188</v>
      </c>
      <c r="F4019" s="8">
        <f t="shared" si="124"/>
        <v>16.328125</v>
      </c>
      <c r="G4019" s="8">
        <f t="shared" si="125"/>
        <v>1.6328124999999999E-2</v>
      </c>
    </row>
    <row r="4020" spans="1:7" x14ac:dyDescent="0.25">
      <c r="A4020" s="8">
        <v>52</v>
      </c>
      <c r="B4020" s="8">
        <v>60</v>
      </c>
      <c r="C4020" s="8">
        <v>77.472335999999999</v>
      </c>
      <c r="D4020" s="8">
        <v>124689.570313</v>
      </c>
      <c r="E4020" s="8">
        <v>124714.390625</v>
      </c>
      <c r="F4020" s="8">
        <f t="shared" si="124"/>
        <v>24.820311999996193</v>
      </c>
      <c r="G4020" s="8">
        <f t="shared" si="125"/>
        <v>2.4820311999996191E-2</v>
      </c>
    </row>
    <row r="4021" spans="1:7" x14ac:dyDescent="0.25">
      <c r="A4021" s="8">
        <v>52</v>
      </c>
      <c r="B4021" s="8">
        <v>61</v>
      </c>
      <c r="C4021" s="8">
        <v>103.078194</v>
      </c>
      <c r="D4021" s="8">
        <v>124798.960938</v>
      </c>
      <c r="E4021" s="8">
        <v>124818.382813</v>
      </c>
      <c r="F4021" s="8">
        <f t="shared" si="124"/>
        <v>19.421875</v>
      </c>
      <c r="G4021" s="8">
        <f t="shared" si="125"/>
        <v>1.9421875000000002E-2</v>
      </c>
    </row>
    <row r="4022" spans="1:7" x14ac:dyDescent="0.25">
      <c r="A4022" s="8">
        <v>52</v>
      </c>
      <c r="B4022" s="8">
        <v>62</v>
      </c>
      <c r="C4022" s="8">
        <v>3174.3303219999998</v>
      </c>
      <c r="D4022" s="8">
        <v>124923.992188</v>
      </c>
      <c r="E4022" s="8">
        <v>124954.664063</v>
      </c>
      <c r="F4022" s="8">
        <f t="shared" si="124"/>
        <v>30.671875</v>
      </c>
      <c r="G4022" s="8">
        <f t="shared" si="125"/>
        <v>3.0671875000000001E-2</v>
      </c>
    </row>
    <row r="4023" spans="1:7" x14ac:dyDescent="0.25">
      <c r="A4023" s="8">
        <v>52</v>
      </c>
      <c r="B4023" s="8">
        <v>63</v>
      </c>
      <c r="C4023" s="8">
        <v>2143.804443</v>
      </c>
      <c r="D4023" s="8">
        <v>128143.6875</v>
      </c>
      <c r="E4023" s="8">
        <v>128176.03125</v>
      </c>
      <c r="F4023" s="8">
        <f t="shared" si="124"/>
        <v>32.34375</v>
      </c>
      <c r="G4023" s="8">
        <f t="shared" si="125"/>
        <v>3.2343749999999998E-2</v>
      </c>
    </row>
    <row r="4024" spans="1:7" x14ac:dyDescent="0.25">
      <c r="A4024" s="8">
        <v>52</v>
      </c>
      <c r="B4024" s="8">
        <v>64</v>
      </c>
      <c r="C4024" s="8">
        <v>5836.8842770000001</v>
      </c>
      <c r="D4024" s="8">
        <v>130332.710938</v>
      </c>
      <c r="E4024" s="8">
        <v>130341.0625</v>
      </c>
      <c r="F4024" s="8">
        <f t="shared" si="124"/>
        <v>8.3515619999961928</v>
      </c>
      <c r="G4024" s="8">
        <f t="shared" si="125"/>
        <v>8.3515619999961922E-3</v>
      </c>
    </row>
    <row r="4025" spans="1:7" x14ac:dyDescent="0.25">
      <c r="A4025" s="8">
        <v>52</v>
      </c>
      <c r="B4025" s="8">
        <v>65</v>
      </c>
      <c r="C4025" s="8">
        <v>1200.5462649999999</v>
      </c>
      <c r="D4025" s="8">
        <v>136178.765625</v>
      </c>
      <c r="E4025" s="8">
        <v>136192.90625</v>
      </c>
      <c r="F4025" s="8">
        <f t="shared" si="124"/>
        <v>14.140625</v>
      </c>
      <c r="G4025" s="8">
        <f t="shared" si="125"/>
        <v>1.4140625E-2</v>
      </c>
    </row>
    <row r="4026" spans="1:7" x14ac:dyDescent="0.25">
      <c r="A4026" s="8">
        <v>52</v>
      </c>
      <c r="B4026" s="8">
        <v>66</v>
      </c>
      <c r="C4026" s="8">
        <v>831.60613999999998</v>
      </c>
      <c r="D4026" s="8">
        <v>137406.171875</v>
      </c>
      <c r="E4026" s="8">
        <v>137421.765625</v>
      </c>
      <c r="F4026" s="8">
        <f t="shared" si="124"/>
        <v>15.59375</v>
      </c>
      <c r="G4026" s="8">
        <f t="shared" si="125"/>
        <v>1.559375E-2</v>
      </c>
    </row>
    <row r="4027" spans="1:7" x14ac:dyDescent="0.25">
      <c r="A4027" s="8">
        <v>52</v>
      </c>
      <c r="B4027" s="8">
        <v>67</v>
      </c>
      <c r="C4027" s="8">
        <v>1057.0798339999999</v>
      </c>
      <c r="D4027" s="8">
        <v>138265.484375</v>
      </c>
      <c r="E4027" s="8">
        <v>138287.09375</v>
      </c>
      <c r="F4027" s="8">
        <f t="shared" si="124"/>
        <v>21.609375</v>
      </c>
      <c r="G4027" s="8">
        <f t="shared" si="125"/>
        <v>2.1609375E-2</v>
      </c>
    </row>
    <row r="4028" spans="1:7" x14ac:dyDescent="0.25">
      <c r="A4028" s="8">
        <v>52</v>
      </c>
      <c r="B4028" s="8">
        <v>68</v>
      </c>
      <c r="C4028" s="8">
        <v>2008.8638920000001</v>
      </c>
      <c r="D4028" s="8">
        <v>139350.109375</v>
      </c>
      <c r="E4028" s="8">
        <v>139368.59375</v>
      </c>
      <c r="F4028" s="8">
        <f t="shared" si="124"/>
        <v>18.484375</v>
      </c>
      <c r="G4028" s="8">
        <f t="shared" si="125"/>
        <v>1.8484375000000001E-2</v>
      </c>
    </row>
    <row r="4029" spans="1:7" x14ac:dyDescent="0.25">
      <c r="A4029" s="8">
        <v>52</v>
      </c>
      <c r="B4029" s="8">
        <v>69</v>
      </c>
      <c r="C4029" s="8">
        <v>513.04974400000003</v>
      </c>
      <c r="D4029" s="8">
        <v>141391.703125</v>
      </c>
      <c r="E4029" s="8">
        <v>141403.875</v>
      </c>
      <c r="F4029" s="8">
        <f t="shared" si="124"/>
        <v>12.171875</v>
      </c>
      <c r="G4029" s="8">
        <f t="shared" si="125"/>
        <v>1.2171875E-2</v>
      </c>
    </row>
    <row r="4030" spans="1:7" x14ac:dyDescent="0.25">
      <c r="A4030" s="8">
        <v>52</v>
      </c>
      <c r="B4030" s="8">
        <v>70</v>
      </c>
      <c r="C4030" s="8">
        <v>1260.0498050000001</v>
      </c>
      <c r="D4030" s="8">
        <v>141921.359375</v>
      </c>
      <c r="E4030" s="8">
        <v>141940.28125</v>
      </c>
      <c r="F4030" s="8">
        <f t="shared" si="124"/>
        <v>18.921875</v>
      </c>
      <c r="G4030" s="8">
        <f t="shared" si="125"/>
        <v>1.8921875000000001E-2</v>
      </c>
    </row>
    <row r="4031" spans="1:7" x14ac:dyDescent="0.25">
      <c r="A4031" s="8">
        <v>52</v>
      </c>
      <c r="B4031" s="8">
        <v>71</v>
      </c>
      <c r="C4031" s="8">
        <v>2959.7329100000002</v>
      </c>
      <c r="D4031" s="8">
        <v>143202.765625</v>
      </c>
      <c r="E4031" s="8">
        <v>143234</v>
      </c>
      <c r="F4031" s="8">
        <f t="shared" si="124"/>
        <v>31.234375</v>
      </c>
      <c r="G4031" s="8">
        <f t="shared" si="125"/>
        <v>3.1234375000000002E-2</v>
      </c>
    </row>
    <row r="4032" spans="1:7" x14ac:dyDescent="0.25">
      <c r="A4032" s="8">
        <v>52</v>
      </c>
      <c r="B4032" s="8">
        <v>72</v>
      </c>
      <c r="C4032" s="8">
        <v>38.392238999999996</v>
      </c>
      <c r="D4032" s="8">
        <v>146193.453125</v>
      </c>
      <c r="E4032" s="8">
        <v>146213.453125</v>
      </c>
      <c r="F4032" s="8">
        <f t="shared" si="124"/>
        <v>20</v>
      </c>
      <c r="G4032" s="8">
        <f t="shared" si="125"/>
        <v>0.02</v>
      </c>
    </row>
    <row r="4033" spans="1:7" x14ac:dyDescent="0.25">
      <c r="A4033" s="8">
        <v>52</v>
      </c>
      <c r="B4033" s="8">
        <v>73</v>
      </c>
      <c r="C4033" s="8">
        <v>1619.5423579999999</v>
      </c>
      <c r="D4033" s="8">
        <v>146255.9375</v>
      </c>
      <c r="E4033" s="8">
        <v>146395.515625</v>
      </c>
      <c r="F4033" s="8">
        <f t="shared" si="124"/>
        <v>139.578125</v>
      </c>
      <c r="G4033" s="8">
        <f t="shared" si="125"/>
        <v>0.139578125</v>
      </c>
    </row>
    <row r="4034" spans="1:7" x14ac:dyDescent="0.25">
      <c r="A4034" s="8">
        <v>52</v>
      </c>
      <c r="B4034" s="8">
        <v>74</v>
      </c>
      <c r="C4034" s="8">
        <v>824.58801300000005</v>
      </c>
      <c r="D4034" s="8">
        <v>148024.515625</v>
      </c>
      <c r="E4034" s="8">
        <v>148042.171875</v>
      </c>
      <c r="F4034" s="8">
        <f t="shared" si="124"/>
        <v>17.65625</v>
      </c>
      <c r="G4034" s="8">
        <f t="shared" si="125"/>
        <v>1.7656249999999998E-2</v>
      </c>
    </row>
    <row r="4035" spans="1:7" x14ac:dyDescent="0.25">
      <c r="A4035" s="8">
        <v>52</v>
      </c>
      <c r="B4035" s="8">
        <v>75</v>
      </c>
      <c r="C4035" s="8">
        <v>2151.8435060000002</v>
      </c>
      <c r="D4035" s="8">
        <v>148869.09375</v>
      </c>
      <c r="E4035" s="8">
        <v>148889.171875</v>
      </c>
      <c r="F4035" s="8">
        <f t="shared" si="124"/>
        <v>20.078125</v>
      </c>
      <c r="G4035" s="8">
        <f t="shared" si="125"/>
        <v>2.0078124999999999E-2</v>
      </c>
    </row>
    <row r="4036" spans="1:7" x14ac:dyDescent="0.25">
      <c r="A4036" s="8">
        <v>52</v>
      </c>
      <c r="B4036" s="8">
        <v>76</v>
      </c>
      <c r="C4036" s="8">
        <v>2157.04126</v>
      </c>
      <c r="D4036" s="8">
        <v>151045.796875</v>
      </c>
      <c r="E4036" s="8">
        <v>151071.34375</v>
      </c>
      <c r="F4036" s="8">
        <f t="shared" si="124"/>
        <v>25.546875</v>
      </c>
      <c r="G4036" s="8">
        <f t="shared" si="125"/>
        <v>2.5546875E-2</v>
      </c>
    </row>
    <row r="4037" spans="1:7" x14ac:dyDescent="0.25">
      <c r="A4037" s="8">
        <v>52</v>
      </c>
      <c r="B4037" s="8">
        <v>77</v>
      </c>
      <c r="C4037" s="8">
        <v>845.99652100000003</v>
      </c>
      <c r="D4037" s="8">
        <v>153234.359375</v>
      </c>
      <c r="E4037" s="8">
        <v>153252.4375</v>
      </c>
      <c r="F4037" s="8">
        <f t="shared" si="124"/>
        <v>18.078125</v>
      </c>
      <c r="G4037" s="8">
        <f t="shared" si="125"/>
        <v>1.8078125E-2</v>
      </c>
    </row>
    <row r="4038" spans="1:7" x14ac:dyDescent="0.25">
      <c r="A4038" s="8">
        <v>52</v>
      </c>
      <c r="B4038" s="8">
        <v>78</v>
      </c>
      <c r="C4038" s="8">
        <v>8421.9365230000003</v>
      </c>
      <c r="D4038" s="8">
        <v>154109.65625</v>
      </c>
      <c r="E4038" s="8">
        <v>154122.203125</v>
      </c>
      <c r="F4038" s="8">
        <f t="shared" si="124"/>
        <v>12.546875</v>
      </c>
      <c r="G4038" s="8">
        <f t="shared" si="125"/>
        <v>1.2546875000000001E-2</v>
      </c>
    </row>
    <row r="4039" spans="1:7" x14ac:dyDescent="0.25">
      <c r="A4039" s="8">
        <v>52</v>
      </c>
      <c r="B4039" s="8">
        <v>79</v>
      </c>
      <c r="C4039" s="8">
        <v>455.12643400000002</v>
      </c>
      <c r="D4039" s="8">
        <v>162549.5625</v>
      </c>
      <c r="E4039" s="8">
        <v>162588.171875</v>
      </c>
      <c r="F4039" s="8">
        <f t="shared" si="124"/>
        <v>38.609375</v>
      </c>
      <c r="G4039" s="8">
        <f t="shared" si="125"/>
        <v>3.8609375000000001E-2</v>
      </c>
    </row>
    <row r="4040" spans="1:7" x14ac:dyDescent="0.25">
      <c r="A4040" s="8">
        <v>52</v>
      </c>
      <c r="B4040" s="8">
        <v>80</v>
      </c>
      <c r="C4040" s="8">
        <v>6242.625</v>
      </c>
      <c r="D4040" s="8">
        <v>163049.59375</v>
      </c>
      <c r="E4040" s="8">
        <v>163060.890625</v>
      </c>
      <c r="F4040" s="8">
        <f t="shared" si="124"/>
        <v>11.296875</v>
      </c>
      <c r="G4040" s="8">
        <f t="shared" si="125"/>
        <v>1.1296875E-2</v>
      </c>
    </row>
    <row r="4041" spans="1:7" x14ac:dyDescent="0.25">
      <c r="A4041" s="8">
        <v>52</v>
      </c>
      <c r="B4041" s="8">
        <v>81</v>
      </c>
      <c r="C4041" s="8">
        <v>1395.1644289999999</v>
      </c>
      <c r="D4041" s="8">
        <v>169314.09375</v>
      </c>
      <c r="E4041" s="8">
        <v>169323.59375</v>
      </c>
      <c r="F4041" s="8">
        <f t="shared" si="124"/>
        <v>9.5</v>
      </c>
      <c r="G4041" s="8">
        <f t="shared" si="125"/>
        <v>9.4999999999999998E-3</v>
      </c>
    </row>
    <row r="4042" spans="1:7" x14ac:dyDescent="0.25">
      <c r="A4042" s="8">
        <v>53</v>
      </c>
      <c r="B4042" s="8">
        <v>0</v>
      </c>
      <c r="C4042" s="8">
        <v>175.649216</v>
      </c>
      <c r="D4042" s="8">
        <v>21500.615234000001</v>
      </c>
      <c r="E4042" s="8">
        <v>21530.431640999999</v>
      </c>
      <c r="F4042" s="8">
        <f t="shared" si="124"/>
        <v>29.816406999998435</v>
      </c>
      <c r="G4042" s="8">
        <f t="shared" si="125"/>
        <v>2.9816406999998435E-2</v>
      </c>
    </row>
    <row r="4043" spans="1:7" x14ac:dyDescent="0.25">
      <c r="A4043" s="8">
        <v>53</v>
      </c>
      <c r="B4043" s="8">
        <v>1</v>
      </c>
      <c r="C4043" s="8">
        <v>903.56048599999997</v>
      </c>
      <c r="D4043" s="8">
        <v>21719.466797000001</v>
      </c>
      <c r="E4043" s="8">
        <v>21734.451172000001</v>
      </c>
      <c r="F4043" s="8">
        <f t="shared" ref="F4043:F4106" si="126">E4043-D4043</f>
        <v>14.984375</v>
      </c>
      <c r="G4043" s="8">
        <f t="shared" ref="G4043:G4106" si="127">F4043/1000</f>
        <v>1.4984374999999999E-2</v>
      </c>
    </row>
    <row r="4044" spans="1:7" x14ac:dyDescent="0.25">
      <c r="A4044" s="8">
        <v>53</v>
      </c>
      <c r="B4044" s="8">
        <v>2</v>
      </c>
      <c r="C4044" s="8">
        <v>5547.0703130000002</v>
      </c>
      <c r="D4044" s="8">
        <v>22641.367188</v>
      </c>
      <c r="E4044" s="8">
        <v>22665.103515999999</v>
      </c>
      <c r="F4044" s="8">
        <f t="shared" si="126"/>
        <v>23.736327999999048</v>
      </c>
      <c r="G4044" s="8">
        <f t="shared" si="127"/>
        <v>2.3736327999999047E-2</v>
      </c>
    </row>
    <row r="4045" spans="1:7" x14ac:dyDescent="0.25">
      <c r="A4045" s="8">
        <v>53</v>
      </c>
      <c r="B4045" s="8">
        <v>3</v>
      </c>
      <c r="C4045" s="8">
        <v>2256.1926269999999</v>
      </c>
      <c r="D4045" s="8">
        <v>28212.861327999999</v>
      </c>
      <c r="E4045" s="8">
        <v>28220.199218999998</v>
      </c>
      <c r="F4045" s="8">
        <f t="shared" si="126"/>
        <v>7.3378909999992175</v>
      </c>
      <c r="G4045" s="8">
        <f t="shared" si="127"/>
        <v>7.3378909999992177E-3</v>
      </c>
    </row>
    <row r="4046" spans="1:7" x14ac:dyDescent="0.25">
      <c r="A4046" s="8">
        <v>53</v>
      </c>
      <c r="B4046" s="8">
        <v>4</v>
      </c>
      <c r="C4046" s="8">
        <v>1323.5067140000001</v>
      </c>
      <c r="D4046" s="8">
        <v>30484.150390999999</v>
      </c>
      <c r="E4046" s="8">
        <v>30492.857422000001</v>
      </c>
      <c r="F4046" s="8">
        <f t="shared" si="126"/>
        <v>8.7070310000017344</v>
      </c>
      <c r="G4046" s="8">
        <f t="shared" si="127"/>
        <v>8.7070310000017352E-3</v>
      </c>
    </row>
    <row r="4047" spans="1:7" x14ac:dyDescent="0.25">
      <c r="A4047" s="8">
        <v>53</v>
      </c>
      <c r="B4047" s="8">
        <v>5</v>
      </c>
      <c r="C4047" s="8">
        <v>624.82055700000001</v>
      </c>
      <c r="D4047" s="8">
        <v>31816.886718999998</v>
      </c>
      <c r="E4047" s="8">
        <v>31834.283202999999</v>
      </c>
      <c r="F4047" s="8">
        <f t="shared" si="126"/>
        <v>17.396484000000783</v>
      </c>
      <c r="G4047" s="8">
        <f t="shared" si="127"/>
        <v>1.7396484000000781E-2</v>
      </c>
    </row>
    <row r="4048" spans="1:7" x14ac:dyDescent="0.25">
      <c r="A4048" s="8">
        <v>53</v>
      </c>
      <c r="B4048" s="8">
        <v>6</v>
      </c>
      <c r="C4048" s="8">
        <v>6155.9497069999998</v>
      </c>
      <c r="D4048" s="8">
        <v>32473.226563</v>
      </c>
      <c r="E4048" s="8">
        <v>32489.402343999998</v>
      </c>
      <c r="F4048" s="8">
        <f t="shared" si="126"/>
        <v>16.175780999998096</v>
      </c>
      <c r="G4048" s="8">
        <f t="shared" si="127"/>
        <v>1.6175780999998095E-2</v>
      </c>
    </row>
    <row r="4049" spans="1:7" x14ac:dyDescent="0.25">
      <c r="A4049" s="8">
        <v>53</v>
      </c>
      <c r="B4049" s="8">
        <v>7</v>
      </c>
      <c r="C4049" s="8">
        <v>712.81811500000003</v>
      </c>
      <c r="D4049" s="8">
        <v>38652.207030999998</v>
      </c>
      <c r="E4049" s="8">
        <v>38675.117187999997</v>
      </c>
      <c r="F4049" s="8">
        <f t="shared" si="126"/>
        <v>22.910156999998435</v>
      </c>
      <c r="G4049" s="8">
        <f t="shared" si="127"/>
        <v>2.2910156999998436E-2</v>
      </c>
    </row>
    <row r="4050" spans="1:7" x14ac:dyDescent="0.25">
      <c r="A4050" s="8">
        <v>53</v>
      </c>
      <c r="B4050" s="8">
        <v>8</v>
      </c>
      <c r="C4050" s="8">
        <v>20794.353515999999</v>
      </c>
      <c r="D4050" s="8">
        <v>39402.28125</v>
      </c>
      <c r="E4050" s="8">
        <v>39409.554687999997</v>
      </c>
      <c r="F4050" s="8">
        <f t="shared" si="126"/>
        <v>7.2734379999965313</v>
      </c>
      <c r="G4050" s="8">
        <f t="shared" si="127"/>
        <v>7.2734379999965315E-3</v>
      </c>
    </row>
    <row r="4051" spans="1:7" x14ac:dyDescent="0.25">
      <c r="A4051" s="8">
        <v>53</v>
      </c>
      <c r="B4051" s="8">
        <v>9</v>
      </c>
      <c r="C4051" s="8">
        <v>858.14605700000004</v>
      </c>
      <c r="D4051" s="8">
        <v>60216.226562999997</v>
      </c>
      <c r="E4051" s="8">
        <v>60236.148437999997</v>
      </c>
      <c r="F4051" s="8">
        <f t="shared" si="126"/>
        <v>19.921875</v>
      </c>
      <c r="G4051" s="8">
        <f t="shared" si="127"/>
        <v>1.9921874999999999E-2</v>
      </c>
    </row>
    <row r="4052" spans="1:7" x14ac:dyDescent="0.25">
      <c r="A4052" s="8">
        <v>53</v>
      </c>
      <c r="B4052" s="8">
        <v>10</v>
      </c>
      <c r="C4052" s="8">
        <v>1255.928345</v>
      </c>
      <c r="D4052" s="8">
        <v>61106.980469000002</v>
      </c>
      <c r="E4052" s="8">
        <v>61128.332030999998</v>
      </c>
      <c r="F4052" s="8">
        <f t="shared" si="126"/>
        <v>21.351561999996193</v>
      </c>
      <c r="G4052" s="8">
        <f t="shared" si="127"/>
        <v>2.1351561999996192E-2</v>
      </c>
    </row>
    <row r="4053" spans="1:7" x14ac:dyDescent="0.25">
      <c r="A4053" s="8">
        <v>53</v>
      </c>
      <c r="B4053" s="8">
        <v>11</v>
      </c>
      <c r="C4053" s="8">
        <v>1757.2342530000001</v>
      </c>
      <c r="D4053" s="8">
        <v>62391.675780999998</v>
      </c>
      <c r="E4053" s="8">
        <v>62407.382812999997</v>
      </c>
      <c r="F4053" s="8">
        <f t="shared" si="126"/>
        <v>15.707031999998435</v>
      </c>
      <c r="G4053" s="8">
        <f t="shared" si="127"/>
        <v>1.5707031999998435E-2</v>
      </c>
    </row>
    <row r="4054" spans="1:7" x14ac:dyDescent="0.25">
      <c r="A4054" s="8">
        <v>53</v>
      </c>
      <c r="B4054" s="8">
        <v>12</v>
      </c>
      <c r="C4054" s="8">
        <v>1116.4562989999999</v>
      </c>
      <c r="D4054" s="8">
        <v>64167.652344000002</v>
      </c>
      <c r="E4054" s="8">
        <v>64210.679687999997</v>
      </c>
      <c r="F4054" s="8">
        <f t="shared" si="126"/>
        <v>43.027343999994628</v>
      </c>
      <c r="G4054" s="8">
        <f t="shared" si="127"/>
        <v>4.3027343999994624E-2</v>
      </c>
    </row>
    <row r="4055" spans="1:7" x14ac:dyDescent="0.25">
      <c r="A4055" s="8">
        <v>53</v>
      </c>
      <c r="B4055" s="8">
        <v>13</v>
      </c>
      <c r="C4055" s="8">
        <v>7337.0971680000002</v>
      </c>
      <c r="D4055" s="8">
        <v>65340.398437999997</v>
      </c>
      <c r="E4055" s="8">
        <v>65353.953125</v>
      </c>
      <c r="F4055" s="8">
        <f t="shared" si="126"/>
        <v>13.554687000003469</v>
      </c>
      <c r="G4055" s="8">
        <f t="shared" si="127"/>
        <v>1.3554687000003469E-2</v>
      </c>
    </row>
    <row r="4056" spans="1:7" x14ac:dyDescent="0.25">
      <c r="A4056" s="8">
        <v>53</v>
      </c>
      <c r="B4056" s="8">
        <v>14</v>
      </c>
      <c r="C4056" s="8">
        <v>1806.4760739999999</v>
      </c>
      <c r="D4056" s="8">
        <v>72701.171875</v>
      </c>
      <c r="E4056" s="8">
        <v>72732.34375</v>
      </c>
      <c r="F4056" s="8">
        <f t="shared" si="126"/>
        <v>31.171875</v>
      </c>
      <c r="G4056" s="8">
        <f t="shared" si="127"/>
        <v>3.1171875000000002E-2</v>
      </c>
    </row>
    <row r="4057" spans="1:7" x14ac:dyDescent="0.25">
      <c r="A4057" s="8">
        <v>53</v>
      </c>
      <c r="B4057" s="8">
        <v>15</v>
      </c>
      <c r="C4057" s="8">
        <v>8598.2050780000009</v>
      </c>
      <c r="D4057" s="8">
        <v>74539.359375</v>
      </c>
      <c r="E4057" s="8">
        <v>74560.664063000004</v>
      </c>
      <c r="F4057" s="8">
        <f t="shared" si="126"/>
        <v>21.304688000003807</v>
      </c>
      <c r="G4057" s="8">
        <f t="shared" si="127"/>
        <v>2.1304688000003808E-2</v>
      </c>
    </row>
    <row r="4058" spans="1:7" x14ac:dyDescent="0.25">
      <c r="A4058" s="8">
        <v>53</v>
      </c>
      <c r="B4058" s="8">
        <v>16</v>
      </c>
      <c r="C4058" s="8">
        <v>1206.227905</v>
      </c>
      <c r="D4058" s="8">
        <v>83167.4375</v>
      </c>
      <c r="E4058" s="8">
        <v>83192.453125</v>
      </c>
      <c r="F4058" s="8">
        <f t="shared" si="126"/>
        <v>25.015625</v>
      </c>
      <c r="G4058" s="8">
        <f t="shared" si="127"/>
        <v>2.5015625E-2</v>
      </c>
    </row>
    <row r="4059" spans="1:7" x14ac:dyDescent="0.25">
      <c r="A4059" s="8">
        <v>53</v>
      </c>
      <c r="B4059" s="8">
        <v>17</v>
      </c>
      <c r="C4059" s="8">
        <v>1132.19812</v>
      </c>
      <c r="D4059" s="8">
        <v>84407.21875</v>
      </c>
      <c r="E4059" s="8">
        <v>84421.96875</v>
      </c>
      <c r="F4059" s="8">
        <f t="shared" si="126"/>
        <v>14.75</v>
      </c>
      <c r="G4059" s="8">
        <f t="shared" si="127"/>
        <v>1.4749999999999999E-2</v>
      </c>
    </row>
    <row r="4060" spans="1:7" x14ac:dyDescent="0.25">
      <c r="A4060" s="8">
        <v>53</v>
      </c>
      <c r="B4060" s="8">
        <v>18</v>
      </c>
      <c r="C4060" s="8">
        <v>5915.2353519999997</v>
      </c>
      <c r="D4060" s="8">
        <v>85565.101563000004</v>
      </c>
      <c r="E4060" s="8">
        <v>85577.484375</v>
      </c>
      <c r="F4060" s="8">
        <f t="shared" si="126"/>
        <v>12.382811999996193</v>
      </c>
      <c r="G4060" s="8">
        <f t="shared" si="127"/>
        <v>1.2382811999996192E-2</v>
      </c>
    </row>
    <row r="4061" spans="1:7" x14ac:dyDescent="0.25">
      <c r="A4061" s="8">
        <v>53</v>
      </c>
      <c r="B4061" s="8">
        <v>19</v>
      </c>
      <c r="C4061" s="8">
        <v>2923.8635250000002</v>
      </c>
      <c r="D4061" s="8">
        <v>91495.570313000004</v>
      </c>
      <c r="E4061" s="8">
        <v>91580</v>
      </c>
      <c r="F4061" s="8">
        <f t="shared" si="126"/>
        <v>84.429686999996193</v>
      </c>
      <c r="G4061" s="8">
        <f t="shared" si="127"/>
        <v>8.4429686999996187E-2</v>
      </c>
    </row>
    <row r="4062" spans="1:7" x14ac:dyDescent="0.25">
      <c r="A4062" s="8">
        <v>53</v>
      </c>
      <c r="B4062" s="8">
        <v>20</v>
      </c>
      <c r="C4062" s="8">
        <v>1460.216919</v>
      </c>
      <c r="D4062" s="8">
        <v>94514.570313000004</v>
      </c>
      <c r="E4062" s="8">
        <v>94535.679688000004</v>
      </c>
      <c r="F4062" s="8">
        <f t="shared" si="126"/>
        <v>21.109375</v>
      </c>
      <c r="G4062" s="8">
        <f t="shared" si="127"/>
        <v>2.1109375E-2</v>
      </c>
    </row>
    <row r="4063" spans="1:7" x14ac:dyDescent="0.25">
      <c r="A4063" s="8">
        <v>53</v>
      </c>
      <c r="B4063" s="8">
        <v>21</v>
      </c>
      <c r="C4063" s="8">
        <v>441.45568800000001</v>
      </c>
      <c r="D4063" s="8">
        <v>96006.53125</v>
      </c>
      <c r="E4063" s="8">
        <v>96027.40625</v>
      </c>
      <c r="F4063" s="8">
        <f t="shared" si="126"/>
        <v>20.875</v>
      </c>
      <c r="G4063" s="8">
        <f t="shared" si="127"/>
        <v>2.0875000000000001E-2</v>
      </c>
    </row>
    <row r="4064" spans="1:7" x14ac:dyDescent="0.25">
      <c r="A4064" s="8">
        <v>53</v>
      </c>
      <c r="B4064" s="8">
        <v>22</v>
      </c>
      <c r="C4064" s="8">
        <v>411.46517899999998</v>
      </c>
      <c r="D4064" s="8">
        <v>96475.953125</v>
      </c>
      <c r="E4064" s="8">
        <v>96486.445313000004</v>
      </c>
      <c r="F4064" s="8">
        <f t="shared" si="126"/>
        <v>10.492188000003807</v>
      </c>
      <c r="G4064" s="8">
        <f t="shared" si="127"/>
        <v>1.0492188000003807E-2</v>
      </c>
    </row>
    <row r="4065" spans="1:7" x14ac:dyDescent="0.25">
      <c r="A4065" s="8">
        <v>53</v>
      </c>
      <c r="B4065" s="8">
        <v>23</v>
      </c>
      <c r="C4065" s="8">
        <v>417.39727800000003</v>
      </c>
      <c r="D4065" s="8">
        <v>96899.867188000004</v>
      </c>
      <c r="E4065" s="8">
        <v>96914.382813000004</v>
      </c>
      <c r="F4065" s="8">
        <f t="shared" si="126"/>
        <v>14.515625</v>
      </c>
      <c r="G4065" s="8">
        <f t="shared" si="127"/>
        <v>1.4515625000000001E-2</v>
      </c>
    </row>
    <row r="4066" spans="1:7" x14ac:dyDescent="0.25">
      <c r="A4066" s="8">
        <v>53</v>
      </c>
      <c r="B4066" s="8">
        <v>24</v>
      </c>
      <c r="C4066" s="8">
        <v>2015.8756100000001</v>
      </c>
      <c r="D4066" s="8">
        <v>97340.859375</v>
      </c>
      <c r="E4066" s="8">
        <v>97357.46875</v>
      </c>
      <c r="F4066" s="8">
        <f t="shared" si="126"/>
        <v>16.609375</v>
      </c>
      <c r="G4066" s="8">
        <f t="shared" si="127"/>
        <v>1.6609374999999999E-2</v>
      </c>
    </row>
    <row r="4067" spans="1:7" x14ac:dyDescent="0.25">
      <c r="A4067" s="8">
        <v>53</v>
      </c>
      <c r="B4067" s="8">
        <v>25</v>
      </c>
      <c r="C4067" s="8">
        <v>947.479919</v>
      </c>
      <c r="D4067" s="8">
        <v>99385.710938000004</v>
      </c>
      <c r="E4067" s="8">
        <v>99394.3125</v>
      </c>
      <c r="F4067" s="8">
        <f t="shared" si="126"/>
        <v>8.6015619999961928</v>
      </c>
      <c r="G4067" s="8">
        <f t="shared" si="127"/>
        <v>8.6015619999961924E-3</v>
      </c>
    </row>
    <row r="4068" spans="1:7" x14ac:dyDescent="0.25">
      <c r="A4068" s="8">
        <v>53</v>
      </c>
      <c r="B4068" s="8">
        <v>26</v>
      </c>
      <c r="C4068" s="8">
        <v>149.498154</v>
      </c>
      <c r="D4068" s="8">
        <v>100354.53125</v>
      </c>
      <c r="E4068" s="8">
        <v>100373.992188</v>
      </c>
      <c r="F4068" s="8">
        <f t="shared" si="126"/>
        <v>19.460938000003807</v>
      </c>
      <c r="G4068" s="8">
        <f t="shared" si="127"/>
        <v>1.9460938000003807E-2</v>
      </c>
    </row>
    <row r="4069" spans="1:7" x14ac:dyDescent="0.25">
      <c r="A4069" s="8">
        <v>53</v>
      </c>
      <c r="B4069" s="8">
        <v>27</v>
      </c>
      <c r="C4069" s="8">
        <v>491.004547</v>
      </c>
      <c r="D4069" s="8">
        <v>100526.453125</v>
      </c>
      <c r="E4069" s="8">
        <v>100536.890625</v>
      </c>
      <c r="F4069" s="8">
        <f t="shared" si="126"/>
        <v>10.4375</v>
      </c>
      <c r="G4069" s="8">
        <f t="shared" si="127"/>
        <v>1.0437500000000001E-2</v>
      </c>
    </row>
    <row r="4070" spans="1:7" x14ac:dyDescent="0.25">
      <c r="A4070" s="8">
        <v>53</v>
      </c>
      <c r="B4070" s="8">
        <v>28</v>
      </c>
      <c r="C4070" s="8">
        <v>1870.600342</v>
      </c>
      <c r="D4070" s="8">
        <v>101042.125</v>
      </c>
      <c r="E4070" s="8">
        <v>101062.46875</v>
      </c>
      <c r="F4070" s="8">
        <f t="shared" si="126"/>
        <v>20.34375</v>
      </c>
      <c r="G4070" s="8">
        <f t="shared" si="127"/>
        <v>2.0343750000000001E-2</v>
      </c>
    </row>
    <row r="4071" spans="1:7" x14ac:dyDescent="0.25">
      <c r="A4071" s="8">
        <v>53</v>
      </c>
      <c r="B4071" s="8">
        <v>29</v>
      </c>
      <c r="C4071" s="8">
        <v>4801.7202150000003</v>
      </c>
      <c r="D4071" s="8">
        <v>102945.617188</v>
      </c>
      <c r="E4071" s="8">
        <v>102956.40625</v>
      </c>
      <c r="F4071" s="8">
        <f t="shared" si="126"/>
        <v>10.789061999996193</v>
      </c>
      <c r="G4071" s="8">
        <f t="shared" si="127"/>
        <v>1.0789061999996193E-2</v>
      </c>
    </row>
    <row r="4072" spans="1:7" x14ac:dyDescent="0.25">
      <c r="A4072" s="8">
        <v>53</v>
      </c>
      <c r="B4072" s="8">
        <v>30</v>
      </c>
      <c r="C4072" s="8">
        <v>535.65948500000002</v>
      </c>
      <c r="D4072" s="8">
        <v>107766.726563</v>
      </c>
      <c r="E4072" s="8">
        <v>107777.398438</v>
      </c>
      <c r="F4072" s="8">
        <f t="shared" si="126"/>
        <v>10.671875</v>
      </c>
      <c r="G4072" s="8">
        <f t="shared" si="127"/>
        <v>1.0671875000000001E-2</v>
      </c>
    </row>
    <row r="4073" spans="1:7" x14ac:dyDescent="0.25">
      <c r="A4073" s="8">
        <v>53</v>
      </c>
      <c r="B4073" s="8">
        <v>31</v>
      </c>
      <c r="C4073" s="8">
        <v>277.70272799999998</v>
      </c>
      <c r="D4073" s="8">
        <v>108313.703125</v>
      </c>
      <c r="E4073" s="8">
        <v>108397.140625</v>
      </c>
      <c r="F4073" s="8">
        <f t="shared" si="126"/>
        <v>83.4375</v>
      </c>
      <c r="G4073" s="8">
        <f t="shared" si="127"/>
        <v>8.3437499999999998E-2</v>
      </c>
    </row>
    <row r="4074" spans="1:7" x14ac:dyDescent="0.25">
      <c r="A4074" s="8">
        <v>53</v>
      </c>
      <c r="B4074" s="8">
        <v>32</v>
      </c>
      <c r="C4074" s="8">
        <v>2022.240601</v>
      </c>
      <c r="D4074" s="8">
        <v>108688.703125</v>
      </c>
      <c r="E4074" s="8">
        <v>108708.90625</v>
      </c>
      <c r="F4074" s="8">
        <f t="shared" si="126"/>
        <v>20.203125</v>
      </c>
      <c r="G4074" s="8">
        <f t="shared" si="127"/>
        <v>2.0203124999999999E-2</v>
      </c>
    </row>
    <row r="4075" spans="1:7" x14ac:dyDescent="0.25">
      <c r="A4075" s="8">
        <v>53</v>
      </c>
      <c r="B4075" s="8">
        <v>33</v>
      </c>
      <c r="C4075" s="8">
        <v>1985.0085449999999</v>
      </c>
      <c r="D4075" s="8">
        <v>110736.554688</v>
      </c>
      <c r="E4075" s="8">
        <v>110762.398438</v>
      </c>
      <c r="F4075" s="8">
        <f t="shared" si="126"/>
        <v>25.84375</v>
      </c>
      <c r="G4075" s="8">
        <f t="shared" si="127"/>
        <v>2.5843749999999999E-2</v>
      </c>
    </row>
    <row r="4076" spans="1:7" x14ac:dyDescent="0.25">
      <c r="A4076" s="8">
        <v>53</v>
      </c>
      <c r="B4076" s="8">
        <v>34</v>
      </c>
      <c r="C4076" s="8">
        <v>886.65850799999998</v>
      </c>
      <c r="D4076" s="8">
        <v>112759.882813</v>
      </c>
      <c r="E4076" s="8">
        <v>112771.570313</v>
      </c>
      <c r="F4076" s="8">
        <f t="shared" si="126"/>
        <v>11.6875</v>
      </c>
      <c r="G4076" s="8">
        <f t="shared" si="127"/>
        <v>1.16875E-2</v>
      </c>
    </row>
    <row r="4077" spans="1:7" x14ac:dyDescent="0.25">
      <c r="A4077" s="8">
        <v>53</v>
      </c>
      <c r="B4077" s="8">
        <v>35</v>
      </c>
      <c r="C4077" s="8">
        <v>3293.938721</v>
      </c>
      <c r="D4077" s="8">
        <v>113659.40625</v>
      </c>
      <c r="E4077" s="8">
        <v>113672.335938</v>
      </c>
      <c r="F4077" s="8">
        <f t="shared" si="126"/>
        <v>12.929688000003807</v>
      </c>
      <c r="G4077" s="8">
        <f t="shared" si="127"/>
        <v>1.2929688000003808E-2</v>
      </c>
    </row>
    <row r="4078" spans="1:7" x14ac:dyDescent="0.25">
      <c r="A4078" s="8">
        <v>53</v>
      </c>
      <c r="B4078" s="8">
        <v>36</v>
      </c>
      <c r="C4078" s="8">
        <v>2959.4650879999999</v>
      </c>
      <c r="D4078" s="8">
        <v>116965.773438</v>
      </c>
      <c r="E4078" s="8">
        <v>116981.515625</v>
      </c>
      <c r="F4078" s="8">
        <f t="shared" si="126"/>
        <v>15.742186999996193</v>
      </c>
      <c r="G4078" s="8">
        <f t="shared" si="127"/>
        <v>1.5742186999996192E-2</v>
      </c>
    </row>
    <row r="4079" spans="1:7" x14ac:dyDescent="0.25">
      <c r="A4079" s="8">
        <v>53</v>
      </c>
      <c r="B4079" s="8">
        <v>37</v>
      </c>
      <c r="C4079" s="8">
        <v>3041.8239749999998</v>
      </c>
      <c r="D4079" s="8">
        <v>119952.898438</v>
      </c>
      <c r="E4079" s="8">
        <v>119963.578125</v>
      </c>
      <c r="F4079" s="8">
        <f t="shared" si="126"/>
        <v>10.679686999996193</v>
      </c>
      <c r="G4079" s="8">
        <f t="shared" si="127"/>
        <v>1.0679686999996192E-2</v>
      </c>
    </row>
    <row r="4080" spans="1:7" x14ac:dyDescent="0.25">
      <c r="A4080" s="8">
        <v>53</v>
      </c>
      <c r="B4080" s="8">
        <v>38</v>
      </c>
      <c r="C4080" s="8">
        <v>30.443892000000002</v>
      </c>
      <c r="D4080" s="8">
        <v>123019.46875</v>
      </c>
      <c r="E4080" s="8">
        <v>123030.328125</v>
      </c>
      <c r="F4080" s="8">
        <f t="shared" si="126"/>
        <v>10.859375</v>
      </c>
      <c r="G4080" s="8">
        <f t="shared" si="127"/>
        <v>1.0859374999999999E-2</v>
      </c>
    </row>
    <row r="4081" spans="1:7" x14ac:dyDescent="0.25">
      <c r="A4081" s="8">
        <v>53</v>
      </c>
      <c r="B4081" s="8">
        <v>39</v>
      </c>
      <c r="C4081" s="8">
        <v>235.78735399999999</v>
      </c>
      <c r="D4081" s="8">
        <v>123066.351563</v>
      </c>
      <c r="E4081" s="8">
        <v>123077.507813</v>
      </c>
      <c r="F4081" s="8">
        <f t="shared" si="126"/>
        <v>11.15625</v>
      </c>
      <c r="G4081" s="8">
        <f t="shared" si="127"/>
        <v>1.115625E-2</v>
      </c>
    </row>
    <row r="4082" spans="1:7" x14ac:dyDescent="0.25">
      <c r="A4082" s="8">
        <v>53</v>
      </c>
      <c r="B4082" s="8">
        <v>40</v>
      </c>
      <c r="C4082" s="8">
        <v>421.83917200000002</v>
      </c>
      <c r="D4082" s="8">
        <v>123324.476563</v>
      </c>
      <c r="E4082" s="8">
        <v>123331.828125</v>
      </c>
      <c r="F4082" s="8">
        <f t="shared" si="126"/>
        <v>7.3515619999961928</v>
      </c>
      <c r="G4082" s="8">
        <f t="shared" si="127"/>
        <v>7.351561999996193E-3</v>
      </c>
    </row>
    <row r="4083" spans="1:7" x14ac:dyDescent="0.25">
      <c r="A4083" s="8">
        <v>53</v>
      </c>
      <c r="B4083" s="8">
        <v>41</v>
      </c>
      <c r="C4083" s="8">
        <v>159.78529399999999</v>
      </c>
      <c r="D4083" s="8">
        <v>123762.085938</v>
      </c>
      <c r="E4083" s="8">
        <v>123777.15625</v>
      </c>
      <c r="F4083" s="8">
        <f t="shared" si="126"/>
        <v>15.070311999996193</v>
      </c>
      <c r="G4083" s="8">
        <f t="shared" si="127"/>
        <v>1.5070311999996193E-2</v>
      </c>
    </row>
    <row r="4084" spans="1:7" x14ac:dyDescent="0.25">
      <c r="A4084" s="8">
        <v>53</v>
      </c>
      <c r="B4084" s="8">
        <v>42</v>
      </c>
      <c r="C4084" s="8">
        <v>4100.1215819999998</v>
      </c>
      <c r="D4084" s="8">
        <v>123949.554688</v>
      </c>
      <c r="E4084" s="8">
        <v>124029.476563</v>
      </c>
      <c r="F4084" s="8">
        <f t="shared" si="126"/>
        <v>79.921875</v>
      </c>
      <c r="G4084" s="8">
        <f t="shared" si="127"/>
        <v>7.9921875000000003E-2</v>
      </c>
    </row>
    <row r="4085" spans="1:7" x14ac:dyDescent="0.25">
      <c r="A4085" s="8">
        <v>53</v>
      </c>
      <c r="B4085" s="8">
        <v>43</v>
      </c>
      <c r="C4085" s="8">
        <v>326.54278599999998</v>
      </c>
      <c r="D4085" s="8">
        <v>128143.695313</v>
      </c>
      <c r="E4085" s="8">
        <v>128175.601563</v>
      </c>
      <c r="F4085" s="8">
        <f t="shared" si="126"/>
        <v>31.90625</v>
      </c>
      <c r="G4085" s="8">
        <f t="shared" si="127"/>
        <v>3.1906249999999997E-2</v>
      </c>
    </row>
    <row r="4086" spans="1:7" x14ac:dyDescent="0.25">
      <c r="A4086" s="8">
        <v>53</v>
      </c>
      <c r="B4086" s="8">
        <v>44</v>
      </c>
      <c r="C4086" s="8">
        <v>2744.6464839999999</v>
      </c>
      <c r="D4086" s="8">
        <v>128504.484375</v>
      </c>
      <c r="E4086" s="8">
        <v>128514.25</v>
      </c>
      <c r="F4086" s="8">
        <f t="shared" si="126"/>
        <v>9.765625</v>
      </c>
      <c r="G4086" s="8">
        <f t="shared" si="127"/>
        <v>9.765625E-3</v>
      </c>
    </row>
    <row r="4087" spans="1:7" x14ac:dyDescent="0.25">
      <c r="A4087" s="8">
        <v>53</v>
      </c>
      <c r="B4087" s="8">
        <v>45</v>
      </c>
      <c r="C4087" s="8">
        <v>4413.0913090000004</v>
      </c>
      <c r="D4087" s="8">
        <v>131270.359375</v>
      </c>
      <c r="E4087" s="8">
        <v>131292.15625</v>
      </c>
      <c r="F4087" s="8">
        <f t="shared" si="126"/>
        <v>21.796875</v>
      </c>
      <c r="G4087" s="8">
        <f t="shared" si="127"/>
        <v>2.1796875E-2</v>
      </c>
    </row>
    <row r="4088" spans="1:7" x14ac:dyDescent="0.25">
      <c r="A4088" s="8">
        <v>53</v>
      </c>
      <c r="B4088" s="8">
        <v>46</v>
      </c>
      <c r="C4088" s="8">
        <v>1262.80249</v>
      </c>
      <c r="D4088" s="8">
        <v>135710.21875</v>
      </c>
      <c r="E4088" s="8">
        <v>135826.765625</v>
      </c>
      <c r="F4088" s="8">
        <f t="shared" si="126"/>
        <v>116.546875</v>
      </c>
      <c r="G4088" s="8">
        <f t="shared" si="127"/>
        <v>0.11654687499999999</v>
      </c>
    </row>
    <row r="4089" spans="1:7" x14ac:dyDescent="0.25">
      <c r="A4089" s="8">
        <v>53</v>
      </c>
      <c r="B4089" s="8">
        <v>47</v>
      </c>
      <c r="C4089" s="8">
        <v>3260.007568</v>
      </c>
      <c r="D4089" s="8">
        <v>137091.09375</v>
      </c>
      <c r="E4089" s="8">
        <v>137105.046875</v>
      </c>
      <c r="F4089" s="8">
        <f t="shared" si="126"/>
        <v>13.953125</v>
      </c>
      <c r="G4089" s="8">
        <f t="shared" si="127"/>
        <v>1.3953125E-2</v>
      </c>
    </row>
    <row r="4090" spans="1:7" x14ac:dyDescent="0.25">
      <c r="A4090" s="8">
        <v>53</v>
      </c>
      <c r="B4090" s="8">
        <v>48</v>
      </c>
      <c r="C4090" s="8">
        <v>3177.0183109999998</v>
      </c>
      <c r="D4090" s="8">
        <v>140373.453125</v>
      </c>
      <c r="E4090" s="8">
        <v>140386.09375</v>
      </c>
      <c r="F4090" s="8">
        <f t="shared" si="126"/>
        <v>12.640625</v>
      </c>
      <c r="G4090" s="8">
        <f t="shared" si="127"/>
        <v>1.2640625000000001E-2</v>
      </c>
    </row>
    <row r="4091" spans="1:7" x14ac:dyDescent="0.25">
      <c r="A4091" s="8">
        <v>53</v>
      </c>
      <c r="B4091" s="8">
        <v>49</v>
      </c>
      <c r="C4091" s="8">
        <v>2329.955078</v>
      </c>
      <c r="D4091" s="8">
        <v>143572.375</v>
      </c>
      <c r="E4091" s="8">
        <v>143589.46875</v>
      </c>
      <c r="F4091" s="8">
        <f t="shared" si="126"/>
        <v>17.09375</v>
      </c>
      <c r="G4091" s="8">
        <f t="shared" si="127"/>
        <v>1.7093750000000001E-2</v>
      </c>
    </row>
    <row r="4092" spans="1:7" x14ac:dyDescent="0.25">
      <c r="A4092" s="8">
        <v>53</v>
      </c>
      <c r="B4092" s="8">
        <v>50</v>
      </c>
      <c r="C4092" s="8">
        <v>747.10766599999999</v>
      </c>
      <c r="D4092" s="8">
        <v>145927.8125</v>
      </c>
      <c r="E4092" s="8">
        <v>145943.328125</v>
      </c>
      <c r="F4092" s="8">
        <f t="shared" si="126"/>
        <v>15.515625</v>
      </c>
      <c r="G4092" s="8">
        <f t="shared" si="127"/>
        <v>1.5515625E-2</v>
      </c>
    </row>
    <row r="4093" spans="1:7" x14ac:dyDescent="0.25">
      <c r="A4093" s="8">
        <v>53</v>
      </c>
      <c r="B4093" s="8">
        <v>51</v>
      </c>
      <c r="C4093" s="8">
        <v>802.58557099999996</v>
      </c>
      <c r="D4093" s="8">
        <v>146693.5</v>
      </c>
      <c r="E4093" s="8">
        <v>146700.828125</v>
      </c>
      <c r="F4093" s="8">
        <f t="shared" si="126"/>
        <v>7.328125</v>
      </c>
      <c r="G4093" s="8">
        <f t="shared" si="127"/>
        <v>7.3281249999999996E-3</v>
      </c>
    </row>
    <row r="4094" spans="1:7" x14ac:dyDescent="0.25">
      <c r="A4094" s="8">
        <v>53</v>
      </c>
      <c r="B4094" s="8">
        <v>52</v>
      </c>
      <c r="C4094" s="8">
        <v>2620.2700199999999</v>
      </c>
      <c r="D4094" s="8">
        <v>147506.109375</v>
      </c>
      <c r="E4094" s="8">
        <v>147522.328125</v>
      </c>
      <c r="F4094" s="8">
        <f t="shared" si="126"/>
        <v>16.21875</v>
      </c>
      <c r="G4094" s="8">
        <f t="shared" si="127"/>
        <v>1.6218750000000001E-2</v>
      </c>
    </row>
    <row r="4095" spans="1:7" x14ac:dyDescent="0.25">
      <c r="A4095" s="8">
        <v>53</v>
      </c>
      <c r="B4095" s="8">
        <v>53</v>
      </c>
      <c r="C4095" s="8">
        <v>674.99645999999996</v>
      </c>
      <c r="D4095" s="8">
        <v>150155.140625</v>
      </c>
      <c r="E4095" s="8">
        <v>150167.71875</v>
      </c>
      <c r="F4095" s="8">
        <f t="shared" si="126"/>
        <v>12.578125</v>
      </c>
      <c r="G4095" s="8">
        <f t="shared" si="127"/>
        <v>1.2578125000000001E-2</v>
      </c>
    </row>
    <row r="4096" spans="1:7" x14ac:dyDescent="0.25">
      <c r="A4096" s="8">
        <v>53</v>
      </c>
      <c r="B4096" s="8">
        <v>54</v>
      </c>
      <c r="C4096" s="8">
        <v>1313.3583980000001</v>
      </c>
      <c r="D4096" s="8">
        <v>150842.625</v>
      </c>
      <c r="E4096" s="8">
        <v>150853.453125</v>
      </c>
      <c r="F4096" s="8">
        <f t="shared" si="126"/>
        <v>10.828125</v>
      </c>
      <c r="G4096" s="8">
        <f t="shared" si="127"/>
        <v>1.0828124999999999E-2</v>
      </c>
    </row>
    <row r="4097" spans="1:7" x14ac:dyDescent="0.25">
      <c r="A4097" s="8">
        <v>53</v>
      </c>
      <c r="B4097" s="8">
        <v>55</v>
      </c>
      <c r="C4097" s="8">
        <v>1079.4672849999999</v>
      </c>
      <c r="D4097" s="8">
        <v>152171.671875</v>
      </c>
      <c r="E4097" s="8">
        <v>152187.046875</v>
      </c>
      <c r="F4097" s="8">
        <f t="shared" si="126"/>
        <v>15.375</v>
      </c>
      <c r="G4097" s="8">
        <f t="shared" si="127"/>
        <v>1.5375E-2</v>
      </c>
    </row>
    <row r="4098" spans="1:7" x14ac:dyDescent="0.25">
      <c r="A4098" s="8">
        <v>53</v>
      </c>
      <c r="B4098" s="8">
        <v>56</v>
      </c>
      <c r="C4098" s="8">
        <v>478.79263300000002</v>
      </c>
      <c r="D4098" s="8">
        <v>153281.359375</v>
      </c>
      <c r="E4098" s="8">
        <v>153291.53125</v>
      </c>
      <c r="F4098" s="8">
        <f t="shared" si="126"/>
        <v>10.171875</v>
      </c>
      <c r="G4098" s="8">
        <f t="shared" si="127"/>
        <v>1.0171875E-2</v>
      </c>
    </row>
    <row r="4099" spans="1:7" x14ac:dyDescent="0.25">
      <c r="A4099" s="8">
        <v>53</v>
      </c>
      <c r="B4099" s="8">
        <v>57</v>
      </c>
      <c r="C4099" s="8">
        <v>47.122044000000002</v>
      </c>
      <c r="D4099" s="8">
        <v>153781.453125</v>
      </c>
      <c r="E4099" s="8">
        <v>153790.671875</v>
      </c>
      <c r="F4099" s="8">
        <f t="shared" si="126"/>
        <v>9.21875</v>
      </c>
      <c r="G4099" s="8">
        <f t="shared" si="127"/>
        <v>9.2187499999999995E-3</v>
      </c>
    </row>
    <row r="4100" spans="1:7" x14ac:dyDescent="0.25">
      <c r="A4100" s="8">
        <v>53</v>
      </c>
      <c r="B4100" s="8">
        <v>58</v>
      </c>
      <c r="C4100" s="8">
        <v>1306.543457</v>
      </c>
      <c r="D4100" s="8">
        <v>153843.875</v>
      </c>
      <c r="E4100" s="8">
        <v>153855.296875</v>
      </c>
      <c r="F4100" s="8">
        <f t="shared" si="126"/>
        <v>11.421875</v>
      </c>
      <c r="G4100" s="8">
        <f t="shared" si="127"/>
        <v>1.1421875E-2</v>
      </c>
    </row>
    <row r="4101" spans="1:7" x14ac:dyDescent="0.25">
      <c r="A4101" s="8">
        <v>53</v>
      </c>
      <c r="B4101" s="8">
        <v>59</v>
      </c>
      <c r="C4101" s="8">
        <v>1407.0936280000001</v>
      </c>
      <c r="D4101" s="8">
        <v>155172.203125</v>
      </c>
      <c r="E4101" s="8">
        <v>155193.875</v>
      </c>
      <c r="F4101" s="8">
        <f t="shared" si="126"/>
        <v>21.671875</v>
      </c>
      <c r="G4101" s="8">
        <f t="shared" si="127"/>
        <v>2.1671875E-2</v>
      </c>
    </row>
    <row r="4102" spans="1:7" x14ac:dyDescent="0.25">
      <c r="A4102" s="8">
        <v>53</v>
      </c>
      <c r="B4102" s="8">
        <v>60</v>
      </c>
      <c r="C4102" s="8">
        <v>1703.8745120000001</v>
      </c>
      <c r="D4102" s="8">
        <v>156609.828125</v>
      </c>
      <c r="E4102" s="8">
        <v>156638.265625</v>
      </c>
      <c r="F4102" s="8">
        <f t="shared" si="126"/>
        <v>28.4375</v>
      </c>
      <c r="G4102" s="8">
        <f t="shared" si="127"/>
        <v>2.8437500000000001E-2</v>
      </c>
    </row>
    <row r="4103" spans="1:7" x14ac:dyDescent="0.25">
      <c r="A4103" s="8">
        <v>53</v>
      </c>
      <c r="B4103" s="8">
        <v>61</v>
      </c>
      <c r="C4103" s="8">
        <v>1190.8911129999999</v>
      </c>
      <c r="D4103" s="8">
        <v>158344.4375</v>
      </c>
      <c r="E4103" s="8">
        <v>158357.734375</v>
      </c>
      <c r="F4103" s="8">
        <f t="shared" si="126"/>
        <v>13.296875</v>
      </c>
      <c r="G4103" s="8">
        <f t="shared" si="127"/>
        <v>1.3296875E-2</v>
      </c>
    </row>
    <row r="4104" spans="1:7" x14ac:dyDescent="0.25">
      <c r="A4104" s="8">
        <v>53</v>
      </c>
      <c r="B4104" s="8">
        <v>62</v>
      </c>
      <c r="C4104" s="8">
        <v>1554.626587</v>
      </c>
      <c r="D4104" s="8">
        <v>159548.703125</v>
      </c>
      <c r="E4104" s="8">
        <v>159563.375</v>
      </c>
      <c r="F4104" s="8">
        <f t="shared" si="126"/>
        <v>14.671875</v>
      </c>
      <c r="G4104" s="8">
        <f t="shared" si="127"/>
        <v>1.4671874999999999E-2</v>
      </c>
    </row>
    <row r="4105" spans="1:7" x14ac:dyDescent="0.25">
      <c r="A4105" s="8">
        <v>53</v>
      </c>
      <c r="B4105" s="8">
        <v>63</v>
      </c>
      <c r="C4105" s="8">
        <v>2695.889893</v>
      </c>
      <c r="D4105" s="8">
        <v>161127</v>
      </c>
      <c r="E4105" s="8">
        <v>161143.453125</v>
      </c>
      <c r="F4105" s="8">
        <f t="shared" si="126"/>
        <v>16.453125</v>
      </c>
      <c r="G4105" s="8">
        <f t="shared" si="127"/>
        <v>1.6453124999999999E-2</v>
      </c>
    </row>
    <row r="4106" spans="1:7" x14ac:dyDescent="0.25">
      <c r="A4106" s="8">
        <v>53</v>
      </c>
      <c r="B4106" s="8">
        <v>64</v>
      </c>
      <c r="C4106" s="8">
        <v>812.09027100000003</v>
      </c>
      <c r="D4106" s="8">
        <v>163846.578125</v>
      </c>
      <c r="E4106" s="8">
        <v>163860.359375</v>
      </c>
      <c r="F4106" s="8">
        <f t="shared" si="126"/>
        <v>13.78125</v>
      </c>
      <c r="G4106" s="8">
        <f t="shared" si="127"/>
        <v>1.378125E-2</v>
      </c>
    </row>
    <row r="4107" spans="1:7" x14ac:dyDescent="0.25">
      <c r="A4107" s="8">
        <v>53</v>
      </c>
      <c r="B4107" s="8">
        <v>65</v>
      </c>
      <c r="C4107" s="8">
        <v>1940.227783</v>
      </c>
      <c r="D4107" s="8">
        <v>164685.75</v>
      </c>
      <c r="E4107" s="8">
        <v>164701.84375</v>
      </c>
      <c r="F4107" s="8">
        <f t="shared" ref="F4107:F4170" si="128">E4107-D4107</f>
        <v>16.09375</v>
      </c>
      <c r="G4107" s="8">
        <f t="shared" ref="G4107:G4170" si="129">F4107/1000</f>
        <v>1.609375E-2</v>
      </c>
    </row>
    <row r="4108" spans="1:7" x14ac:dyDescent="0.25">
      <c r="A4108" s="8">
        <v>53</v>
      </c>
      <c r="B4108" s="8">
        <v>66</v>
      </c>
      <c r="C4108" s="8">
        <v>244.45907600000001</v>
      </c>
      <c r="D4108" s="8">
        <v>166645.71875</v>
      </c>
      <c r="E4108" s="8">
        <v>166658.265625</v>
      </c>
      <c r="F4108" s="8">
        <f t="shared" si="128"/>
        <v>12.546875</v>
      </c>
      <c r="G4108" s="8">
        <f t="shared" si="129"/>
        <v>1.2546875000000001E-2</v>
      </c>
    </row>
    <row r="4109" spans="1:7" x14ac:dyDescent="0.25">
      <c r="A4109" s="8">
        <v>53</v>
      </c>
      <c r="B4109" s="8">
        <v>67</v>
      </c>
      <c r="C4109" s="8">
        <v>982.48529099999996</v>
      </c>
      <c r="D4109" s="8">
        <v>166911.453125</v>
      </c>
      <c r="E4109" s="8">
        <v>166932.71875</v>
      </c>
      <c r="F4109" s="8">
        <f t="shared" si="128"/>
        <v>21.265625</v>
      </c>
      <c r="G4109" s="8">
        <f t="shared" si="129"/>
        <v>2.1265625E-2</v>
      </c>
    </row>
    <row r="4110" spans="1:7" x14ac:dyDescent="0.25">
      <c r="A4110" s="8">
        <v>53</v>
      </c>
      <c r="B4110" s="8">
        <v>68</v>
      </c>
      <c r="C4110" s="8">
        <v>814.106628</v>
      </c>
      <c r="D4110" s="8">
        <v>167916.109375</v>
      </c>
      <c r="E4110" s="8">
        <v>167937.546875</v>
      </c>
      <c r="F4110" s="8">
        <f t="shared" si="128"/>
        <v>21.4375</v>
      </c>
      <c r="G4110" s="8">
        <f t="shared" si="129"/>
        <v>2.1437500000000002E-2</v>
      </c>
    </row>
    <row r="4111" spans="1:7" x14ac:dyDescent="0.25">
      <c r="A4111" s="8">
        <v>53</v>
      </c>
      <c r="B4111" s="8">
        <v>69</v>
      </c>
      <c r="C4111" s="8">
        <v>1852.486572</v>
      </c>
      <c r="D4111" s="8">
        <v>168763.078125</v>
      </c>
      <c r="E4111" s="8">
        <v>168782.859375</v>
      </c>
      <c r="F4111" s="8">
        <f t="shared" si="128"/>
        <v>19.78125</v>
      </c>
      <c r="G4111" s="8">
        <f t="shared" si="129"/>
        <v>1.978125E-2</v>
      </c>
    </row>
    <row r="4112" spans="1:7" x14ac:dyDescent="0.25">
      <c r="A4112" s="8">
        <v>54</v>
      </c>
      <c r="B4112" s="8">
        <v>0</v>
      </c>
      <c r="C4112" s="8">
        <v>305.24160799999999</v>
      </c>
      <c r="D4112" s="8">
        <v>22422.597656000002</v>
      </c>
      <c r="E4112" s="8">
        <v>22436.818359000001</v>
      </c>
      <c r="F4112" s="8">
        <f t="shared" si="128"/>
        <v>14.220702999999048</v>
      </c>
      <c r="G4112" s="8">
        <f t="shared" si="129"/>
        <v>1.4220702999999049E-2</v>
      </c>
    </row>
    <row r="4113" spans="1:7" x14ac:dyDescent="0.25">
      <c r="A4113" s="8">
        <v>54</v>
      </c>
      <c r="B4113" s="8">
        <v>1</v>
      </c>
      <c r="C4113" s="8">
        <v>725.76141399999995</v>
      </c>
      <c r="D4113" s="8">
        <v>22750.748047000001</v>
      </c>
      <c r="E4113" s="8">
        <v>22771.058593999998</v>
      </c>
      <c r="F4113" s="8">
        <f t="shared" si="128"/>
        <v>20.310546999997314</v>
      </c>
      <c r="G4113" s="8">
        <f t="shared" si="129"/>
        <v>2.0310546999997313E-2</v>
      </c>
    </row>
    <row r="4114" spans="1:7" x14ac:dyDescent="0.25">
      <c r="A4114" s="8">
        <v>54</v>
      </c>
      <c r="B4114" s="8">
        <v>2</v>
      </c>
      <c r="C4114" s="8">
        <v>13181.029296999999</v>
      </c>
      <c r="D4114" s="8">
        <v>23505.910156000002</v>
      </c>
      <c r="E4114" s="8">
        <v>23525.908202999999</v>
      </c>
      <c r="F4114" s="8">
        <f t="shared" si="128"/>
        <v>19.998046999997314</v>
      </c>
      <c r="G4114" s="8">
        <f t="shared" si="129"/>
        <v>1.9998046999997313E-2</v>
      </c>
    </row>
    <row r="4115" spans="1:7" x14ac:dyDescent="0.25">
      <c r="A4115" s="8">
        <v>54</v>
      </c>
      <c r="B4115" s="8">
        <v>3</v>
      </c>
      <c r="C4115" s="8">
        <v>2237.235107</v>
      </c>
      <c r="D4115" s="8">
        <v>36722.207030999998</v>
      </c>
      <c r="E4115" s="8">
        <v>36742.789062999997</v>
      </c>
      <c r="F4115" s="8">
        <f t="shared" si="128"/>
        <v>20.582031999998435</v>
      </c>
      <c r="G4115" s="8">
        <f t="shared" si="129"/>
        <v>2.0582031999998435E-2</v>
      </c>
    </row>
    <row r="4116" spans="1:7" x14ac:dyDescent="0.25">
      <c r="A4116" s="8">
        <v>54</v>
      </c>
      <c r="B4116" s="8">
        <v>4</v>
      </c>
      <c r="C4116" s="8">
        <v>6507.1191410000001</v>
      </c>
      <c r="D4116" s="8">
        <v>38980.398437999997</v>
      </c>
      <c r="E4116" s="8">
        <v>38999.296875</v>
      </c>
      <c r="F4116" s="8">
        <f t="shared" si="128"/>
        <v>18.898437000003469</v>
      </c>
      <c r="G4116" s="8">
        <f t="shared" si="129"/>
        <v>1.889843700000347E-2</v>
      </c>
    </row>
    <row r="4117" spans="1:7" x14ac:dyDescent="0.25">
      <c r="A4117" s="8">
        <v>54</v>
      </c>
      <c r="B4117" s="8">
        <v>5</v>
      </c>
      <c r="C4117" s="8">
        <v>4758.4208980000003</v>
      </c>
      <c r="D4117" s="8">
        <v>45521.988280999998</v>
      </c>
      <c r="E4117" s="8">
        <v>45534.925780999998</v>
      </c>
      <c r="F4117" s="8">
        <f t="shared" si="128"/>
        <v>12.9375</v>
      </c>
      <c r="G4117" s="8">
        <f t="shared" si="129"/>
        <v>1.2937499999999999E-2</v>
      </c>
    </row>
    <row r="4118" spans="1:7" x14ac:dyDescent="0.25">
      <c r="A4118" s="8">
        <v>54</v>
      </c>
      <c r="B4118" s="8">
        <v>6</v>
      </c>
      <c r="C4118" s="8">
        <v>4578.9140630000002</v>
      </c>
      <c r="D4118" s="8">
        <v>50299.695312999997</v>
      </c>
      <c r="E4118" s="8">
        <v>50318.160155999998</v>
      </c>
      <c r="F4118" s="8">
        <f t="shared" si="128"/>
        <v>18.464843000001565</v>
      </c>
      <c r="G4118" s="8">
        <f t="shared" si="129"/>
        <v>1.8464843000001566E-2</v>
      </c>
    </row>
    <row r="4119" spans="1:7" x14ac:dyDescent="0.25">
      <c r="A4119" s="8">
        <v>54</v>
      </c>
      <c r="B4119" s="8">
        <v>7</v>
      </c>
      <c r="C4119" s="8">
        <v>339.30306999999999</v>
      </c>
      <c r="D4119" s="8">
        <v>54909.816405999998</v>
      </c>
      <c r="E4119" s="8">
        <v>54931.230469000002</v>
      </c>
      <c r="F4119" s="8">
        <f t="shared" si="128"/>
        <v>21.414063000003807</v>
      </c>
      <c r="G4119" s="8">
        <f t="shared" si="129"/>
        <v>2.1414063000003807E-2</v>
      </c>
    </row>
    <row r="4120" spans="1:7" x14ac:dyDescent="0.25">
      <c r="A4120" s="8">
        <v>54</v>
      </c>
      <c r="B4120" s="8">
        <v>8</v>
      </c>
      <c r="C4120" s="8">
        <v>65.958160000000007</v>
      </c>
      <c r="D4120" s="8">
        <v>55284.863280999998</v>
      </c>
      <c r="E4120" s="8">
        <v>55299.527344000002</v>
      </c>
      <c r="F4120" s="8">
        <f t="shared" si="128"/>
        <v>14.664063000003807</v>
      </c>
      <c r="G4120" s="8">
        <f t="shared" si="129"/>
        <v>1.4664063000003807E-2</v>
      </c>
    </row>
    <row r="4121" spans="1:7" x14ac:dyDescent="0.25">
      <c r="A4121" s="8">
        <v>54</v>
      </c>
      <c r="B4121" s="8">
        <v>9</v>
      </c>
      <c r="C4121" s="8">
        <v>5334.0048829999996</v>
      </c>
      <c r="D4121" s="8">
        <v>55378.613280999998</v>
      </c>
      <c r="E4121" s="8">
        <v>55403.199219000002</v>
      </c>
      <c r="F4121" s="8">
        <f t="shared" si="128"/>
        <v>24.585938000003807</v>
      </c>
      <c r="G4121" s="8">
        <f t="shared" si="129"/>
        <v>2.4585938000003808E-2</v>
      </c>
    </row>
    <row r="4122" spans="1:7" x14ac:dyDescent="0.25">
      <c r="A4122" s="8">
        <v>54</v>
      </c>
      <c r="B4122" s="8">
        <v>10</v>
      </c>
      <c r="C4122" s="8">
        <v>2656.1098630000001</v>
      </c>
      <c r="D4122" s="8">
        <v>60747.527344000002</v>
      </c>
      <c r="E4122" s="8">
        <v>60761.34375</v>
      </c>
      <c r="F4122" s="8">
        <f t="shared" si="128"/>
        <v>13.816405999998096</v>
      </c>
      <c r="G4122" s="8">
        <f t="shared" si="129"/>
        <v>1.3816405999998097E-2</v>
      </c>
    </row>
    <row r="4123" spans="1:7" x14ac:dyDescent="0.25">
      <c r="A4123" s="8">
        <v>54</v>
      </c>
      <c r="B4123" s="8">
        <v>11</v>
      </c>
      <c r="C4123" s="8">
        <v>175.18279999999999</v>
      </c>
      <c r="D4123" s="8">
        <v>63430.617187999997</v>
      </c>
      <c r="E4123" s="8">
        <v>63455.554687999997</v>
      </c>
      <c r="F4123" s="8">
        <f t="shared" si="128"/>
        <v>24.9375</v>
      </c>
      <c r="G4123" s="8">
        <f t="shared" si="129"/>
        <v>2.4937500000000001E-2</v>
      </c>
    </row>
    <row r="4124" spans="1:7" x14ac:dyDescent="0.25">
      <c r="A4124" s="8">
        <v>54</v>
      </c>
      <c r="B4124" s="8">
        <v>12</v>
      </c>
      <c r="C4124" s="8">
        <v>1291.0029300000001</v>
      </c>
      <c r="D4124" s="8">
        <v>63633.777344000002</v>
      </c>
      <c r="E4124" s="8">
        <v>63653.824219000002</v>
      </c>
      <c r="F4124" s="8">
        <f t="shared" si="128"/>
        <v>20.046875</v>
      </c>
      <c r="G4124" s="8">
        <f t="shared" si="129"/>
        <v>2.0046874999999999E-2</v>
      </c>
    </row>
    <row r="4125" spans="1:7" x14ac:dyDescent="0.25">
      <c r="A4125" s="8">
        <v>54</v>
      </c>
      <c r="B4125" s="8">
        <v>13</v>
      </c>
      <c r="C4125" s="8">
        <v>742.05926499999998</v>
      </c>
      <c r="D4125" s="8">
        <v>64949.726562999997</v>
      </c>
      <c r="E4125" s="8">
        <v>64969.84375</v>
      </c>
      <c r="F4125" s="8">
        <f t="shared" si="128"/>
        <v>20.117187000003469</v>
      </c>
      <c r="G4125" s="8">
        <f t="shared" si="129"/>
        <v>2.0117187000003468E-2</v>
      </c>
    </row>
    <row r="4126" spans="1:7" x14ac:dyDescent="0.25">
      <c r="A4126" s="8">
        <v>54</v>
      </c>
      <c r="B4126" s="8">
        <v>14</v>
      </c>
      <c r="C4126" s="8">
        <v>724.97192399999994</v>
      </c>
      <c r="D4126" s="8">
        <v>65715.453125</v>
      </c>
      <c r="E4126" s="8">
        <v>65726.789063000004</v>
      </c>
      <c r="F4126" s="8">
        <f t="shared" si="128"/>
        <v>11.335938000003807</v>
      </c>
      <c r="G4126" s="8">
        <f t="shared" si="129"/>
        <v>1.1335938000003808E-2</v>
      </c>
    </row>
    <row r="4127" spans="1:7" x14ac:dyDescent="0.25">
      <c r="A4127" s="8">
        <v>54</v>
      </c>
      <c r="B4127" s="8">
        <v>15</v>
      </c>
      <c r="C4127" s="8">
        <v>2792.155029</v>
      </c>
      <c r="D4127" s="8">
        <v>66465.492188000004</v>
      </c>
      <c r="E4127" s="8">
        <v>66482.570313000004</v>
      </c>
      <c r="F4127" s="8">
        <f t="shared" si="128"/>
        <v>17.078125</v>
      </c>
      <c r="G4127" s="8">
        <f t="shared" si="129"/>
        <v>1.7078125E-2</v>
      </c>
    </row>
    <row r="4128" spans="1:7" x14ac:dyDescent="0.25">
      <c r="A4128" s="8">
        <v>54</v>
      </c>
      <c r="B4128" s="8">
        <v>16</v>
      </c>
      <c r="C4128" s="8">
        <v>3774.419922</v>
      </c>
      <c r="D4128" s="8">
        <v>69279.96875</v>
      </c>
      <c r="E4128" s="8">
        <v>69305.367188000004</v>
      </c>
      <c r="F4128" s="8">
        <f t="shared" si="128"/>
        <v>25.398438000003807</v>
      </c>
      <c r="G4128" s="8">
        <f t="shared" si="129"/>
        <v>2.5398438000003808E-2</v>
      </c>
    </row>
    <row r="4129" spans="1:7" x14ac:dyDescent="0.25">
      <c r="A4129" s="8">
        <v>54</v>
      </c>
      <c r="B4129" s="8">
        <v>17</v>
      </c>
      <c r="C4129" s="8">
        <v>1544.6917719999999</v>
      </c>
      <c r="D4129" s="8">
        <v>73091.84375</v>
      </c>
      <c r="E4129" s="8">
        <v>73111.40625</v>
      </c>
      <c r="F4129" s="8">
        <f t="shared" si="128"/>
        <v>19.5625</v>
      </c>
      <c r="G4129" s="8">
        <f t="shared" si="129"/>
        <v>1.95625E-2</v>
      </c>
    </row>
    <row r="4130" spans="1:7" x14ac:dyDescent="0.25">
      <c r="A4130" s="8">
        <v>54</v>
      </c>
      <c r="B4130" s="8">
        <v>18</v>
      </c>
      <c r="C4130" s="8">
        <v>283.60229500000003</v>
      </c>
      <c r="D4130" s="8">
        <v>74664.523438000004</v>
      </c>
      <c r="E4130" s="8">
        <v>74675.625</v>
      </c>
      <c r="F4130" s="8">
        <f t="shared" si="128"/>
        <v>11.101561999996193</v>
      </c>
      <c r="G4130" s="8">
        <f t="shared" si="129"/>
        <v>1.1101561999996193E-2</v>
      </c>
    </row>
    <row r="4131" spans="1:7" x14ac:dyDescent="0.25">
      <c r="A4131" s="8">
        <v>54</v>
      </c>
      <c r="B4131" s="8">
        <v>19</v>
      </c>
      <c r="C4131" s="8">
        <v>150.22178600000001</v>
      </c>
      <c r="D4131" s="8">
        <v>74961.421875</v>
      </c>
      <c r="E4131" s="8">
        <v>74985.09375</v>
      </c>
      <c r="F4131" s="8">
        <f t="shared" si="128"/>
        <v>23.671875</v>
      </c>
      <c r="G4131" s="8">
        <f t="shared" si="129"/>
        <v>2.3671874999999998E-2</v>
      </c>
    </row>
    <row r="4132" spans="1:7" x14ac:dyDescent="0.25">
      <c r="A4132" s="8">
        <v>54</v>
      </c>
      <c r="B4132" s="8">
        <v>20</v>
      </c>
      <c r="C4132" s="8">
        <v>1195.435303</v>
      </c>
      <c r="D4132" s="8">
        <v>75150.1875</v>
      </c>
      <c r="E4132" s="8">
        <v>75170.9375</v>
      </c>
      <c r="F4132" s="8">
        <f t="shared" si="128"/>
        <v>20.75</v>
      </c>
      <c r="G4132" s="8">
        <f t="shared" si="129"/>
        <v>2.0750000000000001E-2</v>
      </c>
    </row>
    <row r="4133" spans="1:7" x14ac:dyDescent="0.25">
      <c r="A4133" s="8">
        <v>54</v>
      </c>
      <c r="B4133" s="8">
        <v>21</v>
      </c>
      <c r="C4133" s="8">
        <v>269.58438100000001</v>
      </c>
      <c r="D4133" s="8">
        <v>76366.375</v>
      </c>
      <c r="E4133" s="8">
        <v>76374.40625</v>
      </c>
      <c r="F4133" s="8">
        <f t="shared" si="128"/>
        <v>8.03125</v>
      </c>
      <c r="G4133" s="8">
        <f t="shared" si="129"/>
        <v>8.0312500000000002E-3</v>
      </c>
    </row>
    <row r="4134" spans="1:7" x14ac:dyDescent="0.25">
      <c r="A4134" s="8">
        <v>54</v>
      </c>
      <c r="B4134" s="8">
        <v>22</v>
      </c>
      <c r="C4134" s="8">
        <v>6566.4418949999999</v>
      </c>
      <c r="D4134" s="8">
        <v>76647.695313000004</v>
      </c>
      <c r="E4134" s="8">
        <v>76673.390625</v>
      </c>
      <c r="F4134" s="8">
        <f t="shared" si="128"/>
        <v>25.695311999996193</v>
      </c>
      <c r="G4134" s="8">
        <f t="shared" si="129"/>
        <v>2.5695311999996192E-2</v>
      </c>
    </row>
    <row r="4135" spans="1:7" x14ac:dyDescent="0.25">
      <c r="A4135" s="8">
        <v>54</v>
      </c>
      <c r="B4135" s="8">
        <v>23</v>
      </c>
      <c r="C4135" s="8">
        <v>1324.0982670000001</v>
      </c>
      <c r="D4135" s="8">
        <v>83245.632813000004</v>
      </c>
      <c r="E4135" s="8">
        <v>83263.226563000004</v>
      </c>
      <c r="F4135" s="8">
        <f t="shared" si="128"/>
        <v>17.59375</v>
      </c>
      <c r="G4135" s="8">
        <f t="shared" si="129"/>
        <v>1.7593749999999998E-2</v>
      </c>
    </row>
    <row r="4136" spans="1:7" x14ac:dyDescent="0.25">
      <c r="A4136" s="8">
        <v>54</v>
      </c>
      <c r="B4136" s="8">
        <v>24</v>
      </c>
      <c r="C4136" s="8">
        <v>1195.9902340000001</v>
      </c>
      <c r="D4136" s="8">
        <v>84594.75</v>
      </c>
      <c r="E4136" s="8">
        <v>84608.773438000004</v>
      </c>
      <c r="F4136" s="8">
        <f t="shared" si="128"/>
        <v>14.023438000003807</v>
      </c>
      <c r="G4136" s="8">
        <f t="shared" si="129"/>
        <v>1.4023438000003807E-2</v>
      </c>
    </row>
    <row r="4137" spans="1:7" x14ac:dyDescent="0.25">
      <c r="A4137" s="8">
        <v>54</v>
      </c>
      <c r="B4137" s="8">
        <v>25</v>
      </c>
      <c r="C4137" s="8">
        <v>1776.28125</v>
      </c>
      <c r="D4137" s="8">
        <v>85815.1875</v>
      </c>
      <c r="E4137" s="8">
        <v>85839.820313000004</v>
      </c>
      <c r="F4137" s="8">
        <f t="shared" si="128"/>
        <v>24.632813000003807</v>
      </c>
      <c r="G4137" s="8">
        <f t="shared" si="129"/>
        <v>2.4632813000003806E-2</v>
      </c>
    </row>
    <row r="4138" spans="1:7" x14ac:dyDescent="0.25">
      <c r="A4138" s="8">
        <v>54</v>
      </c>
      <c r="B4138" s="8">
        <v>26</v>
      </c>
      <c r="C4138" s="8">
        <v>2257.701904</v>
      </c>
      <c r="D4138" s="8">
        <v>87630.234375</v>
      </c>
      <c r="E4138" s="8">
        <v>87650.328125</v>
      </c>
      <c r="F4138" s="8">
        <f t="shared" si="128"/>
        <v>20.09375</v>
      </c>
      <c r="G4138" s="8">
        <f t="shared" si="129"/>
        <v>2.009375E-2</v>
      </c>
    </row>
    <row r="4139" spans="1:7" x14ac:dyDescent="0.25">
      <c r="A4139" s="8">
        <v>54</v>
      </c>
      <c r="B4139" s="8">
        <v>27</v>
      </c>
      <c r="C4139" s="8">
        <v>1672.2189940000001</v>
      </c>
      <c r="D4139" s="8">
        <v>89917.289063000004</v>
      </c>
      <c r="E4139" s="8">
        <v>89933.65625</v>
      </c>
      <c r="F4139" s="8">
        <f t="shared" si="128"/>
        <v>16.367186999996193</v>
      </c>
      <c r="G4139" s="8">
        <f t="shared" si="129"/>
        <v>1.6367186999996192E-2</v>
      </c>
    </row>
    <row r="4140" spans="1:7" x14ac:dyDescent="0.25">
      <c r="A4140" s="8">
        <v>54</v>
      </c>
      <c r="B4140" s="8">
        <v>28</v>
      </c>
      <c r="C4140" s="8">
        <v>5646.2646480000003</v>
      </c>
      <c r="D4140" s="8">
        <v>91620.601563000004</v>
      </c>
      <c r="E4140" s="8">
        <v>91645.632813000004</v>
      </c>
      <c r="F4140" s="8">
        <f t="shared" si="128"/>
        <v>25.03125</v>
      </c>
      <c r="G4140" s="8">
        <f t="shared" si="129"/>
        <v>2.5031250000000001E-2</v>
      </c>
    </row>
    <row r="4141" spans="1:7" x14ac:dyDescent="0.25">
      <c r="A4141" s="8">
        <v>54</v>
      </c>
      <c r="B4141" s="8">
        <v>29</v>
      </c>
      <c r="C4141" s="8">
        <v>2202.9702149999998</v>
      </c>
      <c r="D4141" s="8">
        <v>97293.90625</v>
      </c>
      <c r="E4141" s="8">
        <v>97309.710938000004</v>
      </c>
      <c r="F4141" s="8">
        <f t="shared" si="128"/>
        <v>15.804688000003807</v>
      </c>
      <c r="G4141" s="8">
        <f t="shared" si="129"/>
        <v>1.5804688000003807E-2</v>
      </c>
    </row>
    <row r="4142" spans="1:7" x14ac:dyDescent="0.25">
      <c r="A4142" s="8">
        <v>54</v>
      </c>
      <c r="B4142" s="8">
        <v>30</v>
      </c>
      <c r="C4142" s="8">
        <v>1373.578125</v>
      </c>
      <c r="D4142" s="8">
        <v>99526.296875</v>
      </c>
      <c r="E4142" s="8">
        <v>99542.484375</v>
      </c>
      <c r="F4142" s="8">
        <f t="shared" si="128"/>
        <v>16.1875</v>
      </c>
      <c r="G4142" s="8">
        <f t="shared" si="129"/>
        <v>1.61875E-2</v>
      </c>
    </row>
    <row r="4143" spans="1:7" x14ac:dyDescent="0.25">
      <c r="A4143" s="8">
        <v>54</v>
      </c>
      <c r="B4143" s="8">
        <v>31</v>
      </c>
      <c r="C4143" s="8">
        <v>3288.2434079999998</v>
      </c>
      <c r="D4143" s="8">
        <v>100917.148438</v>
      </c>
      <c r="E4143" s="8">
        <v>100926.125</v>
      </c>
      <c r="F4143" s="8">
        <f t="shared" si="128"/>
        <v>8.9765619999961928</v>
      </c>
      <c r="G4143" s="8">
        <f t="shared" si="129"/>
        <v>8.9765619999961927E-3</v>
      </c>
    </row>
    <row r="4144" spans="1:7" x14ac:dyDescent="0.25">
      <c r="A4144" s="8">
        <v>54</v>
      </c>
      <c r="B4144" s="8">
        <v>32</v>
      </c>
      <c r="C4144" s="8">
        <v>1379.89563</v>
      </c>
      <c r="D4144" s="8">
        <v>104221.898438</v>
      </c>
      <c r="E4144" s="8">
        <v>104245.015625</v>
      </c>
      <c r="F4144" s="8">
        <f t="shared" si="128"/>
        <v>23.117186999996193</v>
      </c>
      <c r="G4144" s="8">
        <f t="shared" si="129"/>
        <v>2.3117186999996191E-2</v>
      </c>
    </row>
    <row r="4145" spans="1:7" x14ac:dyDescent="0.25">
      <c r="A4145" s="8">
        <v>54</v>
      </c>
      <c r="B4145" s="8">
        <v>33</v>
      </c>
      <c r="C4145" s="8">
        <v>33.482917999999998</v>
      </c>
      <c r="D4145" s="8">
        <v>105625.226563</v>
      </c>
      <c r="E4145" s="8">
        <v>105644.617188</v>
      </c>
      <c r="F4145" s="8">
        <f t="shared" si="128"/>
        <v>19.390625</v>
      </c>
      <c r="G4145" s="8">
        <f t="shared" si="129"/>
        <v>1.9390625000000002E-2</v>
      </c>
    </row>
    <row r="4146" spans="1:7" x14ac:dyDescent="0.25">
      <c r="A4146" s="8">
        <v>54</v>
      </c>
      <c r="B4146" s="8">
        <v>34</v>
      </c>
      <c r="C4146" s="8">
        <v>3324.9125979999999</v>
      </c>
      <c r="D4146" s="8">
        <v>105687.71875</v>
      </c>
      <c r="E4146" s="8">
        <v>105706.914063</v>
      </c>
      <c r="F4146" s="8">
        <f t="shared" si="128"/>
        <v>19.195313000003807</v>
      </c>
      <c r="G4146" s="8">
        <f t="shared" si="129"/>
        <v>1.9195313000003808E-2</v>
      </c>
    </row>
    <row r="4147" spans="1:7" x14ac:dyDescent="0.25">
      <c r="A4147" s="8">
        <v>54</v>
      </c>
      <c r="B4147" s="8">
        <v>35</v>
      </c>
      <c r="C4147" s="8">
        <v>1393.203491</v>
      </c>
      <c r="D4147" s="8">
        <v>109032.429688</v>
      </c>
      <c r="E4147" s="8">
        <v>109046.007813</v>
      </c>
      <c r="F4147" s="8">
        <f t="shared" si="128"/>
        <v>13.578125</v>
      </c>
      <c r="G4147" s="8">
        <f t="shared" si="129"/>
        <v>1.3578125E-2</v>
      </c>
    </row>
    <row r="4148" spans="1:7" x14ac:dyDescent="0.25">
      <c r="A4148" s="8">
        <v>54</v>
      </c>
      <c r="B4148" s="8">
        <v>36</v>
      </c>
      <c r="C4148" s="8">
        <v>883.52313200000003</v>
      </c>
      <c r="D4148" s="8">
        <v>110439.648438</v>
      </c>
      <c r="E4148" s="8">
        <v>110460.640625</v>
      </c>
      <c r="F4148" s="8">
        <f t="shared" si="128"/>
        <v>20.992186999996193</v>
      </c>
      <c r="G4148" s="8">
        <f t="shared" si="129"/>
        <v>2.0992186999996193E-2</v>
      </c>
    </row>
    <row r="4149" spans="1:7" x14ac:dyDescent="0.25">
      <c r="A4149" s="8">
        <v>54</v>
      </c>
      <c r="B4149" s="8">
        <v>37</v>
      </c>
      <c r="C4149" s="8">
        <v>126.348465</v>
      </c>
      <c r="D4149" s="8">
        <v>111345.984375</v>
      </c>
      <c r="E4149" s="8">
        <v>111363.351563</v>
      </c>
      <c r="F4149" s="8">
        <f t="shared" si="128"/>
        <v>17.367188000003807</v>
      </c>
      <c r="G4149" s="8">
        <f t="shared" si="129"/>
        <v>1.7367188000003808E-2</v>
      </c>
    </row>
    <row r="4150" spans="1:7" x14ac:dyDescent="0.25">
      <c r="A4150" s="8">
        <v>54</v>
      </c>
      <c r="B4150" s="8">
        <v>38</v>
      </c>
      <c r="C4150" s="8">
        <v>1234.5413820000001</v>
      </c>
      <c r="D4150" s="8">
        <v>111502.25</v>
      </c>
      <c r="E4150" s="8">
        <v>111510.140625</v>
      </c>
      <c r="F4150" s="8">
        <f t="shared" si="128"/>
        <v>7.890625</v>
      </c>
      <c r="G4150" s="8">
        <f t="shared" si="129"/>
        <v>7.8906250000000001E-3</v>
      </c>
    </row>
    <row r="4151" spans="1:7" x14ac:dyDescent="0.25">
      <c r="A4151" s="8">
        <v>54</v>
      </c>
      <c r="B4151" s="8">
        <v>39</v>
      </c>
      <c r="C4151" s="8">
        <v>599.37323000000004</v>
      </c>
      <c r="D4151" s="8">
        <v>112759.882813</v>
      </c>
      <c r="E4151" s="8">
        <v>112784.78125</v>
      </c>
      <c r="F4151" s="8">
        <f t="shared" si="128"/>
        <v>24.898436999996193</v>
      </c>
      <c r="G4151" s="8">
        <f t="shared" si="129"/>
        <v>2.4898436999996193E-2</v>
      </c>
    </row>
    <row r="4152" spans="1:7" x14ac:dyDescent="0.25">
      <c r="A4152" s="8">
        <v>54</v>
      </c>
      <c r="B4152" s="8">
        <v>40</v>
      </c>
      <c r="C4152" s="8">
        <v>3022.6423340000001</v>
      </c>
      <c r="D4152" s="8">
        <v>113393.726563</v>
      </c>
      <c r="E4152" s="8">
        <v>113444.453125</v>
      </c>
      <c r="F4152" s="8">
        <f t="shared" si="128"/>
        <v>50.726561999996193</v>
      </c>
      <c r="G4152" s="8">
        <f t="shared" si="129"/>
        <v>5.0726561999996193E-2</v>
      </c>
    </row>
    <row r="4153" spans="1:7" x14ac:dyDescent="0.25">
      <c r="A4153" s="8">
        <v>54</v>
      </c>
      <c r="B4153" s="8">
        <v>41</v>
      </c>
      <c r="C4153" s="8">
        <v>594.76599099999999</v>
      </c>
      <c r="D4153" s="8">
        <v>116473.882813</v>
      </c>
      <c r="E4153" s="8">
        <v>116489.523438</v>
      </c>
      <c r="F4153" s="8">
        <f t="shared" si="128"/>
        <v>15.640625</v>
      </c>
      <c r="G4153" s="8">
        <f t="shared" si="129"/>
        <v>1.5640624999999998E-2</v>
      </c>
    </row>
    <row r="4154" spans="1:7" x14ac:dyDescent="0.25">
      <c r="A4154" s="8">
        <v>54</v>
      </c>
      <c r="B4154" s="8">
        <v>42</v>
      </c>
      <c r="C4154" s="8">
        <v>3787.3547359999998</v>
      </c>
      <c r="D4154" s="8">
        <v>117091.039063</v>
      </c>
      <c r="E4154" s="8">
        <v>117111.601563</v>
      </c>
      <c r="F4154" s="8">
        <f t="shared" si="128"/>
        <v>20.5625</v>
      </c>
      <c r="G4154" s="8">
        <f t="shared" si="129"/>
        <v>2.0562500000000001E-2</v>
      </c>
    </row>
    <row r="4155" spans="1:7" x14ac:dyDescent="0.25">
      <c r="A4155" s="8">
        <v>54</v>
      </c>
      <c r="B4155" s="8">
        <v>43</v>
      </c>
      <c r="C4155" s="8">
        <v>136.58239699999999</v>
      </c>
      <c r="D4155" s="8">
        <v>120908.03125</v>
      </c>
      <c r="E4155" s="8">
        <v>120915.945313</v>
      </c>
      <c r="F4155" s="8">
        <f t="shared" si="128"/>
        <v>7.9140630000038072</v>
      </c>
      <c r="G4155" s="8">
        <f t="shared" si="129"/>
        <v>7.9140630000038067E-3</v>
      </c>
    </row>
    <row r="4156" spans="1:7" x14ac:dyDescent="0.25">
      <c r="A4156" s="8">
        <v>54</v>
      </c>
      <c r="B4156" s="8">
        <v>44</v>
      </c>
      <c r="C4156" s="8">
        <v>2576.4108890000002</v>
      </c>
      <c r="D4156" s="8">
        <v>121064.484375</v>
      </c>
      <c r="E4156" s="8">
        <v>121086.070313</v>
      </c>
      <c r="F4156" s="8">
        <f t="shared" si="128"/>
        <v>21.585938000003807</v>
      </c>
      <c r="G4156" s="8">
        <f t="shared" si="129"/>
        <v>2.1585938000003808E-2</v>
      </c>
    </row>
    <row r="4157" spans="1:7" x14ac:dyDescent="0.25">
      <c r="A4157" s="8">
        <v>54</v>
      </c>
      <c r="B4157" s="8">
        <v>45</v>
      </c>
      <c r="C4157" s="8">
        <v>1244.751221</v>
      </c>
      <c r="D4157" s="8">
        <v>123668.257813</v>
      </c>
      <c r="E4157" s="8">
        <v>123680.054688</v>
      </c>
      <c r="F4157" s="8">
        <f t="shared" si="128"/>
        <v>11.796875</v>
      </c>
      <c r="G4157" s="8">
        <f t="shared" si="129"/>
        <v>1.1796875E-2</v>
      </c>
    </row>
    <row r="4158" spans="1:7" x14ac:dyDescent="0.25">
      <c r="A4158" s="8">
        <v>54</v>
      </c>
      <c r="B4158" s="8">
        <v>46</v>
      </c>
      <c r="C4158" s="8">
        <v>2363.6984859999998</v>
      </c>
      <c r="D4158" s="8">
        <v>124939.617188</v>
      </c>
      <c r="E4158" s="8">
        <v>124963.21875</v>
      </c>
      <c r="F4158" s="8">
        <f t="shared" si="128"/>
        <v>23.601561999996193</v>
      </c>
      <c r="G4158" s="8">
        <f t="shared" si="129"/>
        <v>2.3601561999996194E-2</v>
      </c>
    </row>
    <row r="4159" spans="1:7" x14ac:dyDescent="0.25">
      <c r="A4159" s="8">
        <v>54</v>
      </c>
      <c r="B4159" s="8">
        <v>47</v>
      </c>
      <c r="C4159" s="8">
        <v>1010.0067749999999</v>
      </c>
      <c r="D4159" s="8">
        <v>127331.15625</v>
      </c>
      <c r="E4159" s="8">
        <v>127349.257813</v>
      </c>
      <c r="F4159" s="8">
        <f t="shared" si="128"/>
        <v>18.101563000003807</v>
      </c>
      <c r="G4159" s="8">
        <f t="shared" si="129"/>
        <v>1.8101563000003807E-2</v>
      </c>
    </row>
    <row r="4160" spans="1:7" x14ac:dyDescent="0.25">
      <c r="A4160" s="8">
        <v>54</v>
      </c>
      <c r="B4160" s="8">
        <v>48</v>
      </c>
      <c r="C4160" s="8">
        <v>1032.0749510000001</v>
      </c>
      <c r="D4160" s="8">
        <v>128363.609375</v>
      </c>
      <c r="E4160" s="8">
        <v>128371.007813</v>
      </c>
      <c r="F4160" s="8">
        <f t="shared" si="128"/>
        <v>7.3984380000038072</v>
      </c>
      <c r="G4160" s="8">
        <f t="shared" si="129"/>
        <v>7.3984380000038071E-3</v>
      </c>
    </row>
    <row r="4161" spans="1:7" x14ac:dyDescent="0.25">
      <c r="A4161" s="8">
        <v>54</v>
      </c>
      <c r="B4161" s="8">
        <v>49</v>
      </c>
      <c r="C4161" s="8">
        <v>2088.9392090000001</v>
      </c>
      <c r="D4161" s="8">
        <v>129410.75</v>
      </c>
      <c r="E4161" s="8">
        <v>129433.546875</v>
      </c>
      <c r="F4161" s="8">
        <f t="shared" si="128"/>
        <v>22.796875</v>
      </c>
      <c r="G4161" s="8">
        <f t="shared" si="129"/>
        <v>2.2796875000000001E-2</v>
      </c>
    </row>
    <row r="4162" spans="1:7" x14ac:dyDescent="0.25">
      <c r="A4162" s="8">
        <v>54</v>
      </c>
      <c r="B4162" s="8">
        <v>50</v>
      </c>
      <c r="C4162" s="8">
        <v>3001.999268</v>
      </c>
      <c r="D4162" s="8">
        <v>131530.109375</v>
      </c>
      <c r="E4162" s="8">
        <v>131560.328125</v>
      </c>
      <c r="F4162" s="8">
        <f t="shared" si="128"/>
        <v>30.21875</v>
      </c>
      <c r="G4162" s="8">
        <f t="shared" si="129"/>
        <v>3.0218749999999999E-2</v>
      </c>
    </row>
    <row r="4163" spans="1:7" x14ac:dyDescent="0.25">
      <c r="A4163" s="8">
        <v>54</v>
      </c>
      <c r="B4163" s="8">
        <v>51</v>
      </c>
      <c r="C4163" s="8">
        <v>778.20886199999995</v>
      </c>
      <c r="D4163" s="8">
        <v>134566.3125</v>
      </c>
      <c r="E4163" s="8">
        <v>134579.640625</v>
      </c>
      <c r="F4163" s="8">
        <f t="shared" si="128"/>
        <v>13.328125</v>
      </c>
      <c r="G4163" s="8">
        <f t="shared" si="129"/>
        <v>1.3328125E-2</v>
      </c>
    </row>
    <row r="4164" spans="1:7" x14ac:dyDescent="0.25">
      <c r="A4164" s="8">
        <v>54</v>
      </c>
      <c r="B4164" s="8">
        <v>52</v>
      </c>
      <c r="C4164" s="8">
        <v>3412.7338869999999</v>
      </c>
      <c r="D4164" s="8">
        <v>135366.421875</v>
      </c>
      <c r="E4164" s="8">
        <v>135377.703125</v>
      </c>
      <c r="F4164" s="8">
        <f t="shared" si="128"/>
        <v>11.28125</v>
      </c>
      <c r="G4164" s="8">
        <f t="shared" si="129"/>
        <v>1.128125E-2</v>
      </c>
    </row>
    <row r="4165" spans="1:7" x14ac:dyDescent="0.25">
      <c r="A4165" s="8">
        <v>54</v>
      </c>
      <c r="B4165" s="8">
        <v>53</v>
      </c>
      <c r="C4165" s="8">
        <v>2098.3278810000002</v>
      </c>
      <c r="D4165" s="8">
        <v>138796.953125</v>
      </c>
      <c r="E4165" s="8">
        <v>138813.953125</v>
      </c>
      <c r="F4165" s="8">
        <f t="shared" si="128"/>
        <v>17</v>
      </c>
      <c r="G4165" s="8">
        <f t="shared" si="129"/>
        <v>1.7000000000000001E-2</v>
      </c>
    </row>
    <row r="4166" spans="1:7" x14ac:dyDescent="0.25">
      <c r="A4166" s="8">
        <v>54</v>
      </c>
      <c r="B4166" s="8">
        <v>54</v>
      </c>
      <c r="C4166" s="8">
        <v>1600.701294</v>
      </c>
      <c r="D4166" s="8">
        <v>140920.375</v>
      </c>
      <c r="E4166" s="8">
        <v>140947.640625</v>
      </c>
      <c r="F4166" s="8">
        <f t="shared" si="128"/>
        <v>27.265625</v>
      </c>
      <c r="G4166" s="8">
        <f t="shared" si="129"/>
        <v>2.7265625000000002E-2</v>
      </c>
    </row>
    <row r="4167" spans="1:7" x14ac:dyDescent="0.25">
      <c r="A4167" s="8">
        <v>54</v>
      </c>
      <c r="B4167" s="8">
        <v>55</v>
      </c>
      <c r="C4167" s="8">
        <v>212.16615300000001</v>
      </c>
      <c r="D4167" s="8">
        <v>142562.140625</v>
      </c>
      <c r="E4167" s="8">
        <v>142578.921875</v>
      </c>
      <c r="F4167" s="8">
        <f t="shared" si="128"/>
        <v>16.78125</v>
      </c>
      <c r="G4167" s="8">
        <f t="shared" si="129"/>
        <v>1.6781250000000001E-2</v>
      </c>
    </row>
    <row r="4168" spans="1:7" x14ac:dyDescent="0.25">
      <c r="A4168" s="8">
        <v>54</v>
      </c>
      <c r="B4168" s="8">
        <v>56</v>
      </c>
      <c r="C4168" s="8">
        <v>4208.7568359999996</v>
      </c>
      <c r="D4168" s="8">
        <v>142796.515625</v>
      </c>
      <c r="E4168" s="8">
        <v>142812.046875</v>
      </c>
      <c r="F4168" s="8">
        <f t="shared" si="128"/>
        <v>15.53125</v>
      </c>
      <c r="G4168" s="8">
        <f t="shared" si="129"/>
        <v>1.553125E-2</v>
      </c>
    </row>
    <row r="4169" spans="1:7" x14ac:dyDescent="0.25">
      <c r="A4169" s="8">
        <v>54</v>
      </c>
      <c r="B4169" s="8">
        <v>57</v>
      </c>
      <c r="C4169" s="8">
        <v>463.88189699999998</v>
      </c>
      <c r="D4169" s="8">
        <v>147021.671875</v>
      </c>
      <c r="E4169" s="8">
        <v>147038.890625</v>
      </c>
      <c r="F4169" s="8">
        <f t="shared" si="128"/>
        <v>17.21875</v>
      </c>
      <c r="G4169" s="8">
        <f t="shared" si="129"/>
        <v>1.7218750000000001E-2</v>
      </c>
    </row>
    <row r="4170" spans="1:7" x14ac:dyDescent="0.25">
      <c r="A4170" s="8">
        <v>54</v>
      </c>
      <c r="B4170" s="8">
        <v>58</v>
      </c>
      <c r="C4170" s="8">
        <v>4837.046875</v>
      </c>
      <c r="D4170" s="8">
        <v>147506.109375</v>
      </c>
      <c r="E4170" s="8">
        <v>147515.1875</v>
      </c>
      <c r="F4170" s="8">
        <f t="shared" si="128"/>
        <v>9.078125</v>
      </c>
      <c r="G4170" s="8">
        <f t="shared" si="129"/>
        <v>9.0781249999999994E-3</v>
      </c>
    </row>
    <row r="4171" spans="1:7" x14ac:dyDescent="0.25">
      <c r="A4171" s="8">
        <v>54</v>
      </c>
      <c r="B4171" s="8">
        <v>59</v>
      </c>
      <c r="C4171" s="8">
        <v>455.96954299999999</v>
      </c>
      <c r="D4171" s="8">
        <v>152359.40625</v>
      </c>
      <c r="E4171" s="8">
        <v>152383.3125</v>
      </c>
      <c r="F4171" s="8">
        <f t="shared" ref="F4171:F4234" si="130">E4171-D4171</f>
        <v>23.90625</v>
      </c>
      <c r="G4171" s="8">
        <f t="shared" ref="G4171:G4234" si="131">F4171/1000</f>
        <v>2.390625E-2</v>
      </c>
    </row>
    <row r="4172" spans="1:7" x14ac:dyDescent="0.25">
      <c r="A4172" s="8">
        <v>54</v>
      </c>
      <c r="B4172" s="8">
        <v>60</v>
      </c>
      <c r="C4172" s="8">
        <v>396.59967</v>
      </c>
      <c r="D4172" s="8">
        <v>152843.8125</v>
      </c>
      <c r="E4172" s="8">
        <v>152860.78125</v>
      </c>
      <c r="F4172" s="8">
        <f t="shared" si="130"/>
        <v>16.96875</v>
      </c>
      <c r="G4172" s="8">
        <f t="shared" si="131"/>
        <v>1.6968750000000001E-2</v>
      </c>
    </row>
    <row r="4173" spans="1:7" x14ac:dyDescent="0.25">
      <c r="A4173" s="8">
        <v>54</v>
      </c>
      <c r="B4173" s="8">
        <v>61</v>
      </c>
      <c r="C4173" s="8">
        <v>7902.9145509999998</v>
      </c>
      <c r="D4173" s="8">
        <v>153265.796875</v>
      </c>
      <c r="E4173" s="8">
        <v>153285.578125</v>
      </c>
      <c r="F4173" s="8">
        <f t="shared" si="130"/>
        <v>19.78125</v>
      </c>
      <c r="G4173" s="8">
        <f t="shared" si="131"/>
        <v>1.978125E-2</v>
      </c>
    </row>
    <row r="4174" spans="1:7" x14ac:dyDescent="0.25">
      <c r="A4174" s="8">
        <v>54</v>
      </c>
      <c r="B4174" s="8">
        <v>62</v>
      </c>
      <c r="C4174" s="8">
        <v>22.465281999999998</v>
      </c>
      <c r="D4174" s="8">
        <v>161189.5</v>
      </c>
      <c r="E4174" s="8">
        <v>161213.609375</v>
      </c>
      <c r="F4174" s="8">
        <f t="shared" si="130"/>
        <v>24.109375</v>
      </c>
      <c r="G4174" s="8">
        <f t="shared" si="131"/>
        <v>2.4109374999999999E-2</v>
      </c>
    </row>
    <row r="4175" spans="1:7" x14ac:dyDescent="0.25">
      <c r="A4175" s="8">
        <v>54</v>
      </c>
      <c r="B4175" s="8">
        <v>63</v>
      </c>
      <c r="C4175" s="8">
        <v>607.46130400000004</v>
      </c>
      <c r="D4175" s="8">
        <v>161236.4375</v>
      </c>
      <c r="E4175" s="8">
        <v>161252.46875</v>
      </c>
      <c r="F4175" s="8">
        <f t="shared" si="130"/>
        <v>16.03125</v>
      </c>
      <c r="G4175" s="8">
        <f t="shared" si="131"/>
        <v>1.603125E-2</v>
      </c>
    </row>
    <row r="4176" spans="1:7" x14ac:dyDescent="0.25">
      <c r="A4176" s="8">
        <v>54</v>
      </c>
      <c r="B4176" s="8">
        <v>64</v>
      </c>
      <c r="C4176" s="8">
        <v>123.944351</v>
      </c>
      <c r="D4176" s="8">
        <v>161861.484375</v>
      </c>
      <c r="E4176" s="8">
        <v>161873.546875</v>
      </c>
      <c r="F4176" s="8">
        <f t="shared" si="130"/>
        <v>12.0625</v>
      </c>
      <c r="G4176" s="8">
        <f t="shared" si="131"/>
        <v>1.20625E-2</v>
      </c>
    </row>
    <row r="4177" spans="1:7" x14ac:dyDescent="0.25">
      <c r="A4177" s="8">
        <v>54</v>
      </c>
      <c r="B4177" s="8">
        <v>65</v>
      </c>
      <c r="C4177" s="8">
        <v>3065.9916990000002</v>
      </c>
      <c r="D4177" s="8">
        <v>162002.109375</v>
      </c>
      <c r="E4177" s="8">
        <v>162017.71875</v>
      </c>
      <c r="F4177" s="8">
        <f t="shared" si="130"/>
        <v>15.609375</v>
      </c>
      <c r="G4177" s="8">
        <f t="shared" si="131"/>
        <v>1.5609375E-2</v>
      </c>
    </row>
    <row r="4178" spans="1:7" x14ac:dyDescent="0.25">
      <c r="A4178" s="8">
        <v>54</v>
      </c>
      <c r="B4178" s="8">
        <v>66</v>
      </c>
      <c r="C4178" s="8">
        <v>1183.597534</v>
      </c>
      <c r="D4178" s="8">
        <v>165092.765625</v>
      </c>
      <c r="E4178" s="8">
        <v>165104.9375</v>
      </c>
      <c r="F4178" s="8">
        <f t="shared" si="130"/>
        <v>12.171875</v>
      </c>
      <c r="G4178" s="8">
        <f t="shared" si="131"/>
        <v>1.2171875E-2</v>
      </c>
    </row>
    <row r="4179" spans="1:7" x14ac:dyDescent="0.25">
      <c r="A4179" s="8">
        <v>54</v>
      </c>
      <c r="B4179" s="8">
        <v>67</v>
      </c>
      <c r="C4179" s="8">
        <v>4334.798828</v>
      </c>
      <c r="D4179" s="8">
        <v>166302</v>
      </c>
      <c r="E4179" s="8">
        <v>166311.046875</v>
      </c>
      <c r="F4179" s="8">
        <f t="shared" si="130"/>
        <v>9.046875</v>
      </c>
      <c r="G4179" s="8">
        <f t="shared" si="131"/>
        <v>9.0468749999999994E-3</v>
      </c>
    </row>
    <row r="4180" spans="1:7" x14ac:dyDescent="0.25">
      <c r="A4180" s="8">
        <v>55</v>
      </c>
      <c r="B4180" s="8">
        <v>0</v>
      </c>
      <c r="C4180" s="8">
        <v>603.660706</v>
      </c>
      <c r="D4180" s="8">
        <v>21953.802734000001</v>
      </c>
      <c r="E4180" s="8">
        <v>21966.416015999999</v>
      </c>
      <c r="F4180" s="8">
        <f t="shared" si="130"/>
        <v>12.613281999998435</v>
      </c>
      <c r="G4180" s="8">
        <f t="shared" si="131"/>
        <v>1.2613281999998435E-2</v>
      </c>
    </row>
    <row r="4181" spans="1:7" x14ac:dyDescent="0.25">
      <c r="A4181" s="8">
        <v>55</v>
      </c>
      <c r="B4181" s="8">
        <v>1</v>
      </c>
      <c r="C4181" s="8">
        <v>798.48699999999997</v>
      </c>
      <c r="D4181" s="8">
        <v>22578.826172000001</v>
      </c>
      <c r="E4181" s="8">
        <v>22598.097656000002</v>
      </c>
      <c r="F4181" s="8">
        <f t="shared" si="130"/>
        <v>19.271484000000783</v>
      </c>
      <c r="G4181" s="8">
        <f t="shared" si="131"/>
        <v>1.9271484000000783E-2</v>
      </c>
    </row>
    <row r="4182" spans="1:7" x14ac:dyDescent="0.25">
      <c r="A4182" s="8">
        <v>55</v>
      </c>
      <c r="B4182" s="8">
        <v>2</v>
      </c>
      <c r="C4182" s="8">
        <v>738.78900099999998</v>
      </c>
      <c r="D4182" s="8">
        <v>23409.785156000002</v>
      </c>
      <c r="E4182" s="8">
        <v>23428.271484000001</v>
      </c>
      <c r="F4182" s="8">
        <f t="shared" si="130"/>
        <v>18.486327999999048</v>
      </c>
      <c r="G4182" s="8">
        <f t="shared" si="131"/>
        <v>1.8486327999999049E-2</v>
      </c>
    </row>
    <row r="4183" spans="1:7" x14ac:dyDescent="0.25">
      <c r="A4183" s="8">
        <v>55</v>
      </c>
      <c r="B4183" s="8">
        <v>3</v>
      </c>
      <c r="C4183" s="8">
        <v>11794.735352</v>
      </c>
      <c r="D4183" s="8">
        <v>24177.904297000001</v>
      </c>
      <c r="E4183" s="8">
        <v>24191.970702999999</v>
      </c>
      <c r="F4183" s="8">
        <f t="shared" si="130"/>
        <v>14.066405999998096</v>
      </c>
      <c r="G4183" s="8">
        <f t="shared" si="131"/>
        <v>1.4066405999998097E-2</v>
      </c>
    </row>
    <row r="4184" spans="1:7" x14ac:dyDescent="0.25">
      <c r="A4184" s="8">
        <v>55</v>
      </c>
      <c r="B4184" s="8">
        <v>4</v>
      </c>
      <c r="C4184" s="8">
        <v>12106.744140999999</v>
      </c>
      <c r="D4184" s="8">
        <v>35998.902344000002</v>
      </c>
      <c r="E4184" s="8">
        <v>36021.722655999998</v>
      </c>
      <c r="F4184" s="8">
        <f t="shared" si="130"/>
        <v>22.820311999996193</v>
      </c>
      <c r="G4184" s="8">
        <f t="shared" si="131"/>
        <v>2.2820311999996193E-2</v>
      </c>
    </row>
    <row r="4185" spans="1:7" x14ac:dyDescent="0.25">
      <c r="A4185" s="8">
        <v>55</v>
      </c>
      <c r="B4185" s="8">
        <v>5</v>
      </c>
      <c r="C4185" s="8">
        <v>1219.099121</v>
      </c>
      <c r="D4185" s="8">
        <v>48142.449219000002</v>
      </c>
      <c r="E4185" s="8">
        <v>48154.929687999997</v>
      </c>
      <c r="F4185" s="8">
        <f t="shared" si="130"/>
        <v>12.480468999994628</v>
      </c>
      <c r="G4185" s="8">
        <f t="shared" si="131"/>
        <v>1.2480468999994627E-2</v>
      </c>
    </row>
    <row r="4186" spans="1:7" x14ac:dyDescent="0.25">
      <c r="A4186" s="8">
        <v>55</v>
      </c>
      <c r="B4186" s="8">
        <v>6</v>
      </c>
      <c r="C4186" s="8">
        <v>523.01409899999999</v>
      </c>
      <c r="D4186" s="8">
        <v>49389.292969000002</v>
      </c>
      <c r="E4186" s="8">
        <v>49407.710937999997</v>
      </c>
      <c r="F4186" s="8">
        <f t="shared" si="130"/>
        <v>18.417968999994628</v>
      </c>
      <c r="G4186" s="8">
        <f t="shared" si="131"/>
        <v>1.8417968999994629E-2</v>
      </c>
    </row>
    <row r="4187" spans="1:7" x14ac:dyDescent="0.25">
      <c r="A4187" s="8">
        <v>55</v>
      </c>
      <c r="B4187" s="8">
        <v>7</v>
      </c>
      <c r="C4187" s="8">
        <v>922.54168700000002</v>
      </c>
      <c r="D4187" s="8">
        <v>49940.328125</v>
      </c>
      <c r="E4187" s="8">
        <v>49954.664062999997</v>
      </c>
      <c r="F4187" s="8">
        <f t="shared" si="130"/>
        <v>14.335937999996531</v>
      </c>
      <c r="G4187" s="8">
        <f t="shared" si="131"/>
        <v>1.4335937999996532E-2</v>
      </c>
    </row>
    <row r="4188" spans="1:7" x14ac:dyDescent="0.25">
      <c r="A4188" s="8">
        <v>55</v>
      </c>
      <c r="B4188" s="8">
        <v>8</v>
      </c>
      <c r="C4188" s="8">
        <v>823.85070800000005</v>
      </c>
      <c r="D4188" s="8">
        <v>50877.914062999997</v>
      </c>
      <c r="E4188" s="8">
        <v>50894.820312999997</v>
      </c>
      <c r="F4188" s="8">
        <f t="shared" si="130"/>
        <v>16.90625</v>
      </c>
      <c r="G4188" s="8">
        <f t="shared" si="131"/>
        <v>1.6906250000000001E-2</v>
      </c>
    </row>
    <row r="4189" spans="1:7" x14ac:dyDescent="0.25">
      <c r="A4189" s="8">
        <v>55</v>
      </c>
      <c r="B4189" s="8">
        <v>9</v>
      </c>
      <c r="C4189" s="8">
        <v>1270.3912350000001</v>
      </c>
      <c r="D4189" s="8">
        <v>51732.453125</v>
      </c>
      <c r="E4189" s="8">
        <v>51758.160155999998</v>
      </c>
      <c r="F4189" s="8">
        <f t="shared" si="130"/>
        <v>25.707030999998096</v>
      </c>
      <c r="G4189" s="8">
        <f t="shared" si="131"/>
        <v>2.5707030999998097E-2</v>
      </c>
    </row>
    <row r="4190" spans="1:7" x14ac:dyDescent="0.25">
      <c r="A4190" s="8">
        <v>55</v>
      </c>
      <c r="B4190" s="8">
        <v>10</v>
      </c>
      <c r="C4190" s="8">
        <v>4153.9448240000002</v>
      </c>
      <c r="D4190" s="8">
        <v>53029.714844000002</v>
      </c>
      <c r="E4190" s="8">
        <v>53046.644530999998</v>
      </c>
      <c r="F4190" s="8">
        <f t="shared" si="130"/>
        <v>16.929686999996193</v>
      </c>
      <c r="G4190" s="8">
        <f t="shared" si="131"/>
        <v>1.6929686999996193E-2</v>
      </c>
    </row>
    <row r="4191" spans="1:7" x14ac:dyDescent="0.25">
      <c r="A4191" s="8">
        <v>55</v>
      </c>
      <c r="B4191" s="8">
        <v>11</v>
      </c>
      <c r="C4191" s="8">
        <v>34.414116</v>
      </c>
      <c r="D4191" s="8">
        <v>57207.613280999998</v>
      </c>
      <c r="E4191" s="8">
        <v>57221.484375</v>
      </c>
      <c r="F4191" s="8">
        <f t="shared" si="130"/>
        <v>13.871094000001904</v>
      </c>
      <c r="G4191" s="8">
        <f t="shared" si="131"/>
        <v>1.3871094000001903E-2</v>
      </c>
    </row>
    <row r="4192" spans="1:7" x14ac:dyDescent="0.25">
      <c r="A4192" s="8">
        <v>55</v>
      </c>
      <c r="B4192" s="8">
        <v>12</v>
      </c>
      <c r="C4192" s="8">
        <v>2660.0290530000002</v>
      </c>
      <c r="D4192" s="8">
        <v>57270.089844000002</v>
      </c>
      <c r="E4192" s="8">
        <v>57290.316405999998</v>
      </c>
      <c r="F4192" s="8">
        <f t="shared" si="130"/>
        <v>20.226561999996193</v>
      </c>
      <c r="G4192" s="8">
        <f t="shared" si="131"/>
        <v>2.0226561999996194E-2</v>
      </c>
    </row>
    <row r="4193" spans="1:7" x14ac:dyDescent="0.25">
      <c r="A4193" s="8">
        <v>55</v>
      </c>
      <c r="B4193" s="8">
        <v>13</v>
      </c>
      <c r="C4193" s="8">
        <v>6.2967620000000002</v>
      </c>
      <c r="D4193" s="8">
        <v>59950.566405999998</v>
      </c>
      <c r="E4193" s="8">
        <v>59969.589844000002</v>
      </c>
      <c r="F4193" s="8">
        <f t="shared" si="130"/>
        <v>19.023438000003807</v>
      </c>
      <c r="G4193" s="8">
        <f t="shared" si="131"/>
        <v>1.9023438000003806E-2</v>
      </c>
    </row>
    <row r="4194" spans="1:7" x14ac:dyDescent="0.25">
      <c r="A4194" s="8">
        <v>55</v>
      </c>
      <c r="B4194" s="8">
        <v>14</v>
      </c>
      <c r="C4194" s="8">
        <v>3818.0017090000001</v>
      </c>
      <c r="D4194" s="8">
        <v>59981.828125</v>
      </c>
      <c r="E4194" s="8">
        <v>59992.09375</v>
      </c>
      <c r="F4194" s="8">
        <f t="shared" si="130"/>
        <v>10.265625</v>
      </c>
      <c r="G4194" s="8">
        <f t="shared" si="131"/>
        <v>1.0265625E-2</v>
      </c>
    </row>
    <row r="4195" spans="1:7" x14ac:dyDescent="0.25">
      <c r="A4195" s="8">
        <v>55</v>
      </c>
      <c r="B4195" s="8">
        <v>15</v>
      </c>
      <c r="C4195" s="8">
        <v>188.55226099999999</v>
      </c>
      <c r="D4195" s="8">
        <v>63823.867187999997</v>
      </c>
      <c r="E4195" s="8">
        <v>63837.359375</v>
      </c>
      <c r="F4195" s="8">
        <f t="shared" si="130"/>
        <v>13.492187000003469</v>
      </c>
      <c r="G4195" s="8">
        <f t="shared" si="131"/>
        <v>1.3492187000003469E-2</v>
      </c>
    </row>
    <row r="4196" spans="1:7" x14ac:dyDescent="0.25">
      <c r="A4196" s="8">
        <v>55</v>
      </c>
      <c r="B4196" s="8">
        <v>16</v>
      </c>
      <c r="C4196" s="8">
        <v>732.79278599999998</v>
      </c>
      <c r="D4196" s="8">
        <v>64027.023437999997</v>
      </c>
      <c r="E4196" s="8">
        <v>64034.914062999997</v>
      </c>
      <c r="F4196" s="8">
        <f t="shared" si="130"/>
        <v>7.890625</v>
      </c>
      <c r="G4196" s="8">
        <f t="shared" si="131"/>
        <v>7.8906250000000001E-3</v>
      </c>
    </row>
    <row r="4197" spans="1:7" x14ac:dyDescent="0.25">
      <c r="A4197" s="8">
        <v>55</v>
      </c>
      <c r="B4197" s="8">
        <v>17</v>
      </c>
      <c r="C4197" s="8">
        <v>1430.793457</v>
      </c>
      <c r="D4197" s="8">
        <v>64777.796875</v>
      </c>
      <c r="E4197" s="8">
        <v>64789.8125</v>
      </c>
      <c r="F4197" s="8">
        <f t="shared" si="130"/>
        <v>12.015625</v>
      </c>
      <c r="G4197" s="8">
        <f t="shared" si="131"/>
        <v>1.2015625E-2</v>
      </c>
    </row>
    <row r="4198" spans="1:7" x14ac:dyDescent="0.25">
      <c r="A4198" s="8">
        <v>55</v>
      </c>
      <c r="B4198" s="8">
        <v>18</v>
      </c>
      <c r="C4198" s="8">
        <v>4375.1933589999999</v>
      </c>
      <c r="D4198" s="8">
        <v>66231.070313000004</v>
      </c>
      <c r="E4198" s="8">
        <v>66250.523438000004</v>
      </c>
      <c r="F4198" s="8">
        <f t="shared" si="130"/>
        <v>19.453125</v>
      </c>
      <c r="G4198" s="8">
        <f t="shared" si="131"/>
        <v>1.9453125000000002E-2</v>
      </c>
    </row>
    <row r="4199" spans="1:7" x14ac:dyDescent="0.25">
      <c r="A4199" s="8">
        <v>55</v>
      </c>
      <c r="B4199" s="8">
        <v>19</v>
      </c>
      <c r="C4199" s="8">
        <v>1985.502808</v>
      </c>
      <c r="D4199" s="8">
        <v>70632.539063000004</v>
      </c>
      <c r="E4199" s="8">
        <v>70647.539063000004</v>
      </c>
      <c r="F4199" s="8">
        <f t="shared" si="130"/>
        <v>15</v>
      </c>
      <c r="G4199" s="8">
        <f t="shared" si="131"/>
        <v>1.4999999999999999E-2</v>
      </c>
    </row>
    <row r="4200" spans="1:7" x14ac:dyDescent="0.25">
      <c r="A4200" s="8">
        <v>55</v>
      </c>
      <c r="B4200" s="8">
        <v>20</v>
      </c>
      <c r="C4200" s="8">
        <v>2917.0285640000002</v>
      </c>
      <c r="D4200" s="8">
        <v>72638.625</v>
      </c>
      <c r="E4200" s="8">
        <v>72651.773438000004</v>
      </c>
      <c r="F4200" s="8">
        <f t="shared" si="130"/>
        <v>13.148438000003807</v>
      </c>
      <c r="G4200" s="8">
        <f t="shared" si="131"/>
        <v>1.3148438000003808E-2</v>
      </c>
    </row>
    <row r="4201" spans="1:7" x14ac:dyDescent="0.25">
      <c r="A4201" s="8">
        <v>55</v>
      </c>
      <c r="B4201" s="8">
        <v>21</v>
      </c>
      <c r="C4201" s="8">
        <v>3518.7211910000001</v>
      </c>
      <c r="D4201" s="8">
        <v>75580.804688000004</v>
      </c>
      <c r="E4201" s="8">
        <v>75611.039063000004</v>
      </c>
      <c r="F4201" s="8">
        <f t="shared" si="130"/>
        <v>30.234375</v>
      </c>
      <c r="G4201" s="8">
        <f t="shared" si="131"/>
        <v>3.0234375000000001E-2</v>
      </c>
    </row>
    <row r="4202" spans="1:7" x14ac:dyDescent="0.25">
      <c r="A4202" s="8">
        <v>55</v>
      </c>
      <c r="B4202" s="8">
        <v>22</v>
      </c>
      <c r="C4202" s="8">
        <v>70.252441000000005</v>
      </c>
      <c r="D4202" s="8">
        <v>79138.523438000004</v>
      </c>
      <c r="E4202" s="8">
        <v>79150.546875</v>
      </c>
      <c r="F4202" s="8">
        <f t="shared" si="130"/>
        <v>12.023436999996193</v>
      </c>
      <c r="G4202" s="8">
        <f t="shared" si="131"/>
        <v>1.2023436999996192E-2</v>
      </c>
    </row>
    <row r="4203" spans="1:7" x14ac:dyDescent="0.25">
      <c r="A4203" s="8">
        <v>55</v>
      </c>
      <c r="B4203" s="8">
        <v>23</v>
      </c>
      <c r="C4203" s="8">
        <v>763.76000999999997</v>
      </c>
      <c r="D4203" s="8">
        <v>79232.28125</v>
      </c>
      <c r="E4203" s="8">
        <v>79243.65625</v>
      </c>
      <c r="F4203" s="8">
        <f t="shared" si="130"/>
        <v>11.375</v>
      </c>
      <c r="G4203" s="8">
        <f t="shared" si="131"/>
        <v>1.1375E-2</v>
      </c>
    </row>
    <row r="4204" spans="1:7" x14ac:dyDescent="0.25">
      <c r="A4204" s="8">
        <v>55</v>
      </c>
      <c r="B4204" s="8">
        <v>24</v>
      </c>
      <c r="C4204" s="8">
        <v>121.737572</v>
      </c>
      <c r="D4204" s="8">
        <v>80019.820313000004</v>
      </c>
      <c r="E4204" s="8">
        <v>80033.453125</v>
      </c>
      <c r="F4204" s="8">
        <f t="shared" si="130"/>
        <v>13.632811999996193</v>
      </c>
      <c r="G4204" s="8">
        <f t="shared" si="131"/>
        <v>1.3632811999996193E-2</v>
      </c>
    </row>
    <row r="4205" spans="1:7" x14ac:dyDescent="0.25">
      <c r="A4205" s="8">
        <v>55</v>
      </c>
      <c r="B4205" s="8">
        <v>25</v>
      </c>
      <c r="C4205" s="8">
        <v>2188.5151369999999</v>
      </c>
      <c r="D4205" s="8">
        <v>80160.414063000004</v>
      </c>
      <c r="E4205" s="8">
        <v>80181.945313000004</v>
      </c>
      <c r="F4205" s="8">
        <f t="shared" si="130"/>
        <v>21.53125</v>
      </c>
      <c r="G4205" s="8">
        <f t="shared" si="131"/>
        <v>2.1531249999999998E-2</v>
      </c>
    </row>
    <row r="4206" spans="1:7" x14ac:dyDescent="0.25">
      <c r="A4206" s="8">
        <v>55</v>
      </c>
      <c r="B4206" s="8">
        <v>26</v>
      </c>
      <c r="C4206" s="8">
        <v>97.302597000000006</v>
      </c>
      <c r="D4206" s="8">
        <v>82370.382813000004</v>
      </c>
      <c r="E4206" s="8">
        <v>82379.21875</v>
      </c>
      <c r="F4206" s="8">
        <f t="shared" si="130"/>
        <v>8.8359369999961928</v>
      </c>
      <c r="G4206" s="8">
        <f t="shared" si="131"/>
        <v>8.8359369999961926E-3</v>
      </c>
    </row>
    <row r="4207" spans="1:7" x14ac:dyDescent="0.25">
      <c r="A4207" s="8">
        <v>55</v>
      </c>
      <c r="B4207" s="8">
        <v>27</v>
      </c>
      <c r="C4207" s="8">
        <v>2524.845703</v>
      </c>
      <c r="D4207" s="8">
        <v>82479.929688000004</v>
      </c>
      <c r="E4207" s="8">
        <v>82506.71875</v>
      </c>
      <c r="F4207" s="8">
        <f t="shared" si="130"/>
        <v>26.789061999996193</v>
      </c>
      <c r="G4207" s="8">
        <f t="shared" si="131"/>
        <v>2.6789061999996193E-2</v>
      </c>
    </row>
    <row r="4208" spans="1:7" x14ac:dyDescent="0.25">
      <c r="A4208" s="8">
        <v>55</v>
      </c>
      <c r="B4208" s="8">
        <v>28</v>
      </c>
      <c r="C4208" s="8">
        <v>1401.919678</v>
      </c>
      <c r="D4208" s="8">
        <v>85032.289063000004</v>
      </c>
      <c r="E4208" s="8">
        <v>85059.4375</v>
      </c>
      <c r="F4208" s="8">
        <f t="shared" si="130"/>
        <v>27.148436999996193</v>
      </c>
      <c r="G4208" s="8">
        <f t="shared" si="131"/>
        <v>2.7148436999996192E-2</v>
      </c>
    </row>
    <row r="4209" spans="1:7" x14ac:dyDescent="0.25">
      <c r="A4209" s="8">
        <v>55</v>
      </c>
      <c r="B4209" s="8">
        <v>29</v>
      </c>
      <c r="C4209" s="8">
        <v>1480.7154539999999</v>
      </c>
      <c r="D4209" s="8">
        <v>86471.5</v>
      </c>
      <c r="E4209" s="8">
        <v>86485.4375</v>
      </c>
      <c r="F4209" s="8">
        <f t="shared" si="130"/>
        <v>13.9375</v>
      </c>
      <c r="G4209" s="8">
        <f t="shared" si="131"/>
        <v>1.39375E-2</v>
      </c>
    </row>
    <row r="4210" spans="1:7" x14ac:dyDescent="0.25">
      <c r="A4210" s="8">
        <v>55</v>
      </c>
      <c r="B4210" s="8">
        <v>30</v>
      </c>
      <c r="C4210" s="8">
        <v>1501.0385739999999</v>
      </c>
      <c r="D4210" s="8">
        <v>87974.773438000004</v>
      </c>
      <c r="E4210" s="8">
        <v>87996.039063000004</v>
      </c>
      <c r="F4210" s="8">
        <f t="shared" si="130"/>
        <v>21.265625</v>
      </c>
      <c r="G4210" s="8">
        <f t="shared" si="131"/>
        <v>2.1265625E-2</v>
      </c>
    </row>
    <row r="4211" spans="1:7" x14ac:dyDescent="0.25">
      <c r="A4211" s="8">
        <v>55</v>
      </c>
      <c r="B4211" s="8">
        <v>31</v>
      </c>
      <c r="C4211" s="8">
        <v>500.31072999999998</v>
      </c>
      <c r="D4211" s="8">
        <v>89506.226563000004</v>
      </c>
      <c r="E4211" s="8">
        <v>89527.585938000004</v>
      </c>
      <c r="F4211" s="8">
        <f t="shared" si="130"/>
        <v>21.359375</v>
      </c>
      <c r="G4211" s="8">
        <f t="shared" si="131"/>
        <v>2.1359375E-2</v>
      </c>
    </row>
    <row r="4212" spans="1:7" x14ac:dyDescent="0.25">
      <c r="A4212" s="8">
        <v>55</v>
      </c>
      <c r="B4212" s="8">
        <v>32</v>
      </c>
      <c r="C4212" s="8">
        <v>3568.9841310000002</v>
      </c>
      <c r="D4212" s="8">
        <v>90042.234375</v>
      </c>
      <c r="E4212" s="8">
        <v>90053.546875</v>
      </c>
      <c r="F4212" s="8">
        <f t="shared" si="130"/>
        <v>11.3125</v>
      </c>
      <c r="G4212" s="8">
        <f t="shared" si="131"/>
        <v>1.13125E-2</v>
      </c>
    </row>
    <row r="4213" spans="1:7" x14ac:dyDescent="0.25">
      <c r="A4213" s="8">
        <v>55</v>
      </c>
      <c r="B4213" s="8">
        <v>33</v>
      </c>
      <c r="C4213" s="8">
        <v>7997.1640630000002</v>
      </c>
      <c r="D4213" s="8">
        <v>93623.226563000004</v>
      </c>
      <c r="E4213" s="8">
        <v>93644.445313000004</v>
      </c>
      <c r="F4213" s="8">
        <f t="shared" si="130"/>
        <v>21.21875</v>
      </c>
      <c r="G4213" s="8">
        <f t="shared" si="131"/>
        <v>2.1218750000000001E-2</v>
      </c>
    </row>
    <row r="4214" spans="1:7" x14ac:dyDescent="0.25">
      <c r="A4214" s="8">
        <v>55</v>
      </c>
      <c r="B4214" s="8">
        <v>34</v>
      </c>
      <c r="C4214" s="8">
        <v>5102.7392579999996</v>
      </c>
      <c r="D4214" s="8">
        <v>101651.242188</v>
      </c>
      <c r="E4214" s="8">
        <v>101661.820313</v>
      </c>
      <c r="F4214" s="8">
        <f t="shared" si="130"/>
        <v>10.578125</v>
      </c>
      <c r="G4214" s="8">
        <f t="shared" si="131"/>
        <v>1.0578125000000001E-2</v>
      </c>
    </row>
    <row r="4215" spans="1:7" x14ac:dyDescent="0.25">
      <c r="A4215" s="8">
        <v>55</v>
      </c>
      <c r="B4215" s="8">
        <v>35</v>
      </c>
      <c r="C4215" s="8">
        <v>1125.86499</v>
      </c>
      <c r="D4215" s="8">
        <v>106765.976563</v>
      </c>
      <c r="E4215" s="8">
        <v>106790.6875</v>
      </c>
      <c r="F4215" s="8">
        <f t="shared" si="130"/>
        <v>24.710936999996193</v>
      </c>
      <c r="G4215" s="8">
        <f t="shared" si="131"/>
        <v>2.4710936999996193E-2</v>
      </c>
    </row>
    <row r="4216" spans="1:7" x14ac:dyDescent="0.25">
      <c r="A4216" s="8">
        <v>55</v>
      </c>
      <c r="B4216" s="8">
        <v>36</v>
      </c>
      <c r="C4216" s="8">
        <v>5224.5756840000004</v>
      </c>
      <c r="D4216" s="8">
        <v>107923.007813</v>
      </c>
      <c r="E4216" s="8">
        <v>107940.765625</v>
      </c>
      <c r="F4216" s="8">
        <f t="shared" si="130"/>
        <v>17.757811999996193</v>
      </c>
      <c r="G4216" s="8">
        <f t="shared" si="131"/>
        <v>1.7757811999996192E-2</v>
      </c>
    </row>
    <row r="4217" spans="1:7" x14ac:dyDescent="0.25">
      <c r="A4217" s="8">
        <v>55</v>
      </c>
      <c r="B4217" s="8">
        <v>37</v>
      </c>
      <c r="C4217" s="8">
        <v>3702.404297</v>
      </c>
      <c r="D4217" s="8">
        <v>113174.78125</v>
      </c>
      <c r="E4217" s="8">
        <v>113198.1875</v>
      </c>
      <c r="F4217" s="8">
        <f t="shared" si="130"/>
        <v>23.40625</v>
      </c>
      <c r="G4217" s="8">
        <f t="shared" si="131"/>
        <v>2.340625E-2</v>
      </c>
    </row>
    <row r="4218" spans="1:7" x14ac:dyDescent="0.25">
      <c r="A4218" s="8">
        <v>55</v>
      </c>
      <c r="B4218" s="8">
        <v>38</v>
      </c>
      <c r="C4218" s="8">
        <v>7141.2641599999997</v>
      </c>
      <c r="D4218" s="8">
        <v>116911.40625</v>
      </c>
      <c r="E4218" s="8">
        <v>116928.460938</v>
      </c>
      <c r="F4218" s="8">
        <f t="shared" si="130"/>
        <v>17.054688000003807</v>
      </c>
      <c r="G4218" s="8">
        <f t="shared" si="131"/>
        <v>1.7054688000003808E-2</v>
      </c>
    </row>
    <row r="4219" spans="1:7" x14ac:dyDescent="0.25">
      <c r="A4219" s="8">
        <v>55</v>
      </c>
      <c r="B4219" s="8">
        <v>39</v>
      </c>
      <c r="C4219" s="8">
        <v>383.98736600000001</v>
      </c>
      <c r="D4219" s="8">
        <v>124080.21875</v>
      </c>
      <c r="E4219" s="8">
        <v>124099.25</v>
      </c>
      <c r="F4219" s="8">
        <f t="shared" si="130"/>
        <v>19.03125</v>
      </c>
      <c r="G4219" s="8">
        <f t="shared" si="131"/>
        <v>1.903125E-2</v>
      </c>
    </row>
    <row r="4220" spans="1:7" x14ac:dyDescent="0.25">
      <c r="A4220" s="8">
        <v>55</v>
      </c>
      <c r="B4220" s="8">
        <v>40</v>
      </c>
      <c r="C4220" s="8">
        <v>1977.940063</v>
      </c>
      <c r="D4220" s="8">
        <v>124486.390625</v>
      </c>
      <c r="E4220" s="8">
        <v>124495.703125</v>
      </c>
      <c r="F4220" s="8">
        <f t="shared" si="130"/>
        <v>9.3125</v>
      </c>
      <c r="G4220" s="8">
        <f t="shared" si="131"/>
        <v>9.3124999999999996E-3</v>
      </c>
    </row>
    <row r="4221" spans="1:7" x14ac:dyDescent="0.25">
      <c r="A4221" s="8">
        <v>55</v>
      </c>
      <c r="B4221" s="8">
        <v>41</v>
      </c>
      <c r="C4221" s="8">
        <v>189.89408900000001</v>
      </c>
      <c r="D4221" s="8">
        <v>126487.3125</v>
      </c>
      <c r="E4221" s="8">
        <v>126501.140625</v>
      </c>
      <c r="F4221" s="8">
        <f t="shared" si="130"/>
        <v>13.828125</v>
      </c>
      <c r="G4221" s="8">
        <f t="shared" si="131"/>
        <v>1.3828125E-2</v>
      </c>
    </row>
    <row r="4222" spans="1:7" x14ac:dyDescent="0.25">
      <c r="A4222" s="8">
        <v>55</v>
      </c>
      <c r="B4222" s="8">
        <v>42</v>
      </c>
      <c r="C4222" s="8">
        <v>2478.788086</v>
      </c>
      <c r="D4222" s="8">
        <v>126690.4375</v>
      </c>
      <c r="E4222" s="8">
        <v>126698.945313</v>
      </c>
      <c r="F4222" s="8">
        <f t="shared" si="130"/>
        <v>8.5078130000038072</v>
      </c>
      <c r="G4222" s="8">
        <f t="shared" si="131"/>
        <v>8.5078130000038072E-3</v>
      </c>
    </row>
    <row r="4223" spans="1:7" x14ac:dyDescent="0.25">
      <c r="A4223" s="8">
        <v>55</v>
      </c>
      <c r="B4223" s="8">
        <v>43</v>
      </c>
      <c r="C4223" s="8">
        <v>4670.1191410000001</v>
      </c>
      <c r="D4223" s="8">
        <v>129192</v>
      </c>
      <c r="E4223" s="8">
        <v>129211.375</v>
      </c>
      <c r="F4223" s="8">
        <f t="shared" si="130"/>
        <v>19.375</v>
      </c>
      <c r="G4223" s="8">
        <f t="shared" si="131"/>
        <v>1.9375E-2</v>
      </c>
    </row>
    <row r="4224" spans="1:7" x14ac:dyDescent="0.25">
      <c r="A4224" s="8">
        <v>55</v>
      </c>
      <c r="B4224" s="8">
        <v>44</v>
      </c>
      <c r="C4224" s="8">
        <v>1173.9136960000001</v>
      </c>
      <c r="D4224" s="8">
        <v>133894.34375</v>
      </c>
      <c r="E4224" s="8">
        <v>133906.171875</v>
      </c>
      <c r="F4224" s="8">
        <f t="shared" si="130"/>
        <v>11.828125</v>
      </c>
      <c r="G4224" s="8">
        <f t="shared" si="131"/>
        <v>1.1828125E-2</v>
      </c>
    </row>
    <row r="4225" spans="1:7" x14ac:dyDescent="0.25">
      <c r="A4225" s="8">
        <v>55</v>
      </c>
      <c r="B4225" s="8">
        <v>45</v>
      </c>
      <c r="C4225" s="8">
        <v>293.96844499999997</v>
      </c>
      <c r="D4225" s="8">
        <v>135084.9375</v>
      </c>
      <c r="E4225" s="8">
        <v>135181.953125</v>
      </c>
      <c r="F4225" s="8">
        <f t="shared" si="130"/>
        <v>97.015625</v>
      </c>
      <c r="G4225" s="8">
        <f t="shared" si="131"/>
        <v>9.7015624999999994E-2</v>
      </c>
    </row>
    <row r="4226" spans="1:7" x14ac:dyDescent="0.25">
      <c r="A4226" s="8">
        <v>55</v>
      </c>
      <c r="B4226" s="8">
        <v>46</v>
      </c>
      <c r="C4226" s="8">
        <v>1813.265259</v>
      </c>
      <c r="D4226" s="8">
        <v>135475.8125</v>
      </c>
      <c r="E4226" s="8">
        <v>135495.640625</v>
      </c>
      <c r="F4226" s="8">
        <f t="shared" si="130"/>
        <v>19.828125</v>
      </c>
      <c r="G4226" s="8">
        <f t="shared" si="131"/>
        <v>1.9828124999999999E-2</v>
      </c>
    </row>
    <row r="4227" spans="1:7" x14ac:dyDescent="0.25">
      <c r="A4227" s="8">
        <v>55</v>
      </c>
      <c r="B4227" s="8">
        <v>47</v>
      </c>
      <c r="C4227" s="8">
        <v>2136.3305660000001</v>
      </c>
      <c r="D4227" s="8">
        <v>137312.40625</v>
      </c>
      <c r="E4227" s="8">
        <v>137332.421875</v>
      </c>
      <c r="F4227" s="8">
        <f t="shared" si="130"/>
        <v>20.015625</v>
      </c>
      <c r="G4227" s="8">
        <f t="shared" si="131"/>
        <v>2.0015624999999999E-2</v>
      </c>
    </row>
    <row r="4228" spans="1:7" x14ac:dyDescent="0.25">
      <c r="A4228" s="8">
        <v>55</v>
      </c>
      <c r="B4228" s="8">
        <v>48</v>
      </c>
      <c r="C4228" s="8">
        <v>1412.528564</v>
      </c>
      <c r="D4228" s="8">
        <v>139474.90625</v>
      </c>
      <c r="E4228" s="8">
        <v>139482.65625</v>
      </c>
      <c r="F4228" s="8">
        <f t="shared" si="130"/>
        <v>7.75</v>
      </c>
      <c r="G4228" s="8">
        <f t="shared" si="131"/>
        <v>7.7499999999999999E-3</v>
      </c>
    </row>
    <row r="4229" spans="1:7" x14ac:dyDescent="0.25">
      <c r="A4229" s="8">
        <v>55</v>
      </c>
      <c r="B4229" s="8">
        <v>49</v>
      </c>
      <c r="C4229" s="8">
        <v>785.60815400000001</v>
      </c>
      <c r="D4229" s="8">
        <v>140904.75</v>
      </c>
      <c r="E4229" s="8">
        <v>140928.328125</v>
      </c>
      <c r="F4229" s="8">
        <f t="shared" si="130"/>
        <v>23.578125</v>
      </c>
      <c r="G4229" s="8">
        <f t="shared" si="131"/>
        <v>2.3578124999999998E-2</v>
      </c>
    </row>
    <row r="4230" spans="1:7" x14ac:dyDescent="0.25">
      <c r="A4230" s="8">
        <v>55</v>
      </c>
      <c r="B4230" s="8">
        <v>50</v>
      </c>
      <c r="C4230" s="8">
        <v>4226.3554690000001</v>
      </c>
      <c r="D4230" s="8">
        <v>141727.5</v>
      </c>
      <c r="E4230" s="8">
        <v>141738.484375</v>
      </c>
      <c r="F4230" s="8">
        <f t="shared" si="130"/>
        <v>10.984375</v>
      </c>
      <c r="G4230" s="8">
        <f t="shared" si="131"/>
        <v>1.0984374999999999E-2</v>
      </c>
    </row>
    <row r="4231" spans="1:7" x14ac:dyDescent="0.25">
      <c r="A4231" s="8">
        <v>55</v>
      </c>
      <c r="B4231" s="8">
        <v>51</v>
      </c>
      <c r="C4231" s="8">
        <v>834.75396699999999</v>
      </c>
      <c r="D4231" s="8">
        <v>145974.671875</v>
      </c>
      <c r="E4231" s="8">
        <v>145995.375</v>
      </c>
      <c r="F4231" s="8">
        <f t="shared" si="130"/>
        <v>20.703125</v>
      </c>
      <c r="G4231" s="8">
        <f t="shared" si="131"/>
        <v>2.0703124999999999E-2</v>
      </c>
    </row>
    <row r="4232" spans="1:7" x14ac:dyDescent="0.25">
      <c r="A4232" s="8">
        <v>55</v>
      </c>
      <c r="B4232" s="8">
        <v>52</v>
      </c>
      <c r="C4232" s="8">
        <v>1942.4832759999999</v>
      </c>
      <c r="D4232" s="8">
        <v>146834.15625</v>
      </c>
      <c r="E4232" s="8">
        <v>146860.890625</v>
      </c>
      <c r="F4232" s="8">
        <f t="shared" si="130"/>
        <v>26.734375</v>
      </c>
      <c r="G4232" s="8">
        <f t="shared" si="131"/>
        <v>2.6734375000000001E-2</v>
      </c>
    </row>
    <row r="4233" spans="1:7" x14ac:dyDescent="0.25">
      <c r="A4233" s="8">
        <v>55</v>
      </c>
      <c r="B4233" s="8">
        <v>53</v>
      </c>
      <c r="C4233" s="8">
        <v>342.12567100000001</v>
      </c>
      <c r="D4233" s="8">
        <v>148806.6875</v>
      </c>
      <c r="E4233" s="8">
        <v>148819.28125</v>
      </c>
      <c r="F4233" s="8">
        <f t="shared" si="130"/>
        <v>12.59375</v>
      </c>
      <c r="G4233" s="8">
        <f t="shared" si="131"/>
        <v>1.2593750000000001E-2</v>
      </c>
    </row>
    <row r="4234" spans="1:7" x14ac:dyDescent="0.25">
      <c r="A4234" s="8">
        <v>55</v>
      </c>
      <c r="B4234" s="8">
        <v>54</v>
      </c>
      <c r="C4234" s="8">
        <v>3163.3173830000001</v>
      </c>
      <c r="D4234" s="8">
        <v>149166.015625</v>
      </c>
      <c r="E4234" s="8">
        <v>149187.03125</v>
      </c>
      <c r="F4234" s="8">
        <f t="shared" si="130"/>
        <v>21.015625</v>
      </c>
      <c r="G4234" s="8">
        <f t="shared" si="131"/>
        <v>2.1015625E-2</v>
      </c>
    </row>
    <row r="4235" spans="1:7" x14ac:dyDescent="0.25">
      <c r="A4235" s="8">
        <v>55</v>
      </c>
      <c r="B4235" s="8">
        <v>55</v>
      </c>
      <c r="C4235" s="8">
        <v>1502.5905760000001</v>
      </c>
      <c r="D4235" s="8">
        <v>152359.40625</v>
      </c>
      <c r="E4235" s="8">
        <v>152373.765625</v>
      </c>
      <c r="F4235" s="8">
        <f t="shared" ref="F4235:F4298" si="132">E4235-D4235</f>
        <v>14.359375</v>
      </c>
      <c r="G4235" s="8">
        <f t="shared" ref="G4235:G4298" si="133">F4235/1000</f>
        <v>1.4359375000000001E-2</v>
      </c>
    </row>
    <row r="4236" spans="1:7" x14ac:dyDescent="0.25">
      <c r="A4236" s="8">
        <v>55</v>
      </c>
      <c r="B4236" s="8">
        <v>56</v>
      </c>
      <c r="C4236" s="8">
        <v>2793.8813479999999</v>
      </c>
      <c r="D4236" s="8">
        <v>153890.875</v>
      </c>
      <c r="E4236" s="8">
        <v>153913.078125</v>
      </c>
      <c r="F4236" s="8">
        <f t="shared" si="132"/>
        <v>22.203125</v>
      </c>
      <c r="G4236" s="8">
        <f t="shared" si="133"/>
        <v>2.2203125000000001E-2</v>
      </c>
    </row>
    <row r="4237" spans="1:7" x14ac:dyDescent="0.25">
      <c r="A4237" s="8">
        <v>55</v>
      </c>
      <c r="B4237" s="8">
        <v>57</v>
      </c>
      <c r="C4237" s="8">
        <v>486.09524499999998</v>
      </c>
      <c r="D4237" s="8">
        <v>156719.3125</v>
      </c>
      <c r="E4237" s="8">
        <v>156743.28125</v>
      </c>
      <c r="F4237" s="8">
        <f t="shared" si="132"/>
        <v>23.96875</v>
      </c>
      <c r="G4237" s="8">
        <f t="shared" si="133"/>
        <v>2.396875E-2</v>
      </c>
    </row>
    <row r="4238" spans="1:7" x14ac:dyDescent="0.25">
      <c r="A4238" s="8">
        <v>55</v>
      </c>
      <c r="B4238" s="8">
        <v>58</v>
      </c>
      <c r="C4238" s="8">
        <v>2240.7878420000002</v>
      </c>
      <c r="D4238" s="8">
        <v>157234.953125</v>
      </c>
      <c r="E4238" s="8">
        <v>157245.125</v>
      </c>
      <c r="F4238" s="8">
        <f t="shared" si="132"/>
        <v>10.171875</v>
      </c>
      <c r="G4238" s="8">
        <f t="shared" si="133"/>
        <v>1.0171875E-2</v>
      </c>
    </row>
    <row r="4239" spans="1:7" x14ac:dyDescent="0.25">
      <c r="A4239" s="8">
        <v>55</v>
      </c>
      <c r="B4239" s="8">
        <v>59</v>
      </c>
      <c r="C4239" s="8">
        <v>1339.422241</v>
      </c>
      <c r="D4239" s="8">
        <v>159486.25</v>
      </c>
      <c r="E4239" s="8">
        <v>159497.625</v>
      </c>
      <c r="F4239" s="8">
        <f t="shared" si="132"/>
        <v>11.375</v>
      </c>
      <c r="G4239" s="8">
        <f t="shared" si="133"/>
        <v>1.1375E-2</v>
      </c>
    </row>
    <row r="4240" spans="1:7" x14ac:dyDescent="0.25">
      <c r="A4240" s="8">
        <v>55</v>
      </c>
      <c r="B4240" s="8">
        <v>60</v>
      </c>
      <c r="C4240" s="8">
        <v>3091.313721</v>
      </c>
      <c r="D4240" s="8">
        <v>160845.734375</v>
      </c>
      <c r="E4240" s="8">
        <v>160866.671875</v>
      </c>
      <c r="F4240" s="8">
        <f t="shared" si="132"/>
        <v>20.9375</v>
      </c>
      <c r="G4240" s="8">
        <f t="shared" si="133"/>
        <v>2.0937500000000001E-2</v>
      </c>
    </row>
    <row r="4241" spans="1:7" x14ac:dyDescent="0.25">
      <c r="A4241" s="8">
        <v>55</v>
      </c>
      <c r="B4241" s="8">
        <v>61</v>
      </c>
      <c r="C4241" s="8">
        <v>561.27362100000005</v>
      </c>
      <c r="D4241" s="8">
        <v>163971.484375</v>
      </c>
      <c r="E4241" s="8">
        <v>163994.546875</v>
      </c>
      <c r="F4241" s="8">
        <f t="shared" si="132"/>
        <v>23.0625</v>
      </c>
      <c r="G4241" s="8">
        <f t="shared" si="133"/>
        <v>2.30625E-2</v>
      </c>
    </row>
    <row r="4242" spans="1:7" x14ac:dyDescent="0.25">
      <c r="A4242" s="8">
        <v>55</v>
      </c>
      <c r="B4242" s="8">
        <v>62</v>
      </c>
      <c r="C4242" s="8">
        <v>1703.7314449999999</v>
      </c>
      <c r="D4242" s="8">
        <v>164560.765625</v>
      </c>
      <c r="E4242" s="8">
        <v>164585.953125</v>
      </c>
      <c r="F4242" s="8">
        <f t="shared" si="132"/>
        <v>25.1875</v>
      </c>
      <c r="G4242" s="8">
        <f t="shared" si="133"/>
        <v>2.5187500000000002E-2</v>
      </c>
    </row>
    <row r="4243" spans="1:7" x14ac:dyDescent="0.25">
      <c r="A4243" s="8">
        <v>55</v>
      </c>
      <c r="B4243" s="8">
        <v>63</v>
      </c>
      <c r="C4243" s="8">
        <v>2329.1723630000001</v>
      </c>
      <c r="D4243" s="8">
        <v>166302.015625</v>
      </c>
      <c r="E4243" s="8">
        <v>166318.8125</v>
      </c>
      <c r="F4243" s="8">
        <f t="shared" si="132"/>
        <v>16.796875</v>
      </c>
      <c r="G4243" s="8">
        <f t="shared" si="133"/>
        <v>1.6796874999999999E-2</v>
      </c>
    </row>
    <row r="4244" spans="1:7" x14ac:dyDescent="0.25">
      <c r="A4244" s="8">
        <v>55</v>
      </c>
      <c r="B4244" s="8">
        <v>64</v>
      </c>
      <c r="C4244" s="8">
        <v>5050.2060549999997</v>
      </c>
      <c r="D4244" s="8">
        <v>168653.703125</v>
      </c>
      <c r="E4244" s="8">
        <v>168674.453125</v>
      </c>
      <c r="F4244" s="8">
        <f t="shared" si="132"/>
        <v>20.75</v>
      </c>
      <c r="G4244" s="8">
        <f t="shared" si="133"/>
        <v>2.0750000000000001E-2</v>
      </c>
    </row>
    <row r="4245" spans="1:7" x14ac:dyDescent="0.25">
      <c r="A4245" s="8">
        <v>56</v>
      </c>
      <c r="B4245" s="8">
        <v>0</v>
      </c>
      <c r="C4245" s="8">
        <v>993.18762200000003</v>
      </c>
      <c r="D4245" s="8">
        <v>21703.705077999999</v>
      </c>
      <c r="E4245" s="8">
        <v>21726.677734000001</v>
      </c>
      <c r="F4245" s="8">
        <f t="shared" si="132"/>
        <v>22.972656000001734</v>
      </c>
      <c r="G4245" s="8">
        <f t="shared" si="133"/>
        <v>2.2972656000001736E-2</v>
      </c>
    </row>
    <row r="4246" spans="1:7" x14ac:dyDescent="0.25">
      <c r="A4246" s="8">
        <v>56</v>
      </c>
      <c r="B4246" s="8">
        <v>1</v>
      </c>
      <c r="C4246" s="8">
        <v>2789.1984859999998</v>
      </c>
      <c r="D4246" s="8">
        <v>22735.089843999998</v>
      </c>
      <c r="E4246" s="8">
        <v>22753.355468999998</v>
      </c>
      <c r="F4246" s="8">
        <f t="shared" si="132"/>
        <v>18.265625</v>
      </c>
      <c r="G4246" s="8">
        <f t="shared" si="133"/>
        <v>1.8265625000000001E-2</v>
      </c>
    </row>
    <row r="4247" spans="1:7" x14ac:dyDescent="0.25">
      <c r="A4247" s="8">
        <v>56</v>
      </c>
      <c r="B4247" s="8">
        <v>2</v>
      </c>
      <c r="C4247" s="8">
        <v>2826.7221679999998</v>
      </c>
      <c r="D4247" s="8">
        <v>25553.119140999999</v>
      </c>
      <c r="E4247" s="8">
        <v>25567.568359000001</v>
      </c>
      <c r="F4247" s="8">
        <f t="shared" si="132"/>
        <v>14.449218000001565</v>
      </c>
      <c r="G4247" s="8">
        <f t="shared" si="133"/>
        <v>1.4449218000001565E-2</v>
      </c>
    </row>
    <row r="4248" spans="1:7" x14ac:dyDescent="0.25">
      <c r="A4248" s="8">
        <v>56</v>
      </c>
      <c r="B4248" s="8">
        <v>3</v>
      </c>
      <c r="C4248" s="8">
        <v>1454.6511230000001</v>
      </c>
      <c r="D4248" s="8">
        <v>28402.585938</v>
      </c>
      <c r="E4248" s="8">
        <v>28416.185547000001</v>
      </c>
      <c r="F4248" s="8">
        <f t="shared" si="132"/>
        <v>13.599609000000783</v>
      </c>
      <c r="G4248" s="8">
        <f t="shared" si="133"/>
        <v>1.3599609000000783E-2</v>
      </c>
    </row>
    <row r="4249" spans="1:7" x14ac:dyDescent="0.25">
      <c r="A4249" s="8">
        <v>56</v>
      </c>
      <c r="B4249" s="8">
        <v>4</v>
      </c>
      <c r="C4249" s="8">
        <v>751.90203899999995</v>
      </c>
      <c r="D4249" s="8">
        <v>29871.525390999999</v>
      </c>
      <c r="E4249" s="8">
        <v>29889.501952999999</v>
      </c>
      <c r="F4249" s="8">
        <f t="shared" si="132"/>
        <v>17.976561999999831</v>
      </c>
      <c r="G4249" s="8">
        <f t="shared" si="133"/>
        <v>1.7976561999999831E-2</v>
      </c>
    </row>
    <row r="4250" spans="1:7" x14ac:dyDescent="0.25">
      <c r="A4250" s="8">
        <v>56</v>
      </c>
      <c r="B4250" s="8">
        <v>5</v>
      </c>
      <c r="C4250" s="8">
        <v>10998.674805000001</v>
      </c>
      <c r="D4250" s="8">
        <v>30641.761718999998</v>
      </c>
      <c r="E4250" s="8">
        <v>30653.615234000001</v>
      </c>
      <c r="F4250" s="8">
        <f t="shared" si="132"/>
        <v>11.853515000002517</v>
      </c>
      <c r="G4250" s="8">
        <f t="shared" si="133"/>
        <v>1.1853515000002517E-2</v>
      </c>
    </row>
    <row r="4251" spans="1:7" x14ac:dyDescent="0.25">
      <c r="A4251" s="8">
        <v>56</v>
      </c>
      <c r="B4251" s="8">
        <v>6</v>
      </c>
      <c r="C4251" s="8">
        <v>777.21832300000005</v>
      </c>
      <c r="D4251" s="8">
        <v>41653.335937999997</v>
      </c>
      <c r="E4251" s="8">
        <v>41669.914062999997</v>
      </c>
      <c r="F4251" s="8">
        <f t="shared" si="132"/>
        <v>16.578125</v>
      </c>
      <c r="G4251" s="8">
        <f t="shared" si="133"/>
        <v>1.6578124999999999E-2</v>
      </c>
    </row>
    <row r="4252" spans="1:7" x14ac:dyDescent="0.25">
      <c r="A4252" s="8">
        <v>56</v>
      </c>
      <c r="B4252" s="8">
        <v>7</v>
      </c>
      <c r="C4252" s="8">
        <v>6051.3759769999997</v>
      </c>
      <c r="D4252" s="8">
        <v>42454.578125</v>
      </c>
      <c r="E4252" s="8">
        <v>42474.777344000002</v>
      </c>
      <c r="F4252" s="8">
        <f t="shared" si="132"/>
        <v>20.199219000001904</v>
      </c>
      <c r="G4252" s="8">
        <f t="shared" si="133"/>
        <v>2.0199219000001902E-2</v>
      </c>
    </row>
    <row r="4253" spans="1:7" x14ac:dyDescent="0.25">
      <c r="A4253" s="8">
        <v>56</v>
      </c>
      <c r="B4253" s="8">
        <v>8</v>
      </c>
      <c r="C4253" s="8">
        <v>1609.826538</v>
      </c>
      <c r="D4253" s="8">
        <v>48533.085937999997</v>
      </c>
      <c r="E4253" s="8">
        <v>48547.550780999998</v>
      </c>
      <c r="F4253" s="8">
        <f t="shared" si="132"/>
        <v>14.464843000001565</v>
      </c>
      <c r="G4253" s="8">
        <f t="shared" si="133"/>
        <v>1.4464843000001565E-2</v>
      </c>
    </row>
    <row r="4254" spans="1:7" x14ac:dyDescent="0.25">
      <c r="A4254" s="8">
        <v>56</v>
      </c>
      <c r="B4254" s="8">
        <v>9</v>
      </c>
      <c r="C4254" s="8">
        <v>3670.4038089999999</v>
      </c>
      <c r="D4254" s="8">
        <v>50158.972655999998</v>
      </c>
      <c r="E4254" s="8">
        <v>50170.367187999997</v>
      </c>
      <c r="F4254" s="8">
        <f t="shared" si="132"/>
        <v>11.394531999998435</v>
      </c>
      <c r="G4254" s="8">
        <f t="shared" si="133"/>
        <v>1.1394531999998434E-2</v>
      </c>
    </row>
    <row r="4255" spans="1:7" x14ac:dyDescent="0.25">
      <c r="A4255" s="8">
        <v>56</v>
      </c>
      <c r="B4255" s="8">
        <v>10</v>
      </c>
      <c r="C4255" s="8">
        <v>1464.6552730000001</v>
      </c>
      <c r="D4255" s="8">
        <v>53843.117187999997</v>
      </c>
      <c r="E4255" s="8">
        <v>53864.867187999997</v>
      </c>
      <c r="F4255" s="8">
        <f t="shared" si="132"/>
        <v>21.75</v>
      </c>
      <c r="G4255" s="8">
        <f t="shared" si="133"/>
        <v>2.1749999999999999E-2</v>
      </c>
    </row>
    <row r="4256" spans="1:7" x14ac:dyDescent="0.25">
      <c r="A4256" s="8">
        <v>56</v>
      </c>
      <c r="B4256" s="8">
        <v>11</v>
      </c>
      <c r="C4256" s="8">
        <v>4769.6552730000003</v>
      </c>
      <c r="D4256" s="8">
        <v>55331.765625</v>
      </c>
      <c r="E4256" s="8">
        <v>55365.570312999997</v>
      </c>
      <c r="F4256" s="8">
        <f t="shared" si="132"/>
        <v>33.804687999996531</v>
      </c>
      <c r="G4256" s="8">
        <f t="shared" si="133"/>
        <v>3.380468799999653E-2</v>
      </c>
    </row>
    <row r="4257" spans="1:7" x14ac:dyDescent="0.25">
      <c r="A4257" s="8">
        <v>56</v>
      </c>
      <c r="B4257" s="8">
        <v>12</v>
      </c>
      <c r="C4257" s="8">
        <v>3416.4360350000002</v>
      </c>
      <c r="D4257" s="8">
        <v>60138.027344000002</v>
      </c>
      <c r="E4257" s="8">
        <v>60155.90625</v>
      </c>
      <c r="F4257" s="8">
        <f t="shared" si="132"/>
        <v>17.878905999998096</v>
      </c>
      <c r="G4257" s="8">
        <f t="shared" si="133"/>
        <v>1.7878905999998095E-2</v>
      </c>
    </row>
    <row r="4258" spans="1:7" x14ac:dyDescent="0.25">
      <c r="A4258" s="8">
        <v>56</v>
      </c>
      <c r="B4258" s="8">
        <v>13</v>
      </c>
      <c r="C4258" s="8">
        <v>710.90112299999998</v>
      </c>
      <c r="D4258" s="8">
        <v>63586.851562999997</v>
      </c>
      <c r="E4258" s="8">
        <v>63597.09375</v>
      </c>
      <c r="F4258" s="8">
        <f t="shared" si="132"/>
        <v>10.242187000003469</v>
      </c>
      <c r="G4258" s="8">
        <f t="shared" si="133"/>
        <v>1.0242187000003469E-2</v>
      </c>
    </row>
    <row r="4259" spans="1:7" x14ac:dyDescent="0.25">
      <c r="A4259" s="8">
        <v>56</v>
      </c>
      <c r="B4259" s="8">
        <v>14</v>
      </c>
      <c r="C4259" s="8">
        <v>979.19598399999995</v>
      </c>
      <c r="D4259" s="8">
        <v>64309.074219000002</v>
      </c>
      <c r="E4259" s="8">
        <v>64322.886719000002</v>
      </c>
      <c r="F4259" s="8">
        <f t="shared" si="132"/>
        <v>13.8125</v>
      </c>
      <c r="G4259" s="8">
        <f t="shared" si="133"/>
        <v>1.38125E-2</v>
      </c>
    </row>
    <row r="4260" spans="1:7" x14ac:dyDescent="0.25">
      <c r="A4260" s="8">
        <v>56</v>
      </c>
      <c r="B4260" s="8">
        <v>15</v>
      </c>
      <c r="C4260" s="8">
        <v>1513.0980219999999</v>
      </c>
      <c r="D4260" s="8">
        <v>65309.132812999997</v>
      </c>
      <c r="E4260" s="8">
        <v>65331.511719000002</v>
      </c>
      <c r="F4260" s="8">
        <f t="shared" si="132"/>
        <v>22.378906000005372</v>
      </c>
      <c r="G4260" s="8">
        <f t="shared" si="133"/>
        <v>2.2378906000005371E-2</v>
      </c>
    </row>
    <row r="4261" spans="1:7" x14ac:dyDescent="0.25">
      <c r="A4261" s="8">
        <v>56</v>
      </c>
      <c r="B4261" s="8">
        <v>16</v>
      </c>
      <c r="C4261" s="8">
        <v>1000.3211669999999</v>
      </c>
      <c r="D4261" s="8">
        <v>66856.210938000004</v>
      </c>
      <c r="E4261" s="8">
        <v>66865.375</v>
      </c>
      <c r="F4261" s="8">
        <f t="shared" si="132"/>
        <v>9.1640619999961928</v>
      </c>
      <c r="G4261" s="8">
        <f t="shared" si="133"/>
        <v>9.1640619999961929E-3</v>
      </c>
    </row>
    <row r="4262" spans="1:7" x14ac:dyDescent="0.25">
      <c r="A4262" s="8">
        <v>56</v>
      </c>
      <c r="B4262" s="8">
        <v>17</v>
      </c>
      <c r="C4262" s="8">
        <v>4174.0166019999997</v>
      </c>
      <c r="D4262" s="8">
        <v>67873.40625</v>
      </c>
      <c r="E4262" s="8">
        <v>67884.335938000004</v>
      </c>
      <c r="F4262" s="8">
        <f t="shared" si="132"/>
        <v>10.929688000003807</v>
      </c>
      <c r="G4262" s="8">
        <f t="shared" si="133"/>
        <v>1.0929688000003808E-2</v>
      </c>
    </row>
    <row r="4263" spans="1:7" x14ac:dyDescent="0.25">
      <c r="A4263" s="8">
        <v>56</v>
      </c>
      <c r="B4263" s="8">
        <v>18</v>
      </c>
      <c r="C4263" s="8">
        <v>3948.5893550000001</v>
      </c>
      <c r="D4263" s="8">
        <v>72060.492188000004</v>
      </c>
      <c r="E4263" s="8">
        <v>72083.835938000004</v>
      </c>
      <c r="F4263" s="8">
        <f t="shared" si="132"/>
        <v>23.34375</v>
      </c>
      <c r="G4263" s="8">
        <f t="shared" si="133"/>
        <v>2.334375E-2</v>
      </c>
    </row>
    <row r="4264" spans="1:7" x14ac:dyDescent="0.25">
      <c r="A4264" s="8">
        <v>56</v>
      </c>
      <c r="B4264" s="8">
        <v>19</v>
      </c>
      <c r="C4264" s="8">
        <v>381.105255</v>
      </c>
      <c r="D4264" s="8">
        <v>76038.179688000004</v>
      </c>
      <c r="E4264" s="8">
        <v>76055.265625</v>
      </c>
      <c r="F4264" s="8">
        <f t="shared" si="132"/>
        <v>17.085936999996193</v>
      </c>
      <c r="G4264" s="8">
        <f t="shared" si="133"/>
        <v>1.7085936999996193E-2</v>
      </c>
    </row>
    <row r="4265" spans="1:7" x14ac:dyDescent="0.25">
      <c r="A4265" s="8">
        <v>56</v>
      </c>
      <c r="B4265" s="8">
        <v>20</v>
      </c>
      <c r="C4265" s="8">
        <v>542.29260299999999</v>
      </c>
      <c r="D4265" s="8">
        <v>76444.492188000004</v>
      </c>
      <c r="E4265" s="8">
        <v>76470.9375</v>
      </c>
      <c r="F4265" s="8">
        <f t="shared" si="132"/>
        <v>26.445311999996193</v>
      </c>
      <c r="G4265" s="8">
        <f t="shared" si="133"/>
        <v>2.6445311999996193E-2</v>
      </c>
    </row>
    <row r="4266" spans="1:7" x14ac:dyDescent="0.25">
      <c r="A4266" s="8">
        <v>56</v>
      </c>
      <c r="B4266" s="8">
        <v>21</v>
      </c>
      <c r="C4266" s="8">
        <v>270.772064</v>
      </c>
      <c r="D4266" s="8">
        <v>77022.679688000004</v>
      </c>
      <c r="E4266" s="8">
        <v>77050.820313000004</v>
      </c>
      <c r="F4266" s="8">
        <f t="shared" si="132"/>
        <v>28.140625</v>
      </c>
      <c r="G4266" s="8">
        <f t="shared" si="133"/>
        <v>2.8140624999999999E-2</v>
      </c>
    </row>
    <row r="4267" spans="1:7" x14ac:dyDescent="0.25">
      <c r="A4267" s="8">
        <v>56</v>
      </c>
      <c r="B4267" s="8">
        <v>22</v>
      </c>
      <c r="C4267" s="8">
        <v>1241.455811</v>
      </c>
      <c r="D4267" s="8">
        <v>77335.179688000004</v>
      </c>
      <c r="E4267" s="8">
        <v>77351.453125</v>
      </c>
      <c r="F4267" s="8">
        <f t="shared" si="132"/>
        <v>16.273436999996193</v>
      </c>
      <c r="G4267" s="8">
        <f t="shared" si="133"/>
        <v>1.6273436999996192E-2</v>
      </c>
    </row>
    <row r="4268" spans="1:7" x14ac:dyDescent="0.25">
      <c r="A4268" s="8">
        <v>56</v>
      </c>
      <c r="B4268" s="8">
        <v>23</v>
      </c>
      <c r="C4268" s="8">
        <v>460.651703</v>
      </c>
      <c r="D4268" s="8">
        <v>78607.0625</v>
      </c>
      <c r="E4268" s="8">
        <v>78626.109375</v>
      </c>
      <c r="F4268" s="8">
        <f t="shared" si="132"/>
        <v>19.046875</v>
      </c>
      <c r="G4268" s="8">
        <f t="shared" si="133"/>
        <v>1.9046875000000001E-2</v>
      </c>
    </row>
    <row r="4269" spans="1:7" x14ac:dyDescent="0.25">
      <c r="A4269" s="8">
        <v>56</v>
      </c>
      <c r="B4269" s="8">
        <v>24</v>
      </c>
      <c r="C4269" s="8">
        <v>5728.0371089999999</v>
      </c>
      <c r="D4269" s="8">
        <v>79091.578125</v>
      </c>
      <c r="E4269" s="8">
        <v>79111.007813000004</v>
      </c>
      <c r="F4269" s="8">
        <f t="shared" si="132"/>
        <v>19.429688000003807</v>
      </c>
      <c r="G4269" s="8">
        <f t="shared" si="133"/>
        <v>1.9429688000003806E-2</v>
      </c>
    </row>
    <row r="4270" spans="1:7" x14ac:dyDescent="0.25">
      <c r="A4270" s="8">
        <v>56</v>
      </c>
      <c r="B4270" s="8">
        <v>25</v>
      </c>
      <c r="C4270" s="8">
        <v>2231.8251949999999</v>
      </c>
      <c r="D4270" s="8">
        <v>84844.78125</v>
      </c>
      <c r="E4270" s="8">
        <v>84869.84375</v>
      </c>
      <c r="F4270" s="8">
        <f t="shared" si="132"/>
        <v>25.0625</v>
      </c>
      <c r="G4270" s="8">
        <f t="shared" si="133"/>
        <v>2.5062500000000001E-2</v>
      </c>
    </row>
    <row r="4271" spans="1:7" x14ac:dyDescent="0.25">
      <c r="A4271" s="8">
        <v>56</v>
      </c>
      <c r="B4271" s="8">
        <v>26</v>
      </c>
      <c r="C4271" s="8">
        <v>2009.8641359999999</v>
      </c>
      <c r="D4271" s="8">
        <v>87112.125</v>
      </c>
      <c r="E4271" s="8">
        <v>87134.765625</v>
      </c>
      <c r="F4271" s="8">
        <f t="shared" si="132"/>
        <v>22.640625</v>
      </c>
      <c r="G4271" s="8">
        <f t="shared" si="133"/>
        <v>2.2640625000000001E-2</v>
      </c>
    </row>
    <row r="4272" spans="1:7" x14ac:dyDescent="0.25">
      <c r="A4272" s="8">
        <v>56</v>
      </c>
      <c r="B4272" s="8">
        <v>27</v>
      </c>
      <c r="C4272" s="8">
        <v>4246.1503910000001</v>
      </c>
      <c r="D4272" s="8">
        <v>89146.75</v>
      </c>
      <c r="E4272" s="8">
        <v>89169.070313000004</v>
      </c>
      <c r="F4272" s="8">
        <f t="shared" si="132"/>
        <v>22.320313000003807</v>
      </c>
      <c r="G4272" s="8">
        <f t="shared" si="133"/>
        <v>2.2320313000003807E-2</v>
      </c>
    </row>
    <row r="4273" spans="1:7" x14ac:dyDescent="0.25">
      <c r="A4273" s="8">
        <v>56</v>
      </c>
      <c r="B4273" s="8">
        <v>28</v>
      </c>
      <c r="C4273" s="8">
        <v>1412.1575929999999</v>
      </c>
      <c r="D4273" s="8">
        <v>93419.976563000004</v>
      </c>
      <c r="E4273" s="8">
        <v>93437.21875</v>
      </c>
      <c r="F4273" s="8">
        <f t="shared" si="132"/>
        <v>17.242186999996193</v>
      </c>
      <c r="G4273" s="8">
        <f t="shared" si="133"/>
        <v>1.7242186999996193E-2</v>
      </c>
    </row>
    <row r="4274" spans="1:7" x14ac:dyDescent="0.25">
      <c r="A4274" s="8">
        <v>56</v>
      </c>
      <c r="B4274" s="8">
        <v>29</v>
      </c>
      <c r="C4274" s="8">
        <v>2833.0029300000001</v>
      </c>
      <c r="D4274" s="8">
        <v>94858.257813000004</v>
      </c>
      <c r="E4274" s="8">
        <v>94875.117188000004</v>
      </c>
      <c r="F4274" s="8">
        <f t="shared" si="132"/>
        <v>16.859375</v>
      </c>
      <c r="G4274" s="8">
        <f t="shared" si="133"/>
        <v>1.6859374999999999E-2</v>
      </c>
    </row>
    <row r="4275" spans="1:7" x14ac:dyDescent="0.25">
      <c r="A4275" s="8">
        <v>56</v>
      </c>
      <c r="B4275" s="8">
        <v>30</v>
      </c>
      <c r="C4275" s="8">
        <v>1163.7307129999999</v>
      </c>
      <c r="D4275" s="8">
        <v>97715.984375</v>
      </c>
      <c r="E4275" s="8">
        <v>97742.117188000004</v>
      </c>
      <c r="F4275" s="8">
        <f t="shared" si="132"/>
        <v>26.132813000003807</v>
      </c>
      <c r="G4275" s="8">
        <f t="shared" si="133"/>
        <v>2.6132813000003807E-2</v>
      </c>
    </row>
    <row r="4276" spans="1:7" x14ac:dyDescent="0.25">
      <c r="A4276" s="8">
        <v>56</v>
      </c>
      <c r="B4276" s="8">
        <v>31</v>
      </c>
      <c r="C4276" s="8">
        <v>223.05455000000001</v>
      </c>
      <c r="D4276" s="8">
        <v>98910.289063000004</v>
      </c>
      <c r="E4276" s="8">
        <v>98938.179688000004</v>
      </c>
      <c r="F4276" s="8">
        <f t="shared" si="132"/>
        <v>27.890625</v>
      </c>
      <c r="G4276" s="8">
        <f t="shared" si="133"/>
        <v>2.7890624999999999E-2</v>
      </c>
    </row>
    <row r="4277" spans="1:7" x14ac:dyDescent="0.25">
      <c r="A4277" s="8">
        <v>56</v>
      </c>
      <c r="B4277" s="8">
        <v>32</v>
      </c>
      <c r="C4277" s="8">
        <v>982.48529099999996</v>
      </c>
      <c r="D4277" s="8">
        <v>99175.96875</v>
      </c>
      <c r="E4277" s="8">
        <v>99205.492188000004</v>
      </c>
      <c r="F4277" s="8">
        <f t="shared" si="132"/>
        <v>29.523438000003807</v>
      </c>
      <c r="G4277" s="8">
        <f t="shared" si="133"/>
        <v>2.9523438000003809E-2</v>
      </c>
    </row>
    <row r="4278" spans="1:7" x14ac:dyDescent="0.25">
      <c r="A4278" s="8">
        <v>56</v>
      </c>
      <c r="B4278" s="8">
        <v>33</v>
      </c>
      <c r="C4278" s="8">
        <v>5832.3696289999998</v>
      </c>
      <c r="D4278" s="8">
        <v>100198.289063</v>
      </c>
      <c r="E4278" s="8">
        <v>100216.265625</v>
      </c>
      <c r="F4278" s="8">
        <f t="shared" si="132"/>
        <v>17.976561999996193</v>
      </c>
      <c r="G4278" s="8">
        <f t="shared" si="133"/>
        <v>1.7976561999996192E-2</v>
      </c>
    </row>
    <row r="4279" spans="1:7" x14ac:dyDescent="0.25">
      <c r="A4279" s="8">
        <v>56</v>
      </c>
      <c r="B4279" s="8">
        <v>34</v>
      </c>
      <c r="C4279" s="8">
        <v>3895.6691890000002</v>
      </c>
      <c r="D4279" s="8">
        <v>106062.789063</v>
      </c>
      <c r="E4279" s="8">
        <v>106077.5</v>
      </c>
      <c r="F4279" s="8">
        <f t="shared" si="132"/>
        <v>14.710936999996193</v>
      </c>
      <c r="G4279" s="8">
        <f t="shared" si="133"/>
        <v>1.4710936999996193E-2</v>
      </c>
    </row>
    <row r="4280" spans="1:7" x14ac:dyDescent="0.25">
      <c r="A4280" s="8">
        <v>56</v>
      </c>
      <c r="B4280" s="8">
        <v>35</v>
      </c>
      <c r="C4280" s="8">
        <v>1250.5601810000001</v>
      </c>
      <c r="D4280" s="8">
        <v>109986.429688</v>
      </c>
      <c r="E4280" s="8">
        <v>110006.84375</v>
      </c>
      <c r="F4280" s="8">
        <f t="shared" si="132"/>
        <v>20.414061999996193</v>
      </c>
      <c r="G4280" s="8">
        <f t="shared" si="133"/>
        <v>2.0414061999996194E-2</v>
      </c>
    </row>
    <row r="4281" spans="1:7" x14ac:dyDescent="0.25">
      <c r="A4281" s="8">
        <v>56</v>
      </c>
      <c r="B4281" s="8">
        <v>36</v>
      </c>
      <c r="C4281" s="8">
        <v>3514.117432</v>
      </c>
      <c r="D4281" s="8">
        <v>111267.851563</v>
      </c>
      <c r="E4281" s="8">
        <v>111287.085938</v>
      </c>
      <c r="F4281" s="8">
        <f t="shared" si="132"/>
        <v>19.234375</v>
      </c>
      <c r="G4281" s="8">
        <f t="shared" si="133"/>
        <v>1.9234375000000001E-2</v>
      </c>
    </row>
    <row r="4282" spans="1:7" x14ac:dyDescent="0.25">
      <c r="A4282" s="8">
        <v>56</v>
      </c>
      <c r="B4282" s="8">
        <v>37</v>
      </c>
      <c r="C4282" s="8">
        <v>103.849503</v>
      </c>
      <c r="D4282" s="8">
        <v>114815.75</v>
      </c>
      <c r="E4282" s="8">
        <v>114832.234375</v>
      </c>
      <c r="F4282" s="8">
        <f t="shared" si="132"/>
        <v>16.484375</v>
      </c>
      <c r="G4282" s="8">
        <f t="shared" si="133"/>
        <v>1.6484374999999999E-2</v>
      </c>
    </row>
    <row r="4283" spans="1:7" x14ac:dyDescent="0.25">
      <c r="A4283" s="8">
        <v>56</v>
      </c>
      <c r="B4283" s="8">
        <v>38</v>
      </c>
      <c r="C4283" s="8">
        <v>866.31829800000003</v>
      </c>
      <c r="D4283" s="8">
        <v>114940.75</v>
      </c>
      <c r="E4283" s="8">
        <v>114952.320313</v>
      </c>
      <c r="F4283" s="8">
        <f t="shared" si="132"/>
        <v>11.570313000003807</v>
      </c>
      <c r="G4283" s="8">
        <f t="shared" si="133"/>
        <v>1.1570313000003806E-2</v>
      </c>
    </row>
    <row r="4284" spans="1:7" x14ac:dyDescent="0.25">
      <c r="A4284" s="8">
        <v>56</v>
      </c>
      <c r="B4284" s="8">
        <v>39</v>
      </c>
      <c r="C4284" s="8">
        <v>797.30438200000003</v>
      </c>
      <c r="D4284" s="8">
        <v>115833.171875</v>
      </c>
      <c r="E4284" s="8">
        <v>115855.140625</v>
      </c>
      <c r="F4284" s="8">
        <f t="shared" si="132"/>
        <v>21.96875</v>
      </c>
      <c r="G4284" s="8">
        <f t="shared" si="133"/>
        <v>2.1968749999999999E-2</v>
      </c>
    </row>
    <row r="4285" spans="1:7" x14ac:dyDescent="0.25">
      <c r="A4285" s="8">
        <v>56</v>
      </c>
      <c r="B4285" s="8">
        <v>40</v>
      </c>
      <c r="C4285" s="8">
        <v>4281.6586909999996</v>
      </c>
      <c r="D4285" s="8">
        <v>116661.359375</v>
      </c>
      <c r="E4285" s="8">
        <v>116693.484375</v>
      </c>
      <c r="F4285" s="8">
        <f t="shared" si="132"/>
        <v>32.125</v>
      </c>
      <c r="G4285" s="8">
        <f t="shared" si="133"/>
        <v>3.2125000000000001E-2</v>
      </c>
    </row>
    <row r="4286" spans="1:7" x14ac:dyDescent="0.25">
      <c r="A4286" s="8">
        <v>56</v>
      </c>
      <c r="B4286" s="8">
        <v>41</v>
      </c>
      <c r="C4286" s="8">
        <v>4393.2290039999998</v>
      </c>
      <c r="D4286" s="8">
        <v>120986.335938</v>
      </c>
      <c r="E4286" s="8">
        <v>121006.59375</v>
      </c>
      <c r="F4286" s="8">
        <f t="shared" si="132"/>
        <v>20.257811999996193</v>
      </c>
      <c r="G4286" s="8">
        <f t="shared" si="133"/>
        <v>2.0257811999996194E-2</v>
      </c>
    </row>
    <row r="4287" spans="1:7" x14ac:dyDescent="0.25">
      <c r="A4287" s="8">
        <v>56</v>
      </c>
      <c r="B4287" s="8">
        <v>42</v>
      </c>
      <c r="C4287" s="8">
        <v>11707.764648</v>
      </c>
      <c r="D4287" s="8">
        <v>125408.40625</v>
      </c>
      <c r="E4287" s="8">
        <v>125416.335938</v>
      </c>
      <c r="F4287" s="8">
        <f t="shared" si="132"/>
        <v>7.9296880000038072</v>
      </c>
      <c r="G4287" s="8">
        <f t="shared" si="133"/>
        <v>7.9296880000038067E-3</v>
      </c>
    </row>
    <row r="4288" spans="1:7" x14ac:dyDescent="0.25">
      <c r="A4288" s="8">
        <v>56</v>
      </c>
      <c r="B4288" s="8">
        <v>43</v>
      </c>
      <c r="C4288" s="8">
        <v>1027.6826169999999</v>
      </c>
      <c r="D4288" s="8">
        <v>137124.640625</v>
      </c>
      <c r="E4288" s="8">
        <v>137143.171875</v>
      </c>
      <c r="F4288" s="8">
        <f t="shared" si="132"/>
        <v>18.53125</v>
      </c>
      <c r="G4288" s="8">
        <f t="shared" si="133"/>
        <v>1.8531249999999999E-2</v>
      </c>
    </row>
    <row r="4289" spans="1:7" x14ac:dyDescent="0.25">
      <c r="A4289" s="8">
        <v>56</v>
      </c>
      <c r="B4289" s="8">
        <v>44</v>
      </c>
      <c r="C4289" s="8">
        <v>357.24694799999997</v>
      </c>
      <c r="D4289" s="8">
        <v>138171.84375</v>
      </c>
      <c r="E4289" s="8">
        <v>138196.765625</v>
      </c>
      <c r="F4289" s="8">
        <f t="shared" si="132"/>
        <v>24.921875</v>
      </c>
      <c r="G4289" s="8">
        <f t="shared" si="133"/>
        <v>2.4921875E-2</v>
      </c>
    </row>
    <row r="4290" spans="1:7" x14ac:dyDescent="0.25">
      <c r="A4290" s="8">
        <v>56</v>
      </c>
      <c r="B4290" s="8">
        <v>45</v>
      </c>
      <c r="C4290" s="8">
        <v>6288.8291019999997</v>
      </c>
      <c r="D4290" s="8">
        <v>138562.546875</v>
      </c>
      <c r="E4290" s="8">
        <v>138574.71875</v>
      </c>
      <c r="F4290" s="8">
        <f t="shared" si="132"/>
        <v>12.171875</v>
      </c>
      <c r="G4290" s="8">
        <f t="shared" si="133"/>
        <v>1.2171875E-2</v>
      </c>
    </row>
    <row r="4291" spans="1:7" x14ac:dyDescent="0.25">
      <c r="A4291" s="8">
        <v>56</v>
      </c>
      <c r="B4291" s="8">
        <v>46</v>
      </c>
      <c r="C4291" s="8">
        <v>3451.0954590000001</v>
      </c>
      <c r="D4291" s="8">
        <v>144878.21875</v>
      </c>
      <c r="E4291" s="8">
        <v>144887.265625</v>
      </c>
      <c r="F4291" s="8">
        <f t="shared" si="132"/>
        <v>9.046875</v>
      </c>
      <c r="G4291" s="8">
        <f t="shared" si="133"/>
        <v>9.0468749999999994E-3</v>
      </c>
    </row>
    <row r="4292" spans="1:7" x14ac:dyDescent="0.25">
      <c r="A4292" s="8">
        <v>56</v>
      </c>
      <c r="B4292" s="8">
        <v>47</v>
      </c>
      <c r="C4292" s="8">
        <v>1593.512207</v>
      </c>
      <c r="D4292" s="8">
        <v>148353.421875</v>
      </c>
      <c r="E4292" s="8">
        <v>148377.796875</v>
      </c>
      <c r="F4292" s="8">
        <f t="shared" si="132"/>
        <v>24.375</v>
      </c>
      <c r="G4292" s="8">
        <f t="shared" si="133"/>
        <v>2.4375000000000001E-2</v>
      </c>
    </row>
    <row r="4293" spans="1:7" x14ac:dyDescent="0.25">
      <c r="A4293" s="8">
        <v>56</v>
      </c>
      <c r="B4293" s="8">
        <v>48</v>
      </c>
      <c r="C4293" s="8">
        <v>2610.5649410000001</v>
      </c>
      <c r="D4293" s="8">
        <v>149983.203125</v>
      </c>
      <c r="E4293" s="8">
        <v>150007.515625</v>
      </c>
      <c r="F4293" s="8">
        <f t="shared" si="132"/>
        <v>24.3125</v>
      </c>
      <c r="G4293" s="8">
        <f t="shared" si="133"/>
        <v>2.4312500000000001E-2</v>
      </c>
    </row>
    <row r="4294" spans="1:7" x14ac:dyDescent="0.25">
      <c r="A4294" s="8">
        <v>56</v>
      </c>
      <c r="B4294" s="8">
        <v>49</v>
      </c>
      <c r="C4294" s="8">
        <v>1932.1922609999999</v>
      </c>
      <c r="D4294" s="8">
        <v>152625.09375</v>
      </c>
      <c r="E4294" s="8">
        <v>152639.234375</v>
      </c>
      <c r="F4294" s="8">
        <f t="shared" si="132"/>
        <v>14.140625</v>
      </c>
      <c r="G4294" s="8">
        <f t="shared" si="133"/>
        <v>1.4140625E-2</v>
      </c>
    </row>
    <row r="4295" spans="1:7" x14ac:dyDescent="0.25">
      <c r="A4295" s="8">
        <v>56</v>
      </c>
      <c r="B4295" s="8">
        <v>50</v>
      </c>
      <c r="C4295" s="8">
        <v>1917.013428</v>
      </c>
      <c r="D4295" s="8">
        <v>154578.4375</v>
      </c>
      <c r="E4295" s="8">
        <v>154598.078125</v>
      </c>
      <c r="F4295" s="8">
        <f t="shared" si="132"/>
        <v>19.640625</v>
      </c>
      <c r="G4295" s="8">
        <f t="shared" si="133"/>
        <v>1.9640624999999998E-2</v>
      </c>
    </row>
    <row r="4296" spans="1:7" x14ac:dyDescent="0.25">
      <c r="A4296" s="8">
        <v>56</v>
      </c>
      <c r="B4296" s="8">
        <v>51</v>
      </c>
      <c r="C4296" s="8">
        <v>566.12817399999994</v>
      </c>
      <c r="D4296" s="8">
        <v>156516.140625</v>
      </c>
      <c r="E4296" s="8">
        <v>156535.796875</v>
      </c>
      <c r="F4296" s="8">
        <f t="shared" si="132"/>
        <v>19.65625</v>
      </c>
      <c r="G4296" s="8">
        <f t="shared" si="133"/>
        <v>1.965625E-2</v>
      </c>
    </row>
    <row r="4297" spans="1:7" x14ac:dyDescent="0.25">
      <c r="A4297" s="8">
        <v>56</v>
      </c>
      <c r="B4297" s="8">
        <v>52</v>
      </c>
      <c r="C4297" s="8">
        <v>233.385132</v>
      </c>
      <c r="D4297" s="8">
        <v>157109.953125</v>
      </c>
      <c r="E4297" s="8">
        <v>157129.4375</v>
      </c>
      <c r="F4297" s="8">
        <f t="shared" si="132"/>
        <v>19.484375</v>
      </c>
      <c r="G4297" s="8">
        <f t="shared" si="133"/>
        <v>1.9484375000000002E-2</v>
      </c>
    </row>
    <row r="4298" spans="1:7" x14ac:dyDescent="0.25">
      <c r="A4298" s="8">
        <v>56</v>
      </c>
      <c r="B4298" s="8">
        <v>53</v>
      </c>
      <c r="C4298" s="8">
        <v>4716.0395509999998</v>
      </c>
      <c r="D4298" s="8">
        <v>157375.453125</v>
      </c>
      <c r="E4298" s="8">
        <v>157390.6875</v>
      </c>
      <c r="F4298" s="8">
        <f t="shared" si="132"/>
        <v>15.234375</v>
      </c>
      <c r="G4298" s="8">
        <f t="shared" si="133"/>
        <v>1.5234375E-2</v>
      </c>
    </row>
    <row r="4299" spans="1:7" x14ac:dyDescent="0.25">
      <c r="A4299" s="8">
        <v>56</v>
      </c>
      <c r="B4299" s="8">
        <v>54</v>
      </c>
      <c r="C4299" s="8">
        <v>5061.6762699999999</v>
      </c>
      <c r="D4299" s="8">
        <v>162112</v>
      </c>
      <c r="E4299" s="8">
        <v>162133.75</v>
      </c>
      <c r="F4299" s="8">
        <f t="shared" ref="F4299:F4362" si="134">E4299-D4299</f>
        <v>21.75</v>
      </c>
      <c r="G4299" s="8">
        <f t="shared" ref="G4299:G4362" si="135">F4299/1000</f>
        <v>2.1749999999999999E-2</v>
      </c>
    </row>
    <row r="4300" spans="1:7" x14ac:dyDescent="0.25">
      <c r="A4300" s="8">
        <v>56</v>
      </c>
      <c r="B4300" s="8">
        <v>55</v>
      </c>
      <c r="C4300" s="8">
        <v>1370.4267580000001</v>
      </c>
      <c r="D4300" s="8">
        <v>167197.203125</v>
      </c>
      <c r="E4300" s="8">
        <v>167208.515625</v>
      </c>
      <c r="F4300" s="8">
        <f t="shared" si="134"/>
        <v>11.3125</v>
      </c>
      <c r="G4300" s="8">
        <f t="shared" si="135"/>
        <v>1.13125E-2</v>
      </c>
    </row>
    <row r="4301" spans="1:7" x14ac:dyDescent="0.25">
      <c r="A4301" s="8">
        <v>56</v>
      </c>
      <c r="B4301" s="8">
        <v>56</v>
      </c>
      <c r="C4301" s="8">
        <v>5592.5493159999996</v>
      </c>
      <c r="D4301" s="8">
        <v>168591.15625</v>
      </c>
      <c r="E4301" s="8">
        <v>168617.4375</v>
      </c>
      <c r="F4301" s="8">
        <f t="shared" si="134"/>
        <v>26.28125</v>
      </c>
      <c r="G4301" s="8">
        <f t="shared" si="135"/>
        <v>2.6281249999999999E-2</v>
      </c>
    </row>
    <row r="4302" spans="1:7" x14ac:dyDescent="0.25">
      <c r="A4302" s="8">
        <v>57</v>
      </c>
      <c r="B4302" s="8">
        <v>0</v>
      </c>
      <c r="C4302" s="8">
        <v>765.10174600000005</v>
      </c>
      <c r="D4302" s="8">
        <v>22000.675781000002</v>
      </c>
      <c r="E4302" s="8">
        <v>22017.183593999998</v>
      </c>
      <c r="F4302" s="8">
        <f t="shared" si="134"/>
        <v>16.507812999996531</v>
      </c>
      <c r="G4302" s="8">
        <f t="shared" si="135"/>
        <v>1.650781299999653E-2</v>
      </c>
    </row>
    <row r="4303" spans="1:7" x14ac:dyDescent="0.25">
      <c r="A4303" s="8">
        <v>57</v>
      </c>
      <c r="B4303" s="8">
        <v>1</v>
      </c>
      <c r="C4303" s="8">
        <v>10430.787109000001</v>
      </c>
      <c r="D4303" s="8">
        <v>22797.630859000001</v>
      </c>
      <c r="E4303" s="8">
        <v>22813.119140999999</v>
      </c>
      <c r="F4303" s="8">
        <f t="shared" si="134"/>
        <v>15.488281999998435</v>
      </c>
      <c r="G4303" s="8">
        <f t="shared" si="135"/>
        <v>1.5488281999998434E-2</v>
      </c>
    </row>
    <row r="4304" spans="1:7" x14ac:dyDescent="0.25">
      <c r="A4304" s="8">
        <v>57</v>
      </c>
      <c r="B4304" s="8">
        <v>2</v>
      </c>
      <c r="C4304" s="8">
        <v>2079.076172</v>
      </c>
      <c r="D4304" s="8">
        <v>33254.300780999998</v>
      </c>
      <c r="E4304" s="8">
        <v>33272.40625</v>
      </c>
      <c r="F4304" s="8">
        <f t="shared" si="134"/>
        <v>18.105469000001904</v>
      </c>
      <c r="G4304" s="8">
        <f t="shared" si="135"/>
        <v>1.8105469000001904E-2</v>
      </c>
    </row>
    <row r="4305" spans="1:7" x14ac:dyDescent="0.25">
      <c r="A4305" s="8">
        <v>57</v>
      </c>
      <c r="B4305" s="8">
        <v>3</v>
      </c>
      <c r="C4305" s="8">
        <v>1182.9357910000001</v>
      </c>
      <c r="D4305" s="8">
        <v>35358.261719000002</v>
      </c>
      <c r="E4305" s="8">
        <v>35375.265625</v>
      </c>
      <c r="F4305" s="8">
        <f t="shared" si="134"/>
        <v>17.003905999998096</v>
      </c>
      <c r="G4305" s="8">
        <f t="shared" si="135"/>
        <v>1.7003905999998098E-2</v>
      </c>
    </row>
    <row r="4306" spans="1:7" x14ac:dyDescent="0.25">
      <c r="A4306" s="8">
        <v>57</v>
      </c>
      <c r="B4306" s="8">
        <v>4</v>
      </c>
      <c r="C4306" s="8">
        <v>4169.1020509999998</v>
      </c>
      <c r="D4306" s="8">
        <v>36565.957030999998</v>
      </c>
      <c r="E4306" s="8">
        <v>36585.683594000002</v>
      </c>
      <c r="F4306" s="8">
        <f t="shared" si="134"/>
        <v>19.726563000003807</v>
      </c>
      <c r="G4306" s="8">
        <f t="shared" si="135"/>
        <v>1.9726563000003808E-2</v>
      </c>
    </row>
    <row r="4307" spans="1:7" x14ac:dyDescent="0.25">
      <c r="A4307" s="8">
        <v>57</v>
      </c>
      <c r="B4307" s="8">
        <v>5</v>
      </c>
      <c r="C4307" s="8">
        <v>745.86639400000001</v>
      </c>
      <c r="D4307" s="8">
        <v>40762.652344000002</v>
      </c>
      <c r="E4307" s="8">
        <v>40775.851562999997</v>
      </c>
      <c r="F4307" s="8">
        <f t="shared" si="134"/>
        <v>13.199218999994628</v>
      </c>
      <c r="G4307" s="8">
        <f t="shared" si="135"/>
        <v>1.3199218999994627E-2</v>
      </c>
    </row>
    <row r="4308" spans="1:7" x14ac:dyDescent="0.25">
      <c r="A4308" s="8">
        <v>57</v>
      </c>
      <c r="B4308" s="8">
        <v>6</v>
      </c>
      <c r="C4308" s="8">
        <v>2413.2631839999999</v>
      </c>
      <c r="D4308" s="8">
        <v>41528.304687999997</v>
      </c>
      <c r="E4308" s="8">
        <v>41543.539062999997</v>
      </c>
      <c r="F4308" s="8">
        <f t="shared" si="134"/>
        <v>15.234375</v>
      </c>
      <c r="G4308" s="8">
        <f t="shared" si="135"/>
        <v>1.5234375E-2</v>
      </c>
    </row>
    <row r="4309" spans="1:7" x14ac:dyDescent="0.25">
      <c r="A4309" s="8">
        <v>57</v>
      </c>
      <c r="B4309" s="8">
        <v>7</v>
      </c>
      <c r="C4309" s="8">
        <v>847.95404099999996</v>
      </c>
      <c r="D4309" s="8">
        <v>43959.308594000002</v>
      </c>
      <c r="E4309" s="8">
        <v>43973.539062999997</v>
      </c>
      <c r="F4309" s="8">
        <f t="shared" si="134"/>
        <v>14.230468999994628</v>
      </c>
      <c r="G4309" s="8">
        <f t="shared" si="135"/>
        <v>1.4230468999994628E-2</v>
      </c>
    </row>
    <row r="4310" spans="1:7" x14ac:dyDescent="0.25">
      <c r="A4310" s="8">
        <v>57</v>
      </c>
      <c r="B4310" s="8">
        <v>8</v>
      </c>
      <c r="C4310" s="8">
        <v>2878.8183589999999</v>
      </c>
      <c r="D4310" s="8">
        <v>44834.402344000002</v>
      </c>
      <c r="E4310" s="8">
        <v>44847.527344000002</v>
      </c>
      <c r="F4310" s="8">
        <f t="shared" si="134"/>
        <v>13.125</v>
      </c>
      <c r="G4310" s="8">
        <f t="shared" si="135"/>
        <v>1.3125E-2</v>
      </c>
    </row>
    <row r="4311" spans="1:7" x14ac:dyDescent="0.25">
      <c r="A4311" s="8">
        <v>57</v>
      </c>
      <c r="B4311" s="8">
        <v>9</v>
      </c>
      <c r="C4311" s="8">
        <v>1740.9887699999999</v>
      </c>
      <c r="D4311" s="8">
        <v>47735.441405999998</v>
      </c>
      <c r="E4311" s="8">
        <v>47747.371094000002</v>
      </c>
      <c r="F4311" s="8">
        <f t="shared" si="134"/>
        <v>11.929688000003807</v>
      </c>
      <c r="G4311" s="8">
        <f t="shared" si="135"/>
        <v>1.1929688000003807E-2</v>
      </c>
    </row>
    <row r="4312" spans="1:7" x14ac:dyDescent="0.25">
      <c r="A4312" s="8">
        <v>57</v>
      </c>
      <c r="B4312" s="8">
        <v>10</v>
      </c>
      <c r="C4312" s="8">
        <v>79.059235000000001</v>
      </c>
      <c r="D4312" s="8">
        <v>49498.652344000002</v>
      </c>
      <c r="E4312" s="8">
        <v>49522.410155999998</v>
      </c>
      <c r="F4312" s="8">
        <f t="shared" si="134"/>
        <v>23.757811999996193</v>
      </c>
      <c r="G4312" s="8">
        <f t="shared" si="135"/>
        <v>2.3757811999996194E-2</v>
      </c>
    </row>
    <row r="4313" spans="1:7" x14ac:dyDescent="0.25">
      <c r="A4313" s="8">
        <v>57</v>
      </c>
      <c r="B4313" s="8">
        <v>11</v>
      </c>
      <c r="C4313" s="8">
        <v>120.051773</v>
      </c>
      <c r="D4313" s="8">
        <v>49608.074219000002</v>
      </c>
      <c r="E4313" s="8">
        <v>49621.292969000002</v>
      </c>
      <c r="F4313" s="8">
        <f t="shared" si="134"/>
        <v>13.21875</v>
      </c>
      <c r="G4313" s="8">
        <f t="shared" si="135"/>
        <v>1.321875E-2</v>
      </c>
    </row>
    <row r="4314" spans="1:7" x14ac:dyDescent="0.25">
      <c r="A4314" s="8">
        <v>57</v>
      </c>
      <c r="B4314" s="8">
        <v>12</v>
      </c>
      <c r="C4314" s="8">
        <v>5477.8989259999998</v>
      </c>
      <c r="D4314" s="8">
        <v>49748.644530999998</v>
      </c>
      <c r="E4314" s="8">
        <v>49762.667969000002</v>
      </c>
      <c r="F4314" s="8">
        <f t="shared" si="134"/>
        <v>14.023438000003807</v>
      </c>
      <c r="G4314" s="8">
        <f t="shared" si="135"/>
        <v>1.4023438000003807E-2</v>
      </c>
    </row>
    <row r="4315" spans="1:7" x14ac:dyDescent="0.25">
      <c r="A4315" s="8">
        <v>57</v>
      </c>
      <c r="B4315" s="8">
        <v>13</v>
      </c>
      <c r="C4315" s="8">
        <v>2168.560547</v>
      </c>
      <c r="D4315" s="8">
        <v>55253.558594000002</v>
      </c>
      <c r="E4315" s="8">
        <v>55275.707030999998</v>
      </c>
      <c r="F4315" s="8">
        <f t="shared" si="134"/>
        <v>22.148436999996193</v>
      </c>
      <c r="G4315" s="8">
        <f t="shared" si="135"/>
        <v>2.2148436999996194E-2</v>
      </c>
    </row>
    <row r="4316" spans="1:7" x14ac:dyDescent="0.25">
      <c r="A4316" s="8">
        <v>57</v>
      </c>
      <c r="B4316" s="8">
        <v>14</v>
      </c>
      <c r="C4316" s="8">
        <v>1073.9251710000001</v>
      </c>
      <c r="D4316" s="8">
        <v>57457.648437999997</v>
      </c>
      <c r="E4316" s="8">
        <v>57470.597655999998</v>
      </c>
      <c r="F4316" s="8">
        <f t="shared" si="134"/>
        <v>12.949218000001565</v>
      </c>
      <c r="G4316" s="8">
        <f t="shared" si="135"/>
        <v>1.2949218000001565E-2</v>
      </c>
    </row>
    <row r="4317" spans="1:7" x14ac:dyDescent="0.25">
      <c r="A4317" s="8">
        <v>57</v>
      </c>
      <c r="B4317" s="8">
        <v>15</v>
      </c>
      <c r="C4317" s="8">
        <v>3616.0710450000001</v>
      </c>
      <c r="D4317" s="8">
        <v>58544.175780999998</v>
      </c>
      <c r="E4317" s="8">
        <v>58554.769530999998</v>
      </c>
      <c r="F4317" s="8">
        <f t="shared" si="134"/>
        <v>10.59375</v>
      </c>
      <c r="G4317" s="8">
        <f t="shared" si="135"/>
        <v>1.0593750000000001E-2</v>
      </c>
    </row>
    <row r="4318" spans="1:7" x14ac:dyDescent="0.25">
      <c r="A4318" s="8">
        <v>57</v>
      </c>
      <c r="B4318" s="8">
        <v>16</v>
      </c>
      <c r="C4318" s="8">
        <v>1769.7641599999999</v>
      </c>
      <c r="D4318" s="8">
        <v>62185</v>
      </c>
      <c r="E4318" s="8">
        <v>62193.3125</v>
      </c>
      <c r="F4318" s="8">
        <f t="shared" si="134"/>
        <v>8.3125</v>
      </c>
      <c r="G4318" s="8">
        <f t="shared" si="135"/>
        <v>8.3125000000000004E-3</v>
      </c>
    </row>
    <row r="4319" spans="1:7" x14ac:dyDescent="0.25">
      <c r="A4319" s="8">
        <v>57</v>
      </c>
      <c r="B4319" s="8">
        <v>17</v>
      </c>
      <c r="C4319" s="8">
        <v>1955.4221190000001</v>
      </c>
      <c r="D4319" s="8">
        <v>63964.5</v>
      </c>
      <c r="E4319" s="8">
        <v>63971.789062999997</v>
      </c>
      <c r="F4319" s="8">
        <f t="shared" si="134"/>
        <v>7.2890629999965313</v>
      </c>
      <c r="G4319" s="8">
        <f t="shared" si="135"/>
        <v>7.2890629999965316E-3</v>
      </c>
    </row>
    <row r="4320" spans="1:7" x14ac:dyDescent="0.25">
      <c r="A4320" s="8">
        <v>57</v>
      </c>
      <c r="B4320" s="8">
        <v>18</v>
      </c>
      <c r="C4320" s="8">
        <v>342.70517000000001</v>
      </c>
      <c r="D4320" s="8">
        <v>65934.09375</v>
      </c>
      <c r="E4320" s="8">
        <v>65949.617188000004</v>
      </c>
      <c r="F4320" s="8">
        <f t="shared" si="134"/>
        <v>15.523438000003807</v>
      </c>
      <c r="G4320" s="8">
        <f t="shared" si="135"/>
        <v>1.5523438000003806E-2</v>
      </c>
    </row>
    <row r="4321" spans="1:7" x14ac:dyDescent="0.25">
      <c r="A4321" s="8">
        <v>57</v>
      </c>
      <c r="B4321" s="8">
        <v>19</v>
      </c>
      <c r="C4321" s="8">
        <v>1752.3907469999999</v>
      </c>
      <c r="D4321" s="8">
        <v>66293.625</v>
      </c>
      <c r="E4321" s="8">
        <v>66308.210938000004</v>
      </c>
      <c r="F4321" s="8">
        <f t="shared" si="134"/>
        <v>14.585938000003807</v>
      </c>
      <c r="G4321" s="8">
        <f t="shared" si="135"/>
        <v>1.4585938000003807E-2</v>
      </c>
    </row>
    <row r="4322" spans="1:7" x14ac:dyDescent="0.25">
      <c r="A4322" s="8">
        <v>57</v>
      </c>
      <c r="B4322" s="8">
        <v>20</v>
      </c>
      <c r="C4322" s="8">
        <v>3812.6560060000002</v>
      </c>
      <c r="D4322" s="8">
        <v>68060.898438000004</v>
      </c>
      <c r="E4322" s="8">
        <v>68090.171875</v>
      </c>
      <c r="F4322" s="8">
        <f t="shared" si="134"/>
        <v>29.273436999996193</v>
      </c>
      <c r="G4322" s="8">
        <f t="shared" si="135"/>
        <v>2.9273436999996193E-2</v>
      </c>
    </row>
    <row r="4323" spans="1:7" x14ac:dyDescent="0.25">
      <c r="A4323" s="8">
        <v>57</v>
      </c>
      <c r="B4323" s="8">
        <v>21</v>
      </c>
      <c r="C4323" s="8">
        <v>55.450812999999997</v>
      </c>
      <c r="D4323" s="8">
        <v>71917.03125</v>
      </c>
      <c r="E4323" s="8">
        <v>71938.953125</v>
      </c>
      <c r="F4323" s="8">
        <f t="shared" si="134"/>
        <v>21.921875</v>
      </c>
      <c r="G4323" s="8">
        <f t="shared" si="135"/>
        <v>2.1921875E-2</v>
      </c>
    </row>
    <row r="4324" spans="1:7" x14ac:dyDescent="0.25">
      <c r="A4324" s="8">
        <v>57</v>
      </c>
      <c r="B4324" s="8">
        <v>22</v>
      </c>
      <c r="C4324" s="8">
        <v>468.35119600000002</v>
      </c>
      <c r="D4324" s="8">
        <v>71995.101563000004</v>
      </c>
      <c r="E4324" s="8">
        <v>72012.65625</v>
      </c>
      <c r="F4324" s="8">
        <f t="shared" si="134"/>
        <v>17.554686999996193</v>
      </c>
      <c r="G4324" s="8">
        <f t="shared" si="135"/>
        <v>1.7554686999996193E-2</v>
      </c>
    </row>
    <row r="4325" spans="1:7" x14ac:dyDescent="0.25">
      <c r="A4325" s="8">
        <v>57</v>
      </c>
      <c r="B4325" s="8">
        <v>23</v>
      </c>
      <c r="C4325" s="8">
        <v>200.59425400000001</v>
      </c>
      <c r="D4325" s="8">
        <v>72482.257813000004</v>
      </c>
      <c r="E4325" s="8">
        <v>72496.507813000004</v>
      </c>
      <c r="F4325" s="8">
        <f t="shared" si="134"/>
        <v>14.25</v>
      </c>
      <c r="G4325" s="8">
        <f t="shared" si="135"/>
        <v>1.4250000000000001E-2</v>
      </c>
    </row>
    <row r="4326" spans="1:7" x14ac:dyDescent="0.25">
      <c r="A4326" s="8">
        <v>57</v>
      </c>
      <c r="B4326" s="8">
        <v>24</v>
      </c>
      <c r="C4326" s="8">
        <v>6725.578125</v>
      </c>
      <c r="D4326" s="8">
        <v>72701.195313000004</v>
      </c>
      <c r="E4326" s="8">
        <v>72732.359375</v>
      </c>
      <c r="F4326" s="8">
        <f t="shared" si="134"/>
        <v>31.164061999996193</v>
      </c>
      <c r="G4326" s="8">
        <f t="shared" si="135"/>
        <v>3.1164061999996193E-2</v>
      </c>
    </row>
    <row r="4327" spans="1:7" x14ac:dyDescent="0.25">
      <c r="A4327" s="8">
        <v>57</v>
      </c>
      <c r="B4327" s="8">
        <v>25</v>
      </c>
      <c r="C4327" s="8">
        <v>3197.7470699999999</v>
      </c>
      <c r="D4327" s="8">
        <v>79472.84375</v>
      </c>
      <c r="E4327" s="8">
        <v>79483.585938000004</v>
      </c>
      <c r="F4327" s="8">
        <f t="shared" si="134"/>
        <v>10.742188000003807</v>
      </c>
      <c r="G4327" s="8">
        <f t="shared" si="135"/>
        <v>1.0742188000003807E-2</v>
      </c>
    </row>
    <row r="4328" spans="1:7" x14ac:dyDescent="0.25">
      <c r="A4328" s="8">
        <v>57</v>
      </c>
      <c r="B4328" s="8">
        <v>26</v>
      </c>
      <c r="C4328" s="8">
        <v>950.91375700000003</v>
      </c>
      <c r="D4328" s="8">
        <v>82682.789063000004</v>
      </c>
      <c r="E4328" s="8">
        <v>82690.5625</v>
      </c>
      <c r="F4328" s="8">
        <f t="shared" si="134"/>
        <v>7.7734369999961928</v>
      </c>
      <c r="G4328" s="8">
        <f t="shared" si="135"/>
        <v>7.7734369999961925E-3</v>
      </c>
    </row>
    <row r="4329" spans="1:7" x14ac:dyDescent="0.25">
      <c r="A4329" s="8">
        <v>57</v>
      </c>
      <c r="B4329" s="8">
        <v>27</v>
      </c>
      <c r="C4329" s="8">
        <v>2329.7592770000001</v>
      </c>
      <c r="D4329" s="8">
        <v>83655.945313000004</v>
      </c>
      <c r="E4329" s="8">
        <v>83673.195313000004</v>
      </c>
      <c r="F4329" s="8">
        <f t="shared" si="134"/>
        <v>17.25</v>
      </c>
      <c r="G4329" s="8">
        <f t="shared" si="135"/>
        <v>1.7250000000000001E-2</v>
      </c>
    </row>
    <row r="4330" spans="1:7" x14ac:dyDescent="0.25">
      <c r="A4330" s="8">
        <v>57</v>
      </c>
      <c r="B4330" s="8">
        <v>28</v>
      </c>
      <c r="C4330" s="8">
        <v>571.07580600000006</v>
      </c>
      <c r="D4330" s="8">
        <v>86002.710938000004</v>
      </c>
      <c r="E4330" s="8">
        <v>86024.046875</v>
      </c>
      <c r="F4330" s="8">
        <f t="shared" si="134"/>
        <v>21.335936999996193</v>
      </c>
      <c r="G4330" s="8">
        <f t="shared" si="135"/>
        <v>2.1335936999996193E-2</v>
      </c>
    </row>
    <row r="4331" spans="1:7" x14ac:dyDescent="0.25">
      <c r="A4331" s="8">
        <v>57</v>
      </c>
      <c r="B4331" s="8">
        <v>29</v>
      </c>
      <c r="C4331" s="8">
        <v>2219.5664059999999</v>
      </c>
      <c r="D4331" s="8">
        <v>86596.492188000004</v>
      </c>
      <c r="E4331" s="8">
        <v>86616.890625</v>
      </c>
      <c r="F4331" s="8">
        <f t="shared" si="134"/>
        <v>20.398436999996193</v>
      </c>
      <c r="G4331" s="8">
        <f t="shared" si="135"/>
        <v>2.0398436999996192E-2</v>
      </c>
    </row>
    <row r="4332" spans="1:7" x14ac:dyDescent="0.25">
      <c r="A4332" s="8">
        <v>57</v>
      </c>
      <c r="B4332" s="8">
        <v>30</v>
      </c>
      <c r="C4332" s="8">
        <v>4286.857422</v>
      </c>
      <c r="D4332" s="8">
        <v>88849.90625</v>
      </c>
      <c r="E4332" s="8">
        <v>88863.53125</v>
      </c>
      <c r="F4332" s="8">
        <f t="shared" si="134"/>
        <v>13.625</v>
      </c>
      <c r="G4332" s="8">
        <f t="shared" si="135"/>
        <v>1.3625E-2</v>
      </c>
    </row>
    <row r="4333" spans="1:7" x14ac:dyDescent="0.25">
      <c r="A4333" s="8">
        <v>57</v>
      </c>
      <c r="B4333" s="8">
        <v>31</v>
      </c>
      <c r="C4333" s="8">
        <v>5919.9414059999999</v>
      </c>
      <c r="D4333" s="8">
        <v>93154.109375</v>
      </c>
      <c r="E4333" s="8">
        <v>93170.421875</v>
      </c>
      <c r="F4333" s="8">
        <f t="shared" si="134"/>
        <v>16.3125</v>
      </c>
      <c r="G4333" s="8">
        <f t="shared" si="135"/>
        <v>1.6312500000000001E-2</v>
      </c>
    </row>
    <row r="4334" spans="1:7" x14ac:dyDescent="0.25">
      <c r="A4334" s="8">
        <v>57</v>
      </c>
      <c r="B4334" s="8">
        <v>32</v>
      </c>
      <c r="C4334" s="8">
        <v>2639.8222660000001</v>
      </c>
      <c r="D4334" s="8">
        <v>99097.851563000004</v>
      </c>
      <c r="E4334" s="8">
        <v>99114.882813000004</v>
      </c>
      <c r="F4334" s="8">
        <f t="shared" si="134"/>
        <v>17.03125</v>
      </c>
      <c r="G4334" s="8">
        <f t="shared" si="135"/>
        <v>1.7031250000000001E-2</v>
      </c>
    </row>
    <row r="4335" spans="1:7" x14ac:dyDescent="0.25">
      <c r="A4335" s="8">
        <v>57</v>
      </c>
      <c r="B4335" s="8">
        <v>33</v>
      </c>
      <c r="C4335" s="8">
        <v>2221.9750979999999</v>
      </c>
      <c r="D4335" s="8">
        <v>101760.609375</v>
      </c>
      <c r="E4335" s="8">
        <v>101776.78125</v>
      </c>
      <c r="F4335" s="8">
        <f t="shared" si="134"/>
        <v>16.171875</v>
      </c>
      <c r="G4335" s="8">
        <f t="shared" si="135"/>
        <v>1.6171874999999999E-2</v>
      </c>
    </row>
    <row r="4336" spans="1:7" x14ac:dyDescent="0.25">
      <c r="A4336" s="8">
        <v>57</v>
      </c>
      <c r="B4336" s="8">
        <v>34</v>
      </c>
      <c r="C4336" s="8">
        <v>2996.257568</v>
      </c>
      <c r="D4336" s="8">
        <v>104003.351563</v>
      </c>
      <c r="E4336" s="8">
        <v>104012.117188</v>
      </c>
      <c r="F4336" s="8">
        <f t="shared" si="134"/>
        <v>8.765625</v>
      </c>
      <c r="G4336" s="8">
        <f t="shared" si="135"/>
        <v>8.7656250000000008E-3</v>
      </c>
    </row>
    <row r="4337" spans="1:7" x14ac:dyDescent="0.25">
      <c r="A4337" s="8">
        <v>57</v>
      </c>
      <c r="B4337" s="8">
        <v>35</v>
      </c>
      <c r="C4337" s="8">
        <v>3371.1384280000002</v>
      </c>
      <c r="D4337" s="8">
        <v>107015.921875</v>
      </c>
      <c r="E4337" s="8">
        <v>107035.007813</v>
      </c>
      <c r="F4337" s="8">
        <f t="shared" si="134"/>
        <v>19.085938000003807</v>
      </c>
      <c r="G4337" s="8">
        <f t="shared" si="135"/>
        <v>1.9085938000003806E-2</v>
      </c>
    </row>
    <row r="4338" spans="1:7" x14ac:dyDescent="0.25">
      <c r="A4338" s="8">
        <v>57</v>
      </c>
      <c r="B4338" s="8">
        <v>36</v>
      </c>
      <c r="C4338" s="8">
        <v>3150.5947270000001</v>
      </c>
      <c r="D4338" s="8">
        <v>110408.390625</v>
      </c>
      <c r="E4338" s="8">
        <v>110425.195313</v>
      </c>
      <c r="F4338" s="8">
        <f t="shared" si="134"/>
        <v>16.804688000003807</v>
      </c>
      <c r="G4338" s="8">
        <f t="shared" si="135"/>
        <v>1.6804688000003808E-2</v>
      </c>
    </row>
    <row r="4339" spans="1:7" x14ac:dyDescent="0.25">
      <c r="A4339" s="8">
        <v>57</v>
      </c>
      <c r="B4339" s="8">
        <v>37</v>
      </c>
      <c r="C4339" s="8">
        <v>1847.253418</v>
      </c>
      <c r="D4339" s="8">
        <v>113581.226563</v>
      </c>
      <c r="E4339" s="8">
        <v>113632.414063</v>
      </c>
      <c r="F4339" s="8">
        <f t="shared" si="134"/>
        <v>51.1875</v>
      </c>
      <c r="G4339" s="8">
        <f t="shared" si="135"/>
        <v>5.1187499999999997E-2</v>
      </c>
    </row>
    <row r="4340" spans="1:7" x14ac:dyDescent="0.25">
      <c r="A4340" s="8">
        <v>57</v>
      </c>
      <c r="B4340" s="8">
        <v>38</v>
      </c>
      <c r="C4340" s="8">
        <v>911.92071499999997</v>
      </c>
      <c r="D4340" s="8">
        <v>115489.390625</v>
      </c>
      <c r="E4340" s="8">
        <v>115505.53125</v>
      </c>
      <c r="F4340" s="8">
        <f t="shared" si="134"/>
        <v>16.140625</v>
      </c>
      <c r="G4340" s="8">
        <f t="shared" si="135"/>
        <v>1.6140624999999999E-2</v>
      </c>
    </row>
    <row r="4341" spans="1:7" x14ac:dyDescent="0.25">
      <c r="A4341" s="8">
        <v>57</v>
      </c>
      <c r="B4341" s="8">
        <v>39</v>
      </c>
      <c r="C4341" s="8">
        <v>2496.7861330000001</v>
      </c>
      <c r="D4341" s="8">
        <v>116427.03125</v>
      </c>
      <c r="E4341" s="8">
        <v>116450.648438</v>
      </c>
      <c r="F4341" s="8">
        <f t="shared" si="134"/>
        <v>23.617188000003807</v>
      </c>
      <c r="G4341" s="8">
        <f t="shared" si="135"/>
        <v>2.3617188000003807E-2</v>
      </c>
    </row>
    <row r="4342" spans="1:7" x14ac:dyDescent="0.25">
      <c r="A4342" s="8">
        <v>57</v>
      </c>
      <c r="B4342" s="8">
        <v>40</v>
      </c>
      <c r="C4342" s="8">
        <v>1918.287231</v>
      </c>
      <c r="D4342" s="8">
        <v>118947.570313</v>
      </c>
      <c r="E4342" s="8">
        <v>119021.835938</v>
      </c>
      <c r="F4342" s="8">
        <f t="shared" si="134"/>
        <v>74.265625</v>
      </c>
      <c r="G4342" s="8">
        <f t="shared" si="135"/>
        <v>7.4265625000000002E-2</v>
      </c>
    </row>
    <row r="4343" spans="1:7" x14ac:dyDescent="0.25">
      <c r="A4343" s="8">
        <v>57</v>
      </c>
      <c r="B4343" s="8">
        <v>41</v>
      </c>
      <c r="C4343" s="8">
        <v>21.292738</v>
      </c>
      <c r="D4343" s="8">
        <v>120955.101563</v>
      </c>
      <c r="E4343" s="8">
        <v>120962.335938</v>
      </c>
      <c r="F4343" s="8">
        <f t="shared" si="134"/>
        <v>7.234375</v>
      </c>
      <c r="G4343" s="8">
        <f t="shared" si="135"/>
        <v>7.2343750000000004E-3</v>
      </c>
    </row>
    <row r="4344" spans="1:7" x14ac:dyDescent="0.25">
      <c r="A4344" s="8">
        <v>57</v>
      </c>
      <c r="B4344" s="8">
        <v>42</v>
      </c>
      <c r="C4344" s="8">
        <v>445.95138500000002</v>
      </c>
      <c r="D4344" s="8">
        <v>120986.335938</v>
      </c>
      <c r="E4344" s="8">
        <v>121006.992188</v>
      </c>
      <c r="F4344" s="8">
        <f t="shared" si="134"/>
        <v>20.65625</v>
      </c>
      <c r="G4344" s="8">
        <f t="shared" si="135"/>
        <v>2.0656250000000001E-2</v>
      </c>
    </row>
    <row r="4345" spans="1:7" x14ac:dyDescent="0.25">
      <c r="A4345" s="8">
        <v>57</v>
      </c>
      <c r="B4345" s="8">
        <v>43</v>
      </c>
      <c r="C4345" s="8">
        <v>6524.5727539999998</v>
      </c>
      <c r="D4345" s="8">
        <v>121455.164063</v>
      </c>
      <c r="E4345" s="8">
        <v>121462.421875</v>
      </c>
      <c r="F4345" s="8">
        <f t="shared" si="134"/>
        <v>7.2578119999961928</v>
      </c>
      <c r="G4345" s="8">
        <f t="shared" si="135"/>
        <v>7.2578119999961929E-3</v>
      </c>
    </row>
    <row r="4346" spans="1:7" x14ac:dyDescent="0.25">
      <c r="A4346" s="8">
        <v>57</v>
      </c>
      <c r="B4346" s="8">
        <v>44</v>
      </c>
      <c r="C4346" s="8">
        <v>3956.5173340000001</v>
      </c>
      <c r="D4346" s="8">
        <v>127987.507813</v>
      </c>
      <c r="E4346" s="8">
        <v>127999.257813</v>
      </c>
      <c r="F4346" s="8">
        <f t="shared" si="134"/>
        <v>11.75</v>
      </c>
      <c r="G4346" s="8">
        <f t="shared" si="135"/>
        <v>1.175E-2</v>
      </c>
    </row>
    <row r="4347" spans="1:7" x14ac:dyDescent="0.25">
      <c r="A4347" s="8">
        <v>57</v>
      </c>
      <c r="B4347" s="8">
        <v>45</v>
      </c>
      <c r="C4347" s="8">
        <v>1746.9738769999999</v>
      </c>
      <c r="D4347" s="8">
        <v>131967.625</v>
      </c>
      <c r="E4347" s="8">
        <v>131990.0625</v>
      </c>
      <c r="F4347" s="8">
        <f t="shared" si="134"/>
        <v>22.4375</v>
      </c>
      <c r="G4347" s="8">
        <f t="shared" si="135"/>
        <v>2.2437499999999999E-2</v>
      </c>
    </row>
    <row r="4348" spans="1:7" x14ac:dyDescent="0.25">
      <c r="A4348" s="8">
        <v>57</v>
      </c>
      <c r="B4348" s="8">
        <v>46</v>
      </c>
      <c r="C4348" s="8">
        <v>2593.5266109999998</v>
      </c>
      <c r="D4348" s="8">
        <v>133738.109375</v>
      </c>
      <c r="E4348" s="8">
        <v>133758.375</v>
      </c>
      <c r="F4348" s="8">
        <f t="shared" si="134"/>
        <v>20.265625</v>
      </c>
      <c r="G4348" s="8">
        <f t="shared" si="135"/>
        <v>2.0265624999999999E-2</v>
      </c>
    </row>
    <row r="4349" spans="1:7" x14ac:dyDescent="0.25">
      <c r="A4349" s="8">
        <v>57</v>
      </c>
      <c r="B4349" s="8">
        <v>47</v>
      </c>
      <c r="C4349" s="8">
        <v>368.36981200000002</v>
      </c>
      <c r="D4349" s="8">
        <v>136366.53125</v>
      </c>
      <c r="E4349" s="8">
        <v>136374.0625</v>
      </c>
      <c r="F4349" s="8">
        <f t="shared" si="134"/>
        <v>7.53125</v>
      </c>
      <c r="G4349" s="8">
        <f t="shared" si="135"/>
        <v>7.5312499999999998E-3</v>
      </c>
    </row>
    <row r="4350" spans="1:7" x14ac:dyDescent="0.25">
      <c r="A4350" s="8">
        <v>57</v>
      </c>
      <c r="B4350" s="8">
        <v>48</v>
      </c>
      <c r="C4350" s="8">
        <v>834.66131600000006</v>
      </c>
      <c r="D4350" s="8">
        <v>136747.265625</v>
      </c>
      <c r="E4350" s="8">
        <v>136758.421875</v>
      </c>
      <c r="F4350" s="8">
        <f t="shared" si="134"/>
        <v>11.15625</v>
      </c>
      <c r="G4350" s="8">
        <f t="shared" si="135"/>
        <v>1.115625E-2</v>
      </c>
    </row>
    <row r="4351" spans="1:7" x14ac:dyDescent="0.25">
      <c r="A4351" s="8">
        <v>57</v>
      </c>
      <c r="B4351" s="8">
        <v>49</v>
      </c>
      <c r="C4351" s="8">
        <v>1268.088501</v>
      </c>
      <c r="D4351" s="8">
        <v>137593.609375</v>
      </c>
      <c r="E4351" s="8">
        <v>137600.859375</v>
      </c>
      <c r="F4351" s="8">
        <f t="shared" si="134"/>
        <v>7.25</v>
      </c>
      <c r="G4351" s="8">
        <f t="shared" si="135"/>
        <v>7.2500000000000004E-3</v>
      </c>
    </row>
    <row r="4352" spans="1:7" x14ac:dyDescent="0.25">
      <c r="A4352" s="8">
        <v>57</v>
      </c>
      <c r="B4352" s="8">
        <v>50</v>
      </c>
      <c r="C4352" s="8">
        <v>495.45675699999998</v>
      </c>
      <c r="D4352" s="8">
        <v>138880.984375</v>
      </c>
      <c r="E4352" s="8">
        <v>138888.484375</v>
      </c>
      <c r="F4352" s="8">
        <f t="shared" si="134"/>
        <v>7.5</v>
      </c>
      <c r="G4352" s="8">
        <f t="shared" si="135"/>
        <v>7.4999999999999997E-3</v>
      </c>
    </row>
    <row r="4353" spans="1:7" x14ac:dyDescent="0.25">
      <c r="A4353" s="8">
        <v>57</v>
      </c>
      <c r="B4353" s="8">
        <v>51</v>
      </c>
      <c r="C4353" s="8">
        <v>3601.2370609999998</v>
      </c>
      <c r="D4353" s="8">
        <v>139396.90625</v>
      </c>
      <c r="E4353" s="8">
        <v>139410.4375</v>
      </c>
      <c r="F4353" s="8">
        <f t="shared" si="134"/>
        <v>13.53125</v>
      </c>
      <c r="G4353" s="8">
        <f t="shared" si="135"/>
        <v>1.353125E-2</v>
      </c>
    </row>
    <row r="4354" spans="1:7" x14ac:dyDescent="0.25">
      <c r="A4354" s="8">
        <v>57</v>
      </c>
      <c r="B4354" s="8">
        <v>52</v>
      </c>
      <c r="C4354" s="8">
        <v>174.45008899999999</v>
      </c>
      <c r="D4354" s="8">
        <v>143015.25</v>
      </c>
      <c r="E4354" s="8">
        <v>143025.53125</v>
      </c>
      <c r="F4354" s="8">
        <f t="shared" si="134"/>
        <v>10.28125</v>
      </c>
      <c r="G4354" s="8">
        <f t="shared" si="135"/>
        <v>1.028125E-2</v>
      </c>
    </row>
    <row r="4355" spans="1:7" x14ac:dyDescent="0.25">
      <c r="A4355" s="8">
        <v>57</v>
      </c>
      <c r="B4355" s="8">
        <v>53</v>
      </c>
      <c r="C4355" s="8">
        <v>1319.842529</v>
      </c>
      <c r="D4355" s="8">
        <v>143202.796875</v>
      </c>
      <c r="E4355" s="8">
        <v>143234.96875</v>
      </c>
      <c r="F4355" s="8">
        <f t="shared" si="134"/>
        <v>32.171875</v>
      </c>
      <c r="G4355" s="8">
        <f t="shared" si="135"/>
        <v>3.2171875000000003E-2</v>
      </c>
    </row>
    <row r="4356" spans="1:7" x14ac:dyDescent="0.25">
      <c r="A4356" s="8">
        <v>57</v>
      </c>
      <c r="B4356" s="8">
        <v>54</v>
      </c>
      <c r="C4356" s="8">
        <v>116.490211</v>
      </c>
      <c r="D4356" s="8">
        <v>144556.875</v>
      </c>
      <c r="E4356" s="8">
        <v>144572.703125</v>
      </c>
      <c r="F4356" s="8">
        <f t="shared" si="134"/>
        <v>15.828125</v>
      </c>
      <c r="G4356" s="8">
        <f t="shared" si="135"/>
        <v>1.5828124999999998E-2</v>
      </c>
    </row>
    <row r="4357" spans="1:7" x14ac:dyDescent="0.25">
      <c r="A4357" s="8">
        <v>57</v>
      </c>
      <c r="B4357" s="8">
        <v>55</v>
      </c>
      <c r="C4357" s="8">
        <v>4436.515625</v>
      </c>
      <c r="D4357" s="8">
        <v>144697.515625</v>
      </c>
      <c r="E4357" s="8">
        <v>144711.015625</v>
      </c>
      <c r="F4357" s="8">
        <f t="shared" si="134"/>
        <v>13.5</v>
      </c>
      <c r="G4357" s="8">
        <f t="shared" si="135"/>
        <v>1.35E-2</v>
      </c>
    </row>
    <row r="4358" spans="1:7" x14ac:dyDescent="0.25">
      <c r="A4358" s="8">
        <v>57</v>
      </c>
      <c r="B4358" s="8">
        <v>56</v>
      </c>
      <c r="C4358" s="8">
        <v>1870.4449460000001</v>
      </c>
      <c r="D4358" s="8">
        <v>149150.4375</v>
      </c>
      <c r="E4358" s="8">
        <v>149168.625</v>
      </c>
      <c r="F4358" s="8">
        <f t="shared" si="134"/>
        <v>18.1875</v>
      </c>
      <c r="G4358" s="8">
        <f t="shared" si="135"/>
        <v>1.8187499999999999E-2</v>
      </c>
    </row>
    <row r="4359" spans="1:7" x14ac:dyDescent="0.25">
      <c r="A4359" s="8">
        <v>57</v>
      </c>
      <c r="B4359" s="8">
        <v>57</v>
      </c>
      <c r="C4359" s="8">
        <v>2057.6159670000002</v>
      </c>
      <c r="D4359" s="8">
        <v>151045.796875</v>
      </c>
      <c r="E4359" s="8">
        <v>151069.46875</v>
      </c>
      <c r="F4359" s="8">
        <f t="shared" si="134"/>
        <v>23.671875</v>
      </c>
      <c r="G4359" s="8">
        <f t="shared" si="135"/>
        <v>2.3671874999999998E-2</v>
      </c>
    </row>
    <row r="4360" spans="1:7" x14ac:dyDescent="0.25">
      <c r="A4360" s="8">
        <v>57</v>
      </c>
      <c r="B4360" s="8">
        <v>58</v>
      </c>
      <c r="C4360" s="8">
        <v>6103.625</v>
      </c>
      <c r="D4360" s="8">
        <v>153140.78125</v>
      </c>
      <c r="E4360" s="8">
        <v>153174.5625</v>
      </c>
      <c r="F4360" s="8">
        <f t="shared" si="134"/>
        <v>33.78125</v>
      </c>
      <c r="G4360" s="8">
        <f t="shared" si="135"/>
        <v>3.3781249999999999E-2</v>
      </c>
    </row>
    <row r="4361" spans="1:7" x14ac:dyDescent="0.25">
      <c r="A4361" s="8">
        <v>57</v>
      </c>
      <c r="B4361" s="8">
        <v>59</v>
      </c>
      <c r="C4361" s="8">
        <v>937.89654499999995</v>
      </c>
      <c r="D4361" s="8">
        <v>159283.046875</v>
      </c>
      <c r="E4361" s="8">
        <v>159290.09375</v>
      </c>
      <c r="F4361" s="8">
        <f t="shared" si="134"/>
        <v>7.046875</v>
      </c>
      <c r="G4361" s="8">
        <f t="shared" si="135"/>
        <v>7.0468750000000002E-3</v>
      </c>
    </row>
    <row r="4362" spans="1:7" x14ac:dyDescent="0.25">
      <c r="A4362" s="8">
        <v>57</v>
      </c>
      <c r="B4362" s="8">
        <v>60</v>
      </c>
      <c r="C4362" s="8">
        <v>2842.8410640000002</v>
      </c>
      <c r="D4362" s="8">
        <v>160236.265625</v>
      </c>
      <c r="E4362" s="8">
        <v>160253.875</v>
      </c>
      <c r="F4362" s="8">
        <f t="shared" si="134"/>
        <v>17.609375</v>
      </c>
      <c r="G4362" s="8">
        <f t="shared" si="135"/>
        <v>1.7609375E-2</v>
      </c>
    </row>
    <row r="4363" spans="1:7" x14ac:dyDescent="0.25">
      <c r="A4363" s="8">
        <v>57</v>
      </c>
      <c r="B4363" s="8">
        <v>61</v>
      </c>
      <c r="C4363" s="8">
        <v>84.718520999999996</v>
      </c>
      <c r="D4363" s="8">
        <v>163096.578125</v>
      </c>
      <c r="E4363" s="8">
        <v>163236.15625</v>
      </c>
      <c r="F4363" s="8">
        <f t="shared" ref="F4363:F4426" si="136">E4363-D4363</f>
        <v>139.578125</v>
      </c>
      <c r="G4363" s="8">
        <f t="shared" ref="G4363:G4426" si="137">F4363/1000</f>
        <v>0.139578125</v>
      </c>
    </row>
    <row r="4364" spans="1:7" x14ac:dyDescent="0.25">
      <c r="A4364" s="8">
        <v>57</v>
      </c>
      <c r="B4364" s="8">
        <v>62</v>
      </c>
      <c r="C4364" s="8">
        <v>538.13439900000003</v>
      </c>
      <c r="D4364" s="8">
        <v>163330.90625</v>
      </c>
      <c r="E4364" s="8">
        <v>163395.65625</v>
      </c>
      <c r="F4364" s="8">
        <f t="shared" si="136"/>
        <v>64.75</v>
      </c>
      <c r="G4364" s="8">
        <f t="shared" si="137"/>
        <v>6.4750000000000002E-2</v>
      </c>
    </row>
    <row r="4365" spans="1:7" x14ac:dyDescent="0.25">
      <c r="A4365" s="8">
        <v>57</v>
      </c>
      <c r="B4365" s="8">
        <v>63</v>
      </c>
      <c r="C4365" s="8">
        <v>7245.90625</v>
      </c>
      <c r="D4365" s="8">
        <v>163940.390625</v>
      </c>
      <c r="E4365" s="8">
        <v>163959.640625</v>
      </c>
      <c r="F4365" s="8">
        <f t="shared" si="136"/>
        <v>19.25</v>
      </c>
      <c r="G4365" s="8">
        <f t="shared" si="137"/>
        <v>1.925E-2</v>
      </c>
    </row>
    <row r="4366" spans="1:7" x14ac:dyDescent="0.25">
      <c r="A4366" s="8">
        <v>58</v>
      </c>
      <c r="B4366" s="8">
        <v>0</v>
      </c>
      <c r="C4366" s="8">
        <v>2763.5146479999999</v>
      </c>
      <c r="D4366" s="8">
        <v>24678.076172000001</v>
      </c>
      <c r="E4366" s="8">
        <v>24704.398438</v>
      </c>
      <c r="F4366" s="8">
        <f t="shared" si="136"/>
        <v>26.322265999999217</v>
      </c>
      <c r="G4366" s="8">
        <f t="shared" si="137"/>
        <v>2.6322265999999216E-2</v>
      </c>
    </row>
    <row r="4367" spans="1:7" x14ac:dyDescent="0.25">
      <c r="A4367" s="8">
        <v>58</v>
      </c>
      <c r="B4367" s="8">
        <v>1</v>
      </c>
      <c r="C4367" s="8">
        <v>4452.8515630000002</v>
      </c>
      <c r="D4367" s="8">
        <v>27477.605468999998</v>
      </c>
      <c r="E4367" s="8">
        <v>27499.359375</v>
      </c>
      <c r="F4367" s="8">
        <f t="shared" si="136"/>
        <v>21.753906000001734</v>
      </c>
      <c r="G4367" s="8">
        <f t="shared" si="137"/>
        <v>2.1753906000001735E-2</v>
      </c>
    </row>
    <row r="4368" spans="1:7" x14ac:dyDescent="0.25">
      <c r="A4368" s="8">
        <v>58</v>
      </c>
      <c r="B4368" s="8">
        <v>2</v>
      </c>
      <c r="C4368" s="8">
        <v>778.29888900000003</v>
      </c>
      <c r="D4368" s="8">
        <v>31957.560547000001</v>
      </c>
      <c r="E4368" s="8">
        <v>31976.027343999998</v>
      </c>
      <c r="F4368" s="8">
        <f t="shared" si="136"/>
        <v>18.466796999997314</v>
      </c>
      <c r="G4368" s="8">
        <f t="shared" si="137"/>
        <v>1.8466796999997315E-2</v>
      </c>
    </row>
    <row r="4369" spans="1:7" x14ac:dyDescent="0.25">
      <c r="A4369" s="8">
        <v>58</v>
      </c>
      <c r="B4369" s="8">
        <v>3</v>
      </c>
      <c r="C4369" s="8">
        <v>9988.9990230000003</v>
      </c>
      <c r="D4369" s="8">
        <v>32754.478515999999</v>
      </c>
      <c r="E4369" s="8">
        <v>32782.292969000002</v>
      </c>
      <c r="F4369" s="8">
        <f t="shared" si="136"/>
        <v>27.814453000002686</v>
      </c>
      <c r="G4369" s="8">
        <f t="shared" si="137"/>
        <v>2.7814453000002685E-2</v>
      </c>
    </row>
    <row r="4370" spans="1:7" x14ac:dyDescent="0.25">
      <c r="A4370" s="8">
        <v>58</v>
      </c>
      <c r="B4370" s="8">
        <v>4</v>
      </c>
      <c r="C4370" s="8">
        <v>7064.6586909999996</v>
      </c>
      <c r="D4370" s="8">
        <v>42782.707030999998</v>
      </c>
      <c r="E4370" s="8">
        <v>42831.679687999997</v>
      </c>
      <c r="F4370" s="8">
        <f t="shared" si="136"/>
        <v>48.972656999998435</v>
      </c>
      <c r="G4370" s="8">
        <f t="shared" si="137"/>
        <v>4.8972656999998435E-2</v>
      </c>
    </row>
    <row r="4371" spans="1:7" x14ac:dyDescent="0.25">
      <c r="A4371" s="8">
        <v>58</v>
      </c>
      <c r="B4371" s="8">
        <v>5</v>
      </c>
      <c r="C4371" s="8">
        <v>5679.4086909999996</v>
      </c>
      <c r="D4371" s="8">
        <v>49909.050780999998</v>
      </c>
      <c r="E4371" s="8">
        <v>49927.367187999997</v>
      </c>
      <c r="F4371" s="8">
        <f t="shared" si="136"/>
        <v>18.316406999998435</v>
      </c>
      <c r="G4371" s="8">
        <f t="shared" si="137"/>
        <v>1.8316406999998435E-2</v>
      </c>
    </row>
    <row r="4372" spans="1:7" x14ac:dyDescent="0.25">
      <c r="A4372" s="8">
        <v>58</v>
      </c>
      <c r="B4372" s="8">
        <v>6</v>
      </c>
      <c r="C4372" s="8">
        <v>442.21707199999997</v>
      </c>
      <c r="D4372" s="8">
        <v>55613.007812999997</v>
      </c>
      <c r="E4372" s="8">
        <v>55626.753905999998</v>
      </c>
      <c r="F4372" s="8">
        <f t="shared" si="136"/>
        <v>13.746093000001565</v>
      </c>
      <c r="G4372" s="8">
        <f t="shared" si="137"/>
        <v>1.3746093000001566E-2</v>
      </c>
    </row>
    <row r="4373" spans="1:7" x14ac:dyDescent="0.25">
      <c r="A4373" s="8">
        <v>58</v>
      </c>
      <c r="B4373" s="8">
        <v>7</v>
      </c>
      <c r="C4373" s="8">
        <v>3048.258789</v>
      </c>
      <c r="D4373" s="8">
        <v>56081.800780999998</v>
      </c>
      <c r="E4373" s="8">
        <v>56102.195312999997</v>
      </c>
      <c r="F4373" s="8">
        <f t="shared" si="136"/>
        <v>20.394531999998435</v>
      </c>
      <c r="G4373" s="8">
        <f t="shared" si="137"/>
        <v>2.0394531999998435E-2</v>
      </c>
    </row>
    <row r="4374" spans="1:7" x14ac:dyDescent="0.25">
      <c r="A4374" s="8">
        <v>58</v>
      </c>
      <c r="B4374" s="8">
        <v>8</v>
      </c>
      <c r="C4374" s="8">
        <v>4280.6206050000001</v>
      </c>
      <c r="D4374" s="8">
        <v>59153.59375</v>
      </c>
      <c r="E4374" s="8">
        <v>59190.246094000002</v>
      </c>
      <c r="F4374" s="8">
        <f t="shared" si="136"/>
        <v>36.652344000001904</v>
      </c>
      <c r="G4374" s="8">
        <f t="shared" si="137"/>
        <v>3.6652344000001905E-2</v>
      </c>
    </row>
    <row r="4375" spans="1:7" x14ac:dyDescent="0.25">
      <c r="A4375" s="8">
        <v>58</v>
      </c>
      <c r="B4375" s="8">
        <v>9</v>
      </c>
      <c r="C4375" s="8">
        <v>3058.3725589999999</v>
      </c>
      <c r="D4375" s="8">
        <v>63477.546875</v>
      </c>
      <c r="E4375" s="8">
        <v>63494.28125</v>
      </c>
      <c r="F4375" s="8">
        <f t="shared" si="136"/>
        <v>16.734375</v>
      </c>
      <c r="G4375" s="8">
        <f t="shared" si="137"/>
        <v>1.6734374999999999E-2</v>
      </c>
    </row>
    <row r="4376" spans="1:7" x14ac:dyDescent="0.25">
      <c r="A4376" s="8">
        <v>58</v>
      </c>
      <c r="B4376" s="8">
        <v>10</v>
      </c>
      <c r="C4376" s="8">
        <v>2455.734375</v>
      </c>
      <c r="D4376" s="8">
        <v>66559.242188000004</v>
      </c>
      <c r="E4376" s="8">
        <v>66580.765625</v>
      </c>
      <c r="F4376" s="8">
        <f t="shared" si="136"/>
        <v>21.523436999996193</v>
      </c>
      <c r="G4376" s="8">
        <f t="shared" si="137"/>
        <v>2.1523436999996193E-2</v>
      </c>
    </row>
    <row r="4377" spans="1:7" x14ac:dyDescent="0.25">
      <c r="A4377" s="8">
        <v>58</v>
      </c>
      <c r="B4377" s="8">
        <v>11</v>
      </c>
      <c r="C4377" s="8">
        <v>3980.4907229999999</v>
      </c>
      <c r="D4377" s="8">
        <v>69045.460938000004</v>
      </c>
      <c r="E4377" s="8">
        <v>69068.132813000004</v>
      </c>
      <c r="F4377" s="8">
        <f t="shared" si="136"/>
        <v>22.671875</v>
      </c>
      <c r="G4377" s="8">
        <f t="shared" si="137"/>
        <v>2.2671875000000001E-2</v>
      </c>
    </row>
    <row r="4378" spans="1:7" x14ac:dyDescent="0.25">
      <c r="A4378" s="8">
        <v>58</v>
      </c>
      <c r="B4378" s="8">
        <v>12</v>
      </c>
      <c r="C4378" s="8">
        <v>2344.881836</v>
      </c>
      <c r="D4378" s="8">
        <v>73060.4375</v>
      </c>
      <c r="E4378" s="8">
        <v>73068.132813000004</v>
      </c>
      <c r="F4378" s="8">
        <f t="shared" si="136"/>
        <v>7.6953130000038072</v>
      </c>
      <c r="G4378" s="8">
        <f t="shared" si="137"/>
        <v>7.6953130000038074E-3</v>
      </c>
    </row>
    <row r="4379" spans="1:7" x14ac:dyDescent="0.25">
      <c r="A4379" s="8">
        <v>58</v>
      </c>
      <c r="B4379" s="8">
        <v>13</v>
      </c>
      <c r="C4379" s="8">
        <v>1762.9735109999999</v>
      </c>
      <c r="D4379" s="8">
        <v>75424.53125</v>
      </c>
      <c r="E4379" s="8">
        <v>75482.640625</v>
      </c>
      <c r="F4379" s="8">
        <f t="shared" si="136"/>
        <v>58.109375</v>
      </c>
      <c r="G4379" s="8">
        <f t="shared" si="137"/>
        <v>5.8109374999999998E-2</v>
      </c>
    </row>
    <row r="4380" spans="1:7" x14ac:dyDescent="0.25">
      <c r="A4380" s="8">
        <v>58</v>
      </c>
      <c r="B4380" s="8">
        <v>14</v>
      </c>
      <c r="C4380" s="8">
        <v>1296.830933</v>
      </c>
      <c r="D4380" s="8">
        <v>77257.101563000004</v>
      </c>
      <c r="E4380" s="8">
        <v>77276.78125</v>
      </c>
      <c r="F4380" s="8">
        <f t="shared" si="136"/>
        <v>19.679686999996193</v>
      </c>
      <c r="G4380" s="8">
        <f t="shared" si="137"/>
        <v>1.9679686999996192E-2</v>
      </c>
    </row>
    <row r="4381" spans="1:7" x14ac:dyDescent="0.25">
      <c r="A4381" s="8">
        <v>58</v>
      </c>
      <c r="B4381" s="8">
        <v>15</v>
      </c>
      <c r="C4381" s="8">
        <v>1187.6829829999999</v>
      </c>
      <c r="D4381" s="8">
        <v>78575.90625</v>
      </c>
      <c r="E4381" s="8">
        <v>78605.632813000004</v>
      </c>
      <c r="F4381" s="8">
        <f t="shared" si="136"/>
        <v>29.726563000003807</v>
      </c>
      <c r="G4381" s="8">
        <f t="shared" si="137"/>
        <v>2.9726563000003807E-2</v>
      </c>
    </row>
    <row r="4382" spans="1:7" x14ac:dyDescent="0.25">
      <c r="A4382" s="8">
        <v>58</v>
      </c>
      <c r="B4382" s="8">
        <v>16</v>
      </c>
      <c r="C4382" s="8">
        <v>7002.9887699999999</v>
      </c>
      <c r="D4382" s="8">
        <v>79800.992188000004</v>
      </c>
      <c r="E4382" s="8">
        <v>79827.328125</v>
      </c>
      <c r="F4382" s="8">
        <f t="shared" si="136"/>
        <v>26.335936999996193</v>
      </c>
      <c r="G4382" s="8">
        <f t="shared" si="137"/>
        <v>2.6335936999996194E-2</v>
      </c>
    </row>
    <row r="4383" spans="1:7" x14ac:dyDescent="0.25">
      <c r="A4383" s="8">
        <v>58</v>
      </c>
      <c r="B4383" s="8">
        <v>17</v>
      </c>
      <c r="C4383" s="8">
        <v>1380.3824460000001</v>
      </c>
      <c r="D4383" s="8">
        <v>86830.90625</v>
      </c>
      <c r="E4383" s="8">
        <v>86848.453125</v>
      </c>
      <c r="F4383" s="8">
        <f t="shared" si="136"/>
        <v>17.546875</v>
      </c>
      <c r="G4383" s="8">
        <f t="shared" si="137"/>
        <v>1.7546875E-2</v>
      </c>
    </row>
    <row r="4384" spans="1:7" x14ac:dyDescent="0.25">
      <c r="A4384" s="8">
        <v>58</v>
      </c>
      <c r="B4384" s="8">
        <v>18</v>
      </c>
      <c r="C4384" s="8">
        <v>5527.6152339999999</v>
      </c>
      <c r="D4384" s="8">
        <v>88240.453125</v>
      </c>
      <c r="E4384" s="8">
        <v>88284.914063000004</v>
      </c>
      <c r="F4384" s="8">
        <f t="shared" si="136"/>
        <v>44.460938000003807</v>
      </c>
      <c r="G4384" s="8">
        <f t="shared" si="137"/>
        <v>4.4460938000003808E-2</v>
      </c>
    </row>
    <row r="4385" spans="1:7" x14ac:dyDescent="0.25">
      <c r="A4385" s="8">
        <v>58</v>
      </c>
      <c r="B4385" s="8">
        <v>19</v>
      </c>
      <c r="C4385" s="8">
        <v>258.02362099999999</v>
      </c>
      <c r="D4385" s="8">
        <v>93826.3125</v>
      </c>
      <c r="E4385" s="8">
        <v>93844.289063000004</v>
      </c>
      <c r="F4385" s="8">
        <f t="shared" si="136"/>
        <v>17.976563000003807</v>
      </c>
      <c r="G4385" s="8">
        <f t="shared" si="137"/>
        <v>1.7976563000003807E-2</v>
      </c>
    </row>
    <row r="4386" spans="1:7" x14ac:dyDescent="0.25">
      <c r="A4386" s="8">
        <v>58</v>
      </c>
      <c r="B4386" s="8">
        <v>20</v>
      </c>
      <c r="C4386" s="8">
        <v>3828.3229980000001</v>
      </c>
      <c r="D4386" s="8">
        <v>94107.585938000004</v>
      </c>
      <c r="E4386" s="8">
        <v>94127.890625</v>
      </c>
      <c r="F4386" s="8">
        <f t="shared" si="136"/>
        <v>20.304686999996193</v>
      </c>
      <c r="G4386" s="8">
        <f t="shared" si="137"/>
        <v>2.0304686999996192E-2</v>
      </c>
    </row>
    <row r="4387" spans="1:7" x14ac:dyDescent="0.25">
      <c r="A4387" s="8">
        <v>58</v>
      </c>
      <c r="B4387" s="8">
        <v>21</v>
      </c>
      <c r="C4387" s="8">
        <v>6516.6201170000004</v>
      </c>
      <c r="D4387" s="8">
        <v>97957.085938000004</v>
      </c>
      <c r="E4387" s="8">
        <v>97967.734375</v>
      </c>
      <c r="F4387" s="8">
        <f t="shared" si="136"/>
        <v>10.648436999996193</v>
      </c>
      <c r="G4387" s="8">
        <f t="shared" si="137"/>
        <v>1.0648436999996192E-2</v>
      </c>
    </row>
    <row r="4388" spans="1:7" x14ac:dyDescent="0.25">
      <c r="A4388" s="8">
        <v>58</v>
      </c>
      <c r="B4388" s="8">
        <v>22</v>
      </c>
      <c r="C4388" s="8">
        <v>2852.4733890000002</v>
      </c>
      <c r="D4388" s="8">
        <v>104487.609375</v>
      </c>
      <c r="E4388" s="8">
        <v>104494.257813</v>
      </c>
      <c r="F4388" s="8">
        <f t="shared" si="136"/>
        <v>6.6484380000038072</v>
      </c>
      <c r="G4388" s="8">
        <f t="shared" si="137"/>
        <v>6.6484380000038073E-3</v>
      </c>
    </row>
    <row r="4389" spans="1:7" x14ac:dyDescent="0.25">
      <c r="A4389" s="8">
        <v>58</v>
      </c>
      <c r="B4389" s="8">
        <v>23</v>
      </c>
      <c r="C4389" s="8">
        <v>963.52221699999996</v>
      </c>
      <c r="D4389" s="8">
        <v>107360.390625</v>
      </c>
      <c r="E4389" s="8">
        <v>107375.078125</v>
      </c>
      <c r="F4389" s="8">
        <f t="shared" si="136"/>
        <v>14.6875</v>
      </c>
      <c r="G4389" s="8">
        <f t="shared" si="137"/>
        <v>1.4687499999999999E-2</v>
      </c>
    </row>
    <row r="4390" spans="1:7" x14ac:dyDescent="0.25">
      <c r="A4390" s="8">
        <v>58</v>
      </c>
      <c r="B4390" s="8">
        <v>24</v>
      </c>
      <c r="C4390" s="8">
        <v>3061.7551269999999</v>
      </c>
      <c r="D4390" s="8">
        <v>108344.859375</v>
      </c>
      <c r="E4390" s="8">
        <v>108399.171875</v>
      </c>
      <c r="F4390" s="8">
        <f t="shared" si="136"/>
        <v>54.3125</v>
      </c>
      <c r="G4390" s="8">
        <f t="shared" si="137"/>
        <v>5.43125E-2</v>
      </c>
    </row>
    <row r="4391" spans="1:7" x14ac:dyDescent="0.25">
      <c r="A4391" s="8">
        <v>58</v>
      </c>
      <c r="B4391" s="8">
        <v>25</v>
      </c>
      <c r="C4391" s="8">
        <v>743.74060099999997</v>
      </c>
      <c r="D4391" s="8">
        <v>111471</v>
      </c>
      <c r="E4391" s="8">
        <v>111482.5</v>
      </c>
      <c r="F4391" s="8">
        <f t="shared" si="136"/>
        <v>11.5</v>
      </c>
      <c r="G4391" s="8">
        <f t="shared" si="137"/>
        <v>1.15E-2</v>
      </c>
    </row>
    <row r="4392" spans="1:7" x14ac:dyDescent="0.25">
      <c r="A4392" s="8">
        <v>58</v>
      </c>
      <c r="B4392" s="8">
        <v>26</v>
      </c>
      <c r="C4392" s="8">
        <v>1104.1210940000001</v>
      </c>
      <c r="D4392" s="8">
        <v>112240.882813</v>
      </c>
      <c r="E4392" s="8">
        <v>112265.375</v>
      </c>
      <c r="F4392" s="8">
        <f t="shared" si="136"/>
        <v>24.492186999996193</v>
      </c>
      <c r="G4392" s="8">
        <f t="shared" si="137"/>
        <v>2.4492186999996193E-2</v>
      </c>
    </row>
    <row r="4393" spans="1:7" x14ac:dyDescent="0.25">
      <c r="A4393" s="8">
        <v>58</v>
      </c>
      <c r="B4393" s="8">
        <v>27</v>
      </c>
      <c r="C4393" s="8">
        <v>3643.8076169999999</v>
      </c>
      <c r="D4393" s="8">
        <v>113378.101563</v>
      </c>
      <c r="E4393" s="8">
        <v>113433.515625</v>
      </c>
      <c r="F4393" s="8">
        <f t="shared" si="136"/>
        <v>55.414061999996193</v>
      </c>
      <c r="G4393" s="8">
        <f t="shared" si="137"/>
        <v>5.5414061999996191E-2</v>
      </c>
    </row>
    <row r="4394" spans="1:7" x14ac:dyDescent="0.25">
      <c r="A4394" s="8">
        <v>58</v>
      </c>
      <c r="B4394" s="8">
        <v>28</v>
      </c>
      <c r="C4394" s="8">
        <v>758.58026099999995</v>
      </c>
      <c r="D4394" s="8">
        <v>117091.023438</v>
      </c>
      <c r="E4394" s="8">
        <v>117102.085938</v>
      </c>
      <c r="F4394" s="8">
        <f t="shared" si="136"/>
        <v>11.0625</v>
      </c>
      <c r="G4394" s="8">
        <f t="shared" si="137"/>
        <v>1.1062499999999999E-2</v>
      </c>
    </row>
    <row r="4395" spans="1:7" x14ac:dyDescent="0.25">
      <c r="A4395" s="8">
        <v>58</v>
      </c>
      <c r="B4395" s="8">
        <v>29</v>
      </c>
      <c r="C4395" s="8">
        <v>630.75213599999995</v>
      </c>
      <c r="D4395" s="8">
        <v>117869.140625</v>
      </c>
      <c r="E4395" s="8">
        <v>117885.0625</v>
      </c>
      <c r="F4395" s="8">
        <f t="shared" si="136"/>
        <v>15.921875</v>
      </c>
      <c r="G4395" s="8">
        <f t="shared" si="137"/>
        <v>1.5921874999999999E-2</v>
      </c>
    </row>
    <row r="4396" spans="1:7" x14ac:dyDescent="0.25">
      <c r="A4396" s="8">
        <v>58</v>
      </c>
      <c r="B4396" s="8">
        <v>30</v>
      </c>
      <c r="C4396" s="8">
        <v>230.02706900000001</v>
      </c>
      <c r="D4396" s="8">
        <v>118525.703125</v>
      </c>
      <c r="E4396" s="8">
        <v>118542.679688</v>
      </c>
      <c r="F4396" s="8">
        <f t="shared" si="136"/>
        <v>16.976563000003807</v>
      </c>
      <c r="G4396" s="8">
        <f t="shared" si="137"/>
        <v>1.6976563000003806E-2</v>
      </c>
    </row>
    <row r="4397" spans="1:7" x14ac:dyDescent="0.25">
      <c r="A4397" s="8">
        <v>58</v>
      </c>
      <c r="B4397" s="8">
        <v>31</v>
      </c>
      <c r="C4397" s="8">
        <v>1004.653564</v>
      </c>
      <c r="D4397" s="8">
        <v>118775.617188</v>
      </c>
      <c r="E4397" s="8">
        <v>118798.140625</v>
      </c>
      <c r="F4397" s="8">
        <f t="shared" si="136"/>
        <v>22.523436999996193</v>
      </c>
      <c r="G4397" s="8">
        <f t="shared" si="137"/>
        <v>2.2523436999996194E-2</v>
      </c>
    </row>
    <row r="4398" spans="1:7" x14ac:dyDescent="0.25">
      <c r="A4398" s="8">
        <v>58</v>
      </c>
      <c r="B4398" s="8">
        <v>32</v>
      </c>
      <c r="C4398" s="8">
        <v>4772.9711909999996</v>
      </c>
      <c r="D4398" s="8">
        <v>119812.242188</v>
      </c>
      <c r="E4398" s="8">
        <v>119830.648438</v>
      </c>
      <c r="F4398" s="8">
        <f t="shared" si="136"/>
        <v>18.40625</v>
      </c>
      <c r="G4398" s="8">
        <f t="shared" si="137"/>
        <v>1.8406249999999999E-2</v>
      </c>
    </row>
    <row r="4399" spans="1:7" x14ac:dyDescent="0.25">
      <c r="A4399" s="8">
        <v>58</v>
      </c>
      <c r="B4399" s="8">
        <v>33</v>
      </c>
      <c r="C4399" s="8">
        <v>1129.190063</v>
      </c>
      <c r="D4399" s="8">
        <v>124611.476563</v>
      </c>
      <c r="E4399" s="8">
        <v>124632.179688</v>
      </c>
      <c r="F4399" s="8">
        <f t="shared" si="136"/>
        <v>20.703125</v>
      </c>
      <c r="G4399" s="8">
        <f t="shared" si="137"/>
        <v>2.0703124999999999E-2</v>
      </c>
    </row>
    <row r="4400" spans="1:7" x14ac:dyDescent="0.25">
      <c r="A4400" s="8">
        <v>58</v>
      </c>
      <c r="B4400" s="8">
        <v>34</v>
      </c>
      <c r="C4400" s="8">
        <v>2033.513062</v>
      </c>
      <c r="D4400" s="8">
        <v>125768.375</v>
      </c>
      <c r="E4400" s="8">
        <v>125781.257813</v>
      </c>
      <c r="F4400" s="8">
        <f t="shared" si="136"/>
        <v>12.882813000003807</v>
      </c>
      <c r="G4400" s="8">
        <f t="shared" si="137"/>
        <v>1.2882813000003808E-2</v>
      </c>
    </row>
    <row r="4401" spans="1:7" x14ac:dyDescent="0.25">
      <c r="A4401" s="8">
        <v>58</v>
      </c>
      <c r="B4401" s="8">
        <v>35</v>
      </c>
      <c r="C4401" s="8">
        <v>687.52429199999995</v>
      </c>
      <c r="D4401" s="8">
        <v>127815.585938</v>
      </c>
      <c r="E4401" s="8">
        <v>127827.265625</v>
      </c>
      <c r="F4401" s="8">
        <f t="shared" si="136"/>
        <v>11.679686999996193</v>
      </c>
      <c r="G4401" s="8">
        <f t="shared" si="137"/>
        <v>1.1679686999996193E-2</v>
      </c>
    </row>
    <row r="4402" spans="1:7" x14ac:dyDescent="0.25">
      <c r="A4402" s="8">
        <v>58</v>
      </c>
      <c r="B4402" s="8">
        <v>36</v>
      </c>
      <c r="C4402" s="8">
        <v>449.69278000000003</v>
      </c>
      <c r="D4402" s="8">
        <v>128520.109375</v>
      </c>
      <c r="E4402" s="8">
        <v>128542.773438</v>
      </c>
      <c r="F4402" s="8">
        <f t="shared" si="136"/>
        <v>22.664063000003807</v>
      </c>
      <c r="G4402" s="8">
        <f t="shared" si="137"/>
        <v>2.2664063000003808E-2</v>
      </c>
    </row>
    <row r="4403" spans="1:7" x14ac:dyDescent="0.25">
      <c r="A4403" s="8">
        <v>58</v>
      </c>
      <c r="B4403" s="8">
        <v>37</v>
      </c>
      <c r="C4403" s="8">
        <v>714.73681599999998</v>
      </c>
      <c r="D4403" s="8">
        <v>129004.492188</v>
      </c>
      <c r="E4403" s="8">
        <v>129015.773438</v>
      </c>
      <c r="F4403" s="8">
        <f t="shared" si="136"/>
        <v>11.28125</v>
      </c>
      <c r="G4403" s="8">
        <f t="shared" si="137"/>
        <v>1.128125E-2</v>
      </c>
    </row>
    <row r="4404" spans="1:7" x14ac:dyDescent="0.25">
      <c r="A4404" s="8">
        <v>58</v>
      </c>
      <c r="B4404" s="8">
        <v>38</v>
      </c>
      <c r="C4404" s="8">
        <v>2432.3254390000002</v>
      </c>
      <c r="D4404" s="8">
        <v>129738.992188</v>
      </c>
      <c r="E4404" s="8">
        <v>129754.15625</v>
      </c>
      <c r="F4404" s="8">
        <f t="shared" si="136"/>
        <v>15.164061999996193</v>
      </c>
      <c r="G4404" s="8">
        <f t="shared" si="137"/>
        <v>1.5164061999996193E-2</v>
      </c>
    </row>
    <row r="4405" spans="1:7" x14ac:dyDescent="0.25">
      <c r="A4405" s="8">
        <v>58</v>
      </c>
      <c r="B4405" s="8">
        <v>39</v>
      </c>
      <c r="C4405" s="8">
        <v>762.59771699999999</v>
      </c>
      <c r="D4405" s="8">
        <v>132186.40625</v>
      </c>
      <c r="E4405" s="8">
        <v>132198.0625</v>
      </c>
      <c r="F4405" s="8">
        <f t="shared" si="136"/>
        <v>11.65625</v>
      </c>
      <c r="G4405" s="8">
        <f t="shared" si="137"/>
        <v>1.165625E-2</v>
      </c>
    </row>
    <row r="4406" spans="1:7" x14ac:dyDescent="0.25">
      <c r="A4406" s="8">
        <v>58</v>
      </c>
      <c r="B4406" s="8">
        <v>40</v>
      </c>
      <c r="C4406" s="8">
        <v>2657.9533689999998</v>
      </c>
      <c r="D4406" s="8">
        <v>132972.453125</v>
      </c>
      <c r="E4406" s="8">
        <v>132990.5</v>
      </c>
      <c r="F4406" s="8">
        <f t="shared" si="136"/>
        <v>18.046875</v>
      </c>
      <c r="G4406" s="8">
        <f t="shared" si="137"/>
        <v>1.8046875E-2</v>
      </c>
    </row>
    <row r="4407" spans="1:7" x14ac:dyDescent="0.25">
      <c r="A4407" s="8">
        <v>58</v>
      </c>
      <c r="B4407" s="8">
        <v>41</v>
      </c>
      <c r="C4407" s="8">
        <v>49.060181</v>
      </c>
      <c r="D4407" s="8">
        <v>135647.734375</v>
      </c>
      <c r="E4407" s="8">
        <v>135663.3125</v>
      </c>
      <c r="F4407" s="8">
        <f t="shared" si="136"/>
        <v>15.578125</v>
      </c>
      <c r="G4407" s="8">
        <f t="shared" si="137"/>
        <v>1.5578125E-2</v>
      </c>
    </row>
    <row r="4408" spans="1:7" x14ac:dyDescent="0.25">
      <c r="A4408" s="8">
        <v>58</v>
      </c>
      <c r="B4408" s="8">
        <v>42</v>
      </c>
      <c r="C4408" s="8">
        <v>145.03050200000001</v>
      </c>
      <c r="D4408" s="8">
        <v>135725.875</v>
      </c>
      <c r="E4408" s="8">
        <v>135826.75</v>
      </c>
      <c r="F4408" s="8">
        <f t="shared" si="136"/>
        <v>100.875</v>
      </c>
      <c r="G4408" s="8">
        <f t="shared" si="137"/>
        <v>0.10087500000000001</v>
      </c>
    </row>
    <row r="4409" spans="1:7" x14ac:dyDescent="0.25">
      <c r="A4409" s="8">
        <v>58</v>
      </c>
      <c r="B4409" s="8">
        <v>43</v>
      </c>
      <c r="C4409" s="8">
        <v>132.926086</v>
      </c>
      <c r="D4409" s="8">
        <v>135975.828125</v>
      </c>
      <c r="E4409" s="8">
        <v>135999.703125</v>
      </c>
      <c r="F4409" s="8">
        <f t="shared" si="136"/>
        <v>23.875</v>
      </c>
      <c r="G4409" s="8">
        <f t="shared" si="137"/>
        <v>2.3875E-2</v>
      </c>
    </row>
    <row r="4410" spans="1:7" x14ac:dyDescent="0.25">
      <c r="A4410" s="8">
        <v>58</v>
      </c>
      <c r="B4410" s="8">
        <v>44</v>
      </c>
      <c r="C4410" s="8">
        <v>1724.729736</v>
      </c>
      <c r="D4410" s="8">
        <v>136132.15625</v>
      </c>
      <c r="E4410" s="8">
        <v>136139.9375</v>
      </c>
      <c r="F4410" s="8">
        <f t="shared" si="136"/>
        <v>7.78125</v>
      </c>
      <c r="G4410" s="8">
        <f t="shared" si="137"/>
        <v>7.78125E-3</v>
      </c>
    </row>
    <row r="4411" spans="1:7" x14ac:dyDescent="0.25">
      <c r="A4411" s="8">
        <v>58</v>
      </c>
      <c r="B4411" s="8">
        <v>45</v>
      </c>
      <c r="C4411" s="8">
        <v>937.40887499999997</v>
      </c>
      <c r="D4411" s="8">
        <v>137874.75</v>
      </c>
      <c r="E4411" s="8">
        <v>137887.8125</v>
      </c>
      <c r="F4411" s="8">
        <f t="shared" si="136"/>
        <v>13.0625</v>
      </c>
      <c r="G4411" s="8">
        <f t="shared" si="137"/>
        <v>1.3062499999999999E-2</v>
      </c>
    </row>
    <row r="4412" spans="1:7" x14ac:dyDescent="0.25">
      <c r="A4412" s="8">
        <v>58</v>
      </c>
      <c r="B4412" s="8">
        <v>46</v>
      </c>
      <c r="C4412" s="8">
        <v>10397.359375</v>
      </c>
      <c r="D4412" s="8">
        <v>138828.21875</v>
      </c>
      <c r="E4412" s="8">
        <v>138851.65625</v>
      </c>
      <c r="F4412" s="8">
        <f t="shared" si="136"/>
        <v>23.4375</v>
      </c>
      <c r="G4412" s="8">
        <f t="shared" si="137"/>
        <v>2.34375E-2</v>
      </c>
    </row>
    <row r="4413" spans="1:7" x14ac:dyDescent="0.25">
      <c r="A4413" s="8">
        <v>58</v>
      </c>
      <c r="B4413" s="8">
        <v>47</v>
      </c>
      <c r="C4413" s="8">
        <v>1577.4642329999999</v>
      </c>
      <c r="D4413" s="8">
        <v>149259.8125</v>
      </c>
      <c r="E4413" s="8">
        <v>149288</v>
      </c>
      <c r="F4413" s="8">
        <f t="shared" si="136"/>
        <v>28.1875</v>
      </c>
      <c r="G4413" s="8">
        <f t="shared" si="137"/>
        <v>2.8187500000000001E-2</v>
      </c>
    </row>
    <row r="4414" spans="1:7" x14ac:dyDescent="0.25">
      <c r="A4414" s="8">
        <v>58</v>
      </c>
      <c r="B4414" s="8">
        <v>48</v>
      </c>
      <c r="C4414" s="8">
        <v>3623.1557619999999</v>
      </c>
      <c r="D4414" s="8">
        <v>150873.90625</v>
      </c>
      <c r="E4414" s="8">
        <v>150895.21875</v>
      </c>
      <c r="F4414" s="8">
        <f t="shared" si="136"/>
        <v>21.3125</v>
      </c>
      <c r="G4414" s="8">
        <f t="shared" si="137"/>
        <v>2.1312500000000002E-2</v>
      </c>
    </row>
    <row r="4415" spans="1:7" x14ac:dyDescent="0.25">
      <c r="A4415" s="8">
        <v>58</v>
      </c>
      <c r="B4415" s="8">
        <v>49</v>
      </c>
      <c r="C4415" s="8">
        <v>188.48519899999999</v>
      </c>
      <c r="D4415" s="8">
        <v>154531.5625</v>
      </c>
      <c r="E4415" s="8">
        <v>154546.53125</v>
      </c>
      <c r="F4415" s="8">
        <f t="shared" si="136"/>
        <v>14.96875</v>
      </c>
      <c r="G4415" s="8">
        <f t="shared" si="137"/>
        <v>1.4968749999999999E-2</v>
      </c>
    </row>
    <row r="4416" spans="1:7" x14ac:dyDescent="0.25">
      <c r="A4416" s="8">
        <v>58</v>
      </c>
      <c r="B4416" s="8">
        <v>50</v>
      </c>
      <c r="C4416" s="8">
        <v>1698.3020019999999</v>
      </c>
      <c r="D4416" s="8">
        <v>154750.359375</v>
      </c>
      <c r="E4416" s="8">
        <v>154767.53125</v>
      </c>
      <c r="F4416" s="8">
        <f t="shared" si="136"/>
        <v>17.171875</v>
      </c>
      <c r="G4416" s="8">
        <f t="shared" si="137"/>
        <v>1.7171875E-2</v>
      </c>
    </row>
    <row r="4417" spans="1:7" x14ac:dyDescent="0.25">
      <c r="A4417" s="8">
        <v>58</v>
      </c>
      <c r="B4417" s="8">
        <v>51</v>
      </c>
      <c r="C4417" s="8">
        <v>68.546172999999996</v>
      </c>
      <c r="D4417" s="8">
        <v>156469.25</v>
      </c>
      <c r="E4417" s="8">
        <v>156486.1875</v>
      </c>
      <c r="F4417" s="8">
        <f t="shared" si="136"/>
        <v>16.9375</v>
      </c>
      <c r="G4417" s="8">
        <f t="shared" si="137"/>
        <v>1.6937500000000001E-2</v>
      </c>
    </row>
    <row r="4418" spans="1:7" x14ac:dyDescent="0.25">
      <c r="A4418" s="8">
        <v>58</v>
      </c>
      <c r="B4418" s="8">
        <v>52</v>
      </c>
      <c r="C4418" s="8">
        <v>1461.6107179999999</v>
      </c>
      <c r="D4418" s="8">
        <v>156563.046875</v>
      </c>
      <c r="E4418" s="8">
        <v>156581.8125</v>
      </c>
      <c r="F4418" s="8">
        <f t="shared" si="136"/>
        <v>18.765625</v>
      </c>
      <c r="G4418" s="8">
        <f t="shared" si="137"/>
        <v>1.8765625000000001E-2</v>
      </c>
    </row>
    <row r="4419" spans="1:7" x14ac:dyDescent="0.25">
      <c r="A4419" s="8">
        <v>58</v>
      </c>
      <c r="B4419" s="8">
        <v>53</v>
      </c>
      <c r="C4419" s="8">
        <v>381.32678199999998</v>
      </c>
      <c r="D4419" s="8">
        <v>158047.546875</v>
      </c>
      <c r="E4419" s="8">
        <v>158057.5625</v>
      </c>
      <c r="F4419" s="8">
        <f t="shared" si="136"/>
        <v>10.015625</v>
      </c>
      <c r="G4419" s="8">
        <f t="shared" si="137"/>
        <v>1.0015625E-2</v>
      </c>
    </row>
    <row r="4420" spans="1:7" x14ac:dyDescent="0.25">
      <c r="A4420" s="8">
        <v>58</v>
      </c>
      <c r="B4420" s="8">
        <v>54</v>
      </c>
      <c r="C4420" s="8">
        <v>517.86755400000004</v>
      </c>
      <c r="D4420" s="8">
        <v>158453.84375</v>
      </c>
      <c r="E4420" s="8">
        <v>158463.5625</v>
      </c>
      <c r="F4420" s="8">
        <f t="shared" si="136"/>
        <v>9.71875</v>
      </c>
      <c r="G4420" s="8">
        <f t="shared" si="137"/>
        <v>9.71875E-3</v>
      </c>
    </row>
    <row r="4421" spans="1:7" x14ac:dyDescent="0.25">
      <c r="A4421" s="8">
        <v>58</v>
      </c>
      <c r="B4421" s="8">
        <v>55</v>
      </c>
      <c r="C4421" s="8">
        <v>1234.315186</v>
      </c>
      <c r="D4421" s="8">
        <v>158986.15625</v>
      </c>
      <c r="E4421" s="8">
        <v>159006.40625</v>
      </c>
      <c r="F4421" s="8">
        <f t="shared" si="136"/>
        <v>20.25</v>
      </c>
      <c r="G4421" s="8">
        <f t="shared" si="137"/>
        <v>2.0250000000000001E-2</v>
      </c>
    </row>
    <row r="4422" spans="1:7" x14ac:dyDescent="0.25">
      <c r="A4422" s="8">
        <v>58</v>
      </c>
      <c r="B4422" s="8">
        <v>56</v>
      </c>
      <c r="C4422" s="8">
        <v>2465.9709469999998</v>
      </c>
      <c r="D4422" s="8">
        <v>160251.9375</v>
      </c>
      <c r="E4422" s="8">
        <v>160264.203125</v>
      </c>
      <c r="F4422" s="8">
        <f t="shared" si="136"/>
        <v>12.265625</v>
      </c>
      <c r="G4422" s="8">
        <f t="shared" si="137"/>
        <v>1.2265625E-2</v>
      </c>
    </row>
    <row r="4423" spans="1:7" x14ac:dyDescent="0.25">
      <c r="A4423" s="8">
        <v>58</v>
      </c>
      <c r="B4423" s="8">
        <v>57</v>
      </c>
      <c r="C4423" s="8">
        <v>519.84539800000005</v>
      </c>
      <c r="D4423" s="8">
        <v>162736.921875</v>
      </c>
      <c r="E4423" s="8">
        <v>162763.046875</v>
      </c>
      <c r="F4423" s="8">
        <f t="shared" si="136"/>
        <v>26.125</v>
      </c>
      <c r="G4423" s="8">
        <f t="shared" si="137"/>
        <v>2.6124999999999999E-2</v>
      </c>
    </row>
    <row r="4424" spans="1:7" x14ac:dyDescent="0.25">
      <c r="A4424" s="8">
        <v>58</v>
      </c>
      <c r="B4424" s="8">
        <v>58</v>
      </c>
      <c r="C4424" s="8">
        <v>154.37136799999999</v>
      </c>
      <c r="D4424" s="8">
        <v>163284.015625</v>
      </c>
      <c r="E4424" s="8">
        <v>163385.375</v>
      </c>
      <c r="F4424" s="8">
        <f t="shared" si="136"/>
        <v>101.359375</v>
      </c>
      <c r="G4424" s="8">
        <f t="shared" si="137"/>
        <v>0.101359375</v>
      </c>
    </row>
    <row r="4425" spans="1:7" x14ac:dyDescent="0.25">
      <c r="A4425" s="8">
        <v>58</v>
      </c>
      <c r="B4425" s="8">
        <v>59</v>
      </c>
      <c r="C4425" s="8">
        <v>496.23898300000002</v>
      </c>
      <c r="D4425" s="8">
        <v>163549.703125</v>
      </c>
      <c r="E4425" s="8">
        <v>163568.046875</v>
      </c>
      <c r="F4425" s="8">
        <f t="shared" si="136"/>
        <v>18.34375</v>
      </c>
      <c r="G4425" s="8">
        <f t="shared" si="137"/>
        <v>1.8343749999999999E-2</v>
      </c>
    </row>
    <row r="4426" spans="1:7" x14ac:dyDescent="0.25">
      <c r="A4426" s="8">
        <v>58</v>
      </c>
      <c r="B4426" s="8">
        <v>60</v>
      </c>
      <c r="C4426" s="8">
        <v>1534.2802730000001</v>
      </c>
      <c r="D4426" s="8">
        <v>164065.34375</v>
      </c>
      <c r="E4426" s="8">
        <v>164086.671875</v>
      </c>
      <c r="F4426" s="8">
        <f t="shared" si="136"/>
        <v>21.328125</v>
      </c>
      <c r="G4426" s="8">
        <f t="shared" si="137"/>
        <v>2.1328125E-2</v>
      </c>
    </row>
    <row r="4427" spans="1:7" x14ac:dyDescent="0.25">
      <c r="A4427" s="8">
        <v>58</v>
      </c>
      <c r="B4427" s="8">
        <v>61</v>
      </c>
      <c r="C4427" s="8">
        <v>1156.6441649999999</v>
      </c>
      <c r="D4427" s="8">
        <v>165624.21875</v>
      </c>
      <c r="E4427" s="8">
        <v>165644.625</v>
      </c>
      <c r="F4427" s="8">
        <f t="shared" ref="F4427:F4490" si="138">E4427-D4427</f>
        <v>20.40625</v>
      </c>
      <c r="G4427" s="8">
        <f t="shared" ref="G4427:G4490" si="139">F4427/1000</f>
        <v>2.0406250000000001E-2</v>
      </c>
    </row>
    <row r="4428" spans="1:7" x14ac:dyDescent="0.25">
      <c r="A4428" s="8">
        <v>58</v>
      </c>
      <c r="B4428" s="8">
        <v>62</v>
      </c>
      <c r="C4428" s="8">
        <v>865.47137499999997</v>
      </c>
      <c r="D4428" s="8">
        <v>166802.046875</v>
      </c>
      <c r="E4428" s="8">
        <v>166813.25</v>
      </c>
      <c r="F4428" s="8">
        <f t="shared" si="138"/>
        <v>11.203125</v>
      </c>
      <c r="G4428" s="8">
        <f t="shared" si="139"/>
        <v>1.1203125E-2</v>
      </c>
    </row>
    <row r="4429" spans="1:7" x14ac:dyDescent="0.25">
      <c r="A4429" s="8">
        <v>58</v>
      </c>
      <c r="B4429" s="8">
        <v>63</v>
      </c>
      <c r="C4429" s="8">
        <v>2533.492432</v>
      </c>
      <c r="D4429" s="8">
        <v>167681.75</v>
      </c>
      <c r="E4429" s="8">
        <v>167700.328125</v>
      </c>
      <c r="F4429" s="8">
        <f t="shared" si="138"/>
        <v>18.578125</v>
      </c>
      <c r="G4429" s="8">
        <f t="shared" si="139"/>
        <v>1.8578125000000001E-2</v>
      </c>
    </row>
    <row r="4430" spans="1:7" x14ac:dyDescent="0.25">
      <c r="A4430" s="8">
        <v>59</v>
      </c>
      <c r="B4430" s="8">
        <v>0</v>
      </c>
      <c r="C4430" s="8">
        <v>699.52496299999996</v>
      </c>
      <c r="D4430" s="8">
        <v>25709.414063</v>
      </c>
      <c r="E4430" s="8">
        <v>25724.308593999998</v>
      </c>
      <c r="F4430" s="8">
        <f t="shared" si="138"/>
        <v>14.894530999998096</v>
      </c>
      <c r="G4430" s="8">
        <f t="shared" si="139"/>
        <v>1.4894530999998096E-2</v>
      </c>
    </row>
    <row r="4431" spans="1:7" x14ac:dyDescent="0.25">
      <c r="A4431" s="8">
        <v>59</v>
      </c>
      <c r="B4431" s="8">
        <v>1</v>
      </c>
      <c r="C4431" s="8">
        <v>1147.523193</v>
      </c>
      <c r="D4431" s="8">
        <v>26430.605468999998</v>
      </c>
      <c r="E4431" s="8">
        <v>26452.78125</v>
      </c>
      <c r="F4431" s="8">
        <f t="shared" si="138"/>
        <v>22.175781000001734</v>
      </c>
      <c r="G4431" s="8">
        <f t="shared" si="139"/>
        <v>2.2175781000001733E-2</v>
      </c>
    </row>
    <row r="4432" spans="1:7" x14ac:dyDescent="0.25">
      <c r="A4432" s="8">
        <v>59</v>
      </c>
      <c r="B4432" s="8">
        <v>2</v>
      </c>
      <c r="C4432" s="8">
        <v>1472.669189</v>
      </c>
      <c r="D4432" s="8">
        <v>27603.421875</v>
      </c>
      <c r="E4432" s="8">
        <v>27621.175781000002</v>
      </c>
      <c r="F4432" s="8">
        <f t="shared" si="138"/>
        <v>17.753906000001734</v>
      </c>
      <c r="G4432" s="8">
        <f t="shared" si="139"/>
        <v>1.7753906000001735E-2</v>
      </c>
    </row>
    <row r="4433" spans="1:7" x14ac:dyDescent="0.25">
      <c r="A4433" s="8">
        <v>59</v>
      </c>
      <c r="B4433" s="8">
        <v>3</v>
      </c>
      <c r="C4433" s="8">
        <v>583.53949</v>
      </c>
      <c r="D4433" s="8">
        <v>29105.681640999999</v>
      </c>
      <c r="E4433" s="8">
        <v>29134.003906000002</v>
      </c>
      <c r="F4433" s="8">
        <f t="shared" si="138"/>
        <v>28.322265000002517</v>
      </c>
      <c r="G4433" s="8">
        <f t="shared" si="139"/>
        <v>2.8322265000002518E-2</v>
      </c>
    </row>
    <row r="4434" spans="1:7" x14ac:dyDescent="0.25">
      <c r="A4434" s="8">
        <v>59</v>
      </c>
      <c r="B4434" s="8">
        <v>4</v>
      </c>
      <c r="C4434" s="8">
        <v>132.14347799999999</v>
      </c>
      <c r="D4434" s="8">
        <v>29730.914063</v>
      </c>
      <c r="E4434" s="8">
        <v>29746.515625</v>
      </c>
      <c r="F4434" s="8">
        <f t="shared" si="138"/>
        <v>15.601561999999831</v>
      </c>
      <c r="G4434" s="8">
        <f t="shared" si="139"/>
        <v>1.5601561999999831E-2</v>
      </c>
    </row>
    <row r="4435" spans="1:7" x14ac:dyDescent="0.25">
      <c r="A4435" s="8">
        <v>59</v>
      </c>
      <c r="B4435" s="8">
        <v>5</v>
      </c>
      <c r="C4435" s="8">
        <v>499.44873000000001</v>
      </c>
      <c r="D4435" s="8">
        <v>29887.167968999998</v>
      </c>
      <c r="E4435" s="8">
        <v>29895.527343999998</v>
      </c>
      <c r="F4435" s="8">
        <f t="shared" si="138"/>
        <v>8.359375</v>
      </c>
      <c r="G4435" s="8">
        <f t="shared" si="139"/>
        <v>8.3593750000000005E-3</v>
      </c>
    </row>
    <row r="4436" spans="1:7" x14ac:dyDescent="0.25">
      <c r="A4436" s="8">
        <v>59</v>
      </c>
      <c r="B4436" s="8">
        <v>6</v>
      </c>
      <c r="C4436" s="8">
        <v>2106.5358890000002</v>
      </c>
      <c r="D4436" s="8">
        <v>30406.029297000001</v>
      </c>
      <c r="E4436" s="8">
        <v>30435.179688</v>
      </c>
      <c r="F4436" s="8">
        <f t="shared" si="138"/>
        <v>29.150390999999217</v>
      </c>
      <c r="G4436" s="8">
        <f t="shared" si="139"/>
        <v>2.9150390999999217E-2</v>
      </c>
    </row>
    <row r="4437" spans="1:7" x14ac:dyDescent="0.25">
      <c r="A4437" s="8">
        <v>59</v>
      </c>
      <c r="B4437" s="8">
        <v>7</v>
      </c>
      <c r="C4437" s="8">
        <v>314.22045900000001</v>
      </c>
      <c r="D4437" s="8">
        <v>32551.369140999999</v>
      </c>
      <c r="E4437" s="8">
        <v>32566.357422000001</v>
      </c>
      <c r="F4437" s="8">
        <f t="shared" si="138"/>
        <v>14.988281000001734</v>
      </c>
      <c r="G4437" s="8">
        <f t="shared" si="139"/>
        <v>1.4988281000001734E-2</v>
      </c>
    </row>
    <row r="4438" spans="1:7" x14ac:dyDescent="0.25">
      <c r="A4438" s="8">
        <v>59</v>
      </c>
      <c r="B4438" s="8">
        <v>8</v>
      </c>
      <c r="C4438" s="8">
        <v>837.16430700000001</v>
      </c>
      <c r="D4438" s="8">
        <v>32895.128905999998</v>
      </c>
      <c r="E4438" s="8">
        <v>32903.785155999998</v>
      </c>
      <c r="F4438" s="8">
        <f t="shared" si="138"/>
        <v>8.65625</v>
      </c>
      <c r="G4438" s="8">
        <f t="shared" si="139"/>
        <v>8.6562500000000007E-3</v>
      </c>
    </row>
    <row r="4439" spans="1:7" x14ac:dyDescent="0.25">
      <c r="A4439" s="8">
        <v>59</v>
      </c>
      <c r="B4439" s="8">
        <v>9</v>
      </c>
      <c r="C4439" s="8">
        <v>240.66915900000001</v>
      </c>
      <c r="D4439" s="8">
        <v>33743.839844000002</v>
      </c>
      <c r="E4439" s="8">
        <v>33760.675780999998</v>
      </c>
      <c r="F4439" s="8">
        <f t="shared" si="138"/>
        <v>16.835936999996193</v>
      </c>
      <c r="G4439" s="8">
        <f t="shared" si="139"/>
        <v>1.6835936999996193E-2</v>
      </c>
    </row>
    <row r="4440" spans="1:7" x14ac:dyDescent="0.25">
      <c r="A4440" s="8">
        <v>59</v>
      </c>
      <c r="B4440" s="8">
        <v>10</v>
      </c>
      <c r="C4440" s="8">
        <v>38.143383</v>
      </c>
      <c r="D4440" s="8">
        <v>34009.457030999998</v>
      </c>
      <c r="E4440" s="8">
        <v>34033.8125</v>
      </c>
      <c r="F4440" s="8">
        <f t="shared" si="138"/>
        <v>24.355469000001904</v>
      </c>
      <c r="G4440" s="8">
        <f t="shared" si="139"/>
        <v>2.4355469000001902E-2</v>
      </c>
    </row>
    <row r="4441" spans="1:7" x14ac:dyDescent="0.25">
      <c r="A4441" s="8">
        <v>59</v>
      </c>
      <c r="B4441" s="8">
        <v>11</v>
      </c>
      <c r="C4441" s="8">
        <v>532.39117399999998</v>
      </c>
      <c r="D4441" s="8">
        <v>34087.597655999998</v>
      </c>
      <c r="E4441" s="8">
        <v>34102.453125</v>
      </c>
      <c r="F4441" s="8">
        <f t="shared" si="138"/>
        <v>14.855469000001904</v>
      </c>
      <c r="G4441" s="8">
        <f t="shared" si="139"/>
        <v>1.4855469000001904E-2</v>
      </c>
    </row>
    <row r="4442" spans="1:7" x14ac:dyDescent="0.25">
      <c r="A4442" s="8">
        <v>59</v>
      </c>
      <c r="B4442" s="8">
        <v>12</v>
      </c>
      <c r="C4442" s="8">
        <v>1485.456177</v>
      </c>
      <c r="D4442" s="8">
        <v>34639.363280999998</v>
      </c>
      <c r="E4442" s="8">
        <v>34653.167969000002</v>
      </c>
      <c r="F4442" s="8">
        <f t="shared" si="138"/>
        <v>13.804688000003807</v>
      </c>
      <c r="G4442" s="8">
        <f t="shared" si="139"/>
        <v>1.3804688000003807E-2</v>
      </c>
    </row>
    <row r="4443" spans="1:7" x14ac:dyDescent="0.25">
      <c r="A4443" s="8">
        <v>59</v>
      </c>
      <c r="B4443" s="8">
        <v>13</v>
      </c>
      <c r="C4443" s="8">
        <v>351.19915800000001</v>
      </c>
      <c r="D4443" s="8">
        <v>36139.539062999997</v>
      </c>
      <c r="E4443" s="8">
        <v>36157.269530999998</v>
      </c>
      <c r="F4443" s="8">
        <f t="shared" si="138"/>
        <v>17.730468000001565</v>
      </c>
      <c r="G4443" s="8">
        <f t="shared" si="139"/>
        <v>1.7730468000001564E-2</v>
      </c>
    </row>
    <row r="4444" spans="1:7" x14ac:dyDescent="0.25">
      <c r="A4444" s="8">
        <v>59</v>
      </c>
      <c r="B4444" s="8">
        <v>14</v>
      </c>
      <c r="C4444" s="8">
        <v>675.59527600000001</v>
      </c>
      <c r="D4444" s="8">
        <v>36519.019530999998</v>
      </c>
      <c r="E4444" s="8">
        <v>36534.152344000002</v>
      </c>
      <c r="F4444" s="8">
        <f t="shared" si="138"/>
        <v>15.132813000003807</v>
      </c>
      <c r="G4444" s="8">
        <f t="shared" si="139"/>
        <v>1.5132813000003808E-2</v>
      </c>
    </row>
    <row r="4445" spans="1:7" x14ac:dyDescent="0.25">
      <c r="A4445" s="8">
        <v>59</v>
      </c>
      <c r="B4445" s="8">
        <v>15</v>
      </c>
      <c r="C4445" s="8">
        <v>1925.9470209999999</v>
      </c>
      <c r="D4445" s="8">
        <v>37222.226562999997</v>
      </c>
      <c r="E4445" s="8">
        <v>37240</v>
      </c>
      <c r="F4445" s="8">
        <f t="shared" si="138"/>
        <v>17.773437000003469</v>
      </c>
      <c r="G4445" s="8">
        <f t="shared" si="139"/>
        <v>1.7773437000003469E-2</v>
      </c>
    </row>
    <row r="4446" spans="1:7" x14ac:dyDescent="0.25">
      <c r="A4446" s="8">
        <v>59</v>
      </c>
      <c r="B4446" s="8">
        <v>16</v>
      </c>
      <c r="C4446" s="8">
        <v>1586.2139890000001</v>
      </c>
      <c r="D4446" s="8">
        <v>39167.921875</v>
      </c>
      <c r="E4446" s="8">
        <v>39192.105469000002</v>
      </c>
      <c r="F4446" s="8">
        <f t="shared" si="138"/>
        <v>24.183594000001904</v>
      </c>
      <c r="G4446" s="8">
        <f t="shared" si="139"/>
        <v>2.4183594000001904E-2</v>
      </c>
    </row>
    <row r="4447" spans="1:7" x14ac:dyDescent="0.25">
      <c r="A4447" s="8">
        <v>59</v>
      </c>
      <c r="B4447" s="8">
        <v>17</v>
      </c>
      <c r="C4447" s="8">
        <v>829.29492200000004</v>
      </c>
      <c r="D4447" s="8">
        <v>40793.777344000002</v>
      </c>
      <c r="E4447" s="8">
        <v>40812.722655999998</v>
      </c>
      <c r="F4447" s="8">
        <f t="shared" si="138"/>
        <v>18.945311999996193</v>
      </c>
      <c r="G4447" s="8">
        <f t="shared" si="139"/>
        <v>1.8945311999996193E-2</v>
      </c>
    </row>
    <row r="4448" spans="1:7" x14ac:dyDescent="0.25">
      <c r="A4448" s="8">
        <v>59</v>
      </c>
      <c r="B4448" s="8">
        <v>18</v>
      </c>
      <c r="C4448" s="8">
        <v>2206.4624020000001</v>
      </c>
      <c r="D4448" s="8">
        <v>41653.335937999997</v>
      </c>
      <c r="E4448" s="8">
        <v>41684.574219000002</v>
      </c>
      <c r="F4448" s="8">
        <f t="shared" si="138"/>
        <v>31.238281000005372</v>
      </c>
      <c r="G4448" s="8">
        <f t="shared" si="139"/>
        <v>3.1238281000005374E-2</v>
      </c>
    </row>
    <row r="4449" spans="1:7" x14ac:dyDescent="0.25">
      <c r="A4449" s="8">
        <v>59</v>
      </c>
      <c r="B4449" s="8">
        <v>19</v>
      </c>
      <c r="C4449" s="8">
        <v>2673.227539</v>
      </c>
      <c r="D4449" s="8">
        <v>43896.738280999998</v>
      </c>
      <c r="E4449" s="8">
        <v>43904.515625</v>
      </c>
      <c r="F4449" s="8">
        <f t="shared" si="138"/>
        <v>7.7773440000019036</v>
      </c>
      <c r="G4449" s="8">
        <f t="shared" si="139"/>
        <v>7.7773440000019033E-3</v>
      </c>
    </row>
    <row r="4450" spans="1:7" x14ac:dyDescent="0.25">
      <c r="A4450" s="8">
        <v>59</v>
      </c>
      <c r="B4450" s="8">
        <v>20</v>
      </c>
      <c r="C4450" s="8">
        <v>887.89514199999996</v>
      </c>
      <c r="D4450" s="8">
        <v>46578.839844000002</v>
      </c>
      <c r="E4450" s="8">
        <v>46605.828125</v>
      </c>
      <c r="F4450" s="8">
        <f t="shared" si="138"/>
        <v>26.988280999998096</v>
      </c>
      <c r="G4450" s="8">
        <f t="shared" si="139"/>
        <v>2.6988280999998095E-2</v>
      </c>
    </row>
    <row r="4451" spans="1:7" x14ac:dyDescent="0.25">
      <c r="A4451" s="8">
        <v>59</v>
      </c>
      <c r="B4451" s="8">
        <v>21</v>
      </c>
      <c r="C4451" s="8">
        <v>1491.623047</v>
      </c>
      <c r="D4451" s="8">
        <v>47500.804687999997</v>
      </c>
      <c r="E4451" s="8">
        <v>47514.453125</v>
      </c>
      <c r="F4451" s="8">
        <f t="shared" si="138"/>
        <v>13.648437000003469</v>
      </c>
      <c r="G4451" s="8">
        <f t="shared" si="139"/>
        <v>1.3648437000003469E-2</v>
      </c>
    </row>
    <row r="4452" spans="1:7" x14ac:dyDescent="0.25">
      <c r="A4452" s="8">
        <v>59</v>
      </c>
      <c r="B4452" s="8">
        <v>22</v>
      </c>
      <c r="C4452" s="8">
        <v>4294.1591799999997</v>
      </c>
      <c r="D4452" s="8">
        <v>49012.21875</v>
      </c>
      <c r="E4452" s="8">
        <v>49028.597655999998</v>
      </c>
      <c r="F4452" s="8">
        <f t="shared" si="138"/>
        <v>16.378905999998096</v>
      </c>
      <c r="G4452" s="8">
        <f t="shared" si="139"/>
        <v>1.6378905999998097E-2</v>
      </c>
    </row>
    <row r="4453" spans="1:7" x14ac:dyDescent="0.25">
      <c r="A4453" s="8">
        <v>59</v>
      </c>
      <c r="B4453" s="8">
        <v>23</v>
      </c>
      <c r="C4453" s="8">
        <v>4218.7944340000004</v>
      </c>
      <c r="D4453" s="8">
        <v>53327.464844000002</v>
      </c>
      <c r="E4453" s="8">
        <v>53344.332030999998</v>
      </c>
      <c r="F4453" s="8">
        <f t="shared" si="138"/>
        <v>16.867186999996193</v>
      </c>
      <c r="G4453" s="8">
        <f t="shared" si="139"/>
        <v>1.6867186999996193E-2</v>
      </c>
    </row>
    <row r="4454" spans="1:7" x14ac:dyDescent="0.25">
      <c r="A4454" s="8">
        <v>59</v>
      </c>
      <c r="B4454" s="8">
        <v>24</v>
      </c>
      <c r="C4454" s="8">
        <v>583.21264599999995</v>
      </c>
      <c r="D4454" s="8">
        <v>57570.066405999998</v>
      </c>
      <c r="E4454" s="8">
        <v>57584.109375</v>
      </c>
      <c r="F4454" s="8">
        <f t="shared" si="138"/>
        <v>14.042969000001904</v>
      </c>
      <c r="G4454" s="8">
        <f t="shared" si="139"/>
        <v>1.4042969000001904E-2</v>
      </c>
    </row>
    <row r="4455" spans="1:7" x14ac:dyDescent="0.25">
      <c r="A4455" s="8">
        <v>59</v>
      </c>
      <c r="B4455" s="8">
        <v>25</v>
      </c>
      <c r="C4455" s="8">
        <v>3834.5410160000001</v>
      </c>
      <c r="D4455" s="8">
        <v>58179.699219000002</v>
      </c>
      <c r="E4455" s="8">
        <v>58199.566405999998</v>
      </c>
      <c r="F4455" s="8">
        <f t="shared" si="138"/>
        <v>19.867186999996193</v>
      </c>
      <c r="G4455" s="8">
        <f t="shared" si="139"/>
        <v>1.9867186999996192E-2</v>
      </c>
    </row>
    <row r="4456" spans="1:7" x14ac:dyDescent="0.25">
      <c r="A4456" s="8">
        <v>59</v>
      </c>
      <c r="B4456" s="8">
        <v>26</v>
      </c>
      <c r="C4456" s="8">
        <v>6943.1640630000002</v>
      </c>
      <c r="D4456" s="8">
        <v>62044.578125</v>
      </c>
      <c r="E4456" s="8">
        <v>62065.078125</v>
      </c>
      <c r="F4456" s="8">
        <f t="shared" si="138"/>
        <v>20.5</v>
      </c>
      <c r="G4456" s="8">
        <f t="shared" si="139"/>
        <v>2.0500000000000001E-2</v>
      </c>
    </row>
    <row r="4457" spans="1:7" x14ac:dyDescent="0.25">
      <c r="A4457" s="8">
        <v>59</v>
      </c>
      <c r="B4457" s="8">
        <v>27</v>
      </c>
      <c r="C4457" s="8">
        <v>254.27722199999999</v>
      </c>
      <c r="D4457" s="8">
        <v>69014.210938000004</v>
      </c>
      <c r="E4457" s="8">
        <v>69025.148438000004</v>
      </c>
      <c r="F4457" s="8">
        <f t="shared" si="138"/>
        <v>10.9375</v>
      </c>
      <c r="G4457" s="8">
        <f t="shared" si="139"/>
        <v>1.0937499999999999E-2</v>
      </c>
    </row>
    <row r="4458" spans="1:7" x14ac:dyDescent="0.25">
      <c r="A4458" s="8">
        <v>59</v>
      </c>
      <c r="B4458" s="8">
        <v>28</v>
      </c>
      <c r="C4458" s="8">
        <v>5416.5278319999998</v>
      </c>
      <c r="D4458" s="8">
        <v>69279.945313000004</v>
      </c>
      <c r="E4458" s="8">
        <v>69299.992188000004</v>
      </c>
      <c r="F4458" s="8">
        <f t="shared" si="138"/>
        <v>20.046875</v>
      </c>
      <c r="G4458" s="8">
        <f t="shared" si="139"/>
        <v>2.0046874999999999E-2</v>
      </c>
    </row>
    <row r="4459" spans="1:7" x14ac:dyDescent="0.25">
      <c r="A4459" s="8">
        <v>59</v>
      </c>
      <c r="B4459" s="8">
        <v>29</v>
      </c>
      <c r="C4459" s="8">
        <v>4922.4638670000004</v>
      </c>
      <c r="D4459" s="8">
        <v>74727</v>
      </c>
      <c r="E4459" s="8">
        <v>74749.539063000004</v>
      </c>
      <c r="F4459" s="8">
        <f t="shared" si="138"/>
        <v>22.539063000003807</v>
      </c>
      <c r="G4459" s="8">
        <f t="shared" si="139"/>
        <v>2.2539063000003808E-2</v>
      </c>
    </row>
    <row r="4460" spans="1:7" x14ac:dyDescent="0.25">
      <c r="A4460" s="8">
        <v>59</v>
      </c>
      <c r="B4460" s="8">
        <v>30</v>
      </c>
      <c r="C4460" s="8">
        <v>1568.8861079999999</v>
      </c>
      <c r="D4460" s="8">
        <v>79676.03125</v>
      </c>
      <c r="E4460" s="8">
        <v>79689.875</v>
      </c>
      <c r="F4460" s="8">
        <f t="shared" si="138"/>
        <v>13.84375</v>
      </c>
      <c r="G4460" s="8">
        <f t="shared" si="139"/>
        <v>1.384375E-2</v>
      </c>
    </row>
    <row r="4461" spans="1:7" x14ac:dyDescent="0.25">
      <c r="A4461" s="8">
        <v>59</v>
      </c>
      <c r="B4461" s="8">
        <v>31</v>
      </c>
      <c r="C4461" s="8">
        <v>4839.7905270000001</v>
      </c>
      <c r="D4461" s="8">
        <v>81270.765625</v>
      </c>
      <c r="E4461" s="8">
        <v>81293.640625</v>
      </c>
      <c r="F4461" s="8">
        <f t="shared" si="138"/>
        <v>22.875</v>
      </c>
      <c r="G4461" s="8">
        <f t="shared" si="139"/>
        <v>2.2875E-2</v>
      </c>
    </row>
    <row r="4462" spans="1:7" x14ac:dyDescent="0.25">
      <c r="A4462" s="8">
        <v>59</v>
      </c>
      <c r="B4462" s="8">
        <v>32</v>
      </c>
      <c r="C4462" s="8">
        <v>1968.6083980000001</v>
      </c>
      <c r="D4462" s="8">
        <v>86143.234375</v>
      </c>
      <c r="E4462" s="8">
        <v>86169.140625</v>
      </c>
      <c r="F4462" s="8">
        <f t="shared" si="138"/>
        <v>25.90625</v>
      </c>
      <c r="G4462" s="8">
        <f t="shared" si="139"/>
        <v>2.5906249999999999E-2</v>
      </c>
    </row>
    <row r="4463" spans="1:7" x14ac:dyDescent="0.25">
      <c r="A4463" s="8">
        <v>59</v>
      </c>
      <c r="B4463" s="8">
        <v>33</v>
      </c>
      <c r="C4463" s="8">
        <v>3086.7377929999998</v>
      </c>
      <c r="D4463" s="8">
        <v>88146.6875</v>
      </c>
      <c r="E4463" s="8">
        <v>88157.890625</v>
      </c>
      <c r="F4463" s="8">
        <f t="shared" si="138"/>
        <v>11.203125</v>
      </c>
      <c r="G4463" s="8">
        <f t="shared" si="139"/>
        <v>1.1203125E-2</v>
      </c>
    </row>
    <row r="4464" spans="1:7" x14ac:dyDescent="0.25">
      <c r="A4464" s="8">
        <v>59</v>
      </c>
      <c r="B4464" s="8">
        <v>34</v>
      </c>
      <c r="C4464" s="8">
        <v>1905.1110839999999</v>
      </c>
      <c r="D4464" s="8">
        <v>91245.546875</v>
      </c>
      <c r="E4464" s="8">
        <v>91258.195313000004</v>
      </c>
      <c r="F4464" s="8">
        <f t="shared" si="138"/>
        <v>12.648438000003807</v>
      </c>
      <c r="G4464" s="8">
        <f t="shared" si="139"/>
        <v>1.2648438000003807E-2</v>
      </c>
    </row>
    <row r="4465" spans="1:7" x14ac:dyDescent="0.25">
      <c r="A4465" s="8">
        <v>59</v>
      </c>
      <c r="B4465" s="8">
        <v>35</v>
      </c>
      <c r="C4465" s="8">
        <v>63.247368000000002</v>
      </c>
      <c r="D4465" s="8">
        <v>93169.742188000004</v>
      </c>
      <c r="E4465" s="8">
        <v>93185.34375</v>
      </c>
      <c r="F4465" s="8">
        <f t="shared" si="138"/>
        <v>15.601561999996193</v>
      </c>
      <c r="G4465" s="8">
        <f t="shared" si="139"/>
        <v>1.5601561999996193E-2</v>
      </c>
    </row>
    <row r="4466" spans="1:7" x14ac:dyDescent="0.25">
      <c r="A4466" s="8">
        <v>59</v>
      </c>
      <c r="B4466" s="8">
        <v>36</v>
      </c>
      <c r="C4466" s="8">
        <v>220.25868199999999</v>
      </c>
      <c r="D4466" s="8">
        <v>93263.53125</v>
      </c>
      <c r="E4466" s="8">
        <v>93274.398438000004</v>
      </c>
      <c r="F4466" s="8">
        <f t="shared" si="138"/>
        <v>10.867188000003807</v>
      </c>
      <c r="G4466" s="8">
        <f t="shared" si="139"/>
        <v>1.0867188000003808E-2</v>
      </c>
    </row>
    <row r="4467" spans="1:7" x14ac:dyDescent="0.25">
      <c r="A4467" s="8">
        <v>59</v>
      </c>
      <c r="B4467" s="8">
        <v>37</v>
      </c>
      <c r="C4467" s="8">
        <v>817.31878700000004</v>
      </c>
      <c r="D4467" s="8">
        <v>93498.15625</v>
      </c>
      <c r="E4467" s="8">
        <v>93512.117188000004</v>
      </c>
      <c r="F4467" s="8">
        <f t="shared" si="138"/>
        <v>13.960938000003807</v>
      </c>
      <c r="G4467" s="8">
        <f t="shared" si="139"/>
        <v>1.3960938000003807E-2</v>
      </c>
    </row>
    <row r="4468" spans="1:7" x14ac:dyDescent="0.25">
      <c r="A4468" s="8">
        <v>59</v>
      </c>
      <c r="B4468" s="8">
        <v>38</v>
      </c>
      <c r="C4468" s="8">
        <v>1481.099487</v>
      </c>
      <c r="D4468" s="8">
        <v>94342</v>
      </c>
      <c r="E4468" s="8">
        <v>94366.765625</v>
      </c>
      <c r="F4468" s="8">
        <f t="shared" si="138"/>
        <v>24.765625</v>
      </c>
      <c r="G4468" s="8">
        <f t="shared" si="139"/>
        <v>2.4765624999999999E-2</v>
      </c>
    </row>
    <row r="4469" spans="1:7" x14ac:dyDescent="0.25">
      <c r="A4469" s="8">
        <v>59</v>
      </c>
      <c r="B4469" s="8">
        <v>39</v>
      </c>
      <c r="C4469" s="8">
        <v>251.16056800000001</v>
      </c>
      <c r="D4469" s="8">
        <v>95850.273438000004</v>
      </c>
      <c r="E4469" s="8">
        <v>95859.84375</v>
      </c>
      <c r="F4469" s="8">
        <f t="shared" si="138"/>
        <v>9.5703119999961928</v>
      </c>
      <c r="G4469" s="8">
        <f t="shared" si="139"/>
        <v>9.5703119999961932E-3</v>
      </c>
    </row>
    <row r="4470" spans="1:7" x14ac:dyDescent="0.25">
      <c r="A4470" s="8">
        <v>59</v>
      </c>
      <c r="B4470" s="8">
        <v>40</v>
      </c>
      <c r="C4470" s="8">
        <v>6237.0961909999996</v>
      </c>
      <c r="D4470" s="8">
        <v>96115.921875</v>
      </c>
      <c r="E4470" s="8">
        <v>96133.820313000004</v>
      </c>
      <c r="F4470" s="8">
        <f t="shared" si="138"/>
        <v>17.898438000003807</v>
      </c>
      <c r="G4470" s="8">
        <f t="shared" si="139"/>
        <v>1.7898438000003809E-2</v>
      </c>
    </row>
    <row r="4471" spans="1:7" x14ac:dyDescent="0.25">
      <c r="A4471" s="8">
        <v>59</v>
      </c>
      <c r="B4471" s="8">
        <v>41</v>
      </c>
      <c r="C4471" s="8">
        <v>3089.882568</v>
      </c>
      <c r="D4471" s="8">
        <v>102375.429688</v>
      </c>
      <c r="E4471" s="8">
        <v>102397.875</v>
      </c>
      <c r="F4471" s="8">
        <f t="shared" si="138"/>
        <v>22.445311999996193</v>
      </c>
      <c r="G4471" s="8">
        <f t="shared" si="139"/>
        <v>2.2445311999996193E-2</v>
      </c>
    </row>
    <row r="4472" spans="1:7" x14ac:dyDescent="0.25">
      <c r="A4472" s="8">
        <v>59</v>
      </c>
      <c r="B4472" s="8">
        <v>42</v>
      </c>
      <c r="C4472" s="8">
        <v>272.17025799999999</v>
      </c>
      <c r="D4472" s="8">
        <v>105493.703125</v>
      </c>
      <c r="E4472" s="8">
        <v>105517.648438</v>
      </c>
      <c r="F4472" s="8">
        <f t="shared" si="138"/>
        <v>23.945313000003807</v>
      </c>
      <c r="G4472" s="8">
        <f t="shared" si="139"/>
        <v>2.3945313000003809E-2</v>
      </c>
    </row>
    <row r="4473" spans="1:7" x14ac:dyDescent="0.25">
      <c r="A4473" s="8">
        <v>59</v>
      </c>
      <c r="B4473" s="8">
        <v>43</v>
      </c>
      <c r="C4473" s="8">
        <v>1421.205322</v>
      </c>
      <c r="D4473" s="8">
        <v>105797.140625</v>
      </c>
      <c r="E4473" s="8">
        <v>105817.429688</v>
      </c>
      <c r="F4473" s="8">
        <f t="shared" si="138"/>
        <v>20.289063000003807</v>
      </c>
      <c r="G4473" s="8">
        <f t="shared" si="139"/>
        <v>2.0289063000003806E-2</v>
      </c>
    </row>
    <row r="4474" spans="1:7" x14ac:dyDescent="0.25">
      <c r="A4474" s="8">
        <v>59</v>
      </c>
      <c r="B4474" s="8">
        <v>44</v>
      </c>
      <c r="C4474" s="8">
        <v>5860.7553710000002</v>
      </c>
      <c r="D4474" s="8">
        <v>107250.257813</v>
      </c>
      <c r="E4474" s="8">
        <v>107261.507813</v>
      </c>
      <c r="F4474" s="8">
        <f t="shared" si="138"/>
        <v>11.25</v>
      </c>
      <c r="G4474" s="8">
        <f t="shared" si="139"/>
        <v>1.125E-2</v>
      </c>
    </row>
    <row r="4475" spans="1:7" x14ac:dyDescent="0.25">
      <c r="A4475" s="8">
        <v>59</v>
      </c>
      <c r="B4475" s="8">
        <v>45</v>
      </c>
      <c r="C4475" s="8">
        <v>23.391366999999999</v>
      </c>
      <c r="D4475" s="8">
        <v>113128.117188</v>
      </c>
      <c r="E4475" s="8">
        <v>113135.65625</v>
      </c>
      <c r="F4475" s="8">
        <f t="shared" si="138"/>
        <v>7.5390619999961928</v>
      </c>
      <c r="G4475" s="8">
        <f t="shared" si="139"/>
        <v>7.5390619999961932E-3</v>
      </c>
    </row>
    <row r="4476" spans="1:7" x14ac:dyDescent="0.25">
      <c r="A4476" s="8">
        <v>59</v>
      </c>
      <c r="B4476" s="8">
        <v>46</v>
      </c>
      <c r="C4476" s="8">
        <v>3251.6140140000002</v>
      </c>
      <c r="D4476" s="8">
        <v>113159.375</v>
      </c>
      <c r="E4476" s="8">
        <v>113174.421875</v>
      </c>
      <c r="F4476" s="8">
        <f t="shared" si="138"/>
        <v>15.046875</v>
      </c>
      <c r="G4476" s="8">
        <f t="shared" si="139"/>
        <v>1.5046874999999999E-2</v>
      </c>
    </row>
    <row r="4477" spans="1:7" x14ac:dyDescent="0.25">
      <c r="A4477" s="8">
        <v>59</v>
      </c>
      <c r="B4477" s="8">
        <v>47</v>
      </c>
      <c r="C4477" s="8">
        <v>1821.8979489999999</v>
      </c>
      <c r="D4477" s="8">
        <v>116427.03125</v>
      </c>
      <c r="E4477" s="8">
        <v>116453.5</v>
      </c>
      <c r="F4477" s="8">
        <f t="shared" si="138"/>
        <v>26.46875</v>
      </c>
      <c r="G4477" s="8">
        <f t="shared" si="139"/>
        <v>2.6468749999999999E-2</v>
      </c>
    </row>
    <row r="4478" spans="1:7" x14ac:dyDescent="0.25">
      <c r="A4478" s="8">
        <v>59</v>
      </c>
      <c r="B4478" s="8">
        <v>48</v>
      </c>
      <c r="C4478" s="8">
        <v>3402.3371579999998</v>
      </c>
      <c r="D4478" s="8">
        <v>118275.554688</v>
      </c>
      <c r="E4478" s="8">
        <v>118296.28125</v>
      </c>
      <c r="F4478" s="8">
        <f t="shared" si="138"/>
        <v>20.726561999996193</v>
      </c>
      <c r="G4478" s="8">
        <f t="shared" si="139"/>
        <v>2.0726561999996194E-2</v>
      </c>
    </row>
    <row r="4479" spans="1:7" x14ac:dyDescent="0.25">
      <c r="A4479" s="8">
        <v>59</v>
      </c>
      <c r="B4479" s="8">
        <v>49</v>
      </c>
      <c r="C4479" s="8">
        <v>1436.4183350000001</v>
      </c>
      <c r="D4479" s="8">
        <v>121705.226563</v>
      </c>
      <c r="E4479" s="8">
        <v>121716.507813</v>
      </c>
      <c r="F4479" s="8">
        <f t="shared" si="138"/>
        <v>11.28125</v>
      </c>
      <c r="G4479" s="8">
        <f t="shared" si="139"/>
        <v>1.128125E-2</v>
      </c>
    </row>
    <row r="4480" spans="1:7" x14ac:dyDescent="0.25">
      <c r="A4480" s="8">
        <v>59</v>
      </c>
      <c r="B4480" s="8">
        <v>50</v>
      </c>
      <c r="C4480" s="8">
        <v>932.73272699999995</v>
      </c>
      <c r="D4480" s="8">
        <v>123168.234375</v>
      </c>
      <c r="E4480" s="8">
        <v>123177.476563</v>
      </c>
      <c r="F4480" s="8">
        <f t="shared" si="138"/>
        <v>9.2421880000038072</v>
      </c>
      <c r="G4480" s="8">
        <f t="shared" si="139"/>
        <v>9.2421880000038079E-3</v>
      </c>
    </row>
    <row r="4481" spans="1:7" x14ac:dyDescent="0.25">
      <c r="A4481" s="8">
        <v>59</v>
      </c>
      <c r="B4481" s="8">
        <v>51</v>
      </c>
      <c r="C4481" s="8">
        <v>1152.2954099999999</v>
      </c>
      <c r="D4481" s="8">
        <v>124111.445313</v>
      </c>
      <c r="E4481" s="8">
        <v>124125.203125</v>
      </c>
      <c r="F4481" s="8">
        <f t="shared" si="138"/>
        <v>13.757811999996193</v>
      </c>
      <c r="G4481" s="8">
        <f t="shared" si="139"/>
        <v>1.3757811999996193E-2</v>
      </c>
    </row>
    <row r="4482" spans="1:7" x14ac:dyDescent="0.25">
      <c r="A4482" s="8">
        <v>59</v>
      </c>
      <c r="B4482" s="8">
        <v>52</v>
      </c>
      <c r="C4482" s="8">
        <v>894.28027299999997</v>
      </c>
      <c r="D4482" s="8">
        <v>125283.484375</v>
      </c>
      <c r="E4482" s="8">
        <v>125295.171875</v>
      </c>
      <c r="F4482" s="8">
        <f t="shared" si="138"/>
        <v>11.6875</v>
      </c>
      <c r="G4482" s="8">
        <f t="shared" si="139"/>
        <v>1.16875E-2</v>
      </c>
    </row>
    <row r="4483" spans="1:7" x14ac:dyDescent="0.25">
      <c r="A4483" s="8">
        <v>59</v>
      </c>
      <c r="B4483" s="8">
        <v>53</v>
      </c>
      <c r="C4483" s="8">
        <v>1672.2189940000001</v>
      </c>
      <c r="D4483" s="8">
        <v>126190.40625</v>
      </c>
      <c r="E4483" s="8">
        <v>126203.445313</v>
      </c>
      <c r="F4483" s="8">
        <f t="shared" si="138"/>
        <v>13.039063000003807</v>
      </c>
      <c r="G4483" s="8">
        <f t="shared" si="139"/>
        <v>1.3039063000003808E-2</v>
      </c>
    </row>
    <row r="4484" spans="1:7" x14ac:dyDescent="0.25">
      <c r="A4484" s="8">
        <v>59</v>
      </c>
      <c r="B4484" s="8">
        <v>54</v>
      </c>
      <c r="C4484" s="8">
        <v>1557.9492190000001</v>
      </c>
      <c r="D4484" s="8">
        <v>127878.09375</v>
      </c>
      <c r="E4484" s="8">
        <v>127902.765625</v>
      </c>
      <c r="F4484" s="8">
        <f t="shared" si="138"/>
        <v>24.671875</v>
      </c>
      <c r="G4484" s="8">
        <f t="shared" si="139"/>
        <v>2.4671874999999999E-2</v>
      </c>
    </row>
    <row r="4485" spans="1:7" x14ac:dyDescent="0.25">
      <c r="A4485" s="8">
        <v>59</v>
      </c>
      <c r="B4485" s="8">
        <v>55</v>
      </c>
      <c r="C4485" s="8">
        <v>3188.7080080000001</v>
      </c>
      <c r="D4485" s="8">
        <v>129473.265625</v>
      </c>
      <c r="E4485" s="8">
        <v>129598.914063</v>
      </c>
      <c r="F4485" s="8">
        <f t="shared" si="138"/>
        <v>125.64843800000381</v>
      </c>
      <c r="G4485" s="8">
        <f t="shared" si="139"/>
        <v>0.1256484380000038</v>
      </c>
    </row>
    <row r="4486" spans="1:7" x14ac:dyDescent="0.25">
      <c r="A4486" s="8">
        <v>59</v>
      </c>
      <c r="B4486" s="8">
        <v>56</v>
      </c>
      <c r="C4486" s="8">
        <v>252.47598300000001</v>
      </c>
      <c r="D4486" s="8">
        <v>132795.828125</v>
      </c>
      <c r="E4486" s="8">
        <v>132820.6875</v>
      </c>
      <c r="F4486" s="8">
        <f t="shared" si="138"/>
        <v>24.859375</v>
      </c>
      <c r="G4486" s="8">
        <f t="shared" si="139"/>
        <v>2.4859375E-2</v>
      </c>
    </row>
    <row r="4487" spans="1:7" x14ac:dyDescent="0.25">
      <c r="A4487" s="8">
        <v>59</v>
      </c>
      <c r="B4487" s="8">
        <v>57</v>
      </c>
      <c r="C4487" s="8">
        <v>1402.288818</v>
      </c>
      <c r="D4487" s="8">
        <v>133081.75</v>
      </c>
      <c r="E4487" s="8">
        <v>133095.453125</v>
      </c>
      <c r="F4487" s="8">
        <f t="shared" si="138"/>
        <v>13.703125</v>
      </c>
      <c r="G4487" s="8">
        <f t="shared" si="139"/>
        <v>1.3703125E-2</v>
      </c>
    </row>
    <row r="4488" spans="1:7" x14ac:dyDescent="0.25">
      <c r="A4488" s="8">
        <v>59</v>
      </c>
      <c r="B4488" s="8">
        <v>58</v>
      </c>
      <c r="C4488" s="8">
        <v>5761.4873049999997</v>
      </c>
      <c r="D4488" s="8">
        <v>134503.796875</v>
      </c>
      <c r="E4488" s="8">
        <v>134518.25</v>
      </c>
      <c r="F4488" s="8">
        <f t="shared" si="138"/>
        <v>14.453125</v>
      </c>
      <c r="G4488" s="8">
        <f t="shared" si="139"/>
        <v>1.4453125000000001E-2</v>
      </c>
    </row>
    <row r="4489" spans="1:7" x14ac:dyDescent="0.25">
      <c r="A4489" s="8">
        <v>59</v>
      </c>
      <c r="B4489" s="8">
        <v>59</v>
      </c>
      <c r="C4489" s="8">
        <v>1005.158081</v>
      </c>
      <c r="D4489" s="8">
        <v>140287.875</v>
      </c>
      <c r="E4489" s="8">
        <v>140301.640625</v>
      </c>
      <c r="F4489" s="8">
        <f t="shared" si="138"/>
        <v>13.765625</v>
      </c>
      <c r="G4489" s="8">
        <f t="shared" si="139"/>
        <v>1.3765625E-2</v>
      </c>
    </row>
    <row r="4490" spans="1:7" x14ac:dyDescent="0.25">
      <c r="A4490" s="8">
        <v>59</v>
      </c>
      <c r="B4490" s="8">
        <v>60</v>
      </c>
      <c r="C4490" s="8">
        <v>1605.463013</v>
      </c>
      <c r="D4490" s="8">
        <v>141313.625</v>
      </c>
      <c r="E4490" s="8">
        <v>141338.46875</v>
      </c>
      <c r="F4490" s="8">
        <f t="shared" si="138"/>
        <v>24.84375</v>
      </c>
      <c r="G4490" s="8">
        <f t="shared" si="139"/>
        <v>2.4843750000000001E-2</v>
      </c>
    </row>
    <row r="4491" spans="1:7" x14ac:dyDescent="0.25">
      <c r="A4491" s="8">
        <v>59</v>
      </c>
      <c r="B4491" s="8">
        <v>61</v>
      </c>
      <c r="C4491" s="8">
        <v>1744.9282229999999</v>
      </c>
      <c r="D4491" s="8">
        <v>142952.765625</v>
      </c>
      <c r="E4491" s="8">
        <v>142965.078125</v>
      </c>
      <c r="F4491" s="8">
        <f t="shared" ref="F4491:F4554" si="140">E4491-D4491</f>
        <v>12.3125</v>
      </c>
      <c r="G4491" s="8">
        <f t="shared" ref="G4491:G4554" si="141">F4491/1000</f>
        <v>1.2312500000000001E-2</v>
      </c>
    </row>
    <row r="4492" spans="1:7" x14ac:dyDescent="0.25">
      <c r="A4492" s="8">
        <v>59</v>
      </c>
      <c r="B4492" s="8">
        <v>62</v>
      </c>
      <c r="C4492" s="8">
        <v>1001.428589</v>
      </c>
      <c r="D4492" s="8">
        <v>144713.03125</v>
      </c>
      <c r="E4492" s="8">
        <v>144727.015625</v>
      </c>
      <c r="F4492" s="8">
        <f t="shared" si="140"/>
        <v>13.984375</v>
      </c>
      <c r="G4492" s="8">
        <f t="shared" si="141"/>
        <v>1.3984375E-2</v>
      </c>
    </row>
    <row r="4493" spans="1:7" x14ac:dyDescent="0.25">
      <c r="A4493" s="8">
        <v>59</v>
      </c>
      <c r="B4493" s="8">
        <v>63</v>
      </c>
      <c r="C4493" s="8">
        <v>1540.072388</v>
      </c>
      <c r="D4493" s="8">
        <v>145740.359375</v>
      </c>
      <c r="E4493" s="8">
        <v>145757.375</v>
      </c>
      <c r="F4493" s="8">
        <f t="shared" si="140"/>
        <v>17.015625</v>
      </c>
      <c r="G4493" s="8">
        <f t="shared" si="141"/>
        <v>1.7015625E-2</v>
      </c>
    </row>
    <row r="4494" spans="1:7" x14ac:dyDescent="0.25">
      <c r="A4494" s="8">
        <v>59</v>
      </c>
      <c r="B4494" s="8">
        <v>64</v>
      </c>
      <c r="C4494" s="8">
        <v>30.072098</v>
      </c>
      <c r="D4494" s="8">
        <v>147302.953125</v>
      </c>
      <c r="E4494" s="8">
        <v>147323.734375</v>
      </c>
      <c r="F4494" s="8">
        <f t="shared" si="140"/>
        <v>20.78125</v>
      </c>
      <c r="G4494" s="8">
        <f t="shared" si="141"/>
        <v>2.0781250000000001E-2</v>
      </c>
    </row>
    <row r="4495" spans="1:7" x14ac:dyDescent="0.25">
      <c r="A4495" s="8">
        <v>59</v>
      </c>
      <c r="B4495" s="8">
        <v>65</v>
      </c>
      <c r="C4495" s="8">
        <v>1125.543457</v>
      </c>
      <c r="D4495" s="8">
        <v>147365.46875</v>
      </c>
      <c r="E4495" s="8">
        <v>147386.078125</v>
      </c>
      <c r="F4495" s="8">
        <f t="shared" si="140"/>
        <v>20.609375</v>
      </c>
      <c r="G4495" s="8">
        <f t="shared" si="141"/>
        <v>2.0609374999999999E-2</v>
      </c>
    </row>
    <row r="4496" spans="1:7" x14ac:dyDescent="0.25">
      <c r="A4496" s="8">
        <v>59</v>
      </c>
      <c r="B4496" s="8">
        <v>66</v>
      </c>
      <c r="C4496" s="8">
        <v>1103.273193</v>
      </c>
      <c r="D4496" s="8">
        <v>148525.375</v>
      </c>
      <c r="E4496" s="8">
        <v>148534.875</v>
      </c>
      <c r="F4496" s="8">
        <f t="shared" si="140"/>
        <v>9.5</v>
      </c>
      <c r="G4496" s="8">
        <f t="shared" si="141"/>
        <v>9.4999999999999998E-3</v>
      </c>
    </row>
    <row r="4497" spans="1:7" x14ac:dyDescent="0.25">
      <c r="A4497" s="8">
        <v>59</v>
      </c>
      <c r="B4497" s="8">
        <v>67</v>
      </c>
      <c r="C4497" s="8">
        <v>3938.9421390000002</v>
      </c>
      <c r="D4497" s="8">
        <v>149639.203125</v>
      </c>
      <c r="E4497" s="8">
        <v>149656.75</v>
      </c>
      <c r="F4497" s="8">
        <f t="shared" si="140"/>
        <v>17.546875</v>
      </c>
      <c r="G4497" s="8">
        <f t="shared" si="141"/>
        <v>1.7546875E-2</v>
      </c>
    </row>
    <row r="4498" spans="1:7" x14ac:dyDescent="0.25">
      <c r="A4498" s="8">
        <v>59</v>
      </c>
      <c r="B4498" s="8">
        <v>68</v>
      </c>
      <c r="C4498" s="8">
        <v>980.59069799999997</v>
      </c>
      <c r="D4498" s="8">
        <v>153609.578125</v>
      </c>
      <c r="E4498" s="8">
        <v>153627.96875</v>
      </c>
      <c r="F4498" s="8">
        <f t="shared" si="140"/>
        <v>18.390625</v>
      </c>
      <c r="G4498" s="8">
        <f t="shared" si="141"/>
        <v>1.8390625000000001E-2</v>
      </c>
    </row>
    <row r="4499" spans="1:7" x14ac:dyDescent="0.25">
      <c r="A4499" s="8">
        <v>59</v>
      </c>
      <c r="B4499" s="8">
        <v>69</v>
      </c>
      <c r="C4499" s="8">
        <v>1517.655518</v>
      </c>
      <c r="D4499" s="8">
        <v>154609.6875</v>
      </c>
      <c r="E4499" s="8">
        <v>154623.375</v>
      </c>
      <c r="F4499" s="8">
        <f t="shared" si="140"/>
        <v>13.6875</v>
      </c>
      <c r="G4499" s="8">
        <f t="shared" si="141"/>
        <v>1.36875E-2</v>
      </c>
    </row>
    <row r="4500" spans="1:7" x14ac:dyDescent="0.25">
      <c r="A4500" s="8">
        <v>59</v>
      </c>
      <c r="B4500" s="8">
        <v>70</v>
      </c>
      <c r="C4500" s="8">
        <v>2530.2456050000001</v>
      </c>
      <c r="D4500" s="8">
        <v>156141.125</v>
      </c>
      <c r="E4500" s="8">
        <v>156155.203125</v>
      </c>
      <c r="F4500" s="8">
        <f t="shared" si="140"/>
        <v>14.078125</v>
      </c>
      <c r="G4500" s="8">
        <f t="shared" si="141"/>
        <v>1.4078125E-2</v>
      </c>
    </row>
    <row r="4501" spans="1:7" x14ac:dyDescent="0.25">
      <c r="A4501" s="8">
        <v>59</v>
      </c>
      <c r="B4501" s="8">
        <v>71</v>
      </c>
      <c r="C4501" s="8">
        <v>1080.619385</v>
      </c>
      <c r="D4501" s="8">
        <v>158689.109375</v>
      </c>
      <c r="E4501" s="8">
        <v>158702.90625</v>
      </c>
      <c r="F4501" s="8">
        <f t="shared" si="140"/>
        <v>13.796875</v>
      </c>
      <c r="G4501" s="8">
        <f t="shared" si="141"/>
        <v>1.3796875E-2</v>
      </c>
    </row>
    <row r="4502" spans="1:7" x14ac:dyDescent="0.25">
      <c r="A4502" s="8">
        <v>59</v>
      </c>
      <c r="B4502" s="8">
        <v>72</v>
      </c>
      <c r="C4502" s="8">
        <v>2437.2741700000001</v>
      </c>
      <c r="D4502" s="8">
        <v>159783.109375</v>
      </c>
      <c r="E4502" s="8">
        <v>159805.859375</v>
      </c>
      <c r="F4502" s="8">
        <f t="shared" si="140"/>
        <v>22.75</v>
      </c>
      <c r="G4502" s="8">
        <f t="shared" si="141"/>
        <v>2.2749999999999999E-2</v>
      </c>
    </row>
    <row r="4503" spans="1:7" x14ac:dyDescent="0.25">
      <c r="A4503" s="8">
        <v>59</v>
      </c>
      <c r="B4503" s="8">
        <v>73</v>
      </c>
      <c r="C4503" s="8">
        <v>2474.15625</v>
      </c>
      <c r="D4503" s="8">
        <v>162252.71875</v>
      </c>
      <c r="E4503" s="8">
        <v>162274.1875</v>
      </c>
      <c r="F4503" s="8">
        <f t="shared" si="140"/>
        <v>21.46875</v>
      </c>
      <c r="G4503" s="8">
        <f t="shared" si="141"/>
        <v>2.1468750000000002E-2</v>
      </c>
    </row>
    <row r="4504" spans="1:7" x14ac:dyDescent="0.25">
      <c r="A4504" s="8">
        <v>59</v>
      </c>
      <c r="B4504" s="8">
        <v>74</v>
      </c>
      <c r="C4504" s="8">
        <v>1481.3554690000001</v>
      </c>
      <c r="D4504" s="8">
        <v>164749.078125</v>
      </c>
      <c r="E4504" s="8">
        <v>164764.984375</v>
      </c>
      <c r="F4504" s="8">
        <f t="shared" si="140"/>
        <v>15.90625</v>
      </c>
      <c r="G4504" s="8">
        <f t="shared" si="141"/>
        <v>1.590625E-2</v>
      </c>
    </row>
    <row r="4505" spans="1:7" x14ac:dyDescent="0.25">
      <c r="A4505" s="8">
        <v>59</v>
      </c>
      <c r="B4505" s="8">
        <v>75</v>
      </c>
      <c r="C4505" s="8">
        <v>3314.3208009999998</v>
      </c>
      <c r="D4505" s="8">
        <v>166255.109375</v>
      </c>
      <c r="E4505" s="8">
        <v>166279.53125</v>
      </c>
      <c r="F4505" s="8">
        <f t="shared" si="140"/>
        <v>24.421875</v>
      </c>
      <c r="G4505" s="8">
        <f t="shared" si="141"/>
        <v>2.4421874999999999E-2</v>
      </c>
    </row>
    <row r="4506" spans="1:7" x14ac:dyDescent="0.25">
      <c r="A4506" s="8">
        <v>59</v>
      </c>
      <c r="B4506" s="8">
        <v>76</v>
      </c>
      <c r="C4506" s="8">
        <v>1965.83374</v>
      </c>
      <c r="D4506" s="8">
        <v>169595.390625</v>
      </c>
      <c r="E4506" s="8">
        <v>169612.640625</v>
      </c>
      <c r="F4506" s="8">
        <f t="shared" si="140"/>
        <v>17.25</v>
      </c>
      <c r="G4506" s="8">
        <f t="shared" si="141"/>
        <v>1.7250000000000001E-2</v>
      </c>
    </row>
    <row r="4507" spans="1:7" x14ac:dyDescent="0.25">
      <c r="A4507" s="8">
        <v>60</v>
      </c>
      <c r="B4507" s="8">
        <v>0</v>
      </c>
      <c r="C4507" s="8">
        <v>348.87246699999997</v>
      </c>
      <c r="D4507" s="8">
        <v>20182.048827999999</v>
      </c>
      <c r="E4507" s="8">
        <v>20206.126952999999</v>
      </c>
      <c r="F4507" s="8">
        <f t="shared" si="140"/>
        <v>24.078125</v>
      </c>
      <c r="G4507" s="8">
        <f t="shared" si="141"/>
        <v>2.4078124999999999E-2</v>
      </c>
    </row>
    <row r="4508" spans="1:7" x14ac:dyDescent="0.25">
      <c r="A4508" s="8">
        <v>60</v>
      </c>
      <c r="B4508" s="8">
        <v>1</v>
      </c>
      <c r="C4508" s="8">
        <v>207.827316</v>
      </c>
      <c r="D4508" s="8">
        <v>20562.986327999999</v>
      </c>
      <c r="E4508" s="8">
        <v>20592.001952999999</v>
      </c>
      <c r="F4508" s="8">
        <f t="shared" si="140"/>
        <v>29.015625</v>
      </c>
      <c r="G4508" s="8">
        <f t="shared" si="141"/>
        <v>2.9015625E-2</v>
      </c>
    </row>
    <row r="4509" spans="1:7" x14ac:dyDescent="0.25">
      <c r="A4509" s="8">
        <v>60</v>
      </c>
      <c r="B4509" s="8">
        <v>2</v>
      </c>
      <c r="C4509" s="8">
        <v>23.020882</v>
      </c>
      <c r="D4509" s="8">
        <v>20813.011718999998</v>
      </c>
      <c r="E4509" s="8">
        <v>20919.332031000002</v>
      </c>
      <c r="F4509" s="8">
        <f t="shared" si="140"/>
        <v>106.32031200000347</v>
      </c>
      <c r="G4509" s="8">
        <f t="shared" si="141"/>
        <v>0.10632031200000347</v>
      </c>
    </row>
    <row r="4510" spans="1:7" x14ac:dyDescent="0.25">
      <c r="A4510" s="8">
        <v>60</v>
      </c>
      <c r="B4510" s="8">
        <v>3</v>
      </c>
      <c r="C4510" s="8">
        <v>231.67112700000001</v>
      </c>
      <c r="D4510" s="8">
        <v>20953.630859000001</v>
      </c>
      <c r="E4510" s="8">
        <v>20986.111327999999</v>
      </c>
      <c r="F4510" s="8">
        <f t="shared" si="140"/>
        <v>32.480468999998266</v>
      </c>
      <c r="G4510" s="8">
        <f t="shared" si="141"/>
        <v>3.2480468999998263E-2</v>
      </c>
    </row>
    <row r="4511" spans="1:7" x14ac:dyDescent="0.25">
      <c r="A4511" s="8">
        <v>60</v>
      </c>
      <c r="B4511" s="8">
        <v>4</v>
      </c>
      <c r="C4511" s="8">
        <v>2702.4797359999998</v>
      </c>
      <c r="D4511" s="8">
        <v>21219.298827999999</v>
      </c>
      <c r="E4511" s="8">
        <v>21234.25</v>
      </c>
      <c r="F4511" s="8">
        <f t="shared" si="140"/>
        <v>14.951172000000952</v>
      </c>
      <c r="G4511" s="8">
        <f t="shared" si="141"/>
        <v>1.4951172000000951E-2</v>
      </c>
    </row>
    <row r="4512" spans="1:7" x14ac:dyDescent="0.25">
      <c r="A4512" s="8">
        <v>60</v>
      </c>
      <c r="B4512" s="8">
        <v>5</v>
      </c>
      <c r="C4512" s="8">
        <v>622.06964100000005</v>
      </c>
      <c r="D4512" s="8">
        <v>23943.640625</v>
      </c>
      <c r="E4512" s="8">
        <v>23952.068359000001</v>
      </c>
      <c r="F4512" s="8">
        <f t="shared" si="140"/>
        <v>8.4277340000007825</v>
      </c>
      <c r="G4512" s="8">
        <f t="shared" si="141"/>
        <v>8.4277340000007833E-3</v>
      </c>
    </row>
    <row r="4513" spans="1:7" x14ac:dyDescent="0.25">
      <c r="A4513" s="8">
        <v>60</v>
      </c>
      <c r="B4513" s="8">
        <v>6</v>
      </c>
      <c r="C4513" s="8">
        <v>805.14013699999998</v>
      </c>
      <c r="D4513" s="8">
        <v>24584.136718999998</v>
      </c>
      <c r="E4513" s="8">
        <v>24602.224609000001</v>
      </c>
      <c r="F4513" s="8">
        <f t="shared" si="140"/>
        <v>18.087890000002517</v>
      </c>
      <c r="G4513" s="8">
        <f t="shared" si="141"/>
        <v>1.8087890000002518E-2</v>
      </c>
    </row>
    <row r="4514" spans="1:7" x14ac:dyDescent="0.25">
      <c r="A4514" s="8">
        <v>60</v>
      </c>
      <c r="B4514" s="8">
        <v>7</v>
      </c>
      <c r="C4514" s="8">
        <v>9321.2099610000005</v>
      </c>
      <c r="D4514" s="8">
        <v>25412.443359000001</v>
      </c>
      <c r="E4514" s="8">
        <v>25434.808593999998</v>
      </c>
      <c r="F4514" s="8">
        <f t="shared" si="140"/>
        <v>22.365234999997483</v>
      </c>
      <c r="G4514" s="8">
        <f t="shared" si="141"/>
        <v>2.2365234999997482E-2</v>
      </c>
    </row>
    <row r="4515" spans="1:7" x14ac:dyDescent="0.25">
      <c r="A4515" s="8">
        <v>60</v>
      </c>
      <c r="B4515" s="8">
        <v>8</v>
      </c>
      <c r="C4515" s="8">
        <v>1932.673462</v>
      </c>
      <c r="D4515" s="8">
        <v>34764.320312999997</v>
      </c>
      <c r="E4515" s="8">
        <v>34791.675780999998</v>
      </c>
      <c r="F4515" s="8">
        <f t="shared" si="140"/>
        <v>27.355468000001565</v>
      </c>
      <c r="G4515" s="8">
        <f t="shared" si="141"/>
        <v>2.7355468000001566E-2</v>
      </c>
    </row>
    <row r="4516" spans="1:7" x14ac:dyDescent="0.25">
      <c r="A4516" s="8">
        <v>60</v>
      </c>
      <c r="B4516" s="8">
        <v>9</v>
      </c>
      <c r="C4516" s="8">
        <v>5365.8920900000003</v>
      </c>
      <c r="D4516" s="8">
        <v>36737.792969000002</v>
      </c>
      <c r="E4516" s="8">
        <v>36765.101562999997</v>
      </c>
      <c r="F4516" s="8">
        <f t="shared" si="140"/>
        <v>27.308593999994628</v>
      </c>
      <c r="G4516" s="8">
        <f t="shared" si="141"/>
        <v>2.7308593999994628E-2</v>
      </c>
    </row>
    <row r="4517" spans="1:7" x14ac:dyDescent="0.25">
      <c r="A4517" s="8">
        <v>60</v>
      </c>
      <c r="B4517" s="8">
        <v>10</v>
      </c>
      <c r="C4517" s="8">
        <v>3714.4890140000002</v>
      </c>
      <c r="D4517" s="8">
        <v>42137.75</v>
      </c>
      <c r="E4517" s="8">
        <v>42158.378905999998</v>
      </c>
      <c r="F4517" s="8">
        <f t="shared" si="140"/>
        <v>20.628905999998096</v>
      </c>
      <c r="G4517" s="8">
        <f t="shared" si="141"/>
        <v>2.0628905999998098E-2</v>
      </c>
    </row>
    <row r="4518" spans="1:7" x14ac:dyDescent="0.25">
      <c r="A4518" s="8">
        <v>60</v>
      </c>
      <c r="B4518" s="8">
        <v>11</v>
      </c>
      <c r="C4518" s="8">
        <v>2574.4194339999999</v>
      </c>
      <c r="D4518" s="8">
        <v>45882.097655999998</v>
      </c>
      <c r="E4518" s="8">
        <v>45896.332030999998</v>
      </c>
      <c r="F4518" s="8">
        <f t="shared" si="140"/>
        <v>14.234375</v>
      </c>
      <c r="G4518" s="8">
        <f t="shared" si="141"/>
        <v>1.4234375E-2</v>
      </c>
    </row>
    <row r="4519" spans="1:7" x14ac:dyDescent="0.25">
      <c r="A4519" s="8">
        <v>60</v>
      </c>
      <c r="B4519" s="8">
        <v>12</v>
      </c>
      <c r="C4519" s="8">
        <v>563.45678699999996</v>
      </c>
      <c r="D4519" s="8">
        <v>48470.578125</v>
      </c>
      <c r="E4519" s="8">
        <v>48491.601562999997</v>
      </c>
      <c r="F4519" s="8">
        <f t="shared" si="140"/>
        <v>21.023437999996531</v>
      </c>
      <c r="G4519" s="8">
        <f t="shared" si="141"/>
        <v>2.1023437999996532E-2</v>
      </c>
    </row>
    <row r="4520" spans="1:7" x14ac:dyDescent="0.25">
      <c r="A4520" s="8">
        <v>60</v>
      </c>
      <c r="B4520" s="8">
        <v>13</v>
      </c>
      <c r="C4520" s="8">
        <v>2150.054443</v>
      </c>
      <c r="D4520" s="8">
        <v>49059.0625</v>
      </c>
      <c r="E4520" s="8">
        <v>49079.171875</v>
      </c>
      <c r="F4520" s="8">
        <f t="shared" si="140"/>
        <v>20.109375</v>
      </c>
      <c r="G4520" s="8">
        <f t="shared" si="141"/>
        <v>2.0109374999999999E-2</v>
      </c>
    </row>
    <row r="4521" spans="1:7" x14ac:dyDescent="0.25">
      <c r="A4521" s="8">
        <v>60</v>
      </c>
      <c r="B4521" s="8">
        <v>14</v>
      </c>
      <c r="C4521" s="8">
        <v>1809.3398440000001</v>
      </c>
      <c r="D4521" s="8">
        <v>51240.902344000002</v>
      </c>
      <c r="E4521" s="8">
        <v>51248.738280999998</v>
      </c>
      <c r="F4521" s="8">
        <f t="shared" si="140"/>
        <v>7.8359369999961928</v>
      </c>
      <c r="G4521" s="8">
        <f t="shared" si="141"/>
        <v>7.8359369999961934E-3</v>
      </c>
    </row>
    <row r="4522" spans="1:7" x14ac:dyDescent="0.25">
      <c r="A4522" s="8">
        <v>60</v>
      </c>
      <c r="B4522" s="8">
        <v>15</v>
      </c>
      <c r="C4522" s="8">
        <v>1115.4964600000001</v>
      </c>
      <c r="D4522" s="8">
        <v>53060.953125</v>
      </c>
      <c r="E4522" s="8">
        <v>53076.53125</v>
      </c>
      <c r="F4522" s="8">
        <f t="shared" si="140"/>
        <v>15.578125</v>
      </c>
      <c r="G4522" s="8">
        <f t="shared" si="141"/>
        <v>1.5578125E-2</v>
      </c>
    </row>
    <row r="4523" spans="1:7" x14ac:dyDescent="0.25">
      <c r="A4523" s="8">
        <v>60</v>
      </c>
      <c r="B4523" s="8">
        <v>16</v>
      </c>
      <c r="C4523" s="8">
        <v>10119.278319999999</v>
      </c>
      <c r="D4523" s="8">
        <v>54206.292969000002</v>
      </c>
      <c r="E4523" s="8">
        <v>54215.441405999998</v>
      </c>
      <c r="F4523" s="8">
        <f t="shared" si="140"/>
        <v>9.1484369999961928</v>
      </c>
      <c r="G4523" s="8">
        <f t="shared" si="141"/>
        <v>9.1484369999961929E-3</v>
      </c>
    </row>
    <row r="4524" spans="1:7" x14ac:dyDescent="0.25">
      <c r="A4524" s="8">
        <v>60</v>
      </c>
      <c r="B4524" s="8">
        <v>17</v>
      </c>
      <c r="C4524" s="8">
        <v>2048.585693</v>
      </c>
      <c r="D4524" s="8">
        <v>64340.277344000002</v>
      </c>
      <c r="E4524" s="8">
        <v>64352.886719000002</v>
      </c>
      <c r="F4524" s="8">
        <f t="shared" si="140"/>
        <v>12.609375</v>
      </c>
      <c r="G4524" s="8">
        <f t="shared" si="141"/>
        <v>1.2609375000000001E-2</v>
      </c>
    </row>
    <row r="4525" spans="1:7" x14ac:dyDescent="0.25">
      <c r="A4525" s="8">
        <v>60</v>
      </c>
      <c r="B4525" s="8">
        <v>18</v>
      </c>
      <c r="C4525" s="8">
        <v>1645.0820309999999</v>
      </c>
      <c r="D4525" s="8">
        <v>66402.984375</v>
      </c>
      <c r="E4525" s="8">
        <v>66410.789063000004</v>
      </c>
      <c r="F4525" s="8">
        <f t="shared" si="140"/>
        <v>7.8046880000038072</v>
      </c>
      <c r="G4525" s="8">
        <f t="shared" si="141"/>
        <v>7.8046880000038074E-3</v>
      </c>
    </row>
    <row r="4526" spans="1:7" x14ac:dyDescent="0.25">
      <c r="A4526" s="8">
        <v>60</v>
      </c>
      <c r="B4526" s="8">
        <v>19</v>
      </c>
      <c r="C4526" s="8">
        <v>39.636989999999997</v>
      </c>
      <c r="D4526" s="8">
        <v>68060.90625</v>
      </c>
      <c r="E4526" s="8">
        <v>68087.851563000004</v>
      </c>
      <c r="F4526" s="8">
        <f t="shared" si="140"/>
        <v>26.945313000003807</v>
      </c>
      <c r="G4526" s="8">
        <f t="shared" si="141"/>
        <v>2.6945313000003808E-2</v>
      </c>
    </row>
    <row r="4527" spans="1:7" x14ac:dyDescent="0.25">
      <c r="A4527" s="8">
        <v>60</v>
      </c>
      <c r="B4527" s="8">
        <v>20</v>
      </c>
      <c r="C4527" s="8">
        <v>163.557343</v>
      </c>
      <c r="D4527" s="8">
        <v>68139.03125</v>
      </c>
      <c r="E4527" s="8">
        <v>68158.5625</v>
      </c>
      <c r="F4527" s="8">
        <f t="shared" si="140"/>
        <v>19.53125</v>
      </c>
      <c r="G4527" s="8">
        <f t="shared" si="141"/>
        <v>1.953125E-2</v>
      </c>
    </row>
    <row r="4528" spans="1:7" x14ac:dyDescent="0.25">
      <c r="A4528" s="8">
        <v>60</v>
      </c>
      <c r="B4528" s="8">
        <v>21</v>
      </c>
      <c r="C4528" s="8">
        <v>3469.6906739999999</v>
      </c>
      <c r="D4528" s="8">
        <v>68326.554688000004</v>
      </c>
      <c r="E4528" s="8">
        <v>68373.84375</v>
      </c>
      <c r="F4528" s="8">
        <f t="shared" si="140"/>
        <v>47.289061999996193</v>
      </c>
      <c r="G4528" s="8">
        <f t="shared" si="141"/>
        <v>4.728906199999619E-2</v>
      </c>
    </row>
    <row r="4529" spans="1:7" x14ac:dyDescent="0.25">
      <c r="A4529" s="8">
        <v>60</v>
      </c>
      <c r="B4529" s="8">
        <v>22</v>
      </c>
      <c r="C4529" s="8">
        <v>2023.2476810000001</v>
      </c>
      <c r="D4529" s="8">
        <v>71854.492188000004</v>
      </c>
      <c r="E4529" s="8">
        <v>71866.789063000004</v>
      </c>
      <c r="F4529" s="8">
        <f t="shared" si="140"/>
        <v>12.296875</v>
      </c>
      <c r="G4529" s="8">
        <f t="shared" si="141"/>
        <v>1.2296875000000001E-2</v>
      </c>
    </row>
    <row r="4530" spans="1:7" x14ac:dyDescent="0.25">
      <c r="A4530" s="8">
        <v>60</v>
      </c>
      <c r="B4530" s="8">
        <v>23</v>
      </c>
      <c r="C4530" s="8">
        <v>245.28689600000001</v>
      </c>
      <c r="D4530" s="8">
        <v>73904.234375</v>
      </c>
      <c r="E4530" s="8">
        <v>73912.15625</v>
      </c>
      <c r="F4530" s="8">
        <f t="shared" si="140"/>
        <v>7.921875</v>
      </c>
      <c r="G4530" s="8">
        <f t="shared" si="141"/>
        <v>7.9218750000000001E-3</v>
      </c>
    </row>
    <row r="4531" spans="1:7" x14ac:dyDescent="0.25">
      <c r="A4531" s="8">
        <v>60</v>
      </c>
      <c r="B4531" s="8">
        <v>24</v>
      </c>
      <c r="C4531" s="8">
        <v>555.70538299999998</v>
      </c>
      <c r="D4531" s="8">
        <v>74171.945313000004</v>
      </c>
      <c r="E4531" s="8">
        <v>74185.0625</v>
      </c>
      <c r="F4531" s="8">
        <f t="shared" si="140"/>
        <v>13.117186999996193</v>
      </c>
      <c r="G4531" s="8">
        <f t="shared" si="141"/>
        <v>1.3117186999996193E-2</v>
      </c>
    </row>
    <row r="4532" spans="1:7" x14ac:dyDescent="0.25">
      <c r="A4532" s="8">
        <v>60</v>
      </c>
      <c r="B4532" s="8">
        <v>25</v>
      </c>
      <c r="C4532" s="8">
        <v>2527.0039059999999</v>
      </c>
      <c r="D4532" s="8">
        <v>74742.617188000004</v>
      </c>
      <c r="E4532" s="8">
        <v>74767</v>
      </c>
      <c r="F4532" s="8">
        <f t="shared" si="140"/>
        <v>24.382811999996193</v>
      </c>
      <c r="G4532" s="8">
        <f t="shared" si="141"/>
        <v>2.4382811999996194E-2</v>
      </c>
    </row>
    <row r="4533" spans="1:7" x14ac:dyDescent="0.25">
      <c r="A4533" s="8">
        <v>60</v>
      </c>
      <c r="B4533" s="8">
        <v>26</v>
      </c>
      <c r="C4533" s="8">
        <v>1718.9548339999999</v>
      </c>
      <c r="D4533" s="8">
        <v>77303.9375</v>
      </c>
      <c r="E4533" s="8">
        <v>77318.335938000004</v>
      </c>
      <c r="F4533" s="8">
        <f t="shared" si="140"/>
        <v>14.398438000003807</v>
      </c>
      <c r="G4533" s="8">
        <f t="shared" si="141"/>
        <v>1.4398438000003807E-2</v>
      </c>
    </row>
    <row r="4534" spans="1:7" x14ac:dyDescent="0.25">
      <c r="A4534" s="8">
        <v>60</v>
      </c>
      <c r="B4534" s="8">
        <v>27</v>
      </c>
      <c r="C4534" s="8">
        <v>193.454453</v>
      </c>
      <c r="D4534" s="8">
        <v>79044.6875</v>
      </c>
      <c r="E4534" s="8">
        <v>79067.773438000004</v>
      </c>
      <c r="F4534" s="8">
        <f t="shared" si="140"/>
        <v>23.085938000003807</v>
      </c>
      <c r="G4534" s="8">
        <f t="shared" si="141"/>
        <v>2.3085938000003806E-2</v>
      </c>
    </row>
    <row r="4535" spans="1:7" x14ac:dyDescent="0.25">
      <c r="A4535" s="8">
        <v>60</v>
      </c>
      <c r="B4535" s="8">
        <v>28</v>
      </c>
      <c r="C4535" s="8">
        <v>5417.4438479999999</v>
      </c>
      <c r="D4535" s="8">
        <v>79269.453125</v>
      </c>
      <c r="E4535" s="8">
        <v>79286.3125</v>
      </c>
      <c r="F4535" s="8">
        <f t="shared" si="140"/>
        <v>16.859375</v>
      </c>
      <c r="G4535" s="8">
        <f t="shared" si="141"/>
        <v>1.6859374999999999E-2</v>
      </c>
    </row>
    <row r="4536" spans="1:7" x14ac:dyDescent="0.25">
      <c r="A4536" s="8">
        <v>60</v>
      </c>
      <c r="B4536" s="8">
        <v>29</v>
      </c>
      <c r="C4536" s="8">
        <v>2700.123779</v>
      </c>
      <c r="D4536" s="8">
        <v>84704.109375</v>
      </c>
      <c r="E4536" s="8">
        <v>84724.585938000004</v>
      </c>
      <c r="F4536" s="8">
        <f t="shared" si="140"/>
        <v>20.476563000003807</v>
      </c>
      <c r="G4536" s="8">
        <f t="shared" si="141"/>
        <v>2.0476563000003806E-2</v>
      </c>
    </row>
    <row r="4537" spans="1:7" x14ac:dyDescent="0.25">
      <c r="A4537" s="8">
        <v>60</v>
      </c>
      <c r="B4537" s="8">
        <v>30</v>
      </c>
      <c r="C4537" s="8">
        <v>837.34985400000005</v>
      </c>
      <c r="D4537" s="8">
        <v>87427.085938000004</v>
      </c>
      <c r="E4537" s="8">
        <v>87443.53125</v>
      </c>
      <c r="F4537" s="8">
        <f t="shared" si="140"/>
        <v>16.445311999996193</v>
      </c>
      <c r="G4537" s="8">
        <f t="shared" si="141"/>
        <v>1.6445311999996194E-2</v>
      </c>
    </row>
    <row r="4538" spans="1:7" x14ac:dyDescent="0.25">
      <c r="A4538" s="8">
        <v>60</v>
      </c>
      <c r="B4538" s="8">
        <v>31</v>
      </c>
      <c r="C4538" s="8">
        <v>5029.7246089999999</v>
      </c>
      <c r="D4538" s="8">
        <v>88287.148438000004</v>
      </c>
      <c r="E4538" s="8">
        <v>88301.015625</v>
      </c>
      <c r="F4538" s="8">
        <f t="shared" si="140"/>
        <v>13.867186999996193</v>
      </c>
      <c r="G4538" s="8">
        <f t="shared" si="141"/>
        <v>1.3867186999996194E-2</v>
      </c>
    </row>
    <row r="4539" spans="1:7" x14ac:dyDescent="0.25">
      <c r="A4539" s="8">
        <v>60</v>
      </c>
      <c r="B4539" s="8">
        <v>32</v>
      </c>
      <c r="C4539" s="8">
        <v>421.91455100000002</v>
      </c>
      <c r="D4539" s="8">
        <v>93341.59375</v>
      </c>
      <c r="E4539" s="8">
        <v>93355.335938000004</v>
      </c>
      <c r="F4539" s="8">
        <f t="shared" si="140"/>
        <v>13.742188000003807</v>
      </c>
      <c r="G4539" s="8">
        <f t="shared" si="141"/>
        <v>1.3742188000003807E-2</v>
      </c>
    </row>
    <row r="4540" spans="1:7" x14ac:dyDescent="0.25">
      <c r="A4540" s="8">
        <v>60</v>
      </c>
      <c r="B4540" s="8">
        <v>33</v>
      </c>
      <c r="C4540" s="8">
        <v>1143.5185550000001</v>
      </c>
      <c r="D4540" s="8">
        <v>93779.453125</v>
      </c>
      <c r="E4540" s="8">
        <v>93792.992188000004</v>
      </c>
      <c r="F4540" s="8">
        <f t="shared" si="140"/>
        <v>13.539063000003807</v>
      </c>
      <c r="G4540" s="8">
        <f t="shared" si="141"/>
        <v>1.3539063000003806E-2</v>
      </c>
    </row>
    <row r="4541" spans="1:7" x14ac:dyDescent="0.25">
      <c r="A4541" s="8">
        <v>60</v>
      </c>
      <c r="B4541" s="8">
        <v>34</v>
      </c>
      <c r="C4541" s="8">
        <v>3534.3823240000002</v>
      </c>
      <c r="D4541" s="8">
        <v>94936.359375</v>
      </c>
      <c r="E4541" s="8">
        <v>94955.671875</v>
      </c>
      <c r="F4541" s="8">
        <f t="shared" si="140"/>
        <v>19.3125</v>
      </c>
      <c r="G4541" s="8">
        <f t="shared" si="141"/>
        <v>1.93125E-2</v>
      </c>
    </row>
    <row r="4542" spans="1:7" x14ac:dyDescent="0.25">
      <c r="A4542" s="8">
        <v>60</v>
      </c>
      <c r="B4542" s="8">
        <v>35</v>
      </c>
      <c r="C4542" s="8">
        <v>3714.8798830000001</v>
      </c>
      <c r="D4542" s="8">
        <v>98503.960938000004</v>
      </c>
      <c r="E4542" s="8">
        <v>98530.632813000004</v>
      </c>
      <c r="F4542" s="8">
        <f t="shared" si="140"/>
        <v>26.671875</v>
      </c>
      <c r="G4542" s="8">
        <f t="shared" si="141"/>
        <v>2.6671875000000001E-2</v>
      </c>
    </row>
    <row r="4543" spans="1:7" x14ac:dyDescent="0.25">
      <c r="A4543" s="8">
        <v>60</v>
      </c>
      <c r="B4543" s="8">
        <v>36</v>
      </c>
      <c r="C4543" s="8">
        <v>6372.7172849999997</v>
      </c>
      <c r="D4543" s="8">
        <v>102245.015625</v>
      </c>
      <c r="E4543" s="8">
        <v>102265.375</v>
      </c>
      <c r="F4543" s="8">
        <f t="shared" si="140"/>
        <v>20.359375</v>
      </c>
      <c r="G4543" s="8">
        <f t="shared" si="141"/>
        <v>2.0359374999999999E-2</v>
      </c>
    </row>
    <row r="4544" spans="1:7" x14ac:dyDescent="0.25">
      <c r="A4544" s="8">
        <v>60</v>
      </c>
      <c r="B4544" s="8">
        <v>37</v>
      </c>
      <c r="C4544" s="8">
        <v>1014.664673</v>
      </c>
      <c r="D4544" s="8">
        <v>108641.726563</v>
      </c>
      <c r="E4544" s="8">
        <v>108649.46875</v>
      </c>
      <c r="F4544" s="8">
        <f t="shared" si="140"/>
        <v>7.7421869999961928</v>
      </c>
      <c r="G4544" s="8">
        <f t="shared" si="141"/>
        <v>7.7421869999961925E-3</v>
      </c>
    </row>
    <row r="4545" spans="1:7" x14ac:dyDescent="0.25">
      <c r="A4545" s="8">
        <v>60</v>
      </c>
      <c r="B4545" s="8">
        <v>38</v>
      </c>
      <c r="C4545" s="8">
        <v>1192.109375</v>
      </c>
      <c r="D4545" s="8">
        <v>109673.898438</v>
      </c>
      <c r="E4545" s="8">
        <v>109691.109375</v>
      </c>
      <c r="F4545" s="8">
        <f t="shared" si="140"/>
        <v>17.210936999996193</v>
      </c>
      <c r="G4545" s="8">
        <f t="shared" si="141"/>
        <v>1.7210936999996193E-2</v>
      </c>
    </row>
    <row r="4546" spans="1:7" x14ac:dyDescent="0.25">
      <c r="A4546" s="8">
        <v>60</v>
      </c>
      <c r="B4546" s="8">
        <v>39</v>
      </c>
      <c r="C4546" s="8">
        <v>1515.3104249999999</v>
      </c>
      <c r="D4546" s="8">
        <v>110892.757813</v>
      </c>
      <c r="E4546" s="8">
        <v>110914.359375</v>
      </c>
      <c r="F4546" s="8">
        <f t="shared" si="140"/>
        <v>21.601561999996193</v>
      </c>
      <c r="G4546" s="8">
        <f t="shared" si="141"/>
        <v>2.1601561999996192E-2</v>
      </c>
    </row>
    <row r="4547" spans="1:7" x14ac:dyDescent="0.25">
      <c r="A4547" s="8">
        <v>60</v>
      </c>
      <c r="B4547" s="8">
        <v>40</v>
      </c>
      <c r="C4547" s="8">
        <v>105.07135</v>
      </c>
      <c r="D4547" s="8">
        <v>112430.640625</v>
      </c>
      <c r="E4547" s="8">
        <v>112448.195313</v>
      </c>
      <c r="F4547" s="8">
        <f t="shared" si="140"/>
        <v>17.554688000003807</v>
      </c>
      <c r="G4547" s="8">
        <f t="shared" si="141"/>
        <v>1.7554688000003808E-2</v>
      </c>
    </row>
    <row r="4548" spans="1:7" x14ac:dyDescent="0.25">
      <c r="A4548" s="8">
        <v>60</v>
      </c>
      <c r="B4548" s="8">
        <v>41</v>
      </c>
      <c r="C4548" s="8">
        <v>635.35919200000001</v>
      </c>
      <c r="D4548" s="8">
        <v>112555.90625</v>
      </c>
      <c r="E4548" s="8">
        <v>112567.445313</v>
      </c>
      <c r="F4548" s="8">
        <f t="shared" si="140"/>
        <v>11.539063000003807</v>
      </c>
      <c r="G4548" s="8">
        <f t="shared" si="141"/>
        <v>1.1539063000003806E-2</v>
      </c>
    </row>
    <row r="4549" spans="1:7" x14ac:dyDescent="0.25">
      <c r="A4549" s="8">
        <v>60</v>
      </c>
      <c r="B4549" s="8">
        <v>42</v>
      </c>
      <c r="C4549" s="8">
        <v>1488.1517329999999</v>
      </c>
      <c r="D4549" s="8">
        <v>113206.210938</v>
      </c>
      <c r="E4549" s="8">
        <v>113223.664063</v>
      </c>
      <c r="F4549" s="8">
        <f t="shared" si="140"/>
        <v>17.453125</v>
      </c>
      <c r="G4549" s="8">
        <f t="shared" si="141"/>
        <v>1.7453125E-2</v>
      </c>
    </row>
    <row r="4550" spans="1:7" x14ac:dyDescent="0.25">
      <c r="A4550" s="8">
        <v>60</v>
      </c>
      <c r="B4550" s="8">
        <v>43</v>
      </c>
      <c r="C4550" s="8">
        <v>2735.2790530000002</v>
      </c>
      <c r="D4550" s="8">
        <v>114721.96875</v>
      </c>
      <c r="E4550" s="8">
        <v>114749.320313</v>
      </c>
      <c r="F4550" s="8">
        <f t="shared" si="140"/>
        <v>27.351563000003807</v>
      </c>
      <c r="G4550" s="8">
        <f t="shared" si="141"/>
        <v>2.7351563000003808E-2</v>
      </c>
    </row>
    <row r="4551" spans="1:7" x14ac:dyDescent="0.25">
      <c r="A4551" s="8">
        <v>60</v>
      </c>
      <c r="B4551" s="8">
        <v>44</v>
      </c>
      <c r="C4551" s="8">
        <v>1282.5239260000001</v>
      </c>
      <c r="D4551" s="8">
        <v>117488.710938</v>
      </c>
      <c r="E4551" s="8">
        <v>117503.328125</v>
      </c>
      <c r="F4551" s="8">
        <f t="shared" si="140"/>
        <v>14.617186999996193</v>
      </c>
      <c r="G4551" s="8">
        <f t="shared" si="141"/>
        <v>1.4617186999996193E-2</v>
      </c>
    </row>
    <row r="4552" spans="1:7" x14ac:dyDescent="0.25">
      <c r="A4552" s="8">
        <v>60</v>
      </c>
      <c r="B4552" s="8">
        <v>45</v>
      </c>
      <c r="C4552" s="8">
        <v>2080.8032229999999</v>
      </c>
      <c r="D4552" s="8">
        <v>118791.320313</v>
      </c>
      <c r="E4552" s="8">
        <v>118807.554688</v>
      </c>
      <c r="F4552" s="8">
        <f t="shared" si="140"/>
        <v>16.234375</v>
      </c>
      <c r="G4552" s="8">
        <f t="shared" si="141"/>
        <v>1.6234374999999999E-2</v>
      </c>
    </row>
    <row r="4553" spans="1:7" x14ac:dyDescent="0.25">
      <c r="A4553" s="8">
        <v>60</v>
      </c>
      <c r="B4553" s="8">
        <v>46</v>
      </c>
      <c r="C4553" s="8">
        <v>7486.0493159999996</v>
      </c>
      <c r="D4553" s="8">
        <v>120892.4375</v>
      </c>
      <c r="E4553" s="8">
        <v>120899.992188</v>
      </c>
      <c r="F4553" s="8">
        <f t="shared" si="140"/>
        <v>7.5546880000038072</v>
      </c>
      <c r="G4553" s="8">
        <f t="shared" si="141"/>
        <v>7.5546880000038072E-3</v>
      </c>
    </row>
    <row r="4554" spans="1:7" x14ac:dyDescent="0.25">
      <c r="A4554" s="8">
        <v>60</v>
      </c>
      <c r="B4554" s="8">
        <v>47</v>
      </c>
      <c r="C4554" s="8">
        <v>376.82653800000003</v>
      </c>
      <c r="D4554" s="8">
        <v>128395.023438</v>
      </c>
      <c r="E4554" s="8">
        <v>128410.421875</v>
      </c>
      <c r="F4554" s="8">
        <f t="shared" si="140"/>
        <v>15.398436999996193</v>
      </c>
      <c r="G4554" s="8">
        <f t="shared" si="141"/>
        <v>1.5398436999996193E-2</v>
      </c>
    </row>
    <row r="4555" spans="1:7" x14ac:dyDescent="0.25">
      <c r="A4555" s="8">
        <v>60</v>
      </c>
      <c r="B4555" s="8">
        <v>48</v>
      </c>
      <c r="C4555" s="8">
        <v>812.09027100000003</v>
      </c>
      <c r="D4555" s="8">
        <v>128801.359375</v>
      </c>
      <c r="E4555" s="8">
        <v>128818.257813</v>
      </c>
      <c r="F4555" s="8">
        <f t="shared" ref="F4555:F4618" si="142">E4555-D4555</f>
        <v>16.898438000003807</v>
      </c>
      <c r="G4555" s="8">
        <f t="shared" ref="G4555:G4618" si="143">F4555/1000</f>
        <v>1.6898438000003808E-2</v>
      </c>
    </row>
    <row r="4556" spans="1:7" x14ac:dyDescent="0.25">
      <c r="A4556" s="8">
        <v>60</v>
      </c>
      <c r="B4556" s="8">
        <v>49</v>
      </c>
      <c r="C4556" s="8">
        <v>444.12148999999999</v>
      </c>
      <c r="D4556" s="8">
        <v>129645.289063</v>
      </c>
      <c r="E4556" s="8">
        <v>129666.742188</v>
      </c>
      <c r="F4556" s="8">
        <f t="shared" si="142"/>
        <v>21.453125</v>
      </c>
      <c r="G4556" s="8">
        <f t="shared" si="143"/>
        <v>2.1453125E-2</v>
      </c>
    </row>
    <row r="4557" spans="1:7" x14ac:dyDescent="0.25">
      <c r="A4557" s="8">
        <v>60</v>
      </c>
      <c r="B4557" s="8">
        <v>50</v>
      </c>
      <c r="C4557" s="8">
        <v>602.25805700000001</v>
      </c>
      <c r="D4557" s="8">
        <v>130113.976563</v>
      </c>
      <c r="E4557" s="8">
        <v>130129.179688</v>
      </c>
      <c r="F4557" s="8">
        <f t="shared" si="142"/>
        <v>15.203125</v>
      </c>
      <c r="G4557" s="8">
        <f t="shared" si="143"/>
        <v>1.5203125E-2</v>
      </c>
    </row>
    <row r="4558" spans="1:7" x14ac:dyDescent="0.25">
      <c r="A4558" s="8">
        <v>60</v>
      </c>
      <c r="B4558" s="8">
        <v>51</v>
      </c>
      <c r="C4558" s="8">
        <v>1276.159668</v>
      </c>
      <c r="D4558" s="8">
        <v>130739.070313</v>
      </c>
      <c r="E4558" s="8">
        <v>130753.929688</v>
      </c>
      <c r="F4558" s="8">
        <f t="shared" si="142"/>
        <v>14.859375</v>
      </c>
      <c r="G4558" s="8">
        <f t="shared" si="143"/>
        <v>1.4859374999999999E-2</v>
      </c>
    </row>
    <row r="4559" spans="1:7" x14ac:dyDescent="0.25">
      <c r="A4559" s="8">
        <v>60</v>
      </c>
      <c r="B4559" s="8">
        <v>52</v>
      </c>
      <c r="C4559" s="8">
        <v>116.619606</v>
      </c>
      <c r="D4559" s="8">
        <v>132030.203125</v>
      </c>
      <c r="E4559" s="8">
        <v>132048.96875</v>
      </c>
      <c r="F4559" s="8">
        <f t="shared" si="142"/>
        <v>18.765625</v>
      </c>
      <c r="G4559" s="8">
        <f t="shared" si="143"/>
        <v>1.8765625000000001E-2</v>
      </c>
    </row>
    <row r="4560" spans="1:7" x14ac:dyDescent="0.25">
      <c r="A4560" s="8">
        <v>60</v>
      </c>
      <c r="B4560" s="8">
        <v>53</v>
      </c>
      <c r="C4560" s="8">
        <v>5416.5278319999998</v>
      </c>
      <c r="D4560" s="8">
        <v>132170.78125</v>
      </c>
      <c r="E4560" s="8">
        <v>132194.96875</v>
      </c>
      <c r="F4560" s="8">
        <f t="shared" si="142"/>
        <v>24.1875</v>
      </c>
      <c r="G4560" s="8">
        <f t="shared" si="143"/>
        <v>2.4187500000000001E-2</v>
      </c>
    </row>
    <row r="4561" spans="1:7" x14ac:dyDescent="0.25">
      <c r="A4561" s="8">
        <v>60</v>
      </c>
      <c r="B4561" s="8">
        <v>54</v>
      </c>
      <c r="C4561" s="8">
        <v>69.683563000000007</v>
      </c>
      <c r="D4561" s="8">
        <v>137624.90625</v>
      </c>
      <c r="E4561" s="8">
        <v>137636.515625</v>
      </c>
      <c r="F4561" s="8">
        <f t="shared" si="142"/>
        <v>11.609375</v>
      </c>
      <c r="G4561" s="8">
        <f t="shared" si="143"/>
        <v>1.1609375E-2</v>
      </c>
    </row>
    <row r="4562" spans="1:7" x14ac:dyDescent="0.25">
      <c r="A4562" s="8">
        <v>60</v>
      </c>
      <c r="B4562" s="8">
        <v>55</v>
      </c>
      <c r="C4562" s="8">
        <v>353.52871699999997</v>
      </c>
      <c r="D4562" s="8">
        <v>137718.71875</v>
      </c>
      <c r="E4562" s="8">
        <v>137729.546875</v>
      </c>
      <c r="F4562" s="8">
        <f t="shared" si="142"/>
        <v>10.828125</v>
      </c>
      <c r="G4562" s="8">
        <f t="shared" si="143"/>
        <v>1.0828124999999999E-2</v>
      </c>
    </row>
    <row r="4563" spans="1:7" x14ac:dyDescent="0.25">
      <c r="A4563" s="8">
        <v>60</v>
      </c>
      <c r="B4563" s="8">
        <v>56</v>
      </c>
      <c r="C4563" s="8">
        <v>247.84162900000001</v>
      </c>
      <c r="D4563" s="8">
        <v>138093.765625</v>
      </c>
      <c r="E4563" s="8">
        <v>138112.046875</v>
      </c>
      <c r="F4563" s="8">
        <f t="shared" si="142"/>
        <v>18.28125</v>
      </c>
      <c r="G4563" s="8">
        <f t="shared" si="143"/>
        <v>1.8281249999999999E-2</v>
      </c>
    </row>
    <row r="4564" spans="1:7" x14ac:dyDescent="0.25">
      <c r="A4564" s="8">
        <v>60</v>
      </c>
      <c r="B4564" s="8">
        <v>57</v>
      </c>
      <c r="C4564" s="8">
        <v>3809.783203</v>
      </c>
      <c r="D4564" s="8">
        <v>138359.421875</v>
      </c>
      <c r="E4564" s="8">
        <v>138375</v>
      </c>
      <c r="F4564" s="8">
        <f t="shared" si="142"/>
        <v>15.578125</v>
      </c>
      <c r="G4564" s="8">
        <f t="shared" si="143"/>
        <v>1.5578125E-2</v>
      </c>
    </row>
    <row r="4565" spans="1:7" x14ac:dyDescent="0.25">
      <c r="A4565" s="8">
        <v>60</v>
      </c>
      <c r="B4565" s="8">
        <v>58</v>
      </c>
      <c r="C4565" s="8">
        <v>1456.799683</v>
      </c>
      <c r="D4565" s="8">
        <v>142187.03125</v>
      </c>
      <c r="E4565" s="8">
        <v>142197.515625</v>
      </c>
      <c r="F4565" s="8">
        <f t="shared" si="142"/>
        <v>10.484375</v>
      </c>
      <c r="G4565" s="8">
        <f t="shared" si="143"/>
        <v>1.0484375000000001E-2</v>
      </c>
    </row>
    <row r="4566" spans="1:7" x14ac:dyDescent="0.25">
      <c r="A4566" s="8">
        <v>60</v>
      </c>
      <c r="B4566" s="8">
        <v>59</v>
      </c>
      <c r="C4566" s="8">
        <v>1073.611938</v>
      </c>
      <c r="D4566" s="8">
        <v>143666.125</v>
      </c>
      <c r="E4566" s="8">
        <v>143683.953125</v>
      </c>
      <c r="F4566" s="8">
        <f t="shared" si="142"/>
        <v>17.828125</v>
      </c>
      <c r="G4566" s="8">
        <f t="shared" si="143"/>
        <v>1.7828125E-2</v>
      </c>
    </row>
    <row r="4567" spans="1:7" x14ac:dyDescent="0.25">
      <c r="A4567" s="8">
        <v>60</v>
      </c>
      <c r="B4567" s="8">
        <v>60</v>
      </c>
      <c r="C4567" s="8">
        <v>25.183012000000002</v>
      </c>
      <c r="D4567" s="8">
        <v>144768.828125</v>
      </c>
      <c r="E4567" s="8">
        <v>144794.265625</v>
      </c>
      <c r="F4567" s="8">
        <f t="shared" si="142"/>
        <v>25.4375</v>
      </c>
      <c r="G4567" s="8">
        <f t="shared" si="143"/>
        <v>2.5437499999999998E-2</v>
      </c>
    </row>
    <row r="4568" spans="1:7" x14ac:dyDescent="0.25">
      <c r="A4568" s="8">
        <v>60</v>
      </c>
      <c r="B4568" s="8">
        <v>61</v>
      </c>
      <c r="C4568" s="8">
        <v>4693.5854490000002</v>
      </c>
      <c r="D4568" s="8">
        <v>144831.28125</v>
      </c>
      <c r="E4568" s="8">
        <v>144854.9375</v>
      </c>
      <c r="F4568" s="8">
        <f t="shared" si="142"/>
        <v>23.65625</v>
      </c>
      <c r="G4568" s="8">
        <f t="shared" si="143"/>
        <v>2.365625E-2</v>
      </c>
    </row>
    <row r="4569" spans="1:7" x14ac:dyDescent="0.25">
      <c r="A4569" s="8">
        <v>60</v>
      </c>
      <c r="B4569" s="8">
        <v>62</v>
      </c>
      <c r="C4569" s="8">
        <v>15.932914</v>
      </c>
      <c r="D4569" s="8">
        <v>149556.484375</v>
      </c>
      <c r="E4569" s="8">
        <v>149563.515625</v>
      </c>
      <c r="F4569" s="8">
        <f t="shared" si="142"/>
        <v>7.03125</v>
      </c>
      <c r="G4569" s="8">
        <f t="shared" si="143"/>
        <v>7.0312500000000002E-3</v>
      </c>
    </row>
    <row r="4570" spans="1:7" x14ac:dyDescent="0.25">
      <c r="A4570" s="8">
        <v>60</v>
      </c>
      <c r="B4570" s="8">
        <v>63</v>
      </c>
      <c r="C4570" s="8">
        <v>937.31133999999997</v>
      </c>
      <c r="D4570" s="8">
        <v>149592.265625</v>
      </c>
      <c r="E4570" s="8">
        <v>149599.96875</v>
      </c>
      <c r="F4570" s="8">
        <f t="shared" si="142"/>
        <v>7.703125</v>
      </c>
      <c r="G4570" s="8">
        <f t="shared" si="143"/>
        <v>7.7031249999999999E-3</v>
      </c>
    </row>
    <row r="4571" spans="1:7" x14ac:dyDescent="0.25">
      <c r="A4571" s="8">
        <v>60</v>
      </c>
      <c r="B4571" s="8">
        <v>64</v>
      </c>
      <c r="C4571" s="8">
        <v>2418.1647950000001</v>
      </c>
      <c r="D4571" s="8">
        <v>150545.765625</v>
      </c>
      <c r="E4571" s="8">
        <v>150557.015625</v>
      </c>
      <c r="F4571" s="8">
        <f t="shared" si="142"/>
        <v>11.25</v>
      </c>
      <c r="G4571" s="8">
        <f t="shared" si="143"/>
        <v>1.125E-2</v>
      </c>
    </row>
    <row r="4572" spans="1:7" x14ac:dyDescent="0.25">
      <c r="A4572" s="8">
        <v>60</v>
      </c>
      <c r="B4572" s="8">
        <v>65</v>
      </c>
      <c r="C4572" s="8">
        <v>1682.38501</v>
      </c>
      <c r="D4572" s="8">
        <v>152984.515625</v>
      </c>
      <c r="E4572" s="8">
        <v>152996.828125</v>
      </c>
      <c r="F4572" s="8">
        <f t="shared" si="142"/>
        <v>12.3125</v>
      </c>
      <c r="G4572" s="8">
        <f t="shared" si="143"/>
        <v>1.2312500000000001E-2</v>
      </c>
    </row>
    <row r="4573" spans="1:7" x14ac:dyDescent="0.25">
      <c r="A4573" s="8">
        <v>60</v>
      </c>
      <c r="B4573" s="8">
        <v>66</v>
      </c>
      <c r="C4573" s="8">
        <v>1537.9642329999999</v>
      </c>
      <c r="D4573" s="8">
        <v>154687.859375</v>
      </c>
      <c r="E4573" s="8">
        <v>154705.6875</v>
      </c>
      <c r="F4573" s="8">
        <f t="shared" si="142"/>
        <v>17.828125</v>
      </c>
      <c r="G4573" s="8">
        <f t="shared" si="143"/>
        <v>1.7828125E-2</v>
      </c>
    </row>
    <row r="4574" spans="1:7" x14ac:dyDescent="0.25">
      <c r="A4574" s="8">
        <v>60</v>
      </c>
      <c r="B4574" s="8">
        <v>67</v>
      </c>
      <c r="C4574" s="8">
        <v>148.97203099999999</v>
      </c>
      <c r="D4574" s="8">
        <v>156250.546875</v>
      </c>
      <c r="E4574" s="8">
        <v>156263.515625</v>
      </c>
      <c r="F4574" s="8">
        <f t="shared" si="142"/>
        <v>12.96875</v>
      </c>
      <c r="G4574" s="8">
        <f t="shared" si="143"/>
        <v>1.2968749999999999E-2</v>
      </c>
    </row>
    <row r="4575" spans="1:7" x14ac:dyDescent="0.25">
      <c r="A4575" s="8">
        <v>60</v>
      </c>
      <c r="B4575" s="8">
        <v>68</v>
      </c>
      <c r="C4575" s="8">
        <v>471.130157</v>
      </c>
      <c r="D4575" s="8">
        <v>156422.34375</v>
      </c>
      <c r="E4575" s="8">
        <v>156439.421875</v>
      </c>
      <c r="F4575" s="8">
        <f t="shared" si="142"/>
        <v>17.078125</v>
      </c>
      <c r="G4575" s="8">
        <f t="shared" si="143"/>
        <v>1.7078125E-2</v>
      </c>
    </row>
    <row r="4576" spans="1:7" x14ac:dyDescent="0.25">
      <c r="A4576" s="8">
        <v>60</v>
      </c>
      <c r="B4576" s="8">
        <v>69</v>
      </c>
      <c r="C4576" s="8">
        <v>4351.3964839999999</v>
      </c>
      <c r="D4576" s="8">
        <v>156922.46875</v>
      </c>
      <c r="E4576" s="8">
        <v>156941</v>
      </c>
      <c r="F4576" s="8">
        <f t="shared" si="142"/>
        <v>18.53125</v>
      </c>
      <c r="G4576" s="8">
        <f t="shared" si="143"/>
        <v>1.8531249999999999E-2</v>
      </c>
    </row>
    <row r="4577" spans="1:7" x14ac:dyDescent="0.25">
      <c r="A4577" s="8">
        <v>60</v>
      </c>
      <c r="B4577" s="8">
        <v>70</v>
      </c>
      <c r="C4577" s="8">
        <v>246.322159</v>
      </c>
      <c r="D4577" s="8">
        <v>161298.828125</v>
      </c>
      <c r="E4577" s="8">
        <v>161309.328125</v>
      </c>
      <c r="F4577" s="8">
        <f t="shared" si="142"/>
        <v>10.5</v>
      </c>
      <c r="G4577" s="8">
        <f t="shared" si="143"/>
        <v>1.0500000000000001E-2</v>
      </c>
    </row>
    <row r="4578" spans="1:7" x14ac:dyDescent="0.25">
      <c r="A4578" s="8">
        <v>60</v>
      </c>
      <c r="B4578" s="8">
        <v>71</v>
      </c>
      <c r="C4578" s="8">
        <v>1619.679443</v>
      </c>
      <c r="D4578" s="8">
        <v>161564.5625</v>
      </c>
      <c r="E4578" s="8">
        <v>161584.109375</v>
      </c>
      <c r="F4578" s="8">
        <f t="shared" si="142"/>
        <v>19.546875</v>
      </c>
      <c r="G4578" s="8">
        <f t="shared" si="143"/>
        <v>1.9546874999999998E-2</v>
      </c>
    </row>
    <row r="4579" spans="1:7" x14ac:dyDescent="0.25">
      <c r="A4579" s="8">
        <v>60</v>
      </c>
      <c r="B4579" s="8">
        <v>72</v>
      </c>
      <c r="C4579" s="8">
        <v>2047.905884</v>
      </c>
      <c r="D4579" s="8">
        <v>163205.859375</v>
      </c>
      <c r="E4579" s="8">
        <v>163236.859375</v>
      </c>
      <c r="F4579" s="8">
        <f t="shared" si="142"/>
        <v>31</v>
      </c>
      <c r="G4579" s="8">
        <f t="shared" si="143"/>
        <v>3.1E-2</v>
      </c>
    </row>
    <row r="4580" spans="1:7" x14ac:dyDescent="0.25">
      <c r="A4580" s="8">
        <v>60</v>
      </c>
      <c r="B4580" s="8">
        <v>73</v>
      </c>
      <c r="C4580" s="8">
        <v>761.52563499999997</v>
      </c>
      <c r="D4580" s="8">
        <v>165295.9375</v>
      </c>
      <c r="E4580" s="8">
        <v>165312.921875</v>
      </c>
      <c r="F4580" s="8">
        <f t="shared" si="142"/>
        <v>16.984375</v>
      </c>
      <c r="G4580" s="8">
        <f t="shared" si="143"/>
        <v>1.6984374999999999E-2</v>
      </c>
    </row>
    <row r="4581" spans="1:7" x14ac:dyDescent="0.25">
      <c r="A4581" s="8">
        <v>60</v>
      </c>
      <c r="B4581" s="8">
        <v>74</v>
      </c>
      <c r="C4581" s="8">
        <v>1644.9429929999999</v>
      </c>
      <c r="D4581" s="8">
        <v>166077.328125</v>
      </c>
      <c r="E4581" s="8">
        <v>166097.84375</v>
      </c>
      <c r="F4581" s="8">
        <f t="shared" si="142"/>
        <v>20.515625</v>
      </c>
      <c r="G4581" s="8">
        <f t="shared" si="143"/>
        <v>2.0515624999999999E-2</v>
      </c>
    </row>
    <row r="4582" spans="1:7" x14ac:dyDescent="0.25">
      <c r="A4582" s="8">
        <v>60</v>
      </c>
      <c r="B4582" s="8">
        <v>75</v>
      </c>
      <c r="C4582" s="8">
        <v>717.88043200000004</v>
      </c>
      <c r="D4582" s="8">
        <v>167744.21875</v>
      </c>
      <c r="E4582" s="8">
        <v>167768.59375</v>
      </c>
      <c r="F4582" s="8">
        <f t="shared" si="142"/>
        <v>24.375</v>
      </c>
      <c r="G4582" s="8">
        <f t="shared" si="143"/>
        <v>2.4375000000000001E-2</v>
      </c>
    </row>
    <row r="4583" spans="1:7" x14ac:dyDescent="0.25">
      <c r="A4583" s="8">
        <v>60</v>
      </c>
      <c r="B4583" s="8">
        <v>76</v>
      </c>
      <c r="C4583" s="8">
        <v>705.76946999999996</v>
      </c>
      <c r="D4583" s="8">
        <v>168497.4375</v>
      </c>
      <c r="E4583" s="8">
        <v>168511.71875</v>
      </c>
      <c r="F4583" s="8">
        <f t="shared" si="142"/>
        <v>14.28125</v>
      </c>
      <c r="G4583" s="8">
        <f t="shared" si="143"/>
        <v>1.4281250000000001E-2</v>
      </c>
    </row>
    <row r="4584" spans="1:7" x14ac:dyDescent="0.25">
      <c r="A4584" s="8">
        <v>60</v>
      </c>
      <c r="B4584" s="8">
        <v>77</v>
      </c>
      <c r="C4584" s="8">
        <v>556.10833700000001</v>
      </c>
      <c r="D4584" s="8">
        <v>169220.328125</v>
      </c>
      <c r="E4584" s="8">
        <v>169229.515625</v>
      </c>
      <c r="F4584" s="8">
        <f t="shared" si="142"/>
        <v>9.1875</v>
      </c>
      <c r="G4584" s="8">
        <f t="shared" si="143"/>
        <v>9.1874999999999995E-3</v>
      </c>
    </row>
    <row r="4585" spans="1:7" x14ac:dyDescent="0.25">
      <c r="A4585" s="8">
        <v>60</v>
      </c>
      <c r="B4585" s="8">
        <v>78</v>
      </c>
      <c r="C4585" s="8">
        <v>841.62200900000005</v>
      </c>
      <c r="D4585" s="8">
        <v>169798.515625</v>
      </c>
      <c r="E4585" s="8">
        <v>169809.09375</v>
      </c>
      <c r="F4585" s="8">
        <f t="shared" si="142"/>
        <v>10.578125</v>
      </c>
      <c r="G4585" s="8">
        <f t="shared" si="143"/>
        <v>1.0578125000000001E-2</v>
      </c>
    </row>
    <row r="4586" spans="1:7" x14ac:dyDescent="0.25">
      <c r="A4586" s="8">
        <v>61</v>
      </c>
      <c r="B4586" s="8">
        <v>0</v>
      </c>
      <c r="C4586" s="8">
        <v>4965.1186520000001</v>
      </c>
      <c r="D4586" s="8">
        <v>22672.615234000001</v>
      </c>
      <c r="E4586" s="8">
        <v>22687.828125</v>
      </c>
      <c r="F4586" s="8">
        <f t="shared" si="142"/>
        <v>15.212890999999217</v>
      </c>
      <c r="G4586" s="8">
        <f t="shared" si="143"/>
        <v>1.5212890999999217E-2</v>
      </c>
    </row>
    <row r="4587" spans="1:7" x14ac:dyDescent="0.25">
      <c r="A4587" s="8">
        <v>61</v>
      </c>
      <c r="B4587" s="8">
        <v>1</v>
      </c>
      <c r="C4587" s="8">
        <v>443.05480999999997</v>
      </c>
      <c r="D4587" s="8">
        <v>27665.931640999999</v>
      </c>
      <c r="E4587" s="8">
        <v>27676.828125</v>
      </c>
      <c r="F4587" s="8">
        <f t="shared" si="142"/>
        <v>10.896484000000783</v>
      </c>
      <c r="G4587" s="8">
        <f t="shared" si="143"/>
        <v>1.0896484000000782E-2</v>
      </c>
    </row>
    <row r="4588" spans="1:7" x14ac:dyDescent="0.25">
      <c r="A4588" s="8">
        <v>61</v>
      </c>
      <c r="B4588" s="8">
        <v>2</v>
      </c>
      <c r="C4588" s="8">
        <v>541.49218800000006</v>
      </c>
      <c r="D4588" s="8">
        <v>28134.742188</v>
      </c>
      <c r="E4588" s="8">
        <v>28142.417968999998</v>
      </c>
      <c r="F4588" s="8">
        <f t="shared" si="142"/>
        <v>7.6757809999980964</v>
      </c>
      <c r="G4588" s="8">
        <f t="shared" si="143"/>
        <v>7.6757809999980966E-3</v>
      </c>
    </row>
    <row r="4589" spans="1:7" x14ac:dyDescent="0.25">
      <c r="A4589" s="8">
        <v>61</v>
      </c>
      <c r="B4589" s="8">
        <v>3</v>
      </c>
      <c r="C4589" s="8">
        <v>1213.716797</v>
      </c>
      <c r="D4589" s="8">
        <v>28683.923827999999</v>
      </c>
      <c r="E4589" s="8">
        <v>28694.408202999999</v>
      </c>
      <c r="F4589" s="8">
        <f t="shared" si="142"/>
        <v>10.484375</v>
      </c>
      <c r="G4589" s="8">
        <f t="shared" si="143"/>
        <v>1.0484375000000001E-2</v>
      </c>
    </row>
    <row r="4590" spans="1:7" x14ac:dyDescent="0.25">
      <c r="A4590" s="8">
        <v>61</v>
      </c>
      <c r="B4590" s="8">
        <v>4</v>
      </c>
      <c r="C4590" s="8">
        <v>818.69695999999999</v>
      </c>
      <c r="D4590" s="8">
        <v>29918.425781000002</v>
      </c>
      <c r="E4590" s="8">
        <v>29931.394531000002</v>
      </c>
      <c r="F4590" s="8">
        <f t="shared" si="142"/>
        <v>12.96875</v>
      </c>
      <c r="G4590" s="8">
        <f t="shared" si="143"/>
        <v>1.2968749999999999E-2</v>
      </c>
    </row>
    <row r="4591" spans="1:7" x14ac:dyDescent="0.25">
      <c r="A4591" s="8">
        <v>61</v>
      </c>
      <c r="B4591" s="8">
        <v>5</v>
      </c>
      <c r="C4591" s="8">
        <v>9055.7607420000004</v>
      </c>
      <c r="D4591" s="8">
        <v>30751.339843999998</v>
      </c>
      <c r="E4591" s="8">
        <v>30766.244140999999</v>
      </c>
      <c r="F4591" s="8">
        <f t="shared" si="142"/>
        <v>14.904297000000952</v>
      </c>
      <c r="G4591" s="8">
        <f t="shared" si="143"/>
        <v>1.4904297000000951E-2</v>
      </c>
    </row>
    <row r="4592" spans="1:7" x14ac:dyDescent="0.25">
      <c r="A4592" s="8">
        <v>61</v>
      </c>
      <c r="B4592" s="8">
        <v>6</v>
      </c>
      <c r="C4592" s="8">
        <v>5761.4873049999997</v>
      </c>
      <c r="D4592" s="8">
        <v>39824.21875</v>
      </c>
      <c r="E4592" s="8">
        <v>39833.167969000002</v>
      </c>
      <c r="F4592" s="8">
        <f t="shared" si="142"/>
        <v>8.9492190000019036</v>
      </c>
      <c r="G4592" s="8">
        <f t="shared" si="143"/>
        <v>8.9492190000019043E-3</v>
      </c>
    </row>
    <row r="4593" spans="1:7" x14ac:dyDescent="0.25">
      <c r="A4593" s="8">
        <v>61</v>
      </c>
      <c r="B4593" s="8">
        <v>7</v>
      </c>
      <c r="C4593" s="8">
        <v>1112.6198730000001</v>
      </c>
      <c r="D4593" s="8">
        <v>45600.113280999998</v>
      </c>
      <c r="E4593" s="8">
        <v>45613.476562999997</v>
      </c>
      <c r="F4593" s="8">
        <f t="shared" si="142"/>
        <v>13.363281999998435</v>
      </c>
      <c r="G4593" s="8">
        <f t="shared" si="143"/>
        <v>1.3363281999998434E-2</v>
      </c>
    </row>
    <row r="4594" spans="1:7" x14ac:dyDescent="0.25">
      <c r="A4594" s="8">
        <v>61</v>
      </c>
      <c r="B4594" s="8">
        <v>8</v>
      </c>
      <c r="C4594" s="8">
        <v>364.484375</v>
      </c>
      <c r="D4594" s="8">
        <v>46735.355469000002</v>
      </c>
      <c r="E4594" s="8">
        <v>46761.394530999998</v>
      </c>
      <c r="F4594" s="8">
        <f t="shared" si="142"/>
        <v>26.039061999996193</v>
      </c>
      <c r="G4594" s="8">
        <f t="shared" si="143"/>
        <v>2.6039061999996192E-2</v>
      </c>
    </row>
    <row r="4595" spans="1:7" x14ac:dyDescent="0.25">
      <c r="A4595" s="8">
        <v>61</v>
      </c>
      <c r="B4595" s="8">
        <v>9</v>
      </c>
      <c r="C4595" s="8">
        <v>433.40411399999999</v>
      </c>
      <c r="D4595" s="8">
        <v>47125.984375</v>
      </c>
      <c r="E4595" s="8">
        <v>47139.171875</v>
      </c>
      <c r="F4595" s="8">
        <f t="shared" si="142"/>
        <v>13.1875</v>
      </c>
      <c r="G4595" s="8">
        <f t="shared" si="143"/>
        <v>1.31875E-2</v>
      </c>
    </row>
    <row r="4596" spans="1:7" x14ac:dyDescent="0.25">
      <c r="A4596" s="8">
        <v>61</v>
      </c>
      <c r="B4596" s="8">
        <v>10</v>
      </c>
      <c r="C4596" s="8">
        <v>1114.1110839999999</v>
      </c>
      <c r="D4596" s="8">
        <v>47579.1875</v>
      </c>
      <c r="E4596" s="8">
        <v>47594.550780999998</v>
      </c>
      <c r="F4596" s="8">
        <f t="shared" si="142"/>
        <v>15.363280999998096</v>
      </c>
      <c r="G4596" s="8">
        <f t="shared" si="143"/>
        <v>1.5363280999998096E-2</v>
      </c>
    </row>
    <row r="4597" spans="1:7" x14ac:dyDescent="0.25">
      <c r="A4597" s="8">
        <v>61</v>
      </c>
      <c r="B4597" s="8">
        <v>11</v>
      </c>
      <c r="C4597" s="8">
        <v>202.754593</v>
      </c>
      <c r="D4597" s="8">
        <v>48720.675780999998</v>
      </c>
      <c r="E4597" s="8">
        <v>48743.699219000002</v>
      </c>
      <c r="F4597" s="8">
        <f t="shared" si="142"/>
        <v>23.023438000003807</v>
      </c>
      <c r="G4597" s="8">
        <f t="shared" si="143"/>
        <v>2.3023438000003806E-2</v>
      </c>
    </row>
    <row r="4598" spans="1:7" x14ac:dyDescent="0.25">
      <c r="A4598" s="8">
        <v>61</v>
      </c>
      <c r="B4598" s="8">
        <v>12</v>
      </c>
      <c r="C4598" s="8">
        <v>1550.646606</v>
      </c>
      <c r="D4598" s="8">
        <v>48949.703125</v>
      </c>
      <c r="E4598" s="8">
        <v>48967.199219000002</v>
      </c>
      <c r="F4598" s="8">
        <f t="shared" si="142"/>
        <v>17.496094000001904</v>
      </c>
      <c r="G4598" s="8">
        <f t="shared" si="143"/>
        <v>1.7496094000001905E-2</v>
      </c>
    </row>
    <row r="4599" spans="1:7" x14ac:dyDescent="0.25">
      <c r="A4599" s="8">
        <v>61</v>
      </c>
      <c r="B4599" s="8">
        <v>13</v>
      </c>
      <c r="C4599" s="8">
        <v>2472.8947750000002</v>
      </c>
      <c r="D4599" s="8">
        <v>50518.484375</v>
      </c>
      <c r="E4599" s="8">
        <v>50540.992187999997</v>
      </c>
      <c r="F4599" s="8">
        <f t="shared" si="142"/>
        <v>22.507812999996531</v>
      </c>
      <c r="G4599" s="8">
        <f t="shared" si="143"/>
        <v>2.2507812999996532E-2</v>
      </c>
    </row>
    <row r="4600" spans="1:7" x14ac:dyDescent="0.25">
      <c r="A4600" s="8">
        <v>61</v>
      </c>
      <c r="B4600" s="8">
        <v>14</v>
      </c>
      <c r="C4600" s="8">
        <v>2072.8720699999999</v>
      </c>
      <c r="D4600" s="8">
        <v>53013.8125</v>
      </c>
      <c r="E4600" s="8">
        <v>53020.964844000002</v>
      </c>
      <c r="F4600" s="8">
        <f t="shared" si="142"/>
        <v>7.1523440000019036</v>
      </c>
      <c r="G4600" s="8">
        <f t="shared" si="143"/>
        <v>7.1523440000019036E-3</v>
      </c>
    </row>
    <row r="4601" spans="1:7" x14ac:dyDescent="0.25">
      <c r="A4601" s="8">
        <v>61</v>
      </c>
      <c r="B4601" s="8">
        <v>15</v>
      </c>
      <c r="C4601" s="8">
        <v>369.03036500000002</v>
      </c>
      <c r="D4601" s="8">
        <v>55097.347655999998</v>
      </c>
      <c r="E4601" s="8">
        <v>55107.296875</v>
      </c>
      <c r="F4601" s="8">
        <f t="shared" si="142"/>
        <v>9.9492190000019036</v>
      </c>
      <c r="G4601" s="8">
        <f t="shared" si="143"/>
        <v>9.9492190000019035E-3</v>
      </c>
    </row>
    <row r="4602" spans="1:7" x14ac:dyDescent="0.25">
      <c r="A4602" s="8">
        <v>61</v>
      </c>
      <c r="B4602" s="8">
        <v>16</v>
      </c>
      <c r="C4602" s="8">
        <v>216.24224899999999</v>
      </c>
      <c r="D4602" s="8">
        <v>55487.96875</v>
      </c>
      <c r="E4602" s="8">
        <v>55496.835937999997</v>
      </c>
      <c r="F4602" s="8">
        <f t="shared" si="142"/>
        <v>8.8671879999965313</v>
      </c>
      <c r="G4602" s="8">
        <f t="shared" si="143"/>
        <v>8.8671879999965321E-3</v>
      </c>
    </row>
    <row r="4603" spans="1:7" x14ac:dyDescent="0.25">
      <c r="A4603" s="8">
        <v>61</v>
      </c>
      <c r="B4603" s="8">
        <v>17</v>
      </c>
      <c r="C4603" s="8">
        <v>3275.6450199999999</v>
      </c>
      <c r="D4603" s="8">
        <v>55722.277344000002</v>
      </c>
      <c r="E4603" s="8">
        <v>55739.191405999998</v>
      </c>
      <c r="F4603" s="8">
        <f t="shared" si="142"/>
        <v>16.914061999996193</v>
      </c>
      <c r="G4603" s="8">
        <f t="shared" si="143"/>
        <v>1.6914061999996191E-2</v>
      </c>
    </row>
    <row r="4604" spans="1:7" x14ac:dyDescent="0.25">
      <c r="A4604" s="8">
        <v>61</v>
      </c>
      <c r="B4604" s="8">
        <v>18</v>
      </c>
      <c r="C4604" s="8">
        <v>2004.203125</v>
      </c>
      <c r="D4604" s="8">
        <v>59028.601562999997</v>
      </c>
      <c r="E4604" s="8">
        <v>59037.003905999998</v>
      </c>
      <c r="F4604" s="8">
        <f t="shared" si="142"/>
        <v>8.4023430000015651</v>
      </c>
      <c r="G4604" s="8">
        <f t="shared" si="143"/>
        <v>8.4023430000015643E-3</v>
      </c>
    </row>
    <row r="4605" spans="1:7" x14ac:dyDescent="0.25">
      <c r="A4605" s="8">
        <v>61</v>
      </c>
      <c r="B4605" s="8">
        <v>19</v>
      </c>
      <c r="C4605" s="8">
        <v>1331.3298339999999</v>
      </c>
      <c r="D4605" s="8">
        <v>61044.457030999998</v>
      </c>
      <c r="E4605" s="8">
        <v>61055.632812999997</v>
      </c>
      <c r="F4605" s="8">
        <f t="shared" si="142"/>
        <v>11.175781999998435</v>
      </c>
      <c r="G4605" s="8">
        <f t="shared" si="143"/>
        <v>1.1175781999998436E-2</v>
      </c>
    </row>
    <row r="4606" spans="1:7" x14ac:dyDescent="0.25">
      <c r="A4606" s="8">
        <v>61</v>
      </c>
      <c r="B4606" s="8">
        <v>20</v>
      </c>
      <c r="C4606" s="8">
        <v>8553.7597659999992</v>
      </c>
      <c r="D4606" s="8">
        <v>62391.675780999998</v>
      </c>
      <c r="E4606" s="8">
        <v>62404.191405999998</v>
      </c>
      <c r="F4606" s="8">
        <f t="shared" si="142"/>
        <v>12.515625</v>
      </c>
      <c r="G4606" s="8">
        <f t="shared" si="143"/>
        <v>1.2515625000000001E-2</v>
      </c>
    </row>
    <row r="4607" spans="1:7" x14ac:dyDescent="0.25">
      <c r="A4607" s="8">
        <v>61</v>
      </c>
      <c r="B4607" s="8">
        <v>21</v>
      </c>
      <c r="C4607" s="8">
        <v>1896.900024</v>
      </c>
      <c r="D4607" s="8">
        <v>70960.742188000004</v>
      </c>
      <c r="E4607" s="8">
        <v>70981.539063000004</v>
      </c>
      <c r="F4607" s="8">
        <f t="shared" si="142"/>
        <v>20.796875</v>
      </c>
      <c r="G4607" s="8">
        <f t="shared" si="143"/>
        <v>2.0796874999999999E-2</v>
      </c>
    </row>
    <row r="4608" spans="1:7" x14ac:dyDescent="0.25">
      <c r="A4608" s="8">
        <v>61</v>
      </c>
      <c r="B4608" s="8">
        <v>22</v>
      </c>
      <c r="C4608" s="8">
        <v>5550.0048829999996</v>
      </c>
      <c r="D4608" s="8">
        <v>72888.695313000004</v>
      </c>
      <c r="E4608" s="8">
        <v>72907.367188000004</v>
      </c>
      <c r="F4608" s="8">
        <f t="shared" si="142"/>
        <v>18.671875</v>
      </c>
      <c r="G4608" s="8">
        <f t="shared" si="143"/>
        <v>1.8671875000000001E-2</v>
      </c>
    </row>
    <row r="4609" spans="1:7" x14ac:dyDescent="0.25">
      <c r="A4609" s="8">
        <v>61</v>
      </c>
      <c r="B4609" s="8">
        <v>23</v>
      </c>
      <c r="C4609" s="8">
        <v>200.12196399999999</v>
      </c>
      <c r="D4609" s="8">
        <v>78466.53125</v>
      </c>
      <c r="E4609" s="8">
        <v>78480.078125</v>
      </c>
      <c r="F4609" s="8">
        <f t="shared" si="142"/>
        <v>13.546875</v>
      </c>
      <c r="G4609" s="8">
        <f t="shared" si="143"/>
        <v>1.3546875E-2</v>
      </c>
    </row>
    <row r="4610" spans="1:7" x14ac:dyDescent="0.25">
      <c r="A4610" s="8">
        <v>61</v>
      </c>
      <c r="B4610" s="8">
        <v>24</v>
      </c>
      <c r="C4610" s="8">
        <v>1327.2957759999999</v>
      </c>
      <c r="D4610" s="8">
        <v>78685.273438000004</v>
      </c>
      <c r="E4610" s="8">
        <v>78704.585938000004</v>
      </c>
      <c r="F4610" s="8">
        <f t="shared" si="142"/>
        <v>19.3125</v>
      </c>
      <c r="G4610" s="8">
        <f t="shared" si="143"/>
        <v>1.93125E-2</v>
      </c>
    </row>
    <row r="4611" spans="1:7" x14ac:dyDescent="0.25">
      <c r="A4611" s="8">
        <v>61</v>
      </c>
      <c r="B4611" s="8">
        <v>25</v>
      </c>
      <c r="C4611" s="8">
        <v>1185.4735109999999</v>
      </c>
      <c r="D4611" s="8">
        <v>80035.34375</v>
      </c>
      <c r="E4611" s="8">
        <v>80056.21875</v>
      </c>
      <c r="F4611" s="8">
        <f t="shared" si="142"/>
        <v>20.875</v>
      </c>
      <c r="G4611" s="8">
        <f t="shared" si="143"/>
        <v>2.0875000000000001E-2</v>
      </c>
    </row>
    <row r="4612" spans="1:7" x14ac:dyDescent="0.25">
      <c r="A4612" s="8">
        <v>61</v>
      </c>
      <c r="B4612" s="8">
        <v>26</v>
      </c>
      <c r="C4612" s="8">
        <v>1419.466797</v>
      </c>
      <c r="D4612" s="8">
        <v>81255.132813000004</v>
      </c>
      <c r="E4612" s="8">
        <v>81265.34375</v>
      </c>
      <c r="F4612" s="8">
        <f t="shared" si="142"/>
        <v>10.210936999996193</v>
      </c>
      <c r="G4612" s="8">
        <f t="shared" si="143"/>
        <v>1.0210936999996192E-2</v>
      </c>
    </row>
    <row r="4613" spans="1:7" x14ac:dyDescent="0.25">
      <c r="A4613" s="8">
        <v>61</v>
      </c>
      <c r="B4613" s="8">
        <v>27</v>
      </c>
      <c r="C4613" s="8">
        <v>6242.625</v>
      </c>
      <c r="D4613" s="8">
        <v>82698.6875</v>
      </c>
      <c r="E4613" s="8">
        <v>82709.476563000004</v>
      </c>
      <c r="F4613" s="8">
        <f t="shared" si="142"/>
        <v>10.789063000003807</v>
      </c>
      <c r="G4613" s="8">
        <f t="shared" si="143"/>
        <v>1.0789063000003807E-2</v>
      </c>
    </row>
    <row r="4614" spans="1:7" x14ac:dyDescent="0.25">
      <c r="A4614" s="8">
        <v>61</v>
      </c>
      <c r="B4614" s="8">
        <v>28</v>
      </c>
      <c r="C4614" s="8">
        <v>3229.094971</v>
      </c>
      <c r="D4614" s="8">
        <v>88959.0625</v>
      </c>
      <c r="E4614" s="8">
        <v>88978.78125</v>
      </c>
      <c r="F4614" s="8">
        <f t="shared" si="142"/>
        <v>19.71875</v>
      </c>
      <c r="G4614" s="8">
        <f t="shared" si="143"/>
        <v>1.971875E-2</v>
      </c>
    </row>
    <row r="4615" spans="1:7" x14ac:dyDescent="0.25">
      <c r="A4615" s="8">
        <v>61</v>
      </c>
      <c r="B4615" s="8">
        <v>29</v>
      </c>
      <c r="C4615" s="8">
        <v>6414.5097660000001</v>
      </c>
      <c r="D4615" s="8">
        <v>92214.367188000004</v>
      </c>
      <c r="E4615" s="8">
        <v>92244.773438000004</v>
      </c>
      <c r="F4615" s="8">
        <f t="shared" si="142"/>
        <v>30.40625</v>
      </c>
      <c r="G4615" s="8">
        <f t="shared" si="143"/>
        <v>3.0406249999999999E-2</v>
      </c>
    </row>
    <row r="4616" spans="1:7" x14ac:dyDescent="0.25">
      <c r="A4616" s="8">
        <v>61</v>
      </c>
      <c r="B4616" s="8">
        <v>30</v>
      </c>
      <c r="C4616" s="8">
        <v>272.65982100000002</v>
      </c>
      <c r="D4616" s="8">
        <v>98660.273438000004</v>
      </c>
      <c r="E4616" s="8">
        <v>98677.765625</v>
      </c>
      <c r="F4616" s="8">
        <f t="shared" si="142"/>
        <v>17.492186999996193</v>
      </c>
      <c r="G4616" s="8">
        <f t="shared" si="143"/>
        <v>1.7492186999996193E-2</v>
      </c>
    </row>
    <row r="4617" spans="1:7" x14ac:dyDescent="0.25">
      <c r="A4617" s="8">
        <v>61</v>
      </c>
      <c r="B4617" s="8">
        <v>31</v>
      </c>
      <c r="C4617" s="8">
        <v>36.215668000000001</v>
      </c>
      <c r="D4617" s="8">
        <v>98957.15625</v>
      </c>
      <c r="E4617" s="8">
        <v>98993.25</v>
      </c>
      <c r="F4617" s="8">
        <f t="shared" si="142"/>
        <v>36.09375</v>
      </c>
      <c r="G4617" s="8">
        <f t="shared" si="143"/>
        <v>3.6093750000000001E-2</v>
      </c>
    </row>
    <row r="4618" spans="1:7" x14ac:dyDescent="0.25">
      <c r="A4618" s="8">
        <v>61</v>
      </c>
      <c r="B4618" s="8">
        <v>32</v>
      </c>
      <c r="C4618" s="8">
        <v>2338.780029</v>
      </c>
      <c r="D4618" s="8">
        <v>99035.289063000004</v>
      </c>
      <c r="E4618" s="8">
        <v>99042.375</v>
      </c>
      <c r="F4618" s="8">
        <f t="shared" si="142"/>
        <v>7.0859369999961928</v>
      </c>
      <c r="G4618" s="8">
        <f t="shared" si="143"/>
        <v>7.0859369999961928E-3</v>
      </c>
    </row>
    <row r="4619" spans="1:7" x14ac:dyDescent="0.25">
      <c r="A4619" s="8">
        <v>61</v>
      </c>
      <c r="B4619" s="8">
        <v>33</v>
      </c>
      <c r="C4619" s="8">
        <v>1680.6870120000001</v>
      </c>
      <c r="D4619" s="8">
        <v>101394.101563</v>
      </c>
      <c r="E4619" s="8">
        <v>101414.390625</v>
      </c>
      <c r="F4619" s="8">
        <f t="shared" ref="F4619:F4682" si="144">E4619-D4619</f>
        <v>20.289061999996193</v>
      </c>
      <c r="G4619" s="8">
        <f t="shared" ref="G4619:G4682" si="145">F4619/1000</f>
        <v>2.0289061999996194E-2</v>
      </c>
    </row>
    <row r="4620" spans="1:7" x14ac:dyDescent="0.25">
      <c r="A4620" s="8">
        <v>61</v>
      </c>
      <c r="B4620" s="8">
        <v>34</v>
      </c>
      <c r="C4620" s="8">
        <v>8267.5576170000004</v>
      </c>
      <c r="D4620" s="8">
        <v>103103.953125</v>
      </c>
      <c r="E4620" s="8">
        <v>103113.953125</v>
      </c>
      <c r="F4620" s="8">
        <f t="shared" si="144"/>
        <v>10</v>
      </c>
      <c r="G4620" s="8">
        <f t="shared" si="145"/>
        <v>0.01</v>
      </c>
    </row>
    <row r="4621" spans="1:7" x14ac:dyDescent="0.25">
      <c r="A4621" s="8">
        <v>61</v>
      </c>
      <c r="B4621" s="8">
        <v>35</v>
      </c>
      <c r="C4621" s="8">
        <v>4260.4838870000003</v>
      </c>
      <c r="D4621" s="8">
        <v>111392.875</v>
      </c>
      <c r="E4621" s="8">
        <v>111402.414063</v>
      </c>
      <c r="F4621" s="8">
        <f t="shared" si="144"/>
        <v>9.5390630000038072</v>
      </c>
      <c r="G4621" s="8">
        <f t="shared" si="145"/>
        <v>9.5390630000038064E-3</v>
      </c>
    </row>
    <row r="4622" spans="1:7" x14ac:dyDescent="0.25">
      <c r="A4622" s="8">
        <v>61</v>
      </c>
      <c r="B4622" s="8">
        <v>36</v>
      </c>
      <c r="C4622" s="8">
        <v>875.28027299999997</v>
      </c>
      <c r="D4622" s="8">
        <v>115676.773438</v>
      </c>
      <c r="E4622" s="8">
        <v>115687.835938</v>
      </c>
      <c r="F4622" s="8">
        <f t="shared" si="144"/>
        <v>11.0625</v>
      </c>
      <c r="G4622" s="8">
        <f t="shared" si="145"/>
        <v>1.1062499999999999E-2</v>
      </c>
    </row>
    <row r="4623" spans="1:7" x14ac:dyDescent="0.25">
      <c r="A4623" s="8">
        <v>61</v>
      </c>
      <c r="B4623" s="8">
        <v>37</v>
      </c>
      <c r="C4623" s="8">
        <v>328.26831099999998</v>
      </c>
      <c r="D4623" s="8">
        <v>116567.617188</v>
      </c>
      <c r="E4623" s="8">
        <v>116586.359375</v>
      </c>
      <c r="F4623" s="8">
        <f t="shared" si="144"/>
        <v>18.742186999996193</v>
      </c>
      <c r="G4623" s="8">
        <f t="shared" si="145"/>
        <v>1.8742186999996194E-2</v>
      </c>
    </row>
    <row r="4624" spans="1:7" x14ac:dyDescent="0.25">
      <c r="A4624" s="8">
        <v>61</v>
      </c>
      <c r="B4624" s="8">
        <v>38</v>
      </c>
      <c r="C4624" s="8">
        <v>1292.982422</v>
      </c>
      <c r="D4624" s="8">
        <v>116926.835938</v>
      </c>
      <c r="E4624" s="8">
        <v>116939.984375</v>
      </c>
      <c r="F4624" s="8">
        <f t="shared" si="144"/>
        <v>13.148436999996193</v>
      </c>
      <c r="G4624" s="8">
        <f t="shared" si="145"/>
        <v>1.3148436999996193E-2</v>
      </c>
    </row>
    <row r="4625" spans="1:7" x14ac:dyDescent="0.25">
      <c r="A4625" s="8">
        <v>61</v>
      </c>
      <c r="B4625" s="8">
        <v>39</v>
      </c>
      <c r="C4625" s="8">
        <v>2837.790039</v>
      </c>
      <c r="D4625" s="8">
        <v>118244.390625</v>
      </c>
      <c r="E4625" s="8">
        <v>118261.625</v>
      </c>
      <c r="F4625" s="8">
        <f t="shared" si="144"/>
        <v>17.234375</v>
      </c>
      <c r="G4625" s="8">
        <f t="shared" si="145"/>
        <v>1.7234375E-2</v>
      </c>
    </row>
    <row r="4626" spans="1:7" x14ac:dyDescent="0.25">
      <c r="A4626" s="8">
        <v>61</v>
      </c>
      <c r="B4626" s="8">
        <v>40</v>
      </c>
      <c r="C4626" s="8">
        <v>1143.4104</v>
      </c>
      <c r="D4626" s="8">
        <v>121111.414063</v>
      </c>
      <c r="E4626" s="8">
        <v>121125.71875</v>
      </c>
      <c r="F4626" s="8">
        <f t="shared" si="144"/>
        <v>14.304686999996193</v>
      </c>
      <c r="G4626" s="8">
        <f t="shared" si="145"/>
        <v>1.4304686999996192E-2</v>
      </c>
    </row>
    <row r="4627" spans="1:7" x14ac:dyDescent="0.25">
      <c r="A4627" s="8">
        <v>61</v>
      </c>
      <c r="B4627" s="8">
        <v>41</v>
      </c>
      <c r="C4627" s="8">
        <v>1230.1331789999999</v>
      </c>
      <c r="D4627" s="8">
        <v>122283.367188</v>
      </c>
      <c r="E4627" s="8">
        <v>122316.515625</v>
      </c>
      <c r="F4627" s="8">
        <f t="shared" si="144"/>
        <v>33.148436999996193</v>
      </c>
      <c r="G4627" s="8">
        <f t="shared" si="145"/>
        <v>3.3148436999996193E-2</v>
      </c>
    </row>
    <row r="4628" spans="1:7" x14ac:dyDescent="0.25">
      <c r="A4628" s="8">
        <v>61</v>
      </c>
      <c r="B4628" s="8">
        <v>42</v>
      </c>
      <c r="C4628" s="8">
        <v>3696.195557</v>
      </c>
      <c r="D4628" s="8">
        <v>123558.8125</v>
      </c>
      <c r="E4628" s="8">
        <v>123572.117188</v>
      </c>
      <c r="F4628" s="8">
        <f t="shared" si="144"/>
        <v>13.304688000003807</v>
      </c>
      <c r="G4628" s="8">
        <f t="shared" si="145"/>
        <v>1.3304688000003808E-2</v>
      </c>
    </row>
    <row r="4629" spans="1:7" x14ac:dyDescent="0.25">
      <c r="A4629" s="8">
        <v>61</v>
      </c>
      <c r="B4629" s="8">
        <v>43</v>
      </c>
      <c r="C4629" s="8">
        <v>6336.126953</v>
      </c>
      <c r="D4629" s="8">
        <v>127268.640625</v>
      </c>
      <c r="E4629" s="8">
        <v>127284.765625</v>
      </c>
      <c r="F4629" s="8">
        <f t="shared" si="144"/>
        <v>16.125</v>
      </c>
      <c r="G4629" s="8">
        <f t="shared" si="145"/>
        <v>1.6125E-2</v>
      </c>
    </row>
    <row r="4630" spans="1:7" x14ac:dyDescent="0.25">
      <c r="A4630" s="8">
        <v>61</v>
      </c>
      <c r="B4630" s="8">
        <v>44</v>
      </c>
      <c r="C4630" s="8">
        <v>1122.438721</v>
      </c>
      <c r="D4630" s="8">
        <v>133628.75</v>
      </c>
      <c r="E4630" s="8">
        <v>133645.484375</v>
      </c>
      <c r="F4630" s="8">
        <f t="shared" si="144"/>
        <v>16.734375</v>
      </c>
      <c r="G4630" s="8">
        <f t="shared" si="145"/>
        <v>1.6734374999999999E-2</v>
      </c>
    </row>
    <row r="4631" spans="1:7" x14ac:dyDescent="0.25">
      <c r="A4631" s="8">
        <v>61</v>
      </c>
      <c r="B4631" s="8">
        <v>45</v>
      </c>
      <c r="C4631" s="8">
        <v>510.92083700000001</v>
      </c>
      <c r="D4631" s="8">
        <v>134769.46875</v>
      </c>
      <c r="E4631" s="8">
        <v>134790.578125</v>
      </c>
      <c r="F4631" s="8">
        <f t="shared" si="144"/>
        <v>21.109375</v>
      </c>
      <c r="G4631" s="8">
        <f t="shared" si="145"/>
        <v>2.1109375E-2</v>
      </c>
    </row>
    <row r="4632" spans="1:7" x14ac:dyDescent="0.25">
      <c r="A4632" s="8">
        <v>61</v>
      </c>
      <c r="B4632" s="8">
        <v>46</v>
      </c>
      <c r="C4632" s="8">
        <v>2487.4494629999999</v>
      </c>
      <c r="D4632" s="8">
        <v>135303.90625</v>
      </c>
      <c r="E4632" s="8">
        <v>135327.328125</v>
      </c>
      <c r="F4632" s="8">
        <f t="shared" si="144"/>
        <v>23.421875</v>
      </c>
      <c r="G4632" s="8">
        <f t="shared" si="145"/>
        <v>2.3421875000000002E-2</v>
      </c>
    </row>
    <row r="4633" spans="1:7" x14ac:dyDescent="0.25">
      <c r="A4633" s="8">
        <v>61</v>
      </c>
      <c r="B4633" s="8">
        <v>47</v>
      </c>
      <c r="C4633" s="8">
        <v>1891.7066649999999</v>
      </c>
      <c r="D4633" s="8">
        <v>137828.046875</v>
      </c>
      <c r="E4633" s="8">
        <v>137839.96875</v>
      </c>
      <c r="F4633" s="8">
        <f t="shared" si="144"/>
        <v>11.921875</v>
      </c>
      <c r="G4633" s="8">
        <f t="shared" si="145"/>
        <v>1.1921875E-2</v>
      </c>
    </row>
    <row r="4634" spans="1:7" x14ac:dyDescent="0.25">
      <c r="A4634" s="8">
        <v>61</v>
      </c>
      <c r="B4634" s="8">
        <v>48</v>
      </c>
      <c r="C4634" s="8">
        <v>997.80639599999995</v>
      </c>
      <c r="D4634" s="8">
        <v>139740.9375</v>
      </c>
      <c r="E4634" s="8">
        <v>139757.203125</v>
      </c>
      <c r="F4634" s="8">
        <f t="shared" si="144"/>
        <v>16.265625</v>
      </c>
      <c r="G4634" s="8">
        <f t="shared" si="145"/>
        <v>1.6265624999999999E-2</v>
      </c>
    </row>
    <row r="4635" spans="1:7" x14ac:dyDescent="0.25">
      <c r="A4635" s="8">
        <v>61</v>
      </c>
      <c r="B4635" s="8">
        <v>49</v>
      </c>
      <c r="C4635" s="8">
        <v>1141.033447</v>
      </c>
      <c r="D4635" s="8">
        <v>140764.015625</v>
      </c>
      <c r="E4635" s="8">
        <v>140777.3125</v>
      </c>
      <c r="F4635" s="8">
        <f t="shared" si="144"/>
        <v>13.296875</v>
      </c>
      <c r="G4635" s="8">
        <f t="shared" si="145"/>
        <v>1.3296875E-2</v>
      </c>
    </row>
    <row r="4636" spans="1:7" x14ac:dyDescent="0.25">
      <c r="A4636" s="8">
        <v>61</v>
      </c>
      <c r="B4636" s="8">
        <v>50</v>
      </c>
      <c r="C4636" s="8">
        <v>364.63085899999999</v>
      </c>
      <c r="D4636" s="8">
        <v>141921.359375</v>
      </c>
      <c r="E4636" s="8">
        <v>141937.109375</v>
      </c>
      <c r="F4636" s="8">
        <f t="shared" si="144"/>
        <v>15.75</v>
      </c>
      <c r="G4636" s="8">
        <f t="shared" si="145"/>
        <v>1.575E-2</v>
      </c>
    </row>
    <row r="4637" spans="1:7" x14ac:dyDescent="0.25">
      <c r="A4637" s="8">
        <v>61</v>
      </c>
      <c r="B4637" s="8">
        <v>51</v>
      </c>
      <c r="C4637" s="8">
        <v>3862.975586</v>
      </c>
      <c r="D4637" s="8">
        <v>142312.078125</v>
      </c>
      <c r="E4637" s="8">
        <v>142323.109375</v>
      </c>
      <c r="F4637" s="8">
        <f t="shared" si="144"/>
        <v>11.03125</v>
      </c>
      <c r="G4637" s="8">
        <f t="shared" si="145"/>
        <v>1.1031249999999999E-2</v>
      </c>
    </row>
    <row r="4638" spans="1:7" x14ac:dyDescent="0.25">
      <c r="A4638" s="8">
        <v>61</v>
      </c>
      <c r="B4638" s="8">
        <v>52</v>
      </c>
      <c r="C4638" s="8">
        <v>616.49597200000005</v>
      </c>
      <c r="D4638" s="8">
        <v>146193.453125</v>
      </c>
      <c r="E4638" s="8">
        <v>146218.375</v>
      </c>
      <c r="F4638" s="8">
        <f t="shared" si="144"/>
        <v>24.921875</v>
      </c>
      <c r="G4638" s="8">
        <f t="shared" si="145"/>
        <v>2.4921875E-2</v>
      </c>
    </row>
    <row r="4639" spans="1:7" x14ac:dyDescent="0.25">
      <c r="A4639" s="8">
        <v>61</v>
      </c>
      <c r="B4639" s="8">
        <v>53</v>
      </c>
      <c r="C4639" s="8">
        <v>2590.6267090000001</v>
      </c>
      <c r="D4639" s="8">
        <v>146849.8125</v>
      </c>
      <c r="E4639" s="8">
        <v>146864.484375</v>
      </c>
      <c r="F4639" s="8">
        <f t="shared" si="144"/>
        <v>14.671875</v>
      </c>
      <c r="G4639" s="8">
        <f t="shared" si="145"/>
        <v>1.4671874999999999E-2</v>
      </c>
    </row>
    <row r="4640" spans="1:7" x14ac:dyDescent="0.25">
      <c r="A4640" s="8">
        <v>61</v>
      </c>
      <c r="B4640" s="8">
        <v>54</v>
      </c>
      <c r="C4640" s="8">
        <v>1074.3428960000001</v>
      </c>
      <c r="D4640" s="8">
        <v>149462.96875</v>
      </c>
      <c r="E4640" s="8">
        <v>149474.171875</v>
      </c>
      <c r="F4640" s="8">
        <f t="shared" si="144"/>
        <v>11.203125</v>
      </c>
      <c r="G4640" s="8">
        <f t="shared" si="145"/>
        <v>1.1203125E-2</v>
      </c>
    </row>
    <row r="4641" spans="1:7" x14ac:dyDescent="0.25">
      <c r="A4641" s="8">
        <v>61</v>
      </c>
      <c r="B4641" s="8">
        <v>55</v>
      </c>
      <c r="C4641" s="8">
        <v>421.23629799999998</v>
      </c>
      <c r="D4641" s="8">
        <v>150561.359375</v>
      </c>
      <c r="E4641" s="8">
        <v>150578.453125</v>
      </c>
      <c r="F4641" s="8">
        <f t="shared" si="144"/>
        <v>17.09375</v>
      </c>
      <c r="G4641" s="8">
        <f t="shared" si="145"/>
        <v>1.7093750000000001E-2</v>
      </c>
    </row>
    <row r="4642" spans="1:7" x14ac:dyDescent="0.25">
      <c r="A4642" s="8">
        <v>61</v>
      </c>
      <c r="B4642" s="8">
        <v>56</v>
      </c>
      <c r="C4642" s="8">
        <v>2168.9213869999999</v>
      </c>
      <c r="D4642" s="8">
        <v>151014.53125</v>
      </c>
      <c r="E4642" s="8">
        <v>151027.71875</v>
      </c>
      <c r="F4642" s="8">
        <f t="shared" si="144"/>
        <v>13.1875</v>
      </c>
      <c r="G4642" s="8">
        <f t="shared" si="145"/>
        <v>1.31875E-2</v>
      </c>
    </row>
    <row r="4643" spans="1:7" x14ac:dyDescent="0.25">
      <c r="A4643" s="8">
        <v>61</v>
      </c>
      <c r="B4643" s="8">
        <v>57</v>
      </c>
      <c r="C4643" s="8">
        <v>997.80639599999995</v>
      </c>
      <c r="D4643" s="8">
        <v>153203.28125</v>
      </c>
      <c r="E4643" s="8">
        <v>153218.59375</v>
      </c>
      <c r="F4643" s="8">
        <f t="shared" si="144"/>
        <v>15.3125</v>
      </c>
      <c r="G4643" s="8">
        <f t="shared" si="145"/>
        <v>1.53125E-2</v>
      </c>
    </row>
    <row r="4644" spans="1:7" x14ac:dyDescent="0.25">
      <c r="A4644" s="8">
        <v>61</v>
      </c>
      <c r="B4644" s="8">
        <v>58</v>
      </c>
      <c r="C4644" s="8">
        <v>2184.3264159999999</v>
      </c>
      <c r="D4644" s="8">
        <v>154218.890625</v>
      </c>
      <c r="E4644" s="8">
        <v>154229.515625</v>
      </c>
      <c r="F4644" s="8">
        <f t="shared" si="144"/>
        <v>10.625</v>
      </c>
      <c r="G4644" s="8">
        <f t="shared" si="145"/>
        <v>1.0625000000000001E-2</v>
      </c>
    </row>
    <row r="4645" spans="1:7" x14ac:dyDescent="0.25">
      <c r="A4645" s="8">
        <v>61</v>
      </c>
      <c r="B4645" s="8">
        <v>59</v>
      </c>
      <c r="C4645" s="8">
        <v>554.17492700000003</v>
      </c>
      <c r="D4645" s="8">
        <v>156422.296875</v>
      </c>
      <c r="E4645" s="8">
        <v>156436.765625</v>
      </c>
      <c r="F4645" s="8">
        <f t="shared" si="144"/>
        <v>14.46875</v>
      </c>
      <c r="G4645" s="8">
        <f t="shared" si="145"/>
        <v>1.4468750000000001E-2</v>
      </c>
    </row>
    <row r="4646" spans="1:7" x14ac:dyDescent="0.25">
      <c r="A4646" s="8">
        <v>61</v>
      </c>
      <c r="B4646" s="8">
        <v>60</v>
      </c>
      <c r="C4646" s="8">
        <v>1287.8625489999999</v>
      </c>
      <c r="D4646" s="8">
        <v>157000.546875</v>
      </c>
      <c r="E4646" s="8">
        <v>157011.421875</v>
      </c>
      <c r="F4646" s="8">
        <f t="shared" si="144"/>
        <v>10.875</v>
      </c>
      <c r="G4646" s="8">
        <f t="shared" si="145"/>
        <v>1.0874999999999999E-2</v>
      </c>
    </row>
    <row r="4647" spans="1:7" x14ac:dyDescent="0.25">
      <c r="A4647" s="8">
        <v>61</v>
      </c>
      <c r="B4647" s="8">
        <v>61</v>
      </c>
      <c r="C4647" s="8">
        <v>6047.6059569999998</v>
      </c>
      <c r="D4647" s="8">
        <v>158313.203125</v>
      </c>
      <c r="E4647" s="8">
        <v>158326.828125</v>
      </c>
      <c r="F4647" s="8">
        <f t="shared" si="144"/>
        <v>13.625</v>
      </c>
      <c r="G4647" s="8">
        <f t="shared" si="145"/>
        <v>1.3625E-2</v>
      </c>
    </row>
    <row r="4648" spans="1:7" x14ac:dyDescent="0.25">
      <c r="A4648" s="8">
        <v>61</v>
      </c>
      <c r="B4648" s="8">
        <v>62</v>
      </c>
      <c r="C4648" s="8">
        <v>669.44409199999996</v>
      </c>
      <c r="D4648" s="8">
        <v>164385.65625</v>
      </c>
      <c r="E4648" s="8">
        <v>164393.1875</v>
      </c>
      <c r="F4648" s="8">
        <f t="shared" si="144"/>
        <v>7.53125</v>
      </c>
      <c r="G4648" s="8">
        <f t="shared" si="145"/>
        <v>7.5312499999999998E-3</v>
      </c>
    </row>
    <row r="4649" spans="1:7" x14ac:dyDescent="0.25">
      <c r="A4649" s="8">
        <v>61</v>
      </c>
      <c r="B4649" s="8">
        <v>63</v>
      </c>
      <c r="C4649" s="8">
        <v>2008.1972659999999</v>
      </c>
      <c r="D4649" s="8">
        <v>165077.140625</v>
      </c>
      <c r="E4649" s="8">
        <v>165098.0625</v>
      </c>
      <c r="F4649" s="8">
        <f t="shared" si="144"/>
        <v>20.921875</v>
      </c>
      <c r="G4649" s="8">
        <f t="shared" si="145"/>
        <v>2.0921875E-2</v>
      </c>
    </row>
    <row r="4650" spans="1:7" x14ac:dyDescent="0.25">
      <c r="A4650" s="8">
        <v>61</v>
      </c>
      <c r="B4650" s="8">
        <v>64</v>
      </c>
      <c r="C4650" s="8">
        <v>276.51092499999999</v>
      </c>
      <c r="D4650" s="8">
        <v>167119.171875</v>
      </c>
      <c r="E4650" s="8">
        <v>167133.359375</v>
      </c>
      <c r="F4650" s="8">
        <f t="shared" si="144"/>
        <v>14.1875</v>
      </c>
      <c r="G4650" s="8">
        <f t="shared" si="145"/>
        <v>1.41875E-2</v>
      </c>
    </row>
    <row r="4651" spans="1:7" x14ac:dyDescent="0.25">
      <c r="A4651" s="8">
        <v>61</v>
      </c>
      <c r="B4651" s="8">
        <v>65</v>
      </c>
      <c r="C4651" s="8">
        <v>2761.3286130000001</v>
      </c>
      <c r="D4651" s="8">
        <v>167416.109375</v>
      </c>
      <c r="E4651" s="8">
        <v>167431.6875</v>
      </c>
      <c r="F4651" s="8">
        <f t="shared" si="144"/>
        <v>15.578125</v>
      </c>
      <c r="G4651" s="8">
        <f t="shared" si="145"/>
        <v>1.5578125E-2</v>
      </c>
    </row>
    <row r="4652" spans="1:7" x14ac:dyDescent="0.25">
      <c r="A4652" s="8">
        <v>62</v>
      </c>
      <c r="B4652" s="8">
        <v>0</v>
      </c>
      <c r="C4652" s="8">
        <v>679.449341</v>
      </c>
      <c r="D4652" s="8">
        <v>21719.427734000001</v>
      </c>
      <c r="E4652" s="8">
        <v>21741.640625</v>
      </c>
      <c r="F4652" s="8">
        <f t="shared" si="144"/>
        <v>22.212890999999217</v>
      </c>
      <c r="G4652" s="8">
        <f t="shared" si="145"/>
        <v>2.2212890999999218E-2</v>
      </c>
    </row>
    <row r="4653" spans="1:7" x14ac:dyDescent="0.25">
      <c r="A4653" s="8">
        <v>62</v>
      </c>
      <c r="B4653" s="8">
        <v>1</v>
      </c>
      <c r="C4653" s="8">
        <v>2643.2524410000001</v>
      </c>
      <c r="D4653" s="8">
        <v>22422.595702999999</v>
      </c>
      <c r="E4653" s="8">
        <v>22436.828125</v>
      </c>
      <c r="F4653" s="8">
        <f t="shared" si="144"/>
        <v>14.232422000000952</v>
      </c>
      <c r="G4653" s="8">
        <f t="shared" si="145"/>
        <v>1.4232422000000952E-2</v>
      </c>
    </row>
    <row r="4654" spans="1:7" x14ac:dyDescent="0.25">
      <c r="A4654" s="8">
        <v>62</v>
      </c>
      <c r="B4654" s="8">
        <v>2</v>
      </c>
      <c r="C4654" s="8">
        <v>2057.6159670000002</v>
      </c>
      <c r="D4654" s="8">
        <v>25084.375</v>
      </c>
      <c r="E4654" s="8">
        <v>25101.369140999999</v>
      </c>
      <c r="F4654" s="8">
        <f t="shared" si="144"/>
        <v>16.994140999999217</v>
      </c>
      <c r="G4654" s="8">
        <f t="shared" si="145"/>
        <v>1.6994140999999217E-2</v>
      </c>
    </row>
    <row r="4655" spans="1:7" x14ac:dyDescent="0.25">
      <c r="A4655" s="8">
        <v>62</v>
      </c>
      <c r="B4655" s="8">
        <v>3</v>
      </c>
      <c r="C4655" s="8">
        <v>832.34631300000001</v>
      </c>
      <c r="D4655" s="8">
        <v>27165.048827999999</v>
      </c>
      <c r="E4655" s="8">
        <v>27179.171875</v>
      </c>
      <c r="F4655" s="8">
        <f t="shared" si="144"/>
        <v>14.123047000000952</v>
      </c>
      <c r="G4655" s="8">
        <f t="shared" si="145"/>
        <v>1.4123047000000952E-2</v>
      </c>
    </row>
    <row r="4656" spans="1:7" x14ac:dyDescent="0.25">
      <c r="A4656" s="8">
        <v>62</v>
      </c>
      <c r="B4656" s="8">
        <v>4</v>
      </c>
      <c r="C4656" s="8">
        <v>8821.4501949999994</v>
      </c>
      <c r="D4656" s="8">
        <v>28025.335938</v>
      </c>
      <c r="E4656" s="8">
        <v>28037.65625</v>
      </c>
      <c r="F4656" s="8">
        <f t="shared" si="144"/>
        <v>12.320311999999831</v>
      </c>
      <c r="G4656" s="8">
        <f t="shared" si="145"/>
        <v>1.232031199999983E-2</v>
      </c>
    </row>
    <row r="4657" spans="1:7" x14ac:dyDescent="0.25">
      <c r="A4657" s="8">
        <v>62</v>
      </c>
      <c r="B4657" s="8">
        <v>5</v>
      </c>
      <c r="C4657" s="8">
        <v>624.65368699999999</v>
      </c>
      <c r="D4657" s="8">
        <v>36862.777344000002</v>
      </c>
      <c r="E4657" s="8">
        <v>36887.542969000002</v>
      </c>
      <c r="F4657" s="8">
        <f t="shared" si="144"/>
        <v>24.765625</v>
      </c>
      <c r="G4657" s="8">
        <f t="shared" si="145"/>
        <v>2.4765624999999999E-2</v>
      </c>
    </row>
    <row r="4658" spans="1:7" x14ac:dyDescent="0.25">
      <c r="A4658" s="8">
        <v>62</v>
      </c>
      <c r="B4658" s="8">
        <v>6</v>
      </c>
      <c r="C4658" s="8">
        <v>5095.7065430000002</v>
      </c>
      <c r="D4658" s="8">
        <v>37519.152344000002</v>
      </c>
      <c r="E4658" s="8">
        <v>37534.050780999998</v>
      </c>
      <c r="F4658" s="8">
        <f t="shared" si="144"/>
        <v>14.898436999996193</v>
      </c>
      <c r="G4658" s="8">
        <f t="shared" si="145"/>
        <v>1.4898436999996193E-2</v>
      </c>
    </row>
    <row r="4659" spans="1:7" x14ac:dyDescent="0.25">
      <c r="A4659" s="8">
        <v>62</v>
      </c>
      <c r="B4659" s="8">
        <v>7</v>
      </c>
      <c r="C4659" s="8">
        <v>1344.197876</v>
      </c>
      <c r="D4659" s="8">
        <v>42642.085937999997</v>
      </c>
      <c r="E4659" s="8">
        <v>42658.871094000002</v>
      </c>
      <c r="F4659" s="8">
        <f t="shared" si="144"/>
        <v>16.785156000005372</v>
      </c>
      <c r="G4659" s="8">
        <f t="shared" si="145"/>
        <v>1.6785156000005373E-2</v>
      </c>
    </row>
    <row r="4660" spans="1:7" x14ac:dyDescent="0.25">
      <c r="A4660" s="8">
        <v>62</v>
      </c>
      <c r="B4660" s="8">
        <v>8</v>
      </c>
      <c r="C4660" s="8">
        <v>2191.616943</v>
      </c>
      <c r="D4660" s="8">
        <v>44006.101562999997</v>
      </c>
      <c r="E4660" s="8">
        <v>44026.039062999997</v>
      </c>
      <c r="F4660" s="8">
        <f t="shared" si="144"/>
        <v>19.9375</v>
      </c>
      <c r="G4660" s="8">
        <f t="shared" si="145"/>
        <v>1.99375E-2</v>
      </c>
    </row>
    <row r="4661" spans="1:7" x14ac:dyDescent="0.25">
      <c r="A4661" s="8">
        <v>62</v>
      </c>
      <c r="B4661" s="8">
        <v>9</v>
      </c>
      <c r="C4661" s="8">
        <v>1876.5187989999999</v>
      </c>
      <c r="D4661" s="8">
        <v>46217.550780999998</v>
      </c>
      <c r="E4661" s="8">
        <v>46231.96875</v>
      </c>
      <c r="F4661" s="8">
        <f t="shared" si="144"/>
        <v>14.417969000001904</v>
      </c>
      <c r="G4661" s="8">
        <f t="shared" si="145"/>
        <v>1.4417969000001904E-2</v>
      </c>
    </row>
    <row r="4662" spans="1:7" x14ac:dyDescent="0.25">
      <c r="A4662" s="8">
        <v>62</v>
      </c>
      <c r="B4662" s="8">
        <v>10</v>
      </c>
      <c r="C4662" s="8">
        <v>1527.587524</v>
      </c>
      <c r="D4662" s="8">
        <v>48111.195312999997</v>
      </c>
      <c r="E4662" s="8">
        <v>48138.101562999997</v>
      </c>
      <c r="F4662" s="8">
        <f t="shared" si="144"/>
        <v>26.90625</v>
      </c>
      <c r="G4662" s="8">
        <f t="shared" si="145"/>
        <v>2.690625E-2</v>
      </c>
    </row>
    <row r="4663" spans="1:7" x14ac:dyDescent="0.25">
      <c r="A4663" s="8">
        <v>62</v>
      </c>
      <c r="B4663" s="8">
        <v>11</v>
      </c>
      <c r="C4663" s="8">
        <v>1321.7330320000001</v>
      </c>
      <c r="D4663" s="8">
        <v>49670.605469000002</v>
      </c>
      <c r="E4663" s="8">
        <v>49683.816405999998</v>
      </c>
      <c r="F4663" s="8">
        <f t="shared" si="144"/>
        <v>13.210936999996193</v>
      </c>
      <c r="G4663" s="8">
        <f t="shared" si="145"/>
        <v>1.3210936999996193E-2</v>
      </c>
    </row>
    <row r="4664" spans="1:7" x14ac:dyDescent="0.25">
      <c r="A4664" s="8">
        <v>62</v>
      </c>
      <c r="B4664" s="8">
        <v>12</v>
      </c>
      <c r="C4664" s="8">
        <v>9575.4111329999996</v>
      </c>
      <c r="D4664" s="8">
        <v>51018.53125</v>
      </c>
      <c r="E4664" s="8">
        <v>51036.316405999998</v>
      </c>
      <c r="F4664" s="8">
        <f t="shared" si="144"/>
        <v>17.785155999998096</v>
      </c>
      <c r="G4664" s="8">
        <f t="shared" si="145"/>
        <v>1.7785155999998095E-2</v>
      </c>
    </row>
    <row r="4665" spans="1:7" x14ac:dyDescent="0.25">
      <c r="A4665" s="8">
        <v>62</v>
      </c>
      <c r="B4665" s="8">
        <v>13</v>
      </c>
      <c r="C4665" s="8">
        <v>704.46691899999996</v>
      </c>
      <c r="D4665" s="8">
        <v>60622.511719000002</v>
      </c>
      <c r="E4665" s="8">
        <v>60634.242187999997</v>
      </c>
      <c r="F4665" s="8">
        <f t="shared" si="144"/>
        <v>11.730468999994628</v>
      </c>
      <c r="G4665" s="8">
        <f t="shared" si="145"/>
        <v>1.1730468999994628E-2</v>
      </c>
    </row>
    <row r="4666" spans="1:7" x14ac:dyDescent="0.25">
      <c r="A4666" s="8">
        <v>62</v>
      </c>
      <c r="B4666" s="8">
        <v>14</v>
      </c>
      <c r="C4666" s="8">
        <v>2381.890625</v>
      </c>
      <c r="D4666" s="8">
        <v>61341.371094000002</v>
      </c>
      <c r="E4666" s="8">
        <v>61353.761719000002</v>
      </c>
      <c r="F4666" s="8">
        <f t="shared" si="144"/>
        <v>12.390625</v>
      </c>
      <c r="G4666" s="8">
        <f t="shared" si="145"/>
        <v>1.2390625000000001E-2</v>
      </c>
    </row>
    <row r="4667" spans="1:7" x14ac:dyDescent="0.25">
      <c r="A4667" s="8">
        <v>62</v>
      </c>
      <c r="B4667" s="8">
        <v>15</v>
      </c>
      <c r="C4667" s="8">
        <v>2067.2016600000002</v>
      </c>
      <c r="D4667" s="8">
        <v>63744.265625</v>
      </c>
      <c r="E4667" s="8">
        <v>63753.710937999997</v>
      </c>
      <c r="F4667" s="8">
        <f t="shared" si="144"/>
        <v>9.4453129999965313</v>
      </c>
      <c r="G4667" s="8">
        <f t="shared" si="145"/>
        <v>9.4453129999965309E-3</v>
      </c>
    </row>
    <row r="4668" spans="1:7" x14ac:dyDescent="0.25">
      <c r="A4668" s="8">
        <v>62</v>
      </c>
      <c r="B4668" s="8">
        <v>16</v>
      </c>
      <c r="C4668" s="8">
        <v>1790.5745850000001</v>
      </c>
      <c r="D4668" s="8">
        <v>65824.867188000004</v>
      </c>
      <c r="E4668" s="8">
        <v>65837.109375</v>
      </c>
      <c r="F4668" s="8">
        <f t="shared" si="144"/>
        <v>12.242186999996193</v>
      </c>
      <c r="G4668" s="8">
        <f t="shared" si="145"/>
        <v>1.2242186999996192E-2</v>
      </c>
    </row>
    <row r="4669" spans="1:7" x14ac:dyDescent="0.25">
      <c r="A4669" s="8">
        <v>62</v>
      </c>
      <c r="B4669" s="8">
        <v>17</v>
      </c>
      <c r="C4669" s="8">
        <v>414.61685199999999</v>
      </c>
      <c r="D4669" s="8">
        <v>67639.046875</v>
      </c>
      <c r="E4669" s="8">
        <v>67663.070313000004</v>
      </c>
      <c r="F4669" s="8">
        <f t="shared" si="144"/>
        <v>24.023438000003807</v>
      </c>
      <c r="G4669" s="8">
        <f t="shared" si="145"/>
        <v>2.4023438000003807E-2</v>
      </c>
    </row>
    <row r="4670" spans="1:7" x14ac:dyDescent="0.25">
      <c r="A4670" s="8">
        <v>62</v>
      </c>
      <c r="B4670" s="8">
        <v>18</v>
      </c>
      <c r="C4670" s="8">
        <v>321.66214000000002</v>
      </c>
      <c r="D4670" s="8">
        <v>68092.140625</v>
      </c>
      <c r="E4670" s="8">
        <v>68113.507813000004</v>
      </c>
      <c r="F4670" s="8">
        <f t="shared" si="144"/>
        <v>21.367188000003807</v>
      </c>
      <c r="G4670" s="8">
        <f t="shared" si="145"/>
        <v>2.1367188000003808E-2</v>
      </c>
    </row>
    <row r="4671" spans="1:7" x14ac:dyDescent="0.25">
      <c r="A4671" s="8">
        <v>62</v>
      </c>
      <c r="B4671" s="8">
        <v>19</v>
      </c>
      <c r="C4671" s="8">
        <v>818.32940699999995</v>
      </c>
      <c r="D4671" s="8">
        <v>68435.976563000004</v>
      </c>
      <c r="E4671" s="8">
        <v>68443.28125</v>
      </c>
      <c r="F4671" s="8">
        <f t="shared" si="144"/>
        <v>7.3046869999961928</v>
      </c>
      <c r="G4671" s="8">
        <f t="shared" si="145"/>
        <v>7.304686999996193E-3</v>
      </c>
    </row>
    <row r="4672" spans="1:7" x14ac:dyDescent="0.25">
      <c r="A4672" s="8">
        <v>62</v>
      </c>
      <c r="B4672" s="8">
        <v>20</v>
      </c>
      <c r="C4672" s="8">
        <v>232.69935599999999</v>
      </c>
      <c r="D4672" s="8">
        <v>69264.476563000004</v>
      </c>
      <c r="E4672" s="8">
        <v>69278.914063000004</v>
      </c>
      <c r="F4672" s="8">
        <f t="shared" si="144"/>
        <v>14.4375</v>
      </c>
      <c r="G4672" s="8">
        <f t="shared" si="145"/>
        <v>1.4437500000000001E-2</v>
      </c>
    </row>
    <row r="4673" spans="1:7" x14ac:dyDescent="0.25">
      <c r="A4673" s="8">
        <v>62</v>
      </c>
      <c r="B4673" s="8">
        <v>21</v>
      </c>
      <c r="C4673" s="8">
        <v>2003.0395510000001</v>
      </c>
      <c r="D4673" s="8">
        <v>69514.609375</v>
      </c>
      <c r="E4673" s="8">
        <v>69531.9375</v>
      </c>
      <c r="F4673" s="8">
        <f t="shared" si="144"/>
        <v>17.328125</v>
      </c>
      <c r="G4673" s="8">
        <f t="shared" si="145"/>
        <v>1.7328125E-2</v>
      </c>
    </row>
    <row r="4674" spans="1:7" x14ac:dyDescent="0.25">
      <c r="A4674" s="8">
        <v>62</v>
      </c>
      <c r="B4674" s="8">
        <v>22</v>
      </c>
      <c r="C4674" s="8">
        <v>1281.4812010000001</v>
      </c>
      <c r="D4674" s="8">
        <v>71541.25</v>
      </c>
      <c r="E4674" s="8">
        <v>71565.3125</v>
      </c>
      <c r="F4674" s="8">
        <f t="shared" si="144"/>
        <v>24.0625</v>
      </c>
      <c r="G4674" s="8">
        <f t="shared" si="145"/>
        <v>2.4062500000000001E-2</v>
      </c>
    </row>
    <row r="4675" spans="1:7" x14ac:dyDescent="0.25">
      <c r="A4675" s="8">
        <v>62</v>
      </c>
      <c r="B4675" s="8">
        <v>23</v>
      </c>
      <c r="C4675" s="8">
        <v>999.91839600000003</v>
      </c>
      <c r="D4675" s="8">
        <v>72857.445313000004</v>
      </c>
      <c r="E4675" s="8">
        <v>72871.054688000004</v>
      </c>
      <c r="F4675" s="8">
        <f t="shared" si="144"/>
        <v>13.609375</v>
      </c>
      <c r="G4675" s="8">
        <f t="shared" si="145"/>
        <v>1.3609375E-2</v>
      </c>
    </row>
    <row r="4676" spans="1:7" x14ac:dyDescent="0.25">
      <c r="A4676" s="8">
        <v>62</v>
      </c>
      <c r="B4676" s="8">
        <v>24</v>
      </c>
      <c r="C4676" s="8">
        <v>3240.4770509999998</v>
      </c>
      <c r="D4676" s="8">
        <v>73873.140625</v>
      </c>
      <c r="E4676" s="8">
        <v>73882.078125</v>
      </c>
      <c r="F4676" s="8">
        <f t="shared" si="144"/>
        <v>8.9375</v>
      </c>
      <c r="G4676" s="8">
        <f t="shared" si="145"/>
        <v>8.9374999999999993E-3</v>
      </c>
    </row>
    <row r="4677" spans="1:7" x14ac:dyDescent="0.25">
      <c r="A4677" s="8">
        <v>62</v>
      </c>
      <c r="B4677" s="8">
        <v>25</v>
      </c>
      <c r="C4677" s="8">
        <v>173.45137</v>
      </c>
      <c r="D4677" s="8">
        <v>77132.148438000004</v>
      </c>
      <c r="E4677" s="8">
        <v>77143.476563000004</v>
      </c>
      <c r="F4677" s="8">
        <f t="shared" si="144"/>
        <v>11.328125</v>
      </c>
      <c r="G4677" s="8">
        <f t="shared" si="145"/>
        <v>1.1328125E-2</v>
      </c>
    </row>
    <row r="4678" spans="1:7" x14ac:dyDescent="0.25">
      <c r="A4678" s="8">
        <v>62</v>
      </c>
      <c r="B4678" s="8">
        <v>26</v>
      </c>
      <c r="C4678" s="8">
        <v>375.05874599999999</v>
      </c>
      <c r="D4678" s="8">
        <v>77319.539063000004</v>
      </c>
      <c r="E4678" s="8">
        <v>77336.90625</v>
      </c>
      <c r="F4678" s="8">
        <f t="shared" si="144"/>
        <v>17.367186999996193</v>
      </c>
      <c r="G4678" s="8">
        <f t="shared" si="145"/>
        <v>1.7367186999996193E-2</v>
      </c>
    </row>
    <row r="4679" spans="1:7" x14ac:dyDescent="0.25">
      <c r="A4679" s="8">
        <v>62</v>
      </c>
      <c r="B4679" s="8">
        <v>27</v>
      </c>
      <c r="C4679" s="8">
        <v>602.01055899999994</v>
      </c>
      <c r="D4679" s="8">
        <v>77726.492188000004</v>
      </c>
      <c r="E4679" s="8">
        <v>77739.953125</v>
      </c>
      <c r="F4679" s="8">
        <f t="shared" si="144"/>
        <v>13.460936999996193</v>
      </c>
      <c r="G4679" s="8">
        <f t="shared" si="145"/>
        <v>1.3460936999996193E-2</v>
      </c>
    </row>
    <row r="4680" spans="1:7" x14ac:dyDescent="0.25">
      <c r="A4680" s="8">
        <v>62</v>
      </c>
      <c r="B4680" s="8">
        <v>28</v>
      </c>
      <c r="C4680" s="8">
        <v>20794.353515999999</v>
      </c>
      <c r="D4680" s="8">
        <v>78357.15625</v>
      </c>
      <c r="E4680" s="8">
        <v>78377.625</v>
      </c>
      <c r="F4680" s="8">
        <f t="shared" si="144"/>
        <v>20.46875</v>
      </c>
      <c r="G4680" s="8">
        <f t="shared" si="145"/>
        <v>2.0468750000000001E-2</v>
      </c>
    </row>
    <row r="4681" spans="1:7" x14ac:dyDescent="0.25">
      <c r="A4681" s="8">
        <v>62</v>
      </c>
      <c r="B4681" s="8">
        <v>29</v>
      </c>
      <c r="C4681" s="8">
        <v>133.839508</v>
      </c>
      <c r="D4681" s="8">
        <v>99175.984375</v>
      </c>
      <c r="E4681" s="8">
        <v>99205.507813000004</v>
      </c>
      <c r="F4681" s="8">
        <f t="shared" si="144"/>
        <v>29.523438000003807</v>
      </c>
      <c r="G4681" s="8">
        <f t="shared" si="145"/>
        <v>2.9523438000003809E-2</v>
      </c>
    </row>
    <row r="4682" spans="1:7" x14ac:dyDescent="0.25">
      <c r="A4682" s="8">
        <v>62</v>
      </c>
      <c r="B4682" s="8">
        <v>30</v>
      </c>
      <c r="C4682" s="8">
        <v>1834.841187</v>
      </c>
      <c r="D4682" s="8">
        <v>99338.804688000004</v>
      </c>
      <c r="E4682" s="8">
        <v>99346.65625</v>
      </c>
      <c r="F4682" s="8">
        <f t="shared" si="144"/>
        <v>7.8515619999961928</v>
      </c>
      <c r="G4682" s="8">
        <f t="shared" si="145"/>
        <v>7.8515619999961934E-3</v>
      </c>
    </row>
    <row r="4683" spans="1:7" x14ac:dyDescent="0.25">
      <c r="A4683" s="8">
        <v>62</v>
      </c>
      <c r="B4683" s="8">
        <v>31</v>
      </c>
      <c r="C4683" s="8">
        <v>1595.679932</v>
      </c>
      <c r="D4683" s="8">
        <v>101184.421875</v>
      </c>
      <c r="E4683" s="8">
        <v>101201.554688</v>
      </c>
      <c r="F4683" s="8">
        <f t="shared" ref="F4683:F4746" si="146">E4683-D4683</f>
        <v>17.132813000003807</v>
      </c>
      <c r="G4683" s="8">
        <f t="shared" ref="G4683:G4746" si="147">F4683/1000</f>
        <v>1.7132813000003806E-2</v>
      </c>
    </row>
    <row r="4684" spans="1:7" x14ac:dyDescent="0.25">
      <c r="A4684" s="8">
        <v>62</v>
      </c>
      <c r="B4684" s="8">
        <v>32</v>
      </c>
      <c r="C4684" s="8">
        <v>693.29974400000003</v>
      </c>
      <c r="D4684" s="8">
        <v>102797.335938</v>
      </c>
      <c r="E4684" s="8">
        <v>102809.976563</v>
      </c>
      <c r="F4684" s="8">
        <f t="shared" si="146"/>
        <v>12.640625</v>
      </c>
      <c r="G4684" s="8">
        <f t="shared" si="147"/>
        <v>1.2640625000000001E-2</v>
      </c>
    </row>
    <row r="4685" spans="1:7" x14ac:dyDescent="0.25">
      <c r="A4685" s="8">
        <v>62</v>
      </c>
      <c r="B4685" s="8">
        <v>33</v>
      </c>
      <c r="C4685" s="8">
        <v>18.580287999999999</v>
      </c>
      <c r="D4685" s="8">
        <v>103510.210938</v>
      </c>
      <c r="E4685" s="8">
        <v>103525.1875</v>
      </c>
      <c r="F4685" s="8">
        <f t="shared" si="146"/>
        <v>14.976561999996193</v>
      </c>
      <c r="G4685" s="8">
        <f t="shared" si="147"/>
        <v>1.4976561999996193E-2</v>
      </c>
    </row>
    <row r="4686" spans="1:7" x14ac:dyDescent="0.25">
      <c r="A4686" s="8">
        <v>62</v>
      </c>
      <c r="B4686" s="8">
        <v>34</v>
      </c>
      <c r="C4686" s="8">
        <v>906.43945299999996</v>
      </c>
      <c r="D4686" s="8">
        <v>103544</v>
      </c>
      <c r="E4686" s="8">
        <v>103557.4375</v>
      </c>
      <c r="F4686" s="8">
        <f t="shared" si="146"/>
        <v>13.4375</v>
      </c>
      <c r="G4686" s="8">
        <f t="shared" si="147"/>
        <v>1.34375E-2</v>
      </c>
    </row>
    <row r="4687" spans="1:7" x14ac:dyDescent="0.25">
      <c r="A4687" s="8">
        <v>62</v>
      </c>
      <c r="B4687" s="8">
        <v>35</v>
      </c>
      <c r="C4687" s="8">
        <v>601.76318400000002</v>
      </c>
      <c r="D4687" s="8">
        <v>104471.867188</v>
      </c>
      <c r="E4687" s="8">
        <v>104487.625</v>
      </c>
      <c r="F4687" s="8">
        <f t="shared" si="146"/>
        <v>15.757811999996193</v>
      </c>
      <c r="G4687" s="8">
        <f t="shared" si="147"/>
        <v>1.5757811999996194E-2</v>
      </c>
    </row>
    <row r="4688" spans="1:7" x14ac:dyDescent="0.25">
      <c r="A4688" s="8">
        <v>62</v>
      </c>
      <c r="B4688" s="8">
        <v>36</v>
      </c>
      <c r="C4688" s="8">
        <v>2952.774414</v>
      </c>
      <c r="D4688" s="8">
        <v>105097.15625</v>
      </c>
      <c r="E4688" s="8">
        <v>105112.492188</v>
      </c>
      <c r="F4688" s="8">
        <f t="shared" si="146"/>
        <v>15.335938000003807</v>
      </c>
      <c r="G4688" s="8">
        <f t="shared" si="147"/>
        <v>1.5335938000003808E-2</v>
      </c>
    </row>
    <row r="4689" spans="1:7" x14ac:dyDescent="0.25">
      <c r="A4689" s="8">
        <v>62</v>
      </c>
      <c r="B4689" s="8">
        <v>37</v>
      </c>
      <c r="C4689" s="8">
        <v>4626.4628910000001</v>
      </c>
      <c r="D4689" s="8">
        <v>108079.265625</v>
      </c>
      <c r="E4689" s="8">
        <v>108093.8125</v>
      </c>
      <c r="F4689" s="8">
        <f t="shared" si="146"/>
        <v>14.546875</v>
      </c>
      <c r="G4689" s="8">
        <f t="shared" si="147"/>
        <v>1.4546875000000001E-2</v>
      </c>
    </row>
    <row r="4690" spans="1:7" x14ac:dyDescent="0.25">
      <c r="A4690" s="8">
        <v>62</v>
      </c>
      <c r="B4690" s="8">
        <v>38</v>
      </c>
      <c r="C4690" s="8">
        <v>559.01220699999999</v>
      </c>
      <c r="D4690" s="8">
        <v>112727.804688</v>
      </c>
      <c r="E4690" s="8">
        <v>112737.1875</v>
      </c>
      <c r="F4690" s="8">
        <f t="shared" si="146"/>
        <v>9.3828119999961928</v>
      </c>
      <c r="G4690" s="8">
        <f t="shared" si="147"/>
        <v>9.3828119999961931E-3</v>
      </c>
    </row>
    <row r="4691" spans="1:7" x14ac:dyDescent="0.25">
      <c r="A4691" s="8">
        <v>62</v>
      </c>
      <c r="B4691" s="8">
        <v>39</v>
      </c>
      <c r="C4691" s="8">
        <v>849.35351600000001</v>
      </c>
      <c r="D4691" s="8">
        <v>113300.023438</v>
      </c>
      <c r="E4691" s="8">
        <v>113432.398438</v>
      </c>
      <c r="F4691" s="8">
        <f t="shared" si="146"/>
        <v>132.375</v>
      </c>
      <c r="G4691" s="8">
        <f t="shared" si="147"/>
        <v>0.13237499999999999</v>
      </c>
    </row>
    <row r="4692" spans="1:7" x14ac:dyDescent="0.25">
      <c r="A4692" s="8">
        <v>62</v>
      </c>
      <c r="B4692" s="8">
        <v>40</v>
      </c>
      <c r="C4692" s="8">
        <v>381.105255</v>
      </c>
      <c r="D4692" s="8">
        <v>114284.5</v>
      </c>
      <c r="E4692" s="8">
        <v>114304.085938</v>
      </c>
      <c r="F4692" s="8">
        <f t="shared" si="146"/>
        <v>19.585938000003807</v>
      </c>
      <c r="G4692" s="8">
        <f t="shared" si="147"/>
        <v>1.9585938000003807E-2</v>
      </c>
    </row>
    <row r="4693" spans="1:7" x14ac:dyDescent="0.25">
      <c r="A4693" s="8">
        <v>62</v>
      </c>
      <c r="B4693" s="8">
        <v>41</v>
      </c>
      <c r="C4693" s="8">
        <v>475.22863799999999</v>
      </c>
      <c r="D4693" s="8">
        <v>114690.773438</v>
      </c>
      <c r="E4693" s="8">
        <v>114705.640625</v>
      </c>
      <c r="F4693" s="8">
        <f t="shared" si="146"/>
        <v>14.867186999996193</v>
      </c>
      <c r="G4693" s="8">
        <f t="shared" si="147"/>
        <v>1.4867186999996193E-2</v>
      </c>
    </row>
    <row r="4694" spans="1:7" x14ac:dyDescent="0.25">
      <c r="A4694" s="8">
        <v>62</v>
      </c>
      <c r="B4694" s="8">
        <v>42</v>
      </c>
      <c r="C4694" s="8">
        <v>626.990723</v>
      </c>
      <c r="D4694" s="8">
        <v>115192.46875</v>
      </c>
      <c r="E4694" s="8">
        <v>115214.804688</v>
      </c>
      <c r="F4694" s="8">
        <f t="shared" si="146"/>
        <v>22.335938000003807</v>
      </c>
      <c r="G4694" s="8">
        <f t="shared" si="147"/>
        <v>2.2335938000003806E-2</v>
      </c>
    </row>
    <row r="4695" spans="1:7" x14ac:dyDescent="0.25">
      <c r="A4695" s="8">
        <v>62</v>
      </c>
      <c r="B4695" s="8">
        <v>43</v>
      </c>
      <c r="C4695" s="8">
        <v>4285.8168949999999</v>
      </c>
      <c r="D4695" s="8">
        <v>115848.8125</v>
      </c>
      <c r="E4695" s="8">
        <v>115868.007813</v>
      </c>
      <c r="F4695" s="8">
        <f t="shared" si="146"/>
        <v>19.195313000003807</v>
      </c>
      <c r="G4695" s="8">
        <f t="shared" si="147"/>
        <v>1.9195313000003808E-2</v>
      </c>
    </row>
    <row r="4696" spans="1:7" x14ac:dyDescent="0.25">
      <c r="A4696" s="8">
        <v>62</v>
      </c>
      <c r="B4696" s="8">
        <v>44</v>
      </c>
      <c r="C4696" s="8">
        <v>654.65625</v>
      </c>
      <c r="D4696" s="8">
        <v>120155.960938</v>
      </c>
      <c r="E4696" s="8">
        <v>120167.085938</v>
      </c>
      <c r="F4696" s="8">
        <f t="shared" si="146"/>
        <v>11.125</v>
      </c>
      <c r="G4696" s="8">
        <f t="shared" si="147"/>
        <v>1.1124999999999999E-2</v>
      </c>
    </row>
    <row r="4697" spans="1:7" x14ac:dyDescent="0.25">
      <c r="A4697" s="8">
        <v>62</v>
      </c>
      <c r="B4697" s="8">
        <v>45</v>
      </c>
      <c r="C4697" s="8">
        <v>187.81463600000001</v>
      </c>
      <c r="D4697" s="8">
        <v>120828.71875</v>
      </c>
      <c r="E4697" s="8">
        <v>120854.078125</v>
      </c>
      <c r="F4697" s="8">
        <f t="shared" si="146"/>
        <v>25.359375</v>
      </c>
      <c r="G4697" s="8">
        <f t="shared" si="147"/>
        <v>2.5359375E-2</v>
      </c>
    </row>
    <row r="4698" spans="1:7" x14ac:dyDescent="0.25">
      <c r="A4698" s="8">
        <v>62</v>
      </c>
      <c r="B4698" s="8">
        <v>46</v>
      </c>
      <c r="C4698" s="8">
        <v>48.809989999999999</v>
      </c>
      <c r="D4698" s="8">
        <v>121048.835938</v>
      </c>
      <c r="E4698" s="8">
        <v>121060.789063</v>
      </c>
      <c r="F4698" s="8">
        <f t="shared" si="146"/>
        <v>11.953125</v>
      </c>
      <c r="G4698" s="8">
        <f t="shared" si="147"/>
        <v>1.1953125E-2</v>
      </c>
    </row>
    <row r="4699" spans="1:7" x14ac:dyDescent="0.25">
      <c r="A4699" s="8">
        <v>62</v>
      </c>
      <c r="B4699" s="8">
        <v>47</v>
      </c>
      <c r="C4699" s="8">
        <v>1491.3657229999999</v>
      </c>
      <c r="D4699" s="8">
        <v>121111.382813</v>
      </c>
      <c r="E4699" s="8">
        <v>121131.632813</v>
      </c>
      <c r="F4699" s="8">
        <f t="shared" si="146"/>
        <v>20.25</v>
      </c>
      <c r="G4699" s="8">
        <f t="shared" si="147"/>
        <v>2.0250000000000001E-2</v>
      </c>
    </row>
    <row r="4700" spans="1:7" x14ac:dyDescent="0.25">
      <c r="A4700" s="8">
        <v>62</v>
      </c>
      <c r="B4700" s="8">
        <v>48</v>
      </c>
      <c r="C4700" s="8">
        <v>1014.461853</v>
      </c>
      <c r="D4700" s="8">
        <v>122627.164063</v>
      </c>
      <c r="E4700" s="8">
        <v>122653.609375</v>
      </c>
      <c r="F4700" s="8">
        <f t="shared" si="146"/>
        <v>26.445311999996193</v>
      </c>
      <c r="G4700" s="8">
        <f t="shared" si="147"/>
        <v>2.6445311999996193E-2</v>
      </c>
    </row>
    <row r="4701" spans="1:7" x14ac:dyDescent="0.25">
      <c r="A4701" s="8">
        <v>62</v>
      </c>
      <c r="B4701" s="8">
        <v>49</v>
      </c>
      <c r="C4701" s="8">
        <v>647.80938700000002</v>
      </c>
      <c r="D4701" s="8">
        <v>123668.273438</v>
      </c>
      <c r="E4701" s="8">
        <v>123689.570313</v>
      </c>
      <c r="F4701" s="8">
        <f t="shared" si="146"/>
        <v>21.296875</v>
      </c>
      <c r="G4701" s="8">
        <f t="shared" si="147"/>
        <v>2.1296875E-2</v>
      </c>
    </row>
    <row r="4702" spans="1:7" x14ac:dyDescent="0.25">
      <c r="A4702" s="8">
        <v>62</v>
      </c>
      <c r="B4702" s="8">
        <v>50</v>
      </c>
      <c r="C4702" s="8">
        <v>2998.9897460000002</v>
      </c>
      <c r="D4702" s="8">
        <v>124345.726563</v>
      </c>
      <c r="E4702" s="8">
        <v>124371.078125</v>
      </c>
      <c r="F4702" s="8">
        <f t="shared" si="146"/>
        <v>25.351561999996193</v>
      </c>
      <c r="G4702" s="8">
        <f t="shared" si="147"/>
        <v>2.5351561999996192E-2</v>
      </c>
    </row>
    <row r="4703" spans="1:7" x14ac:dyDescent="0.25">
      <c r="A4703" s="8">
        <v>62</v>
      </c>
      <c r="B4703" s="8">
        <v>51</v>
      </c>
      <c r="C4703" s="8">
        <v>1371.5170900000001</v>
      </c>
      <c r="D4703" s="8">
        <v>127378.015625</v>
      </c>
      <c r="E4703" s="8">
        <v>127394.382813</v>
      </c>
      <c r="F4703" s="8">
        <f t="shared" si="146"/>
        <v>16.367188000003807</v>
      </c>
      <c r="G4703" s="8">
        <f t="shared" si="147"/>
        <v>1.6367188000003807E-2</v>
      </c>
    </row>
    <row r="4704" spans="1:7" x14ac:dyDescent="0.25">
      <c r="A4704" s="8">
        <v>62</v>
      </c>
      <c r="B4704" s="8">
        <v>52</v>
      </c>
      <c r="C4704" s="8">
        <v>685.97552499999995</v>
      </c>
      <c r="D4704" s="8">
        <v>128770.078125</v>
      </c>
      <c r="E4704" s="8">
        <v>128781.648438</v>
      </c>
      <c r="F4704" s="8">
        <f t="shared" si="146"/>
        <v>11.570313000003807</v>
      </c>
      <c r="G4704" s="8">
        <f t="shared" si="147"/>
        <v>1.1570313000003806E-2</v>
      </c>
    </row>
    <row r="4705" spans="1:7" x14ac:dyDescent="0.25">
      <c r="A4705" s="8">
        <v>62</v>
      </c>
      <c r="B4705" s="8">
        <v>53</v>
      </c>
      <c r="C4705" s="8">
        <v>2508.0913089999999</v>
      </c>
      <c r="D4705" s="8">
        <v>129473.265625</v>
      </c>
      <c r="E4705" s="8">
        <v>129600.96875</v>
      </c>
      <c r="F4705" s="8">
        <f t="shared" si="146"/>
        <v>127.703125</v>
      </c>
      <c r="G4705" s="8">
        <f t="shared" si="147"/>
        <v>0.127703125</v>
      </c>
    </row>
    <row r="4706" spans="1:7" x14ac:dyDescent="0.25">
      <c r="A4706" s="8">
        <v>62</v>
      </c>
      <c r="B4706" s="8">
        <v>54</v>
      </c>
      <c r="C4706" s="8">
        <v>1504.661621</v>
      </c>
      <c r="D4706" s="8">
        <v>132123.96875</v>
      </c>
      <c r="E4706" s="8">
        <v>132141.6875</v>
      </c>
      <c r="F4706" s="8">
        <f t="shared" si="146"/>
        <v>17.71875</v>
      </c>
      <c r="G4706" s="8">
        <f t="shared" si="147"/>
        <v>1.7718749999999998E-2</v>
      </c>
    </row>
    <row r="4707" spans="1:7" x14ac:dyDescent="0.25">
      <c r="A4707" s="8">
        <v>62</v>
      </c>
      <c r="B4707" s="8">
        <v>55</v>
      </c>
      <c r="C4707" s="8">
        <v>3285.0864259999998</v>
      </c>
      <c r="D4707" s="8">
        <v>133659.9375</v>
      </c>
      <c r="E4707" s="8">
        <v>133680.03125</v>
      </c>
      <c r="F4707" s="8">
        <f t="shared" si="146"/>
        <v>20.09375</v>
      </c>
      <c r="G4707" s="8">
        <f t="shared" si="147"/>
        <v>2.009375E-2</v>
      </c>
    </row>
    <row r="4708" spans="1:7" x14ac:dyDescent="0.25">
      <c r="A4708" s="8">
        <v>62</v>
      </c>
      <c r="B4708" s="8">
        <v>56</v>
      </c>
      <c r="C4708" s="8">
        <v>924.76965299999995</v>
      </c>
      <c r="D4708" s="8">
        <v>136966.078125</v>
      </c>
      <c r="E4708" s="8">
        <v>136981.296875</v>
      </c>
      <c r="F4708" s="8">
        <f t="shared" si="146"/>
        <v>15.21875</v>
      </c>
      <c r="G4708" s="8">
        <f t="shared" si="147"/>
        <v>1.521875E-2</v>
      </c>
    </row>
    <row r="4709" spans="1:7" x14ac:dyDescent="0.25">
      <c r="A4709" s="8">
        <v>62</v>
      </c>
      <c r="B4709" s="8">
        <v>57</v>
      </c>
      <c r="C4709" s="8">
        <v>760.98980700000004</v>
      </c>
      <c r="D4709" s="8">
        <v>137906.21875</v>
      </c>
      <c r="E4709" s="8">
        <v>137916.75</v>
      </c>
      <c r="F4709" s="8">
        <f t="shared" si="146"/>
        <v>10.53125</v>
      </c>
      <c r="G4709" s="8">
        <f t="shared" si="147"/>
        <v>1.0531250000000001E-2</v>
      </c>
    </row>
    <row r="4710" spans="1:7" x14ac:dyDescent="0.25">
      <c r="A4710" s="8">
        <v>62</v>
      </c>
      <c r="B4710" s="8">
        <v>58</v>
      </c>
      <c r="C4710" s="8">
        <v>1733.7139890000001</v>
      </c>
      <c r="D4710" s="8">
        <v>138687.53125</v>
      </c>
      <c r="E4710" s="8">
        <v>138698.375</v>
      </c>
      <c r="F4710" s="8">
        <f t="shared" si="146"/>
        <v>10.84375</v>
      </c>
      <c r="G4710" s="8">
        <f t="shared" si="147"/>
        <v>1.0843749999999999E-2</v>
      </c>
    </row>
    <row r="4711" spans="1:7" x14ac:dyDescent="0.25">
      <c r="A4711" s="8">
        <v>62</v>
      </c>
      <c r="B4711" s="8">
        <v>59</v>
      </c>
      <c r="C4711" s="8">
        <v>5681.4985349999997</v>
      </c>
      <c r="D4711" s="8">
        <v>140435.734375</v>
      </c>
      <c r="E4711" s="8">
        <v>140464.734375</v>
      </c>
      <c r="F4711" s="8">
        <f t="shared" si="146"/>
        <v>29</v>
      </c>
      <c r="G4711" s="8">
        <f t="shared" si="147"/>
        <v>2.9000000000000001E-2</v>
      </c>
    </row>
    <row r="4712" spans="1:7" x14ac:dyDescent="0.25">
      <c r="A4712" s="8">
        <v>62</v>
      </c>
      <c r="B4712" s="8">
        <v>60</v>
      </c>
      <c r="C4712" s="8">
        <v>1504.0141599999999</v>
      </c>
      <c r="D4712" s="8">
        <v>146146.578125</v>
      </c>
      <c r="E4712" s="8">
        <v>146160.640625</v>
      </c>
      <c r="F4712" s="8">
        <f t="shared" si="146"/>
        <v>14.0625</v>
      </c>
      <c r="G4712" s="8">
        <f t="shared" si="147"/>
        <v>1.40625E-2</v>
      </c>
    </row>
    <row r="4713" spans="1:7" x14ac:dyDescent="0.25">
      <c r="A4713" s="8">
        <v>62</v>
      </c>
      <c r="B4713" s="8">
        <v>61</v>
      </c>
      <c r="C4713" s="8">
        <v>4041.2526859999998</v>
      </c>
      <c r="D4713" s="8">
        <v>147677.984375</v>
      </c>
      <c r="E4713" s="8">
        <v>147695.203125</v>
      </c>
      <c r="F4713" s="8">
        <f t="shared" si="146"/>
        <v>17.21875</v>
      </c>
      <c r="G4713" s="8">
        <f t="shared" si="147"/>
        <v>1.7218750000000001E-2</v>
      </c>
    </row>
    <row r="4714" spans="1:7" x14ac:dyDescent="0.25">
      <c r="A4714" s="8">
        <v>62</v>
      </c>
      <c r="B4714" s="8">
        <v>62</v>
      </c>
      <c r="C4714" s="8">
        <v>2397.8188479999999</v>
      </c>
      <c r="D4714" s="8">
        <v>151749</v>
      </c>
      <c r="E4714" s="8">
        <v>151765.46875</v>
      </c>
      <c r="F4714" s="8">
        <f t="shared" si="146"/>
        <v>16.46875</v>
      </c>
      <c r="G4714" s="8">
        <f t="shared" si="147"/>
        <v>1.6468750000000001E-2</v>
      </c>
    </row>
    <row r="4715" spans="1:7" x14ac:dyDescent="0.25">
      <c r="A4715" s="8">
        <v>62</v>
      </c>
      <c r="B4715" s="8">
        <v>63</v>
      </c>
      <c r="C4715" s="8">
        <v>2558.5622560000002</v>
      </c>
      <c r="D4715" s="8">
        <v>154172.15625</v>
      </c>
      <c r="E4715" s="8">
        <v>154193.015625</v>
      </c>
      <c r="F4715" s="8">
        <f t="shared" si="146"/>
        <v>20.859375</v>
      </c>
      <c r="G4715" s="8">
        <f t="shared" si="147"/>
        <v>2.0859374999999999E-2</v>
      </c>
    </row>
    <row r="4716" spans="1:7" x14ac:dyDescent="0.25">
      <c r="A4716" s="8">
        <v>62</v>
      </c>
      <c r="B4716" s="8">
        <v>64</v>
      </c>
      <c r="C4716" s="8">
        <v>1107.9411620000001</v>
      </c>
      <c r="D4716" s="8">
        <v>156766.171875</v>
      </c>
      <c r="E4716" s="8">
        <v>156775.25</v>
      </c>
      <c r="F4716" s="8">
        <f t="shared" si="146"/>
        <v>9.078125</v>
      </c>
      <c r="G4716" s="8">
        <f t="shared" si="147"/>
        <v>9.0781249999999994E-3</v>
      </c>
    </row>
    <row r="4717" spans="1:7" x14ac:dyDescent="0.25">
      <c r="A4717" s="8">
        <v>62</v>
      </c>
      <c r="B4717" s="8">
        <v>65</v>
      </c>
      <c r="C4717" s="8">
        <v>1492.5239260000001</v>
      </c>
      <c r="D4717" s="8">
        <v>157891.25</v>
      </c>
      <c r="E4717" s="8">
        <v>157902.515625</v>
      </c>
      <c r="F4717" s="8">
        <f t="shared" si="146"/>
        <v>11.265625</v>
      </c>
      <c r="G4717" s="8">
        <f t="shared" si="147"/>
        <v>1.1265625E-2</v>
      </c>
    </row>
    <row r="4718" spans="1:7" x14ac:dyDescent="0.25">
      <c r="A4718" s="8">
        <v>62</v>
      </c>
      <c r="B4718" s="8">
        <v>66</v>
      </c>
      <c r="C4718" s="8">
        <v>1367.4014890000001</v>
      </c>
      <c r="D4718" s="8">
        <v>159408.09375</v>
      </c>
      <c r="E4718" s="8">
        <v>159427.828125</v>
      </c>
      <c r="F4718" s="8">
        <f t="shared" si="146"/>
        <v>19.734375</v>
      </c>
      <c r="G4718" s="8">
        <f t="shared" si="147"/>
        <v>1.9734374999999998E-2</v>
      </c>
    </row>
    <row r="4719" spans="1:7" x14ac:dyDescent="0.25">
      <c r="A4719" s="8">
        <v>62</v>
      </c>
      <c r="B4719" s="8">
        <v>67</v>
      </c>
      <c r="C4719" s="8">
        <v>1641.056763</v>
      </c>
      <c r="D4719" s="8">
        <v>160798.859375</v>
      </c>
      <c r="E4719" s="8">
        <v>160808.046875</v>
      </c>
      <c r="F4719" s="8">
        <f t="shared" si="146"/>
        <v>9.1875</v>
      </c>
      <c r="G4719" s="8">
        <f t="shared" si="147"/>
        <v>9.1874999999999995E-3</v>
      </c>
    </row>
    <row r="4720" spans="1:7" x14ac:dyDescent="0.25">
      <c r="A4720" s="8">
        <v>62</v>
      </c>
      <c r="B4720" s="8">
        <v>68</v>
      </c>
      <c r="C4720" s="8">
        <v>1789.080688</v>
      </c>
      <c r="D4720" s="8">
        <v>162455.828125</v>
      </c>
      <c r="E4720" s="8">
        <v>162466.9375</v>
      </c>
      <c r="F4720" s="8">
        <f t="shared" si="146"/>
        <v>11.109375</v>
      </c>
      <c r="G4720" s="8">
        <f t="shared" si="147"/>
        <v>1.1109374999999999E-2</v>
      </c>
    </row>
    <row r="4721" spans="1:7" x14ac:dyDescent="0.25">
      <c r="A4721" s="8">
        <v>62</v>
      </c>
      <c r="B4721" s="8">
        <v>69</v>
      </c>
      <c r="C4721" s="8">
        <v>4461.921875</v>
      </c>
      <c r="D4721" s="8">
        <v>164268.53125</v>
      </c>
      <c r="E4721" s="8">
        <v>164283.1875</v>
      </c>
      <c r="F4721" s="8">
        <f t="shared" si="146"/>
        <v>14.65625</v>
      </c>
      <c r="G4721" s="8">
        <f t="shared" si="147"/>
        <v>1.4656249999999999E-2</v>
      </c>
    </row>
    <row r="4722" spans="1:7" x14ac:dyDescent="0.25">
      <c r="A4722" s="8">
        <v>62</v>
      </c>
      <c r="B4722" s="8">
        <v>70</v>
      </c>
      <c r="C4722" s="8">
        <v>187.01026899999999</v>
      </c>
      <c r="D4722" s="8">
        <v>168747.484375</v>
      </c>
      <c r="E4722" s="8">
        <v>168755.15625</v>
      </c>
      <c r="F4722" s="8">
        <f t="shared" si="146"/>
        <v>7.671875</v>
      </c>
      <c r="G4722" s="8">
        <f t="shared" si="147"/>
        <v>7.6718749999999999E-3</v>
      </c>
    </row>
    <row r="4723" spans="1:7" x14ac:dyDescent="0.25">
      <c r="A4723" s="8">
        <v>62</v>
      </c>
      <c r="B4723" s="8">
        <v>71</v>
      </c>
      <c r="C4723" s="8">
        <v>3591.2856449999999</v>
      </c>
      <c r="D4723" s="8">
        <v>168950.609375</v>
      </c>
      <c r="E4723" s="8">
        <v>168971.203125</v>
      </c>
      <c r="F4723" s="8">
        <f t="shared" si="146"/>
        <v>20.59375</v>
      </c>
      <c r="G4723" s="8">
        <f t="shared" si="147"/>
        <v>2.0593750000000001E-2</v>
      </c>
    </row>
    <row r="4724" spans="1:7" x14ac:dyDescent="0.25">
      <c r="A4724" s="8">
        <v>63</v>
      </c>
      <c r="B4724" s="8">
        <v>0</v>
      </c>
      <c r="C4724" s="8">
        <v>947.67596400000002</v>
      </c>
      <c r="D4724" s="8">
        <v>20562.996093999998</v>
      </c>
      <c r="E4724" s="8">
        <v>20586.308593999998</v>
      </c>
      <c r="F4724" s="8">
        <f t="shared" si="146"/>
        <v>23.3125</v>
      </c>
      <c r="G4724" s="8">
        <f t="shared" si="147"/>
        <v>2.33125E-2</v>
      </c>
    </row>
    <row r="4725" spans="1:7" x14ac:dyDescent="0.25">
      <c r="A4725" s="8">
        <v>63</v>
      </c>
      <c r="B4725" s="8">
        <v>1</v>
      </c>
      <c r="C4725" s="8">
        <v>521.19140600000003</v>
      </c>
      <c r="D4725" s="8">
        <v>21547.423827999999</v>
      </c>
      <c r="E4725" s="8">
        <v>21566.363281000002</v>
      </c>
      <c r="F4725" s="8">
        <f t="shared" si="146"/>
        <v>18.939453000002686</v>
      </c>
      <c r="G4725" s="8">
        <f t="shared" si="147"/>
        <v>1.8939453000002687E-2</v>
      </c>
    </row>
    <row r="4726" spans="1:7" x14ac:dyDescent="0.25">
      <c r="A4726" s="8">
        <v>63</v>
      </c>
      <c r="B4726" s="8">
        <v>2</v>
      </c>
      <c r="C4726" s="8">
        <v>3546.2092290000001</v>
      </c>
      <c r="D4726" s="8">
        <v>22094.46875</v>
      </c>
      <c r="E4726" s="8">
        <v>22107.847656000002</v>
      </c>
      <c r="F4726" s="8">
        <f t="shared" si="146"/>
        <v>13.378906000001734</v>
      </c>
      <c r="G4726" s="8">
        <f t="shared" si="147"/>
        <v>1.3378906000001734E-2</v>
      </c>
    </row>
    <row r="4727" spans="1:7" x14ac:dyDescent="0.25">
      <c r="A4727" s="8">
        <v>63</v>
      </c>
      <c r="B4727" s="8">
        <v>3</v>
      </c>
      <c r="C4727" s="8">
        <v>846.08966099999998</v>
      </c>
      <c r="D4727" s="8">
        <v>25662.542968999998</v>
      </c>
      <c r="E4727" s="8">
        <v>25673.544922000001</v>
      </c>
      <c r="F4727" s="8">
        <f t="shared" si="146"/>
        <v>11.001953000002686</v>
      </c>
      <c r="G4727" s="8">
        <f t="shared" si="147"/>
        <v>1.1001953000002685E-2</v>
      </c>
    </row>
    <row r="4728" spans="1:7" x14ac:dyDescent="0.25">
      <c r="A4728" s="8">
        <v>63</v>
      </c>
      <c r="B4728" s="8">
        <v>4</v>
      </c>
      <c r="C4728" s="8">
        <v>8611.734375</v>
      </c>
      <c r="D4728" s="8">
        <v>26524.310547000001</v>
      </c>
      <c r="E4728" s="8">
        <v>26637.583984000001</v>
      </c>
      <c r="F4728" s="8">
        <f t="shared" si="146"/>
        <v>113.27343699999983</v>
      </c>
      <c r="G4728" s="8">
        <f t="shared" si="147"/>
        <v>0.11327343699999982</v>
      </c>
    </row>
    <row r="4729" spans="1:7" x14ac:dyDescent="0.25">
      <c r="A4729" s="8">
        <v>63</v>
      </c>
      <c r="B4729" s="8">
        <v>5</v>
      </c>
      <c r="C4729" s="8">
        <v>1796.1107179999999</v>
      </c>
      <c r="D4729" s="8">
        <v>35248.8125</v>
      </c>
      <c r="E4729" s="8">
        <v>35268.21875</v>
      </c>
      <c r="F4729" s="8">
        <f t="shared" si="146"/>
        <v>19.40625</v>
      </c>
      <c r="G4729" s="8">
        <f t="shared" si="147"/>
        <v>1.940625E-2</v>
      </c>
    </row>
    <row r="4730" spans="1:7" x14ac:dyDescent="0.25">
      <c r="A4730" s="8">
        <v>63</v>
      </c>
      <c r="B4730" s="8">
        <v>6</v>
      </c>
      <c r="C4730" s="8">
        <v>1078.3156739999999</v>
      </c>
      <c r="D4730" s="8">
        <v>37065.953125</v>
      </c>
      <c r="E4730" s="8">
        <v>37084.207030999998</v>
      </c>
      <c r="F4730" s="8">
        <f t="shared" si="146"/>
        <v>18.253905999998096</v>
      </c>
      <c r="G4730" s="8">
        <f t="shared" si="147"/>
        <v>1.8253905999998096E-2</v>
      </c>
    </row>
    <row r="4731" spans="1:7" x14ac:dyDescent="0.25">
      <c r="A4731" s="8">
        <v>63</v>
      </c>
      <c r="B4731" s="8">
        <v>7</v>
      </c>
      <c r="C4731" s="8">
        <v>3343.9892580000001</v>
      </c>
      <c r="D4731" s="8">
        <v>38167.460937999997</v>
      </c>
      <c r="E4731" s="8">
        <v>38187.355469000002</v>
      </c>
      <c r="F4731" s="8">
        <f t="shared" si="146"/>
        <v>19.894531000005372</v>
      </c>
      <c r="G4731" s="8">
        <f t="shared" si="147"/>
        <v>1.9894531000005371E-2</v>
      </c>
    </row>
    <row r="4732" spans="1:7" x14ac:dyDescent="0.25">
      <c r="A4732" s="8">
        <v>63</v>
      </c>
      <c r="B4732" s="8">
        <v>8</v>
      </c>
      <c r="C4732" s="8">
        <v>293.75637799999998</v>
      </c>
      <c r="D4732" s="8">
        <v>41543.742187999997</v>
      </c>
      <c r="E4732" s="8">
        <v>41555.609375</v>
      </c>
      <c r="F4732" s="8">
        <f t="shared" si="146"/>
        <v>11.867187000003469</v>
      </c>
      <c r="G4732" s="8">
        <f t="shared" si="147"/>
        <v>1.1867187000003469E-2</v>
      </c>
    </row>
    <row r="4733" spans="1:7" x14ac:dyDescent="0.25">
      <c r="A4733" s="8">
        <v>63</v>
      </c>
      <c r="B4733" s="8">
        <v>9</v>
      </c>
      <c r="C4733" s="8">
        <v>3123.9333499999998</v>
      </c>
      <c r="D4733" s="8">
        <v>41856.496094000002</v>
      </c>
      <c r="E4733" s="8">
        <v>41870.230469000002</v>
      </c>
      <c r="F4733" s="8">
        <f t="shared" si="146"/>
        <v>13.734375</v>
      </c>
      <c r="G4733" s="8">
        <f t="shared" si="147"/>
        <v>1.3734375E-2</v>
      </c>
    </row>
    <row r="4734" spans="1:7" x14ac:dyDescent="0.25">
      <c r="A4734" s="8">
        <v>63</v>
      </c>
      <c r="B4734" s="8">
        <v>10</v>
      </c>
      <c r="C4734" s="8">
        <v>7139.095703</v>
      </c>
      <c r="D4734" s="8">
        <v>45006.25</v>
      </c>
      <c r="E4734" s="8">
        <v>45020.375</v>
      </c>
      <c r="F4734" s="8">
        <f t="shared" si="146"/>
        <v>14.125</v>
      </c>
      <c r="G4734" s="8">
        <f t="shared" si="147"/>
        <v>1.4125E-2</v>
      </c>
    </row>
    <row r="4735" spans="1:7" x14ac:dyDescent="0.25">
      <c r="A4735" s="8">
        <v>63</v>
      </c>
      <c r="B4735" s="8">
        <v>11</v>
      </c>
      <c r="C4735" s="8">
        <v>1116.2430420000001</v>
      </c>
      <c r="D4735" s="8">
        <v>52170.238280999998</v>
      </c>
      <c r="E4735" s="8">
        <v>52188.167969000002</v>
      </c>
      <c r="F4735" s="8">
        <f t="shared" si="146"/>
        <v>17.929688000003807</v>
      </c>
      <c r="G4735" s="8">
        <f t="shared" si="147"/>
        <v>1.7929688000003809E-2</v>
      </c>
    </row>
    <row r="4736" spans="1:7" x14ac:dyDescent="0.25">
      <c r="A4736" s="8">
        <v>63</v>
      </c>
      <c r="B4736" s="8">
        <v>12</v>
      </c>
      <c r="C4736" s="8">
        <v>639.72473100000002</v>
      </c>
      <c r="D4736" s="8">
        <v>53311.839844000002</v>
      </c>
      <c r="E4736" s="8">
        <v>53323.210937999997</v>
      </c>
      <c r="F4736" s="8">
        <f t="shared" si="146"/>
        <v>11.371093999994628</v>
      </c>
      <c r="G4736" s="8">
        <f t="shared" si="147"/>
        <v>1.1371093999994628E-2</v>
      </c>
    </row>
    <row r="4737" spans="1:7" x14ac:dyDescent="0.25">
      <c r="A4737" s="8">
        <v>63</v>
      </c>
      <c r="B4737" s="8">
        <v>13</v>
      </c>
      <c r="C4737" s="8">
        <v>5934.1259769999997</v>
      </c>
      <c r="D4737" s="8">
        <v>53971.980469000002</v>
      </c>
      <c r="E4737" s="8">
        <v>53996.582030999998</v>
      </c>
      <c r="F4737" s="8">
        <f t="shared" si="146"/>
        <v>24.601561999996193</v>
      </c>
      <c r="G4737" s="8">
        <f t="shared" si="147"/>
        <v>2.4601561999996194E-2</v>
      </c>
    </row>
    <row r="4738" spans="1:7" x14ac:dyDescent="0.25">
      <c r="A4738" s="8">
        <v>63</v>
      </c>
      <c r="B4738" s="8">
        <v>14</v>
      </c>
      <c r="C4738" s="8">
        <v>506.19827299999997</v>
      </c>
      <c r="D4738" s="8">
        <v>59934.953125</v>
      </c>
      <c r="E4738" s="8">
        <v>59959.3125</v>
      </c>
      <c r="F4738" s="8">
        <f t="shared" si="146"/>
        <v>24.359375</v>
      </c>
      <c r="G4738" s="8">
        <f t="shared" si="147"/>
        <v>2.4359374999999999E-2</v>
      </c>
    </row>
    <row r="4739" spans="1:7" x14ac:dyDescent="0.25">
      <c r="A4739" s="8">
        <v>63</v>
      </c>
      <c r="B4739" s="8">
        <v>15</v>
      </c>
      <c r="C4739" s="8">
        <v>411.69012500000002</v>
      </c>
      <c r="D4739" s="8">
        <v>60466.269530999998</v>
      </c>
      <c r="E4739" s="8">
        <v>60479.796875</v>
      </c>
      <c r="F4739" s="8">
        <f t="shared" si="146"/>
        <v>13.527344000001904</v>
      </c>
      <c r="G4739" s="8">
        <f t="shared" si="147"/>
        <v>1.3527344000001903E-2</v>
      </c>
    </row>
    <row r="4740" spans="1:7" x14ac:dyDescent="0.25">
      <c r="A4740" s="8">
        <v>63</v>
      </c>
      <c r="B4740" s="8">
        <v>16</v>
      </c>
      <c r="C4740" s="8">
        <v>947.87207000000001</v>
      </c>
      <c r="D4740" s="8">
        <v>60903.777344000002</v>
      </c>
      <c r="E4740" s="8">
        <v>60924.765625</v>
      </c>
      <c r="F4740" s="8">
        <f t="shared" si="146"/>
        <v>20.988280999998096</v>
      </c>
      <c r="G4740" s="8">
        <f t="shared" si="147"/>
        <v>2.0988280999998096E-2</v>
      </c>
    </row>
    <row r="4741" spans="1:7" x14ac:dyDescent="0.25">
      <c r="A4741" s="8">
        <v>63</v>
      </c>
      <c r="B4741" s="8">
        <v>17</v>
      </c>
      <c r="C4741" s="8">
        <v>2706.727539</v>
      </c>
      <c r="D4741" s="8">
        <v>61872.664062999997</v>
      </c>
      <c r="E4741" s="8">
        <v>61890.15625</v>
      </c>
      <c r="F4741" s="8">
        <f t="shared" si="146"/>
        <v>17.492187000003469</v>
      </c>
      <c r="G4741" s="8">
        <f t="shared" si="147"/>
        <v>1.7492187000003469E-2</v>
      </c>
    </row>
    <row r="4742" spans="1:7" x14ac:dyDescent="0.25">
      <c r="A4742" s="8">
        <v>63</v>
      </c>
      <c r="B4742" s="8">
        <v>18</v>
      </c>
      <c r="C4742" s="8">
        <v>3333.296875</v>
      </c>
      <c r="D4742" s="8">
        <v>64605.859375</v>
      </c>
      <c r="E4742" s="8">
        <v>64617.195312999997</v>
      </c>
      <c r="F4742" s="8">
        <f t="shared" si="146"/>
        <v>11.335937999996531</v>
      </c>
      <c r="G4742" s="8">
        <f t="shared" si="147"/>
        <v>1.1335937999996531E-2</v>
      </c>
    </row>
    <row r="4743" spans="1:7" x14ac:dyDescent="0.25">
      <c r="A4743" s="8">
        <v>63</v>
      </c>
      <c r="B4743" s="8">
        <v>19</v>
      </c>
      <c r="C4743" s="8">
        <v>2313.7795409999999</v>
      </c>
      <c r="D4743" s="8">
        <v>67951.554688000004</v>
      </c>
      <c r="E4743" s="8">
        <v>67965.851563000004</v>
      </c>
      <c r="F4743" s="8">
        <f t="shared" si="146"/>
        <v>14.296875</v>
      </c>
      <c r="G4743" s="8">
        <f t="shared" si="147"/>
        <v>1.4296875000000001E-2</v>
      </c>
    </row>
    <row r="4744" spans="1:7" x14ac:dyDescent="0.25">
      <c r="A4744" s="8">
        <v>63</v>
      </c>
      <c r="B4744" s="8">
        <v>20</v>
      </c>
      <c r="C4744" s="8">
        <v>1868.1136469999999</v>
      </c>
      <c r="D4744" s="8">
        <v>70280.25</v>
      </c>
      <c r="E4744" s="8">
        <v>70294.726563000004</v>
      </c>
      <c r="F4744" s="8">
        <f t="shared" si="146"/>
        <v>14.476563000003807</v>
      </c>
      <c r="G4744" s="8">
        <f t="shared" si="147"/>
        <v>1.4476563000003807E-2</v>
      </c>
    </row>
    <row r="4745" spans="1:7" x14ac:dyDescent="0.25">
      <c r="A4745" s="8">
        <v>63</v>
      </c>
      <c r="B4745" s="8">
        <v>21</v>
      </c>
      <c r="C4745" s="8">
        <v>794.12432899999999</v>
      </c>
      <c r="D4745" s="8">
        <v>72169.804688000004</v>
      </c>
      <c r="E4745" s="8">
        <v>72184.007813000004</v>
      </c>
      <c r="F4745" s="8">
        <f t="shared" si="146"/>
        <v>14.203125</v>
      </c>
      <c r="G4745" s="8">
        <f t="shared" si="147"/>
        <v>1.4203125E-2</v>
      </c>
    </row>
    <row r="4746" spans="1:7" x14ac:dyDescent="0.25">
      <c r="A4746" s="8">
        <v>63</v>
      </c>
      <c r="B4746" s="8">
        <v>22</v>
      </c>
      <c r="C4746" s="8">
        <v>3807.7341310000002</v>
      </c>
      <c r="D4746" s="8">
        <v>72982.382813000004</v>
      </c>
      <c r="E4746" s="8">
        <v>73002.695313000004</v>
      </c>
      <c r="F4746" s="8">
        <f t="shared" si="146"/>
        <v>20.3125</v>
      </c>
      <c r="G4746" s="8">
        <f t="shared" si="147"/>
        <v>2.0312500000000001E-2</v>
      </c>
    </row>
    <row r="4747" spans="1:7" x14ac:dyDescent="0.25">
      <c r="A4747" s="8">
        <v>63</v>
      </c>
      <c r="B4747" s="8">
        <v>23</v>
      </c>
      <c r="C4747" s="8">
        <v>718.66729699999996</v>
      </c>
      <c r="D4747" s="8">
        <v>76819.601563000004</v>
      </c>
      <c r="E4747" s="8">
        <v>76831.59375</v>
      </c>
      <c r="F4747" s="8">
        <f t="shared" ref="F4747:F4810" si="148">E4747-D4747</f>
        <v>11.992186999996193</v>
      </c>
      <c r="G4747" s="8">
        <f t="shared" ref="G4747:G4810" si="149">F4747/1000</f>
        <v>1.1992186999996192E-2</v>
      </c>
    </row>
    <row r="4748" spans="1:7" x14ac:dyDescent="0.25">
      <c r="A4748" s="8">
        <v>63</v>
      </c>
      <c r="B4748" s="8">
        <v>24</v>
      </c>
      <c r="C4748" s="8">
        <v>341.76345800000001</v>
      </c>
      <c r="D4748" s="8">
        <v>77554.609375</v>
      </c>
      <c r="E4748" s="8">
        <v>77577.289063000004</v>
      </c>
      <c r="F4748" s="8">
        <f t="shared" si="148"/>
        <v>22.679688000003807</v>
      </c>
      <c r="G4748" s="8">
        <f t="shared" si="149"/>
        <v>2.2679688000003806E-2</v>
      </c>
    </row>
    <row r="4749" spans="1:7" x14ac:dyDescent="0.25">
      <c r="A4749" s="8">
        <v>63</v>
      </c>
      <c r="B4749" s="8">
        <v>25</v>
      </c>
      <c r="C4749" s="8">
        <v>2145.588135</v>
      </c>
      <c r="D4749" s="8">
        <v>77932.234375</v>
      </c>
      <c r="E4749" s="8">
        <v>77949.34375</v>
      </c>
      <c r="F4749" s="8">
        <f t="shared" si="148"/>
        <v>17.109375</v>
      </c>
      <c r="G4749" s="8">
        <f t="shared" si="149"/>
        <v>1.7109375E-2</v>
      </c>
    </row>
    <row r="4750" spans="1:7" x14ac:dyDescent="0.25">
      <c r="A4750" s="8">
        <v>63</v>
      </c>
      <c r="B4750" s="8">
        <v>26</v>
      </c>
      <c r="C4750" s="8">
        <v>975.91229199999998</v>
      </c>
      <c r="D4750" s="8">
        <v>80097.898438000004</v>
      </c>
      <c r="E4750" s="8">
        <v>80118.960938000004</v>
      </c>
      <c r="F4750" s="8">
        <f t="shared" si="148"/>
        <v>21.0625</v>
      </c>
      <c r="G4750" s="8">
        <f t="shared" si="149"/>
        <v>2.1062500000000001E-2</v>
      </c>
    </row>
    <row r="4751" spans="1:7" x14ac:dyDescent="0.25">
      <c r="A4751" s="8">
        <v>63</v>
      </c>
      <c r="B4751" s="8">
        <v>27</v>
      </c>
      <c r="C4751" s="8">
        <v>2537.8298340000001</v>
      </c>
      <c r="D4751" s="8">
        <v>81098.898438000004</v>
      </c>
      <c r="E4751" s="8">
        <v>81123.382813000004</v>
      </c>
      <c r="F4751" s="8">
        <f t="shared" si="148"/>
        <v>24.484375</v>
      </c>
      <c r="G4751" s="8">
        <f t="shared" si="149"/>
        <v>2.4484374999999999E-2</v>
      </c>
    </row>
    <row r="4752" spans="1:7" x14ac:dyDescent="0.25">
      <c r="A4752" s="8">
        <v>63</v>
      </c>
      <c r="B4752" s="8">
        <v>28</v>
      </c>
      <c r="C4752" s="8">
        <v>82.363892000000007</v>
      </c>
      <c r="D4752" s="8">
        <v>83671.492188000004</v>
      </c>
      <c r="E4752" s="8">
        <v>83680.804688000004</v>
      </c>
      <c r="F4752" s="8">
        <f t="shared" si="148"/>
        <v>9.3125</v>
      </c>
      <c r="G4752" s="8">
        <f t="shared" si="149"/>
        <v>9.3124999999999996E-3</v>
      </c>
    </row>
    <row r="4753" spans="1:7" x14ac:dyDescent="0.25">
      <c r="A4753" s="8">
        <v>63</v>
      </c>
      <c r="B4753" s="8">
        <v>29</v>
      </c>
      <c r="C4753" s="8">
        <v>3.9713449999999999</v>
      </c>
      <c r="D4753" s="8">
        <v>83765.484375</v>
      </c>
      <c r="E4753" s="8">
        <v>83786.195313000004</v>
      </c>
      <c r="F4753" s="8">
        <f t="shared" si="148"/>
        <v>20.710938000003807</v>
      </c>
      <c r="G4753" s="8">
        <f t="shared" si="149"/>
        <v>2.0710938000003808E-2</v>
      </c>
    </row>
    <row r="4754" spans="1:7" x14ac:dyDescent="0.25">
      <c r="A4754" s="8">
        <v>63</v>
      </c>
      <c r="B4754" s="8">
        <v>30</v>
      </c>
      <c r="C4754" s="8">
        <v>403.98132299999997</v>
      </c>
      <c r="D4754" s="8">
        <v>83796.75</v>
      </c>
      <c r="E4754" s="8">
        <v>83810.328125</v>
      </c>
      <c r="F4754" s="8">
        <f t="shared" si="148"/>
        <v>13.578125</v>
      </c>
      <c r="G4754" s="8">
        <f t="shared" si="149"/>
        <v>1.3578125E-2</v>
      </c>
    </row>
    <row r="4755" spans="1:7" x14ac:dyDescent="0.25">
      <c r="A4755" s="8">
        <v>63</v>
      </c>
      <c r="B4755" s="8">
        <v>31</v>
      </c>
      <c r="C4755" s="8">
        <v>1055.1134030000001</v>
      </c>
      <c r="D4755" s="8">
        <v>84218.585938000004</v>
      </c>
      <c r="E4755" s="8">
        <v>84242.796875</v>
      </c>
      <c r="F4755" s="8">
        <f t="shared" si="148"/>
        <v>24.210936999996193</v>
      </c>
      <c r="G4755" s="8">
        <f t="shared" si="149"/>
        <v>2.4210936999996192E-2</v>
      </c>
    </row>
    <row r="4756" spans="1:7" x14ac:dyDescent="0.25">
      <c r="A4756" s="8">
        <v>63</v>
      </c>
      <c r="B4756" s="8">
        <v>32</v>
      </c>
      <c r="C4756" s="8">
        <v>35.221508</v>
      </c>
      <c r="D4756" s="8">
        <v>85298.0625</v>
      </c>
      <c r="E4756" s="8">
        <v>85309.726563000004</v>
      </c>
      <c r="F4756" s="8">
        <f t="shared" si="148"/>
        <v>11.664063000003807</v>
      </c>
      <c r="G4756" s="8">
        <f t="shared" si="149"/>
        <v>1.1664063000003807E-2</v>
      </c>
    </row>
    <row r="4757" spans="1:7" x14ac:dyDescent="0.25">
      <c r="A4757" s="8">
        <v>63</v>
      </c>
      <c r="B4757" s="8">
        <v>33</v>
      </c>
      <c r="C4757" s="8">
        <v>70.378876000000005</v>
      </c>
      <c r="D4757" s="8">
        <v>85344.929688000004</v>
      </c>
      <c r="E4757" s="8">
        <v>85356.648438000004</v>
      </c>
      <c r="F4757" s="8">
        <f t="shared" si="148"/>
        <v>11.71875</v>
      </c>
      <c r="G4757" s="8">
        <f t="shared" si="149"/>
        <v>1.171875E-2</v>
      </c>
    </row>
    <row r="4758" spans="1:7" x14ac:dyDescent="0.25">
      <c r="A4758" s="8">
        <v>63</v>
      </c>
      <c r="B4758" s="8">
        <v>34</v>
      </c>
      <c r="C4758" s="8">
        <v>3763.571289</v>
      </c>
      <c r="D4758" s="8">
        <v>85440.117188000004</v>
      </c>
      <c r="E4758" s="8">
        <v>85464.226563000004</v>
      </c>
      <c r="F4758" s="8">
        <f t="shared" si="148"/>
        <v>24.109375</v>
      </c>
      <c r="G4758" s="8">
        <f t="shared" si="149"/>
        <v>2.4109374999999999E-2</v>
      </c>
    </row>
    <row r="4759" spans="1:7" x14ac:dyDescent="0.25">
      <c r="A4759" s="8">
        <v>63</v>
      </c>
      <c r="B4759" s="8">
        <v>35</v>
      </c>
      <c r="C4759" s="8">
        <v>361.19143700000001</v>
      </c>
      <c r="D4759" s="8">
        <v>89240.5625</v>
      </c>
      <c r="E4759" s="8">
        <v>89270.90625</v>
      </c>
      <c r="F4759" s="8">
        <f t="shared" si="148"/>
        <v>30.34375</v>
      </c>
      <c r="G4759" s="8">
        <f t="shared" si="149"/>
        <v>3.0343749999999999E-2</v>
      </c>
    </row>
    <row r="4760" spans="1:7" x14ac:dyDescent="0.25">
      <c r="A4760" s="8">
        <v>63</v>
      </c>
      <c r="B4760" s="8">
        <v>36</v>
      </c>
      <c r="C4760" s="8">
        <v>994.09063700000002</v>
      </c>
      <c r="D4760" s="8">
        <v>89646.867188000004</v>
      </c>
      <c r="E4760" s="8">
        <v>89661.875</v>
      </c>
      <c r="F4760" s="8">
        <f t="shared" si="148"/>
        <v>15.007811999996193</v>
      </c>
      <c r="G4760" s="8">
        <f t="shared" si="149"/>
        <v>1.5007811999996193E-2</v>
      </c>
    </row>
    <row r="4761" spans="1:7" x14ac:dyDescent="0.25">
      <c r="A4761" s="8">
        <v>63</v>
      </c>
      <c r="B4761" s="8">
        <v>37</v>
      </c>
      <c r="C4761" s="8">
        <v>788.86541699999998</v>
      </c>
      <c r="D4761" s="8">
        <v>90667.34375</v>
      </c>
      <c r="E4761" s="8">
        <v>90686.671875</v>
      </c>
      <c r="F4761" s="8">
        <f t="shared" si="148"/>
        <v>19.328125</v>
      </c>
      <c r="G4761" s="8">
        <f t="shared" si="149"/>
        <v>1.9328125000000002E-2</v>
      </c>
    </row>
    <row r="4762" spans="1:7" x14ac:dyDescent="0.25">
      <c r="A4762" s="8">
        <v>63</v>
      </c>
      <c r="B4762" s="8">
        <v>38</v>
      </c>
      <c r="C4762" s="8">
        <v>2616.4277339999999</v>
      </c>
      <c r="D4762" s="8">
        <v>91479.945313000004</v>
      </c>
      <c r="E4762" s="8">
        <v>91569</v>
      </c>
      <c r="F4762" s="8">
        <f t="shared" si="148"/>
        <v>89.054686999996193</v>
      </c>
      <c r="G4762" s="8">
        <f t="shared" si="149"/>
        <v>8.9054686999996191E-2</v>
      </c>
    </row>
    <row r="4763" spans="1:7" x14ac:dyDescent="0.25">
      <c r="A4763" s="8">
        <v>63</v>
      </c>
      <c r="B4763" s="8">
        <v>39</v>
      </c>
      <c r="C4763" s="8">
        <v>593.123108</v>
      </c>
      <c r="D4763" s="8">
        <v>94185.734375</v>
      </c>
      <c r="E4763" s="8">
        <v>94193.117188000004</v>
      </c>
      <c r="F4763" s="8">
        <f t="shared" si="148"/>
        <v>7.3828130000038072</v>
      </c>
      <c r="G4763" s="8">
        <f t="shared" si="149"/>
        <v>7.3828130000038071E-3</v>
      </c>
    </row>
    <row r="4764" spans="1:7" x14ac:dyDescent="0.25">
      <c r="A4764" s="8">
        <v>63</v>
      </c>
      <c r="B4764" s="8">
        <v>40</v>
      </c>
      <c r="C4764" s="8">
        <v>4371.9316410000001</v>
      </c>
      <c r="D4764" s="8">
        <v>94795.835938000004</v>
      </c>
      <c r="E4764" s="8">
        <v>94808.023438000004</v>
      </c>
      <c r="F4764" s="8">
        <f t="shared" si="148"/>
        <v>12.1875</v>
      </c>
      <c r="G4764" s="8">
        <f t="shared" si="149"/>
        <v>1.21875E-2</v>
      </c>
    </row>
    <row r="4765" spans="1:7" x14ac:dyDescent="0.25">
      <c r="A4765" s="8">
        <v>63</v>
      </c>
      <c r="B4765" s="8">
        <v>41</v>
      </c>
      <c r="C4765" s="8">
        <v>1737.7847899999999</v>
      </c>
      <c r="D4765" s="8">
        <v>99191.53125</v>
      </c>
      <c r="E4765" s="8">
        <v>99219.539063000004</v>
      </c>
      <c r="F4765" s="8">
        <f t="shared" si="148"/>
        <v>28.007813000003807</v>
      </c>
      <c r="G4765" s="8">
        <f t="shared" si="149"/>
        <v>2.8007813000003809E-2</v>
      </c>
    </row>
    <row r="4766" spans="1:7" x14ac:dyDescent="0.25">
      <c r="A4766" s="8">
        <v>63</v>
      </c>
      <c r="B4766" s="8">
        <v>42</v>
      </c>
      <c r="C4766" s="8">
        <v>1736.47522</v>
      </c>
      <c r="D4766" s="8">
        <v>100963.976563</v>
      </c>
      <c r="E4766" s="8">
        <v>100974.9375</v>
      </c>
      <c r="F4766" s="8">
        <f t="shared" si="148"/>
        <v>10.960936999996193</v>
      </c>
      <c r="G4766" s="8">
        <f t="shared" si="149"/>
        <v>1.0960936999996193E-2</v>
      </c>
    </row>
    <row r="4767" spans="1:7" x14ac:dyDescent="0.25">
      <c r="A4767" s="8">
        <v>63</v>
      </c>
      <c r="B4767" s="8">
        <v>43</v>
      </c>
      <c r="C4767" s="8">
        <v>818.42126499999995</v>
      </c>
      <c r="D4767" s="8">
        <v>102719.195313</v>
      </c>
      <c r="E4767" s="8">
        <v>102783.554688</v>
      </c>
      <c r="F4767" s="8">
        <f t="shared" si="148"/>
        <v>64.359375</v>
      </c>
      <c r="G4767" s="8">
        <f t="shared" si="149"/>
        <v>6.4359374999999996E-2</v>
      </c>
    </row>
    <row r="4768" spans="1:7" x14ac:dyDescent="0.25">
      <c r="A4768" s="8">
        <v>63</v>
      </c>
      <c r="B4768" s="8">
        <v>44</v>
      </c>
      <c r="C4768" s="8">
        <v>809.526794</v>
      </c>
      <c r="D4768" s="8">
        <v>103606.71875</v>
      </c>
      <c r="E4768" s="8">
        <v>103621.101563</v>
      </c>
      <c r="F4768" s="8">
        <f t="shared" si="148"/>
        <v>14.382813000003807</v>
      </c>
      <c r="G4768" s="8">
        <f t="shared" si="149"/>
        <v>1.4382813000003807E-2</v>
      </c>
    </row>
    <row r="4769" spans="1:7" x14ac:dyDescent="0.25">
      <c r="A4769" s="8">
        <v>63</v>
      </c>
      <c r="B4769" s="8">
        <v>45</v>
      </c>
      <c r="C4769" s="8">
        <v>1260.6229249999999</v>
      </c>
      <c r="D4769" s="8">
        <v>104440.9375</v>
      </c>
      <c r="E4769" s="8">
        <v>104455.328125</v>
      </c>
      <c r="F4769" s="8">
        <f t="shared" si="148"/>
        <v>14.390625</v>
      </c>
      <c r="G4769" s="8">
        <f t="shared" si="149"/>
        <v>1.4390625000000001E-2</v>
      </c>
    </row>
    <row r="4770" spans="1:7" x14ac:dyDescent="0.25">
      <c r="A4770" s="8">
        <v>63</v>
      </c>
      <c r="B4770" s="8">
        <v>46</v>
      </c>
      <c r="C4770" s="8">
        <v>1147.6313479999999</v>
      </c>
      <c r="D4770" s="8">
        <v>105719.007813</v>
      </c>
      <c r="E4770" s="8">
        <v>105730.625</v>
      </c>
      <c r="F4770" s="8">
        <f t="shared" si="148"/>
        <v>11.617186999996193</v>
      </c>
      <c r="G4770" s="8">
        <f t="shared" si="149"/>
        <v>1.1617186999996193E-2</v>
      </c>
    </row>
    <row r="4771" spans="1:7" x14ac:dyDescent="0.25">
      <c r="A4771" s="8">
        <v>63</v>
      </c>
      <c r="B4771" s="8">
        <v>47</v>
      </c>
      <c r="C4771" s="8">
        <v>2148.0878910000001</v>
      </c>
      <c r="D4771" s="8">
        <v>106891.039063</v>
      </c>
      <c r="E4771" s="8">
        <v>106906.429688</v>
      </c>
      <c r="F4771" s="8">
        <f t="shared" si="148"/>
        <v>15.390625</v>
      </c>
      <c r="G4771" s="8">
        <f t="shared" si="149"/>
        <v>1.5390625E-2</v>
      </c>
    </row>
    <row r="4772" spans="1:7" x14ac:dyDescent="0.25">
      <c r="A4772" s="8">
        <v>63</v>
      </c>
      <c r="B4772" s="8">
        <v>48</v>
      </c>
      <c r="C4772" s="8">
        <v>895.42590299999995</v>
      </c>
      <c r="D4772" s="8">
        <v>109063.757813</v>
      </c>
      <c r="E4772" s="8">
        <v>109077.226563</v>
      </c>
      <c r="F4772" s="8">
        <f t="shared" si="148"/>
        <v>13.46875</v>
      </c>
      <c r="G4772" s="8">
        <f t="shared" si="149"/>
        <v>1.346875E-2</v>
      </c>
    </row>
    <row r="4773" spans="1:7" x14ac:dyDescent="0.25">
      <c r="A4773" s="8">
        <v>63</v>
      </c>
      <c r="B4773" s="8">
        <v>49</v>
      </c>
      <c r="C4773" s="8">
        <v>977.80224599999997</v>
      </c>
      <c r="D4773" s="8">
        <v>109986.4375</v>
      </c>
      <c r="E4773" s="8">
        <v>110000.851563</v>
      </c>
      <c r="F4773" s="8">
        <f t="shared" si="148"/>
        <v>14.414063000003807</v>
      </c>
      <c r="G4773" s="8">
        <f t="shared" si="149"/>
        <v>1.4414063000003807E-2</v>
      </c>
    </row>
    <row r="4774" spans="1:7" x14ac:dyDescent="0.25">
      <c r="A4774" s="8">
        <v>63</v>
      </c>
      <c r="B4774" s="8">
        <v>50</v>
      </c>
      <c r="C4774" s="8">
        <v>2397.6164549999999</v>
      </c>
      <c r="D4774" s="8">
        <v>110986.570313</v>
      </c>
      <c r="E4774" s="8">
        <v>110993.960938</v>
      </c>
      <c r="F4774" s="8">
        <f t="shared" si="148"/>
        <v>7.390625</v>
      </c>
      <c r="G4774" s="8">
        <f t="shared" si="149"/>
        <v>7.3906249999999996E-3</v>
      </c>
    </row>
    <row r="4775" spans="1:7" x14ac:dyDescent="0.25">
      <c r="A4775" s="8">
        <v>63</v>
      </c>
      <c r="B4775" s="8">
        <v>51</v>
      </c>
      <c r="C4775" s="8">
        <v>2598.8916020000001</v>
      </c>
      <c r="D4775" s="8">
        <v>113393.78125</v>
      </c>
      <c r="E4775" s="8">
        <v>113441.726563</v>
      </c>
      <c r="F4775" s="8">
        <f t="shared" si="148"/>
        <v>47.945313000003807</v>
      </c>
      <c r="G4775" s="8">
        <f t="shared" si="149"/>
        <v>4.7945313000003806E-2</v>
      </c>
    </row>
    <row r="4776" spans="1:7" x14ac:dyDescent="0.25">
      <c r="A4776" s="8">
        <v>63</v>
      </c>
      <c r="B4776" s="8">
        <v>52</v>
      </c>
      <c r="C4776" s="8">
        <v>3855.4094239999999</v>
      </c>
      <c r="D4776" s="8">
        <v>116051.960938</v>
      </c>
      <c r="E4776" s="8">
        <v>116064.359375</v>
      </c>
      <c r="F4776" s="8">
        <f t="shared" si="148"/>
        <v>12.398436999996193</v>
      </c>
      <c r="G4776" s="8">
        <f t="shared" si="149"/>
        <v>1.2398436999996192E-2</v>
      </c>
    </row>
    <row r="4777" spans="1:7" x14ac:dyDescent="0.25">
      <c r="A4777" s="8">
        <v>63</v>
      </c>
      <c r="B4777" s="8">
        <v>53</v>
      </c>
      <c r="C4777" s="8">
        <v>27.533237</v>
      </c>
      <c r="D4777" s="8">
        <v>119921.601563</v>
      </c>
      <c r="E4777" s="8">
        <v>119938.5</v>
      </c>
      <c r="F4777" s="8">
        <f t="shared" si="148"/>
        <v>16.898436999996193</v>
      </c>
      <c r="G4777" s="8">
        <f t="shared" si="149"/>
        <v>1.6898436999996193E-2</v>
      </c>
    </row>
    <row r="4778" spans="1:7" x14ac:dyDescent="0.25">
      <c r="A4778" s="8">
        <v>63</v>
      </c>
      <c r="B4778" s="8">
        <v>54</v>
      </c>
      <c r="C4778" s="8">
        <v>4042.6345209999999</v>
      </c>
      <c r="D4778" s="8">
        <v>119968.484375</v>
      </c>
      <c r="E4778" s="8">
        <v>119991.492188</v>
      </c>
      <c r="F4778" s="8">
        <f t="shared" si="148"/>
        <v>23.007813000003807</v>
      </c>
      <c r="G4778" s="8">
        <f t="shared" si="149"/>
        <v>2.3007813000003808E-2</v>
      </c>
    </row>
    <row r="4779" spans="1:7" x14ac:dyDescent="0.25">
      <c r="A4779" s="8">
        <v>63</v>
      </c>
      <c r="B4779" s="8">
        <v>55</v>
      </c>
      <c r="C4779" s="8">
        <v>6036.3378910000001</v>
      </c>
      <c r="D4779" s="8">
        <v>124048.914063</v>
      </c>
      <c r="E4779" s="8">
        <v>124062.835938</v>
      </c>
      <c r="F4779" s="8">
        <f t="shared" si="148"/>
        <v>13.921875</v>
      </c>
      <c r="G4779" s="8">
        <f t="shared" si="149"/>
        <v>1.3921875E-2</v>
      </c>
    </row>
    <row r="4780" spans="1:7" x14ac:dyDescent="0.25">
      <c r="A4780" s="8">
        <v>63</v>
      </c>
      <c r="B4780" s="8">
        <v>56</v>
      </c>
      <c r="C4780" s="8">
        <v>854.30621299999996</v>
      </c>
      <c r="D4780" s="8">
        <v>130113.976563</v>
      </c>
      <c r="E4780" s="8">
        <v>130129.179688</v>
      </c>
      <c r="F4780" s="8">
        <f t="shared" si="148"/>
        <v>15.203125</v>
      </c>
      <c r="G4780" s="8">
        <f t="shared" si="149"/>
        <v>1.5203125E-2</v>
      </c>
    </row>
    <row r="4781" spans="1:7" x14ac:dyDescent="0.25">
      <c r="A4781" s="8">
        <v>63</v>
      </c>
      <c r="B4781" s="8">
        <v>57</v>
      </c>
      <c r="C4781" s="8">
        <v>6913.9096680000002</v>
      </c>
      <c r="D4781" s="8">
        <v>130989.101563</v>
      </c>
      <c r="E4781" s="8">
        <v>131004.25</v>
      </c>
      <c r="F4781" s="8">
        <f t="shared" si="148"/>
        <v>15.148436999996193</v>
      </c>
      <c r="G4781" s="8">
        <f t="shared" si="149"/>
        <v>1.5148436999996193E-2</v>
      </c>
    </row>
    <row r="4782" spans="1:7" x14ac:dyDescent="0.25">
      <c r="A4782" s="8">
        <v>63</v>
      </c>
      <c r="B4782" s="8">
        <v>58</v>
      </c>
      <c r="C4782" s="8">
        <v>4987.9008789999998</v>
      </c>
      <c r="D4782" s="8">
        <v>137921.828125</v>
      </c>
      <c r="E4782" s="8">
        <v>137929.578125</v>
      </c>
      <c r="F4782" s="8">
        <f t="shared" si="148"/>
        <v>7.75</v>
      </c>
      <c r="G4782" s="8">
        <f t="shared" si="149"/>
        <v>7.7499999999999999E-3</v>
      </c>
    </row>
    <row r="4783" spans="1:7" x14ac:dyDescent="0.25">
      <c r="A4783" s="8">
        <v>63</v>
      </c>
      <c r="B4783" s="8">
        <v>59</v>
      </c>
      <c r="C4783" s="8">
        <v>1049.8446039999999</v>
      </c>
      <c r="D4783" s="8">
        <v>142921.5</v>
      </c>
      <c r="E4783" s="8">
        <v>142936.015625</v>
      </c>
      <c r="F4783" s="8">
        <f t="shared" si="148"/>
        <v>14.515625</v>
      </c>
      <c r="G4783" s="8">
        <f t="shared" si="149"/>
        <v>1.4515625000000001E-2</v>
      </c>
    </row>
    <row r="4784" spans="1:7" x14ac:dyDescent="0.25">
      <c r="A4784" s="8">
        <v>63</v>
      </c>
      <c r="B4784" s="8">
        <v>60</v>
      </c>
      <c r="C4784" s="8">
        <v>223.60051000000001</v>
      </c>
      <c r="D4784" s="8">
        <v>143994.3125</v>
      </c>
      <c r="E4784" s="8">
        <v>144015.671875</v>
      </c>
      <c r="F4784" s="8">
        <f t="shared" si="148"/>
        <v>21.359375</v>
      </c>
      <c r="G4784" s="8">
        <f t="shared" si="149"/>
        <v>2.1359375E-2</v>
      </c>
    </row>
    <row r="4785" spans="1:7" x14ac:dyDescent="0.25">
      <c r="A4785" s="8">
        <v>63</v>
      </c>
      <c r="B4785" s="8">
        <v>61</v>
      </c>
      <c r="C4785" s="8">
        <v>1196.9895019999999</v>
      </c>
      <c r="D4785" s="8">
        <v>144244.359375</v>
      </c>
      <c r="E4785" s="8">
        <v>144255.546875</v>
      </c>
      <c r="F4785" s="8">
        <f t="shared" si="148"/>
        <v>11.1875</v>
      </c>
      <c r="G4785" s="8">
        <f t="shared" si="149"/>
        <v>1.11875E-2</v>
      </c>
    </row>
    <row r="4786" spans="1:7" x14ac:dyDescent="0.25">
      <c r="A4786" s="8">
        <v>63</v>
      </c>
      <c r="B4786" s="8">
        <v>62</v>
      </c>
      <c r="C4786" s="8">
        <v>2881.9104000000002</v>
      </c>
      <c r="D4786" s="8">
        <v>145458.9375</v>
      </c>
      <c r="E4786" s="8">
        <v>145477.609375</v>
      </c>
      <c r="F4786" s="8">
        <f t="shared" si="148"/>
        <v>18.671875</v>
      </c>
      <c r="G4786" s="8">
        <f t="shared" si="149"/>
        <v>1.8671875000000001E-2</v>
      </c>
    </row>
    <row r="4787" spans="1:7" x14ac:dyDescent="0.25">
      <c r="A4787" s="8">
        <v>63</v>
      </c>
      <c r="B4787" s="8">
        <v>63</v>
      </c>
      <c r="C4787" s="8">
        <v>754.83770800000002</v>
      </c>
      <c r="D4787" s="8">
        <v>148369.09375</v>
      </c>
      <c r="E4787" s="8">
        <v>148392.21875</v>
      </c>
      <c r="F4787" s="8">
        <f t="shared" si="148"/>
        <v>23.125</v>
      </c>
      <c r="G4787" s="8">
        <f t="shared" si="149"/>
        <v>2.3125E-2</v>
      </c>
    </row>
    <row r="4788" spans="1:7" x14ac:dyDescent="0.25">
      <c r="A4788" s="8">
        <v>63</v>
      </c>
      <c r="B4788" s="8">
        <v>64</v>
      </c>
      <c r="C4788" s="8">
        <v>215.35841400000001</v>
      </c>
      <c r="D4788" s="8">
        <v>149150.4375</v>
      </c>
      <c r="E4788" s="8">
        <v>149163.953125</v>
      </c>
      <c r="F4788" s="8">
        <f t="shared" si="148"/>
        <v>13.515625</v>
      </c>
      <c r="G4788" s="8">
        <f t="shared" si="149"/>
        <v>1.3515625E-2</v>
      </c>
    </row>
    <row r="4789" spans="1:7" x14ac:dyDescent="0.25">
      <c r="A4789" s="8">
        <v>63</v>
      </c>
      <c r="B4789" s="8">
        <v>65</v>
      </c>
      <c r="C4789" s="8">
        <v>406.29827899999998</v>
      </c>
      <c r="D4789" s="8">
        <v>149384.796875</v>
      </c>
      <c r="E4789" s="8">
        <v>149395.453125</v>
      </c>
      <c r="F4789" s="8">
        <f t="shared" si="148"/>
        <v>10.65625</v>
      </c>
      <c r="G4789" s="8">
        <f t="shared" si="149"/>
        <v>1.0656250000000001E-2</v>
      </c>
    </row>
    <row r="4790" spans="1:7" x14ac:dyDescent="0.25">
      <c r="A4790" s="8">
        <v>63</v>
      </c>
      <c r="B4790" s="8">
        <v>66</v>
      </c>
      <c r="C4790" s="8">
        <v>3215.3388669999999</v>
      </c>
      <c r="D4790" s="8">
        <v>149811.296875</v>
      </c>
      <c r="E4790" s="8">
        <v>149822.890625</v>
      </c>
      <c r="F4790" s="8">
        <f t="shared" si="148"/>
        <v>11.59375</v>
      </c>
      <c r="G4790" s="8">
        <f t="shared" si="149"/>
        <v>1.159375E-2</v>
      </c>
    </row>
    <row r="4791" spans="1:7" x14ac:dyDescent="0.25">
      <c r="A4791" s="8">
        <v>63</v>
      </c>
      <c r="B4791" s="8">
        <v>67</v>
      </c>
      <c r="C4791" s="8">
        <v>661.86645499999997</v>
      </c>
      <c r="D4791" s="8">
        <v>153047.046875</v>
      </c>
      <c r="E4791" s="8">
        <v>153065.171875</v>
      </c>
      <c r="F4791" s="8">
        <f t="shared" si="148"/>
        <v>18.125</v>
      </c>
      <c r="G4791" s="8">
        <f t="shared" si="149"/>
        <v>1.8124999999999999E-2</v>
      </c>
    </row>
    <row r="4792" spans="1:7" x14ac:dyDescent="0.25">
      <c r="A4792" s="8">
        <v>63</v>
      </c>
      <c r="B4792" s="8">
        <v>68</v>
      </c>
      <c r="C4792" s="8">
        <v>1879.484741</v>
      </c>
      <c r="D4792" s="8">
        <v>153734.609375</v>
      </c>
      <c r="E4792" s="8">
        <v>153754.8125</v>
      </c>
      <c r="F4792" s="8">
        <f t="shared" si="148"/>
        <v>20.203125</v>
      </c>
      <c r="G4792" s="8">
        <f t="shared" si="149"/>
        <v>2.0203124999999999E-2</v>
      </c>
    </row>
    <row r="4793" spans="1:7" x14ac:dyDescent="0.25">
      <c r="A4793" s="8">
        <v>63</v>
      </c>
      <c r="B4793" s="8">
        <v>69</v>
      </c>
      <c r="C4793" s="8">
        <v>1461.484009</v>
      </c>
      <c r="D4793" s="8">
        <v>155641.109375</v>
      </c>
      <c r="E4793" s="8">
        <v>155671.390625</v>
      </c>
      <c r="F4793" s="8">
        <f t="shared" si="148"/>
        <v>30.28125</v>
      </c>
      <c r="G4793" s="8">
        <f t="shared" si="149"/>
        <v>3.0281249999999999E-2</v>
      </c>
    </row>
    <row r="4794" spans="1:7" x14ac:dyDescent="0.25">
      <c r="A4794" s="8">
        <v>63</v>
      </c>
      <c r="B4794" s="8">
        <v>70</v>
      </c>
      <c r="C4794" s="8">
        <v>7425.1308589999999</v>
      </c>
      <c r="D4794" s="8">
        <v>157141.21875</v>
      </c>
      <c r="E4794" s="8">
        <v>157150.171875</v>
      </c>
      <c r="F4794" s="8">
        <f t="shared" si="148"/>
        <v>8.953125</v>
      </c>
      <c r="G4794" s="8">
        <f t="shared" si="149"/>
        <v>8.9531249999999993E-3</v>
      </c>
    </row>
    <row r="4795" spans="1:7" x14ac:dyDescent="0.25">
      <c r="A4795" s="8">
        <v>63</v>
      </c>
      <c r="B4795" s="8">
        <v>71</v>
      </c>
      <c r="C4795" s="8">
        <v>7056.3251950000003</v>
      </c>
      <c r="D4795" s="8">
        <v>164576.34375</v>
      </c>
      <c r="E4795" s="8">
        <v>164596.546875</v>
      </c>
      <c r="F4795" s="8">
        <f t="shared" si="148"/>
        <v>20.203125</v>
      </c>
      <c r="G4795" s="8">
        <f t="shared" si="149"/>
        <v>2.0203124999999999E-2</v>
      </c>
    </row>
    <row r="4796" spans="1:7" x14ac:dyDescent="0.25">
      <c r="A4796" s="8">
        <v>64</v>
      </c>
      <c r="B4796" s="8">
        <v>0</v>
      </c>
      <c r="C4796" s="8">
        <v>1257.415649</v>
      </c>
      <c r="D4796" s="8">
        <v>20562.998047000001</v>
      </c>
      <c r="E4796" s="8">
        <v>20592.396484000001</v>
      </c>
      <c r="F4796" s="8">
        <f t="shared" si="148"/>
        <v>29.398436999999831</v>
      </c>
      <c r="G4796" s="8">
        <f t="shared" si="149"/>
        <v>2.9398436999999829E-2</v>
      </c>
    </row>
    <row r="4797" spans="1:7" x14ac:dyDescent="0.25">
      <c r="A4797" s="8">
        <v>64</v>
      </c>
      <c r="B4797" s="8">
        <v>1</v>
      </c>
      <c r="C4797" s="8">
        <v>2585.7285160000001</v>
      </c>
      <c r="D4797" s="8">
        <v>21860.072265999999</v>
      </c>
      <c r="E4797" s="8">
        <v>21875.431640999999</v>
      </c>
      <c r="F4797" s="8">
        <f t="shared" si="148"/>
        <v>15.359375</v>
      </c>
      <c r="G4797" s="8">
        <f t="shared" si="149"/>
        <v>1.5359375E-2</v>
      </c>
    </row>
    <row r="4798" spans="1:7" x14ac:dyDescent="0.25">
      <c r="A4798" s="8">
        <v>64</v>
      </c>
      <c r="B4798" s="8">
        <v>2</v>
      </c>
      <c r="C4798" s="8">
        <v>35.904941999999998</v>
      </c>
      <c r="D4798" s="8">
        <v>24474.761718999998</v>
      </c>
      <c r="E4798" s="8">
        <v>24495.433593999998</v>
      </c>
      <c r="F4798" s="8">
        <f t="shared" si="148"/>
        <v>20.671875</v>
      </c>
      <c r="G4798" s="8">
        <f t="shared" si="149"/>
        <v>2.0671874999999999E-2</v>
      </c>
    </row>
    <row r="4799" spans="1:7" x14ac:dyDescent="0.25">
      <c r="A4799" s="8">
        <v>64</v>
      </c>
      <c r="B4799" s="8">
        <v>3</v>
      </c>
      <c r="C4799" s="8">
        <v>859.92791699999998</v>
      </c>
      <c r="D4799" s="8">
        <v>24537.382813</v>
      </c>
      <c r="E4799" s="8">
        <v>24557.486327999999</v>
      </c>
      <c r="F4799" s="8">
        <f t="shared" si="148"/>
        <v>20.103514999998879</v>
      </c>
      <c r="G4799" s="8">
        <f t="shared" si="149"/>
        <v>2.0103514999998878E-2</v>
      </c>
    </row>
    <row r="4800" spans="1:7" x14ac:dyDescent="0.25">
      <c r="A4800" s="8">
        <v>64</v>
      </c>
      <c r="B4800" s="8">
        <v>4</v>
      </c>
      <c r="C4800" s="8">
        <v>8421.9365230000003</v>
      </c>
      <c r="D4800" s="8">
        <v>25427.958984000001</v>
      </c>
      <c r="E4800" s="8">
        <v>25444.621093999998</v>
      </c>
      <c r="F4800" s="8">
        <f t="shared" si="148"/>
        <v>16.662109999997483</v>
      </c>
      <c r="G4800" s="8">
        <f t="shared" si="149"/>
        <v>1.6662109999997482E-2</v>
      </c>
    </row>
    <row r="4801" spans="1:7" x14ac:dyDescent="0.25">
      <c r="A4801" s="8">
        <v>64</v>
      </c>
      <c r="B4801" s="8">
        <v>5</v>
      </c>
      <c r="C4801" s="8">
        <v>4978.3154299999997</v>
      </c>
      <c r="D4801" s="8">
        <v>33868.714844000002</v>
      </c>
      <c r="E4801" s="8">
        <v>33888.917969000002</v>
      </c>
      <c r="F4801" s="8">
        <f t="shared" si="148"/>
        <v>20.203125</v>
      </c>
      <c r="G4801" s="8">
        <f t="shared" si="149"/>
        <v>2.0203124999999999E-2</v>
      </c>
    </row>
    <row r="4802" spans="1:7" x14ac:dyDescent="0.25">
      <c r="A4802" s="8">
        <v>64</v>
      </c>
      <c r="B4802" s="8">
        <v>6</v>
      </c>
      <c r="C4802" s="8">
        <v>4857.0234380000002</v>
      </c>
      <c r="D4802" s="8">
        <v>38871.007812999997</v>
      </c>
      <c r="E4802" s="8">
        <v>38886.105469000002</v>
      </c>
      <c r="F4802" s="8">
        <f t="shared" si="148"/>
        <v>15.097656000005372</v>
      </c>
      <c r="G4802" s="8">
        <f t="shared" si="149"/>
        <v>1.5097656000005372E-2</v>
      </c>
    </row>
    <row r="4803" spans="1:7" x14ac:dyDescent="0.25">
      <c r="A4803" s="8">
        <v>64</v>
      </c>
      <c r="B4803" s="8">
        <v>7</v>
      </c>
      <c r="C4803" s="8">
        <v>289.73083500000001</v>
      </c>
      <c r="D4803" s="8">
        <v>43756.15625</v>
      </c>
      <c r="E4803" s="8">
        <v>43768.300780999998</v>
      </c>
      <c r="F4803" s="8">
        <f t="shared" si="148"/>
        <v>12.144530999998096</v>
      </c>
      <c r="G4803" s="8">
        <f t="shared" si="149"/>
        <v>1.2144530999998097E-2</v>
      </c>
    </row>
    <row r="4804" spans="1:7" x14ac:dyDescent="0.25">
      <c r="A4804" s="8">
        <v>64</v>
      </c>
      <c r="B4804" s="8">
        <v>8</v>
      </c>
      <c r="C4804" s="8">
        <v>1870.4449460000001</v>
      </c>
      <c r="D4804" s="8">
        <v>44068.710937999997</v>
      </c>
      <c r="E4804" s="8">
        <v>44085.375</v>
      </c>
      <c r="F4804" s="8">
        <f t="shared" si="148"/>
        <v>16.664062000003469</v>
      </c>
      <c r="G4804" s="8">
        <f t="shared" si="149"/>
        <v>1.666406200000347E-2</v>
      </c>
    </row>
    <row r="4805" spans="1:7" x14ac:dyDescent="0.25">
      <c r="A4805" s="8">
        <v>64</v>
      </c>
      <c r="B4805" s="8">
        <v>9</v>
      </c>
      <c r="C4805" s="8">
        <v>7141.2641599999997</v>
      </c>
      <c r="D4805" s="8">
        <v>45960.671875</v>
      </c>
      <c r="E4805" s="8">
        <v>45977.859375</v>
      </c>
      <c r="F4805" s="8">
        <f t="shared" si="148"/>
        <v>17.1875</v>
      </c>
      <c r="G4805" s="8">
        <f t="shared" si="149"/>
        <v>1.7187500000000001E-2</v>
      </c>
    </row>
    <row r="4806" spans="1:7" x14ac:dyDescent="0.25">
      <c r="A4806" s="8">
        <v>64</v>
      </c>
      <c r="B4806" s="8">
        <v>10</v>
      </c>
      <c r="C4806" s="8">
        <v>1053.6657709999999</v>
      </c>
      <c r="D4806" s="8">
        <v>53123.523437999997</v>
      </c>
      <c r="E4806" s="8">
        <v>53149.910155999998</v>
      </c>
      <c r="F4806" s="8">
        <f t="shared" si="148"/>
        <v>26.386718000001565</v>
      </c>
      <c r="G4806" s="8">
        <f t="shared" si="149"/>
        <v>2.6386718000001565E-2</v>
      </c>
    </row>
    <row r="4807" spans="1:7" x14ac:dyDescent="0.25">
      <c r="A4807" s="8">
        <v>64</v>
      </c>
      <c r="B4807" s="8">
        <v>11</v>
      </c>
      <c r="C4807" s="8">
        <v>929.91272000000004</v>
      </c>
      <c r="D4807" s="8">
        <v>54206.308594000002</v>
      </c>
      <c r="E4807" s="8">
        <v>54222.929687999997</v>
      </c>
      <c r="F4807" s="8">
        <f t="shared" si="148"/>
        <v>16.621093999994628</v>
      </c>
      <c r="G4807" s="8">
        <f t="shared" si="149"/>
        <v>1.6621093999994629E-2</v>
      </c>
    </row>
    <row r="4808" spans="1:7" x14ac:dyDescent="0.25">
      <c r="A4808" s="8">
        <v>64</v>
      </c>
      <c r="B4808" s="8">
        <v>12</v>
      </c>
      <c r="C4808" s="8">
        <v>1623.112061</v>
      </c>
      <c r="D4808" s="8">
        <v>55159.796875</v>
      </c>
      <c r="E4808" s="8">
        <v>55177.933594000002</v>
      </c>
      <c r="F4808" s="8">
        <f t="shared" si="148"/>
        <v>18.136719000001904</v>
      </c>
      <c r="G4808" s="8">
        <f t="shared" si="149"/>
        <v>1.8136719000001904E-2</v>
      </c>
    </row>
    <row r="4809" spans="1:7" x14ac:dyDescent="0.25">
      <c r="A4809" s="8">
        <v>64</v>
      </c>
      <c r="B4809" s="8">
        <v>13</v>
      </c>
      <c r="C4809" s="8">
        <v>1833.314087</v>
      </c>
      <c r="D4809" s="8">
        <v>56816.300780999998</v>
      </c>
      <c r="E4809" s="8">
        <v>56832.558594000002</v>
      </c>
      <c r="F4809" s="8">
        <f t="shared" si="148"/>
        <v>16.257813000003807</v>
      </c>
      <c r="G4809" s="8">
        <f t="shared" si="149"/>
        <v>1.6257813000003809E-2</v>
      </c>
    </row>
    <row r="4810" spans="1:7" x14ac:dyDescent="0.25">
      <c r="A4810" s="8">
        <v>64</v>
      </c>
      <c r="B4810" s="8">
        <v>14</v>
      </c>
      <c r="C4810" s="8">
        <v>2782.0717770000001</v>
      </c>
      <c r="D4810" s="8">
        <v>58669.15625</v>
      </c>
      <c r="E4810" s="8">
        <v>58687.167969000002</v>
      </c>
      <c r="F4810" s="8">
        <f t="shared" si="148"/>
        <v>18.011719000001904</v>
      </c>
      <c r="G4810" s="8">
        <f t="shared" si="149"/>
        <v>1.8011719000001904E-2</v>
      </c>
    </row>
    <row r="4811" spans="1:7" x14ac:dyDescent="0.25">
      <c r="A4811" s="8">
        <v>64</v>
      </c>
      <c r="B4811" s="8">
        <v>15</v>
      </c>
      <c r="C4811" s="8">
        <v>2602.7001949999999</v>
      </c>
      <c r="D4811" s="8">
        <v>61481.953125</v>
      </c>
      <c r="E4811" s="8">
        <v>61496.558594000002</v>
      </c>
      <c r="F4811" s="8">
        <f t="shared" ref="F4811:F4874" si="150">E4811-D4811</f>
        <v>14.605469000001904</v>
      </c>
      <c r="G4811" s="8">
        <f t="shared" ref="G4811:G4874" si="151">F4811/1000</f>
        <v>1.4605469000001904E-2</v>
      </c>
    </row>
    <row r="4812" spans="1:7" x14ac:dyDescent="0.25">
      <c r="A4812" s="8">
        <v>64</v>
      </c>
      <c r="B4812" s="8">
        <v>16</v>
      </c>
      <c r="C4812" s="8">
        <v>356.73620599999998</v>
      </c>
      <c r="D4812" s="8">
        <v>64105.105469000002</v>
      </c>
      <c r="E4812" s="8">
        <v>64207.621094000002</v>
      </c>
      <c r="F4812" s="8">
        <f t="shared" si="150"/>
        <v>102.515625</v>
      </c>
      <c r="G4812" s="8">
        <f t="shared" si="151"/>
        <v>0.102515625</v>
      </c>
    </row>
    <row r="4813" spans="1:7" x14ac:dyDescent="0.25">
      <c r="A4813" s="8">
        <v>64</v>
      </c>
      <c r="B4813" s="8">
        <v>17</v>
      </c>
      <c r="C4813" s="8">
        <v>701.86450200000002</v>
      </c>
      <c r="D4813" s="8">
        <v>64574.722655999998</v>
      </c>
      <c r="E4813" s="8">
        <v>64592.550780999998</v>
      </c>
      <c r="F4813" s="8">
        <f t="shared" si="150"/>
        <v>17.828125</v>
      </c>
      <c r="G4813" s="8">
        <f t="shared" si="151"/>
        <v>1.7828125E-2</v>
      </c>
    </row>
    <row r="4814" spans="1:7" x14ac:dyDescent="0.25">
      <c r="A4814" s="8">
        <v>64</v>
      </c>
      <c r="B4814" s="8">
        <v>18</v>
      </c>
      <c r="C4814" s="8">
        <v>1283.451294</v>
      </c>
      <c r="D4814" s="8">
        <v>65309.132812999997</v>
      </c>
      <c r="E4814" s="8">
        <v>65324.941405999998</v>
      </c>
      <c r="F4814" s="8">
        <f t="shared" si="150"/>
        <v>15.808593000001565</v>
      </c>
      <c r="G4814" s="8">
        <f t="shared" si="151"/>
        <v>1.5808593000001564E-2</v>
      </c>
    </row>
    <row r="4815" spans="1:7" x14ac:dyDescent="0.25">
      <c r="A4815" s="8">
        <v>64</v>
      </c>
      <c r="B4815" s="8">
        <v>19</v>
      </c>
      <c r="C4815" s="8">
        <v>71.706963000000002</v>
      </c>
      <c r="D4815" s="8">
        <v>66621.828125</v>
      </c>
      <c r="E4815" s="8">
        <v>66642.070313000004</v>
      </c>
      <c r="F4815" s="8">
        <f t="shared" si="150"/>
        <v>20.242188000003807</v>
      </c>
      <c r="G4815" s="8">
        <f t="shared" si="151"/>
        <v>2.0242188000003807E-2</v>
      </c>
    </row>
    <row r="4816" spans="1:7" x14ac:dyDescent="0.25">
      <c r="A4816" s="8">
        <v>64</v>
      </c>
      <c r="B4816" s="8">
        <v>20</v>
      </c>
      <c r="C4816" s="8">
        <v>220.19053600000001</v>
      </c>
      <c r="D4816" s="8">
        <v>66715.523438000004</v>
      </c>
      <c r="E4816" s="8">
        <v>66733.40625</v>
      </c>
      <c r="F4816" s="8">
        <f t="shared" si="150"/>
        <v>17.882811999996193</v>
      </c>
      <c r="G4816" s="8">
        <f t="shared" si="151"/>
        <v>1.7882811999996192E-2</v>
      </c>
    </row>
    <row r="4817" spans="1:7" x14ac:dyDescent="0.25">
      <c r="A4817" s="8">
        <v>64</v>
      </c>
      <c r="B4817" s="8">
        <v>21</v>
      </c>
      <c r="C4817" s="8">
        <v>45.997535999999997</v>
      </c>
      <c r="D4817" s="8">
        <v>66966.265625</v>
      </c>
      <c r="E4817" s="8">
        <v>66978.078125</v>
      </c>
      <c r="F4817" s="8">
        <f t="shared" si="150"/>
        <v>11.8125</v>
      </c>
      <c r="G4817" s="8">
        <f t="shared" si="151"/>
        <v>1.18125E-2</v>
      </c>
    </row>
    <row r="4818" spans="1:7" x14ac:dyDescent="0.25">
      <c r="A4818" s="8">
        <v>64</v>
      </c>
      <c r="B4818" s="8">
        <v>22</v>
      </c>
      <c r="C4818" s="8">
        <v>519.84539800000005</v>
      </c>
      <c r="D4818" s="8">
        <v>67028.796875</v>
      </c>
      <c r="E4818" s="8">
        <v>67040.234375</v>
      </c>
      <c r="F4818" s="8">
        <f t="shared" si="150"/>
        <v>11.4375</v>
      </c>
      <c r="G4818" s="8">
        <f t="shared" si="151"/>
        <v>1.14375E-2</v>
      </c>
    </row>
    <row r="4819" spans="1:7" x14ac:dyDescent="0.25">
      <c r="A4819" s="8">
        <v>64</v>
      </c>
      <c r="B4819" s="8">
        <v>23</v>
      </c>
      <c r="C4819" s="8">
        <v>472.21206699999999</v>
      </c>
      <c r="D4819" s="8">
        <v>67560.851563000004</v>
      </c>
      <c r="E4819" s="8">
        <v>67578.59375</v>
      </c>
      <c r="F4819" s="8">
        <f t="shared" si="150"/>
        <v>17.742186999996193</v>
      </c>
      <c r="G4819" s="8">
        <f t="shared" si="151"/>
        <v>1.7742186999996194E-2</v>
      </c>
    </row>
    <row r="4820" spans="1:7" x14ac:dyDescent="0.25">
      <c r="A4820" s="8">
        <v>64</v>
      </c>
      <c r="B4820" s="8">
        <v>24</v>
      </c>
      <c r="C4820" s="8">
        <v>1435.0417480000001</v>
      </c>
      <c r="D4820" s="8">
        <v>68060.921875</v>
      </c>
      <c r="E4820" s="8">
        <v>68090.125</v>
      </c>
      <c r="F4820" s="8">
        <f t="shared" si="150"/>
        <v>29.203125</v>
      </c>
      <c r="G4820" s="8">
        <f t="shared" si="151"/>
        <v>2.9203125E-2</v>
      </c>
    </row>
    <row r="4821" spans="1:7" x14ac:dyDescent="0.25">
      <c r="A4821" s="8">
        <v>64</v>
      </c>
      <c r="B4821" s="8">
        <v>25</v>
      </c>
      <c r="C4821" s="8">
        <v>530.00292999999999</v>
      </c>
      <c r="D4821" s="8">
        <v>69530.164063000004</v>
      </c>
      <c r="E4821" s="8">
        <v>69550.007813000004</v>
      </c>
      <c r="F4821" s="8">
        <f t="shared" si="150"/>
        <v>19.84375</v>
      </c>
      <c r="G4821" s="8">
        <f t="shared" si="151"/>
        <v>1.984375E-2</v>
      </c>
    </row>
    <row r="4822" spans="1:7" x14ac:dyDescent="0.25">
      <c r="A4822" s="8">
        <v>64</v>
      </c>
      <c r="B4822" s="8">
        <v>26</v>
      </c>
      <c r="C4822" s="8">
        <v>1838.8170170000001</v>
      </c>
      <c r="D4822" s="8">
        <v>70092.789063000004</v>
      </c>
      <c r="E4822" s="8">
        <v>70101.109375</v>
      </c>
      <c r="F4822" s="8">
        <f t="shared" si="150"/>
        <v>8.3203119999961928</v>
      </c>
      <c r="G4822" s="8">
        <f t="shared" si="151"/>
        <v>8.3203119999961921E-3</v>
      </c>
    </row>
    <row r="4823" spans="1:7" x14ac:dyDescent="0.25">
      <c r="A4823" s="8">
        <v>64</v>
      </c>
      <c r="B4823" s="8">
        <v>27</v>
      </c>
      <c r="C4823" s="8">
        <v>391.47100799999998</v>
      </c>
      <c r="D4823" s="8">
        <v>71948.242188000004</v>
      </c>
      <c r="E4823" s="8">
        <v>71968.460938000004</v>
      </c>
      <c r="F4823" s="8">
        <f t="shared" si="150"/>
        <v>20.21875</v>
      </c>
      <c r="G4823" s="8">
        <f t="shared" si="151"/>
        <v>2.0218750000000001E-2</v>
      </c>
    </row>
    <row r="4824" spans="1:7" x14ac:dyDescent="0.25">
      <c r="A4824" s="8">
        <v>64</v>
      </c>
      <c r="B4824" s="8">
        <v>28</v>
      </c>
      <c r="C4824" s="8">
        <v>168.39857499999999</v>
      </c>
      <c r="D4824" s="8">
        <v>72373.054688000004</v>
      </c>
      <c r="E4824" s="8">
        <v>72389.640625</v>
      </c>
      <c r="F4824" s="8">
        <f t="shared" si="150"/>
        <v>16.585936999996193</v>
      </c>
      <c r="G4824" s="8">
        <f t="shared" si="151"/>
        <v>1.6585936999996193E-2</v>
      </c>
    </row>
    <row r="4825" spans="1:7" x14ac:dyDescent="0.25">
      <c r="A4825" s="8">
        <v>64</v>
      </c>
      <c r="B4825" s="8">
        <v>29</v>
      </c>
      <c r="C4825" s="8">
        <v>5602.5742190000001</v>
      </c>
      <c r="D4825" s="8">
        <v>72560.484375</v>
      </c>
      <c r="E4825" s="8">
        <v>72581.039063000004</v>
      </c>
      <c r="F4825" s="8">
        <f t="shared" si="150"/>
        <v>20.554688000003807</v>
      </c>
      <c r="G4825" s="8">
        <f t="shared" si="151"/>
        <v>2.0554688000003807E-2</v>
      </c>
    </row>
    <row r="4826" spans="1:7" x14ac:dyDescent="0.25">
      <c r="A4826" s="8">
        <v>64</v>
      </c>
      <c r="B4826" s="8">
        <v>30</v>
      </c>
      <c r="C4826" s="8">
        <v>2899.7827149999998</v>
      </c>
      <c r="D4826" s="8">
        <v>78197.851563000004</v>
      </c>
      <c r="E4826" s="8">
        <v>78207.773438000004</v>
      </c>
      <c r="F4826" s="8">
        <f t="shared" si="150"/>
        <v>9.921875</v>
      </c>
      <c r="G4826" s="8">
        <f t="shared" si="151"/>
        <v>9.9218750000000001E-3</v>
      </c>
    </row>
    <row r="4827" spans="1:7" x14ac:dyDescent="0.25">
      <c r="A4827" s="8">
        <v>64</v>
      </c>
      <c r="B4827" s="8">
        <v>31</v>
      </c>
      <c r="C4827" s="8">
        <v>629.99926800000003</v>
      </c>
      <c r="D4827" s="8">
        <v>81114.507813000004</v>
      </c>
      <c r="E4827" s="8">
        <v>81131.039063000004</v>
      </c>
      <c r="F4827" s="8">
        <f t="shared" si="150"/>
        <v>16.53125</v>
      </c>
      <c r="G4827" s="8">
        <f t="shared" si="151"/>
        <v>1.6531250000000001E-2</v>
      </c>
    </row>
    <row r="4828" spans="1:7" x14ac:dyDescent="0.25">
      <c r="A4828" s="8">
        <v>64</v>
      </c>
      <c r="B4828" s="8">
        <v>32</v>
      </c>
      <c r="C4828" s="8">
        <v>2709.564453</v>
      </c>
      <c r="D4828" s="8">
        <v>81775.648438000004</v>
      </c>
      <c r="E4828" s="8">
        <v>81790.898438000004</v>
      </c>
      <c r="F4828" s="8">
        <f t="shared" si="150"/>
        <v>15.25</v>
      </c>
      <c r="G4828" s="8">
        <f t="shared" si="151"/>
        <v>1.525E-2</v>
      </c>
    </row>
    <row r="4829" spans="1:7" x14ac:dyDescent="0.25">
      <c r="A4829" s="8">
        <v>64</v>
      </c>
      <c r="B4829" s="8">
        <v>33</v>
      </c>
      <c r="C4829" s="8">
        <v>123.48983800000001</v>
      </c>
      <c r="D4829" s="8">
        <v>84500.96875</v>
      </c>
      <c r="E4829" s="8">
        <v>84512.242188000004</v>
      </c>
      <c r="F4829" s="8">
        <f t="shared" si="150"/>
        <v>11.273438000003807</v>
      </c>
      <c r="G4829" s="8">
        <f t="shared" si="151"/>
        <v>1.1273438000003808E-2</v>
      </c>
    </row>
    <row r="4830" spans="1:7" x14ac:dyDescent="0.25">
      <c r="A4830" s="8">
        <v>64</v>
      </c>
      <c r="B4830" s="8">
        <v>34</v>
      </c>
      <c r="C4830" s="8">
        <v>803.771118</v>
      </c>
      <c r="D4830" s="8">
        <v>84641.445313000004</v>
      </c>
      <c r="E4830" s="8">
        <v>84658.929688000004</v>
      </c>
      <c r="F4830" s="8">
        <f t="shared" si="150"/>
        <v>17.484375</v>
      </c>
      <c r="G4830" s="8">
        <f t="shared" si="151"/>
        <v>1.7484375E-2</v>
      </c>
    </row>
    <row r="4831" spans="1:7" x14ac:dyDescent="0.25">
      <c r="A4831" s="8">
        <v>64</v>
      </c>
      <c r="B4831" s="8">
        <v>35</v>
      </c>
      <c r="C4831" s="8">
        <v>146.47477699999999</v>
      </c>
      <c r="D4831" s="8">
        <v>85471.3125</v>
      </c>
      <c r="E4831" s="8">
        <v>85489.46875</v>
      </c>
      <c r="F4831" s="8">
        <f t="shared" si="150"/>
        <v>18.15625</v>
      </c>
      <c r="G4831" s="8">
        <f t="shared" si="151"/>
        <v>1.8156249999999999E-2</v>
      </c>
    </row>
    <row r="4832" spans="1:7" x14ac:dyDescent="0.25">
      <c r="A4832" s="8">
        <v>64</v>
      </c>
      <c r="B4832" s="8">
        <v>36</v>
      </c>
      <c r="C4832" s="8">
        <v>23.761921000000001</v>
      </c>
      <c r="D4832" s="8">
        <v>85643.171875</v>
      </c>
      <c r="E4832" s="8">
        <v>85660.007813000004</v>
      </c>
      <c r="F4832" s="8">
        <f t="shared" si="150"/>
        <v>16.835938000003807</v>
      </c>
      <c r="G4832" s="8">
        <f t="shared" si="151"/>
        <v>1.6835938000003808E-2</v>
      </c>
    </row>
    <row r="4833" spans="1:7" x14ac:dyDescent="0.25">
      <c r="A4833" s="8">
        <v>64</v>
      </c>
      <c r="B4833" s="8">
        <v>37</v>
      </c>
      <c r="C4833" s="8">
        <v>2779.6203609999998</v>
      </c>
      <c r="D4833" s="8">
        <v>85690.15625</v>
      </c>
      <c r="E4833" s="8">
        <v>85697.945313000004</v>
      </c>
      <c r="F4833" s="8">
        <f t="shared" si="150"/>
        <v>7.7890630000038072</v>
      </c>
      <c r="G4833" s="8">
        <f t="shared" si="151"/>
        <v>7.7890630000038074E-3</v>
      </c>
    </row>
    <row r="4834" spans="1:7" x14ac:dyDescent="0.25">
      <c r="A4834" s="8">
        <v>64</v>
      </c>
      <c r="B4834" s="8">
        <v>38</v>
      </c>
      <c r="C4834" s="8">
        <v>485.47271699999999</v>
      </c>
      <c r="D4834" s="8">
        <v>88490.445313000004</v>
      </c>
      <c r="E4834" s="8">
        <v>88498.421875</v>
      </c>
      <c r="F4834" s="8">
        <f t="shared" si="150"/>
        <v>7.9765619999961928</v>
      </c>
      <c r="G4834" s="8">
        <f t="shared" si="151"/>
        <v>7.9765619999961936E-3</v>
      </c>
    </row>
    <row r="4835" spans="1:7" x14ac:dyDescent="0.25">
      <c r="A4835" s="8">
        <v>64</v>
      </c>
      <c r="B4835" s="8">
        <v>39</v>
      </c>
      <c r="C4835" s="8">
        <v>365.94976800000001</v>
      </c>
      <c r="D4835" s="8">
        <v>88990.609375</v>
      </c>
      <c r="E4835" s="8">
        <v>89000.085938000004</v>
      </c>
      <c r="F4835" s="8">
        <f t="shared" si="150"/>
        <v>9.4765630000038072</v>
      </c>
      <c r="G4835" s="8">
        <f t="shared" si="151"/>
        <v>9.4765630000038081E-3</v>
      </c>
    </row>
    <row r="4836" spans="1:7" x14ac:dyDescent="0.25">
      <c r="A4836" s="8">
        <v>64</v>
      </c>
      <c r="B4836" s="8">
        <v>40</v>
      </c>
      <c r="C4836" s="8">
        <v>1841.267578</v>
      </c>
      <c r="D4836" s="8">
        <v>89365.53125</v>
      </c>
      <c r="E4836" s="8">
        <v>89379.148438000004</v>
      </c>
      <c r="F4836" s="8">
        <f t="shared" si="150"/>
        <v>13.617188000003807</v>
      </c>
      <c r="G4836" s="8">
        <f t="shared" si="151"/>
        <v>1.3617188000003807E-2</v>
      </c>
    </row>
    <row r="4837" spans="1:7" x14ac:dyDescent="0.25">
      <c r="A4837" s="8">
        <v>64</v>
      </c>
      <c r="B4837" s="8">
        <v>41</v>
      </c>
      <c r="C4837" s="8">
        <v>5978.5053710000002</v>
      </c>
      <c r="D4837" s="8">
        <v>91229.929688000004</v>
      </c>
      <c r="E4837" s="8">
        <v>91253.226563000004</v>
      </c>
      <c r="F4837" s="8">
        <f t="shared" si="150"/>
        <v>23.296875</v>
      </c>
      <c r="G4837" s="8">
        <f t="shared" si="151"/>
        <v>2.3296875000000002E-2</v>
      </c>
    </row>
    <row r="4838" spans="1:7" x14ac:dyDescent="0.25">
      <c r="A4838" s="8">
        <v>64</v>
      </c>
      <c r="B4838" s="8">
        <v>42</v>
      </c>
      <c r="C4838" s="8">
        <v>4442.6967770000001</v>
      </c>
      <c r="D4838" s="8">
        <v>97231.546875</v>
      </c>
      <c r="E4838" s="8">
        <v>97246.570313000004</v>
      </c>
      <c r="F4838" s="8">
        <f t="shared" si="150"/>
        <v>15.023438000003807</v>
      </c>
      <c r="G4838" s="8">
        <f t="shared" si="151"/>
        <v>1.5023438000003808E-2</v>
      </c>
    </row>
    <row r="4839" spans="1:7" x14ac:dyDescent="0.25">
      <c r="A4839" s="8">
        <v>64</v>
      </c>
      <c r="B4839" s="8">
        <v>43</v>
      </c>
      <c r="C4839" s="8">
        <v>3112.0363769999999</v>
      </c>
      <c r="D4839" s="8">
        <v>101698.078125</v>
      </c>
      <c r="E4839" s="8">
        <v>101715.617188</v>
      </c>
      <c r="F4839" s="8">
        <f t="shared" si="150"/>
        <v>17.539063000003807</v>
      </c>
      <c r="G4839" s="8">
        <f t="shared" si="151"/>
        <v>1.7539063000003807E-2</v>
      </c>
    </row>
    <row r="4840" spans="1:7" x14ac:dyDescent="0.25">
      <c r="A4840" s="8">
        <v>64</v>
      </c>
      <c r="B4840" s="8">
        <v>44</v>
      </c>
      <c r="C4840" s="8">
        <v>977.30468800000006</v>
      </c>
      <c r="D4840" s="8">
        <v>104831.554688</v>
      </c>
      <c r="E4840" s="8">
        <v>104842.671875</v>
      </c>
      <c r="F4840" s="8">
        <f t="shared" si="150"/>
        <v>11.117186999996193</v>
      </c>
      <c r="G4840" s="8">
        <f t="shared" si="151"/>
        <v>1.1117186999996193E-2</v>
      </c>
    </row>
    <row r="4841" spans="1:7" x14ac:dyDescent="0.25">
      <c r="A4841" s="8">
        <v>64</v>
      </c>
      <c r="B4841" s="8">
        <v>45</v>
      </c>
      <c r="C4841" s="8">
        <v>3735.7155760000001</v>
      </c>
      <c r="D4841" s="8">
        <v>105828.398438</v>
      </c>
      <c r="E4841" s="8">
        <v>105845.164063</v>
      </c>
      <c r="F4841" s="8">
        <f t="shared" si="150"/>
        <v>16.765625</v>
      </c>
      <c r="G4841" s="8">
        <f t="shared" si="151"/>
        <v>1.6765624999999999E-2</v>
      </c>
    </row>
    <row r="4842" spans="1:7" x14ac:dyDescent="0.25">
      <c r="A4842" s="8">
        <v>64</v>
      </c>
      <c r="B4842" s="8">
        <v>46</v>
      </c>
      <c r="C4842" s="8">
        <v>3782.494385</v>
      </c>
      <c r="D4842" s="8">
        <v>109595.757813</v>
      </c>
      <c r="E4842" s="8">
        <v>109612.171875</v>
      </c>
      <c r="F4842" s="8">
        <f t="shared" si="150"/>
        <v>16.414061999996193</v>
      </c>
      <c r="G4842" s="8">
        <f t="shared" si="151"/>
        <v>1.6414061999996194E-2</v>
      </c>
    </row>
    <row r="4843" spans="1:7" x14ac:dyDescent="0.25">
      <c r="A4843" s="8">
        <v>64</v>
      </c>
      <c r="B4843" s="8">
        <v>47</v>
      </c>
      <c r="C4843" s="8">
        <v>3132.3911130000001</v>
      </c>
      <c r="D4843" s="8">
        <v>113409.328125</v>
      </c>
      <c r="E4843" s="8">
        <v>113458.554688</v>
      </c>
      <c r="F4843" s="8">
        <f t="shared" si="150"/>
        <v>49.226563000003807</v>
      </c>
      <c r="G4843" s="8">
        <f t="shared" si="151"/>
        <v>4.922656300000381E-2</v>
      </c>
    </row>
    <row r="4844" spans="1:7" x14ac:dyDescent="0.25">
      <c r="A4844" s="8">
        <v>64</v>
      </c>
      <c r="B4844" s="8">
        <v>48</v>
      </c>
      <c r="C4844" s="8">
        <v>783.07855199999995</v>
      </c>
      <c r="D4844" s="8">
        <v>116598.851563</v>
      </c>
      <c r="E4844" s="8">
        <v>116608.515625</v>
      </c>
      <c r="F4844" s="8">
        <f t="shared" si="150"/>
        <v>9.6640619999961928</v>
      </c>
      <c r="G4844" s="8">
        <f t="shared" si="151"/>
        <v>9.6640619999961933E-3</v>
      </c>
    </row>
    <row r="4845" spans="1:7" x14ac:dyDescent="0.25">
      <c r="A4845" s="8">
        <v>64</v>
      </c>
      <c r="B4845" s="8">
        <v>49</v>
      </c>
      <c r="C4845" s="8">
        <v>1373.3354489999999</v>
      </c>
      <c r="D4845" s="8">
        <v>117394.953125</v>
      </c>
      <c r="E4845" s="8">
        <v>117404.289063</v>
      </c>
      <c r="F4845" s="8">
        <f t="shared" si="150"/>
        <v>9.3359380000038072</v>
      </c>
      <c r="G4845" s="8">
        <f t="shared" si="151"/>
        <v>9.3359380000038079E-3</v>
      </c>
    </row>
    <row r="4846" spans="1:7" x14ac:dyDescent="0.25">
      <c r="A4846" s="8">
        <v>64</v>
      </c>
      <c r="B4846" s="8">
        <v>50</v>
      </c>
      <c r="C4846" s="8">
        <v>1936.045288</v>
      </c>
      <c r="D4846" s="8">
        <v>118791.335938</v>
      </c>
      <c r="E4846" s="8">
        <v>118804.820313</v>
      </c>
      <c r="F4846" s="8">
        <f t="shared" si="150"/>
        <v>13.484375</v>
      </c>
      <c r="G4846" s="8">
        <f t="shared" si="151"/>
        <v>1.3484375E-2</v>
      </c>
    </row>
    <row r="4847" spans="1:7" x14ac:dyDescent="0.25">
      <c r="A4847" s="8">
        <v>64</v>
      </c>
      <c r="B4847" s="8">
        <v>51</v>
      </c>
      <c r="C4847" s="8">
        <v>6356.5351559999999</v>
      </c>
      <c r="D4847" s="8">
        <v>120749.757813</v>
      </c>
      <c r="E4847" s="8">
        <v>120771.328125</v>
      </c>
      <c r="F4847" s="8">
        <f t="shared" si="150"/>
        <v>21.570311999996193</v>
      </c>
      <c r="G4847" s="8">
        <f t="shared" si="151"/>
        <v>2.1570311999996192E-2</v>
      </c>
    </row>
    <row r="4848" spans="1:7" x14ac:dyDescent="0.25">
      <c r="A4848" s="8">
        <v>64</v>
      </c>
      <c r="B4848" s="8">
        <v>52</v>
      </c>
      <c r="C4848" s="8">
        <v>1084.8145750000001</v>
      </c>
      <c r="D4848" s="8">
        <v>127127.984375</v>
      </c>
      <c r="E4848" s="8">
        <v>127146.304688</v>
      </c>
      <c r="F4848" s="8">
        <f t="shared" si="150"/>
        <v>18.320313000003807</v>
      </c>
      <c r="G4848" s="8">
        <f t="shared" si="151"/>
        <v>1.8320313000003807E-2</v>
      </c>
    </row>
    <row r="4849" spans="1:7" x14ac:dyDescent="0.25">
      <c r="A4849" s="8">
        <v>64</v>
      </c>
      <c r="B4849" s="8">
        <v>53</v>
      </c>
      <c r="C4849" s="8">
        <v>750.03619400000002</v>
      </c>
      <c r="D4849" s="8">
        <v>128238.796875</v>
      </c>
      <c r="E4849" s="8">
        <v>128257.695313</v>
      </c>
      <c r="F4849" s="8">
        <f t="shared" si="150"/>
        <v>18.898438000003807</v>
      </c>
      <c r="G4849" s="8">
        <f t="shared" si="151"/>
        <v>1.8898438000003806E-2</v>
      </c>
    </row>
    <row r="4850" spans="1:7" x14ac:dyDescent="0.25">
      <c r="A4850" s="8">
        <v>64</v>
      </c>
      <c r="B4850" s="8">
        <v>54</v>
      </c>
      <c r="C4850" s="8">
        <v>462.03549199999998</v>
      </c>
      <c r="D4850" s="8">
        <v>129020.140625</v>
      </c>
      <c r="E4850" s="8">
        <v>129035.734375</v>
      </c>
      <c r="F4850" s="8">
        <f t="shared" si="150"/>
        <v>15.59375</v>
      </c>
      <c r="G4850" s="8">
        <f t="shared" si="151"/>
        <v>1.559375E-2</v>
      </c>
    </row>
    <row r="4851" spans="1:7" x14ac:dyDescent="0.25">
      <c r="A4851" s="8">
        <v>64</v>
      </c>
      <c r="B4851" s="8">
        <v>55</v>
      </c>
      <c r="C4851" s="8">
        <v>201.134094</v>
      </c>
      <c r="D4851" s="8">
        <v>129504.546875</v>
      </c>
      <c r="E4851" s="8">
        <v>129612.59375</v>
      </c>
      <c r="F4851" s="8">
        <f t="shared" si="150"/>
        <v>108.046875</v>
      </c>
      <c r="G4851" s="8">
        <f t="shared" si="151"/>
        <v>0.108046875</v>
      </c>
    </row>
    <row r="4852" spans="1:7" x14ac:dyDescent="0.25">
      <c r="A4852" s="8">
        <v>64</v>
      </c>
      <c r="B4852" s="8">
        <v>56</v>
      </c>
      <c r="C4852" s="8">
        <v>786.33154300000001</v>
      </c>
      <c r="D4852" s="8">
        <v>129817.125</v>
      </c>
      <c r="E4852" s="8">
        <v>129835.476563</v>
      </c>
      <c r="F4852" s="8">
        <f t="shared" si="150"/>
        <v>18.351563000003807</v>
      </c>
      <c r="G4852" s="8">
        <f t="shared" si="151"/>
        <v>1.8351563000003807E-2</v>
      </c>
    </row>
    <row r="4853" spans="1:7" x14ac:dyDescent="0.25">
      <c r="A4853" s="8">
        <v>64</v>
      </c>
      <c r="B4853" s="8">
        <v>57</v>
      </c>
      <c r="C4853" s="8">
        <v>1937.331177</v>
      </c>
      <c r="D4853" s="8">
        <v>130629.710938</v>
      </c>
      <c r="E4853" s="8">
        <v>130650.734375</v>
      </c>
      <c r="F4853" s="8">
        <f t="shared" si="150"/>
        <v>21.023436999996193</v>
      </c>
      <c r="G4853" s="8">
        <f t="shared" si="151"/>
        <v>2.1023436999996193E-2</v>
      </c>
    </row>
    <row r="4854" spans="1:7" x14ac:dyDescent="0.25">
      <c r="A4854" s="8">
        <v>64</v>
      </c>
      <c r="B4854" s="8">
        <v>58</v>
      </c>
      <c r="C4854" s="8">
        <v>589.021973</v>
      </c>
      <c r="D4854" s="8">
        <v>132592.671875</v>
      </c>
      <c r="E4854" s="8">
        <v>132610.5</v>
      </c>
      <c r="F4854" s="8">
        <f t="shared" si="150"/>
        <v>17.828125</v>
      </c>
      <c r="G4854" s="8">
        <f t="shared" si="151"/>
        <v>1.7828125E-2</v>
      </c>
    </row>
    <row r="4855" spans="1:7" x14ac:dyDescent="0.25">
      <c r="A4855" s="8">
        <v>64</v>
      </c>
      <c r="B4855" s="8">
        <v>59</v>
      </c>
      <c r="C4855" s="8">
        <v>4162.7319340000004</v>
      </c>
      <c r="D4855" s="8">
        <v>133206.703125</v>
      </c>
      <c r="E4855" s="8">
        <v>133228.15625</v>
      </c>
      <c r="F4855" s="8">
        <f t="shared" si="150"/>
        <v>21.453125</v>
      </c>
      <c r="G4855" s="8">
        <f t="shared" si="151"/>
        <v>2.1453125E-2</v>
      </c>
    </row>
    <row r="4856" spans="1:7" x14ac:dyDescent="0.25">
      <c r="A4856" s="8">
        <v>64</v>
      </c>
      <c r="B4856" s="8">
        <v>60</v>
      </c>
      <c r="C4856" s="8">
        <v>2297.7338869999999</v>
      </c>
      <c r="D4856" s="8">
        <v>137390.515625</v>
      </c>
      <c r="E4856" s="8">
        <v>137402.125</v>
      </c>
      <c r="F4856" s="8">
        <f t="shared" si="150"/>
        <v>11.609375</v>
      </c>
      <c r="G4856" s="8">
        <f t="shared" si="151"/>
        <v>1.1609375E-2</v>
      </c>
    </row>
    <row r="4857" spans="1:7" x14ac:dyDescent="0.25">
      <c r="A4857" s="8">
        <v>64</v>
      </c>
      <c r="B4857" s="8">
        <v>61</v>
      </c>
      <c r="C4857" s="8">
        <v>67.725227000000004</v>
      </c>
      <c r="D4857" s="8">
        <v>139709.640625</v>
      </c>
      <c r="E4857" s="8">
        <v>139730.65625</v>
      </c>
      <c r="F4857" s="8">
        <f t="shared" si="150"/>
        <v>21.015625</v>
      </c>
      <c r="G4857" s="8">
        <f t="shared" si="151"/>
        <v>2.1015625E-2</v>
      </c>
    </row>
    <row r="4858" spans="1:7" x14ac:dyDescent="0.25">
      <c r="A4858" s="8">
        <v>64</v>
      </c>
      <c r="B4858" s="8">
        <v>62</v>
      </c>
      <c r="C4858" s="8">
        <v>3521.9145509999998</v>
      </c>
      <c r="D4858" s="8">
        <v>139803.390625</v>
      </c>
      <c r="E4858" s="8">
        <v>139823.5</v>
      </c>
      <c r="F4858" s="8">
        <f t="shared" si="150"/>
        <v>20.109375</v>
      </c>
      <c r="G4858" s="8">
        <f t="shared" si="151"/>
        <v>2.0109374999999999E-2</v>
      </c>
    </row>
    <row r="4859" spans="1:7" x14ac:dyDescent="0.25">
      <c r="A4859" s="8">
        <v>64</v>
      </c>
      <c r="B4859" s="8">
        <v>63</v>
      </c>
      <c r="C4859" s="8">
        <v>4751.185547</v>
      </c>
      <c r="D4859" s="8">
        <v>143358.984375</v>
      </c>
      <c r="E4859" s="8">
        <v>143378.609375</v>
      </c>
      <c r="F4859" s="8">
        <f t="shared" si="150"/>
        <v>19.625</v>
      </c>
      <c r="G4859" s="8">
        <f t="shared" si="151"/>
        <v>1.9625E-2</v>
      </c>
    </row>
    <row r="4860" spans="1:7" x14ac:dyDescent="0.25">
      <c r="A4860" s="8">
        <v>64</v>
      </c>
      <c r="B4860" s="8">
        <v>64</v>
      </c>
      <c r="C4860" s="8">
        <v>3018.220703</v>
      </c>
      <c r="D4860" s="8">
        <v>148133.875</v>
      </c>
      <c r="E4860" s="8">
        <v>148147.40625</v>
      </c>
      <c r="F4860" s="8">
        <f t="shared" si="150"/>
        <v>13.53125</v>
      </c>
      <c r="G4860" s="8">
        <f t="shared" si="151"/>
        <v>1.353125E-2</v>
      </c>
    </row>
    <row r="4861" spans="1:7" x14ac:dyDescent="0.25">
      <c r="A4861" s="8">
        <v>64</v>
      </c>
      <c r="B4861" s="8">
        <v>65</v>
      </c>
      <c r="C4861" s="8">
        <v>3688.4614259999998</v>
      </c>
      <c r="D4861" s="8">
        <v>151170.84375</v>
      </c>
      <c r="E4861" s="8">
        <v>151179.5</v>
      </c>
      <c r="F4861" s="8">
        <f t="shared" si="150"/>
        <v>8.65625</v>
      </c>
      <c r="G4861" s="8">
        <f t="shared" si="151"/>
        <v>8.6562500000000007E-3</v>
      </c>
    </row>
    <row r="4862" spans="1:7" x14ac:dyDescent="0.25">
      <c r="A4862" s="8">
        <v>64</v>
      </c>
      <c r="B4862" s="8">
        <v>66</v>
      </c>
      <c r="C4862" s="8">
        <v>219.64550800000001</v>
      </c>
      <c r="D4862" s="8">
        <v>154875.359375</v>
      </c>
      <c r="E4862" s="8">
        <v>154896.234375</v>
      </c>
      <c r="F4862" s="8">
        <f t="shared" si="150"/>
        <v>20.875</v>
      </c>
      <c r="G4862" s="8">
        <f t="shared" si="151"/>
        <v>2.0875000000000001E-2</v>
      </c>
    </row>
    <row r="4863" spans="1:7" x14ac:dyDescent="0.25">
      <c r="A4863" s="8">
        <v>64</v>
      </c>
      <c r="B4863" s="8">
        <v>67</v>
      </c>
      <c r="C4863" s="8">
        <v>7.3991619999999996</v>
      </c>
      <c r="D4863" s="8">
        <v>155125.421875</v>
      </c>
      <c r="E4863" s="8">
        <v>155145.4375</v>
      </c>
      <c r="F4863" s="8">
        <f t="shared" si="150"/>
        <v>20.015625</v>
      </c>
      <c r="G4863" s="8">
        <f t="shared" si="151"/>
        <v>2.0015624999999999E-2</v>
      </c>
    </row>
    <row r="4864" spans="1:7" x14ac:dyDescent="0.25">
      <c r="A4864" s="8">
        <v>64</v>
      </c>
      <c r="B4864" s="8">
        <v>68</v>
      </c>
      <c r="C4864" s="8">
        <v>1974.1694339999999</v>
      </c>
      <c r="D4864" s="8">
        <v>155156.625</v>
      </c>
      <c r="E4864" s="8">
        <v>155173.515625</v>
      </c>
      <c r="F4864" s="8">
        <f t="shared" si="150"/>
        <v>16.890625</v>
      </c>
      <c r="G4864" s="8">
        <f t="shared" si="151"/>
        <v>1.6890624999999999E-2</v>
      </c>
    </row>
    <row r="4865" spans="1:7" x14ac:dyDescent="0.25">
      <c r="A4865" s="8">
        <v>64</v>
      </c>
      <c r="B4865" s="8">
        <v>69</v>
      </c>
      <c r="C4865" s="8">
        <v>311.72238199999998</v>
      </c>
      <c r="D4865" s="8">
        <v>157156.828125</v>
      </c>
      <c r="E4865" s="8">
        <v>157177.3125</v>
      </c>
      <c r="F4865" s="8">
        <f t="shared" si="150"/>
        <v>20.484375</v>
      </c>
      <c r="G4865" s="8">
        <f t="shared" si="151"/>
        <v>2.0484374999999999E-2</v>
      </c>
    </row>
    <row r="4866" spans="1:7" x14ac:dyDescent="0.25">
      <c r="A4866" s="8">
        <v>64</v>
      </c>
      <c r="B4866" s="8">
        <v>70</v>
      </c>
      <c r="C4866" s="8">
        <v>3959.608643</v>
      </c>
      <c r="D4866" s="8">
        <v>157500.65625</v>
      </c>
      <c r="E4866" s="8">
        <v>157597.234375</v>
      </c>
      <c r="F4866" s="8">
        <f t="shared" si="150"/>
        <v>96.578125</v>
      </c>
      <c r="G4866" s="8">
        <f t="shared" si="151"/>
        <v>9.6578125000000001E-2</v>
      </c>
    </row>
    <row r="4867" spans="1:7" x14ac:dyDescent="0.25">
      <c r="A4867" s="8">
        <v>64</v>
      </c>
      <c r="B4867" s="8">
        <v>71</v>
      </c>
      <c r="C4867" s="8">
        <v>226.87956199999999</v>
      </c>
      <c r="D4867" s="8">
        <v>161564.53125</v>
      </c>
      <c r="E4867" s="8">
        <v>161591.828125</v>
      </c>
      <c r="F4867" s="8">
        <f t="shared" si="150"/>
        <v>27.296875</v>
      </c>
      <c r="G4867" s="8">
        <f t="shared" si="151"/>
        <v>2.7296875000000002E-2</v>
      </c>
    </row>
    <row r="4868" spans="1:7" x14ac:dyDescent="0.25">
      <c r="A4868" s="8">
        <v>64</v>
      </c>
      <c r="B4868" s="8">
        <v>72</v>
      </c>
      <c r="C4868" s="8">
        <v>137.03990200000001</v>
      </c>
      <c r="D4868" s="8">
        <v>161830.203125</v>
      </c>
      <c r="E4868" s="8">
        <v>161849.90625</v>
      </c>
      <c r="F4868" s="8">
        <f t="shared" si="150"/>
        <v>19.703125</v>
      </c>
      <c r="G4868" s="8">
        <f t="shared" si="151"/>
        <v>1.9703124999999998E-2</v>
      </c>
    </row>
    <row r="4869" spans="1:7" x14ac:dyDescent="0.25">
      <c r="A4869" s="8">
        <v>64</v>
      </c>
      <c r="B4869" s="8">
        <v>73</v>
      </c>
      <c r="C4869" s="8">
        <v>5514.1083980000003</v>
      </c>
      <c r="D4869" s="8">
        <v>162002.109375</v>
      </c>
      <c r="E4869" s="8">
        <v>162017.734375</v>
      </c>
      <c r="F4869" s="8">
        <f t="shared" si="150"/>
        <v>15.625</v>
      </c>
      <c r="G4869" s="8">
        <f t="shared" si="151"/>
        <v>1.5625E-2</v>
      </c>
    </row>
    <row r="4870" spans="1:7" x14ac:dyDescent="0.25">
      <c r="A4870" s="8">
        <v>64</v>
      </c>
      <c r="B4870" s="8">
        <v>74</v>
      </c>
      <c r="C4870" s="8">
        <v>181.18795800000001</v>
      </c>
      <c r="D4870" s="8">
        <v>167541.078125</v>
      </c>
      <c r="E4870" s="8">
        <v>167562.578125</v>
      </c>
      <c r="F4870" s="8">
        <f t="shared" si="150"/>
        <v>21.5</v>
      </c>
      <c r="G4870" s="8">
        <f t="shared" si="151"/>
        <v>2.1499999999999998E-2</v>
      </c>
    </row>
    <row r="4871" spans="1:7" x14ac:dyDescent="0.25">
      <c r="A4871" s="8">
        <v>64</v>
      </c>
      <c r="B4871" s="8">
        <v>75</v>
      </c>
      <c r="C4871" s="8">
        <v>3745.2226559999999</v>
      </c>
      <c r="D4871" s="8">
        <v>167744.21875</v>
      </c>
      <c r="E4871" s="8">
        <v>167765.40625</v>
      </c>
      <c r="F4871" s="8">
        <f t="shared" si="150"/>
        <v>21.1875</v>
      </c>
      <c r="G4871" s="8">
        <f t="shared" si="151"/>
        <v>2.1187500000000001E-2</v>
      </c>
    </row>
    <row r="4872" spans="1:7" x14ac:dyDescent="0.25">
      <c r="A4872" s="8">
        <v>65</v>
      </c>
      <c r="B4872" s="8">
        <v>0</v>
      </c>
      <c r="C4872" s="8">
        <v>552.48461899999995</v>
      </c>
      <c r="D4872" s="8">
        <v>26352.439452999999</v>
      </c>
      <c r="E4872" s="8">
        <v>26376.859375</v>
      </c>
      <c r="F4872" s="8">
        <f t="shared" si="150"/>
        <v>24.419922000000952</v>
      </c>
      <c r="G4872" s="8">
        <f t="shared" si="151"/>
        <v>2.4419922000000951E-2</v>
      </c>
    </row>
    <row r="4873" spans="1:7" x14ac:dyDescent="0.25">
      <c r="A4873" s="8">
        <v>65</v>
      </c>
      <c r="B4873" s="8">
        <v>1</v>
      </c>
      <c r="C4873" s="8">
        <v>1044.6926269999999</v>
      </c>
      <c r="D4873" s="8">
        <v>26930.701172000001</v>
      </c>
      <c r="E4873" s="8">
        <v>26960.533202999999</v>
      </c>
      <c r="F4873" s="8">
        <f t="shared" si="150"/>
        <v>29.832030999998096</v>
      </c>
      <c r="G4873" s="8">
        <f t="shared" si="151"/>
        <v>2.9832030999998097E-2</v>
      </c>
    </row>
    <row r="4874" spans="1:7" x14ac:dyDescent="0.25">
      <c r="A4874" s="8">
        <v>65</v>
      </c>
      <c r="B4874" s="8">
        <v>2</v>
      </c>
      <c r="C4874" s="8">
        <v>1223.595337</v>
      </c>
      <c r="D4874" s="8">
        <v>28009.728515999999</v>
      </c>
      <c r="E4874" s="8">
        <v>28029.300781000002</v>
      </c>
      <c r="F4874" s="8">
        <f t="shared" si="150"/>
        <v>19.572265000002517</v>
      </c>
      <c r="G4874" s="8">
        <f t="shared" si="151"/>
        <v>1.9572265000002517E-2</v>
      </c>
    </row>
    <row r="4875" spans="1:7" x14ac:dyDescent="0.25">
      <c r="A4875" s="8">
        <v>65</v>
      </c>
      <c r="B4875" s="8">
        <v>3</v>
      </c>
      <c r="C4875" s="8">
        <v>163.226181</v>
      </c>
      <c r="D4875" s="8">
        <v>29262.113281000002</v>
      </c>
      <c r="E4875" s="8">
        <v>29277.742188</v>
      </c>
      <c r="F4875" s="8">
        <f t="shared" ref="F4875:F4938" si="152">E4875-D4875</f>
        <v>15.628906999998435</v>
      </c>
      <c r="G4875" s="8">
        <f t="shared" ref="G4875:G4938" si="153">F4875/1000</f>
        <v>1.5628906999998436E-2</v>
      </c>
    </row>
    <row r="4876" spans="1:7" x14ac:dyDescent="0.25">
      <c r="A4876" s="8">
        <v>65</v>
      </c>
      <c r="B4876" s="8">
        <v>4</v>
      </c>
      <c r="C4876" s="8">
        <v>333.09304800000001</v>
      </c>
      <c r="D4876" s="8">
        <v>29449.722656000002</v>
      </c>
      <c r="E4876" s="8">
        <v>29469.96875</v>
      </c>
      <c r="F4876" s="8">
        <f t="shared" si="152"/>
        <v>20.246093999998266</v>
      </c>
      <c r="G4876" s="8">
        <f t="shared" si="153"/>
        <v>2.0246093999998264E-2</v>
      </c>
    </row>
    <row r="4877" spans="1:7" x14ac:dyDescent="0.25">
      <c r="A4877" s="8">
        <v>65</v>
      </c>
      <c r="B4877" s="8">
        <v>5</v>
      </c>
      <c r="C4877" s="8">
        <v>3757.9689939999998</v>
      </c>
      <c r="D4877" s="8">
        <v>29808.998047000001</v>
      </c>
      <c r="E4877" s="8">
        <v>29827.615234000001</v>
      </c>
      <c r="F4877" s="8">
        <f t="shared" si="152"/>
        <v>18.617186999999831</v>
      </c>
      <c r="G4877" s="8">
        <f t="shared" si="153"/>
        <v>1.861718699999983E-2</v>
      </c>
    </row>
    <row r="4878" spans="1:7" x14ac:dyDescent="0.25">
      <c r="A4878" s="8">
        <v>65</v>
      </c>
      <c r="B4878" s="8">
        <v>6</v>
      </c>
      <c r="C4878" s="8">
        <v>759.56152299999997</v>
      </c>
      <c r="D4878" s="8">
        <v>33587.492187999997</v>
      </c>
      <c r="E4878" s="8">
        <v>33598.128905999998</v>
      </c>
      <c r="F4878" s="8">
        <f t="shared" si="152"/>
        <v>10.636718000001565</v>
      </c>
      <c r="G4878" s="8">
        <f t="shared" si="153"/>
        <v>1.0636718000001565E-2</v>
      </c>
    </row>
    <row r="4879" spans="1:7" x14ac:dyDescent="0.25">
      <c r="A4879" s="8">
        <v>65</v>
      </c>
      <c r="B4879" s="8">
        <v>7</v>
      </c>
      <c r="C4879" s="8">
        <v>3639.2834469999998</v>
      </c>
      <c r="D4879" s="8">
        <v>34358.105469000002</v>
      </c>
      <c r="E4879" s="8">
        <v>34371.421875</v>
      </c>
      <c r="F4879" s="8">
        <f t="shared" si="152"/>
        <v>13.316405999998096</v>
      </c>
      <c r="G4879" s="8">
        <f t="shared" si="153"/>
        <v>1.3316405999998096E-2</v>
      </c>
    </row>
    <row r="4880" spans="1:7" x14ac:dyDescent="0.25">
      <c r="A4880" s="8">
        <v>65</v>
      </c>
      <c r="B4880" s="8">
        <v>8</v>
      </c>
      <c r="C4880" s="8">
        <v>580.11029099999996</v>
      </c>
      <c r="D4880" s="8">
        <v>38011.261719000002</v>
      </c>
      <c r="E4880" s="8">
        <v>38024.449219000002</v>
      </c>
      <c r="F4880" s="8">
        <f t="shared" si="152"/>
        <v>13.1875</v>
      </c>
      <c r="G4880" s="8">
        <f t="shared" si="153"/>
        <v>1.31875E-2</v>
      </c>
    </row>
    <row r="4881" spans="1:7" x14ac:dyDescent="0.25">
      <c r="A4881" s="8">
        <v>65</v>
      </c>
      <c r="B4881" s="8">
        <v>9</v>
      </c>
      <c r="C4881" s="8">
        <v>653.47119099999998</v>
      </c>
      <c r="D4881" s="8">
        <v>38605.039062999997</v>
      </c>
      <c r="E4881" s="8">
        <v>38618.617187999997</v>
      </c>
      <c r="F4881" s="8">
        <f t="shared" si="152"/>
        <v>13.578125</v>
      </c>
      <c r="G4881" s="8">
        <f t="shared" si="153"/>
        <v>1.3578125E-2</v>
      </c>
    </row>
    <row r="4882" spans="1:7" x14ac:dyDescent="0.25">
      <c r="A4882" s="8">
        <v>65</v>
      </c>
      <c r="B4882" s="8">
        <v>10</v>
      </c>
      <c r="C4882" s="8">
        <v>628.32733199999996</v>
      </c>
      <c r="D4882" s="8">
        <v>39277.222655999998</v>
      </c>
      <c r="E4882" s="8">
        <v>39284.332030999998</v>
      </c>
      <c r="F4882" s="8">
        <f t="shared" si="152"/>
        <v>7.109375</v>
      </c>
      <c r="G4882" s="8">
        <f t="shared" si="153"/>
        <v>7.1093750000000002E-3</v>
      </c>
    </row>
    <row r="4883" spans="1:7" x14ac:dyDescent="0.25">
      <c r="A4883" s="8">
        <v>65</v>
      </c>
      <c r="B4883" s="8">
        <v>11</v>
      </c>
      <c r="C4883" s="8">
        <v>5964.0039059999999</v>
      </c>
      <c r="D4883" s="8">
        <v>39917.964844000002</v>
      </c>
      <c r="E4883" s="8">
        <v>39942.820312999997</v>
      </c>
      <c r="F4883" s="8">
        <f t="shared" si="152"/>
        <v>24.855468999994628</v>
      </c>
      <c r="G4883" s="8">
        <f t="shared" si="153"/>
        <v>2.4855468999994627E-2</v>
      </c>
    </row>
    <row r="4884" spans="1:7" x14ac:dyDescent="0.25">
      <c r="A4884" s="8">
        <v>65</v>
      </c>
      <c r="B4884" s="8">
        <v>12</v>
      </c>
      <c r="C4884" s="8">
        <v>3798.7414549999999</v>
      </c>
      <c r="D4884" s="8">
        <v>45913.246094000002</v>
      </c>
      <c r="E4884" s="8">
        <v>45930.21875</v>
      </c>
      <c r="F4884" s="8">
        <f t="shared" si="152"/>
        <v>16.972655999998096</v>
      </c>
      <c r="G4884" s="8">
        <f t="shared" si="153"/>
        <v>1.6972655999998098E-2</v>
      </c>
    </row>
    <row r="4885" spans="1:7" x14ac:dyDescent="0.25">
      <c r="A4885" s="8">
        <v>65</v>
      </c>
      <c r="B4885" s="8">
        <v>13</v>
      </c>
      <c r="C4885" s="8">
        <v>292.62560999999999</v>
      </c>
      <c r="D4885" s="8">
        <v>49733.121094000002</v>
      </c>
      <c r="E4885" s="8">
        <v>49758.585937999997</v>
      </c>
      <c r="F4885" s="8">
        <f t="shared" si="152"/>
        <v>25.464843999994628</v>
      </c>
      <c r="G4885" s="8">
        <f t="shared" si="153"/>
        <v>2.5464843999994626E-2</v>
      </c>
    </row>
    <row r="4886" spans="1:7" x14ac:dyDescent="0.25">
      <c r="A4886" s="8">
        <v>65</v>
      </c>
      <c r="B4886" s="8">
        <v>14</v>
      </c>
      <c r="C4886" s="8">
        <v>972.03826900000001</v>
      </c>
      <c r="D4886" s="8">
        <v>50065.308594000002</v>
      </c>
      <c r="E4886" s="8">
        <v>50075.953125</v>
      </c>
      <c r="F4886" s="8">
        <f t="shared" si="152"/>
        <v>10.644530999998096</v>
      </c>
      <c r="G4886" s="8">
        <f t="shared" si="153"/>
        <v>1.0644530999998096E-2</v>
      </c>
    </row>
    <row r="4887" spans="1:7" x14ac:dyDescent="0.25">
      <c r="A4887" s="8">
        <v>65</v>
      </c>
      <c r="B4887" s="8">
        <v>15</v>
      </c>
      <c r="C4887" s="8">
        <v>1839.888672</v>
      </c>
      <c r="D4887" s="8">
        <v>51049.800780999998</v>
      </c>
      <c r="E4887" s="8">
        <v>51069.726562999997</v>
      </c>
      <c r="F4887" s="8">
        <f t="shared" si="152"/>
        <v>19.925781999998435</v>
      </c>
      <c r="G4887" s="8">
        <f t="shared" si="153"/>
        <v>1.9925781999998435E-2</v>
      </c>
    </row>
    <row r="4888" spans="1:7" x14ac:dyDescent="0.25">
      <c r="A4888" s="8">
        <v>65</v>
      </c>
      <c r="B4888" s="8">
        <v>16</v>
      </c>
      <c r="C4888" s="8">
        <v>2530.2456050000001</v>
      </c>
      <c r="D4888" s="8">
        <v>52920.269530999998</v>
      </c>
      <c r="E4888" s="8">
        <v>52931.355469000002</v>
      </c>
      <c r="F4888" s="8">
        <f t="shared" si="152"/>
        <v>11.085938000003807</v>
      </c>
      <c r="G4888" s="8">
        <f t="shared" si="153"/>
        <v>1.1085938000003808E-2</v>
      </c>
    </row>
    <row r="4889" spans="1:7" x14ac:dyDescent="0.25">
      <c r="A4889" s="8">
        <v>65</v>
      </c>
      <c r="B4889" s="8">
        <v>17</v>
      </c>
      <c r="C4889" s="8">
        <v>1866.8713379999999</v>
      </c>
      <c r="D4889" s="8">
        <v>55472.324219000002</v>
      </c>
      <c r="E4889" s="8">
        <v>55482.539062999997</v>
      </c>
      <c r="F4889" s="8">
        <f t="shared" si="152"/>
        <v>10.214843999994628</v>
      </c>
      <c r="G4889" s="8">
        <f t="shared" si="153"/>
        <v>1.0214843999994628E-2</v>
      </c>
    </row>
    <row r="4890" spans="1:7" x14ac:dyDescent="0.25">
      <c r="A4890" s="8">
        <v>65</v>
      </c>
      <c r="B4890" s="8">
        <v>18</v>
      </c>
      <c r="C4890" s="8">
        <v>252.75299100000001</v>
      </c>
      <c r="D4890" s="8">
        <v>57363.851562999997</v>
      </c>
      <c r="E4890" s="8">
        <v>57378.148437999997</v>
      </c>
      <c r="F4890" s="8">
        <f t="shared" si="152"/>
        <v>14.296875</v>
      </c>
      <c r="G4890" s="8">
        <f t="shared" si="153"/>
        <v>1.4296875000000001E-2</v>
      </c>
    </row>
    <row r="4891" spans="1:7" x14ac:dyDescent="0.25">
      <c r="A4891" s="8">
        <v>65</v>
      </c>
      <c r="B4891" s="8">
        <v>19</v>
      </c>
      <c r="C4891" s="8">
        <v>4035.2763669999999</v>
      </c>
      <c r="D4891" s="8">
        <v>57632.804687999997</v>
      </c>
      <c r="E4891" s="8">
        <v>57647.574219000002</v>
      </c>
      <c r="F4891" s="8">
        <f t="shared" si="152"/>
        <v>14.769531000005372</v>
      </c>
      <c r="G4891" s="8">
        <f t="shared" si="153"/>
        <v>1.4769531000005373E-2</v>
      </c>
    </row>
    <row r="4892" spans="1:7" x14ac:dyDescent="0.25">
      <c r="A4892" s="8">
        <v>65</v>
      </c>
      <c r="B4892" s="8">
        <v>20</v>
      </c>
      <c r="C4892" s="8">
        <v>3297.1096189999998</v>
      </c>
      <c r="D4892" s="8">
        <v>61685.136719000002</v>
      </c>
      <c r="E4892" s="8">
        <v>61700.890625</v>
      </c>
      <c r="F4892" s="8">
        <f t="shared" si="152"/>
        <v>15.753905999998096</v>
      </c>
      <c r="G4892" s="8">
        <f t="shared" si="153"/>
        <v>1.5753905999998097E-2</v>
      </c>
    </row>
    <row r="4893" spans="1:7" x14ac:dyDescent="0.25">
      <c r="A4893" s="8">
        <v>65</v>
      </c>
      <c r="B4893" s="8">
        <v>21</v>
      </c>
      <c r="C4893" s="8">
        <v>3389.66626</v>
      </c>
      <c r="D4893" s="8">
        <v>65012.242187999997</v>
      </c>
      <c r="E4893" s="8">
        <v>65029.066405999998</v>
      </c>
      <c r="F4893" s="8">
        <f t="shared" si="152"/>
        <v>16.824218000001565</v>
      </c>
      <c r="G4893" s="8">
        <f t="shared" si="153"/>
        <v>1.6824218000001567E-2</v>
      </c>
    </row>
    <row r="4894" spans="1:7" x14ac:dyDescent="0.25">
      <c r="A4894" s="8">
        <v>65</v>
      </c>
      <c r="B4894" s="8">
        <v>22</v>
      </c>
      <c r="C4894" s="8">
        <v>2025.094971</v>
      </c>
      <c r="D4894" s="8">
        <v>68420.359375</v>
      </c>
      <c r="E4894" s="8">
        <v>68437.140625</v>
      </c>
      <c r="F4894" s="8">
        <f t="shared" si="152"/>
        <v>16.78125</v>
      </c>
      <c r="G4894" s="8">
        <f t="shared" si="153"/>
        <v>1.6781250000000001E-2</v>
      </c>
    </row>
    <row r="4895" spans="1:7" x14ac:dyDescent="0.25">
      <c r="A4895" s="8">
        <v>65</v>
      </c>
      <c r="B4895" s="8">
        <v>23</v>
      </c>
      <c r="C4895" s="8">
        <v>258.37085000000002</v>
      </c>
      <c r="D4895" s="8">
        <v>70476.273438000004</v>
      </c>
      <c r="E4895" s="8">
        <v>70493.140625</v>
      </c>
      <c r="F4895" s="8">
        <f t="shared" si="152"/>
        <v>16.867186999996193</v>
      </c>
      <c r="G4895" s="8">
        <f t="shared" si="153"/>
        <v>1.6867186999996193E-2</v>
      </c>
    </row>
    <row r="4896" spans="1:7" x14ac:dyDescent="0.25">
      <c r="A4896" s="8">
        <v>65</v>
      </c>
      <c r="B4896" s="8">
        <v>24</v>
      </c>
      <c r="C4896" s="8">
        <v>4183.3862300000001</v>
      </c>
      <c r="D4896" s="8">
        <v>70757.601563000004</v>
      </c>
      <c r="E4896" s="8">
        <v>70765.859375</v>
      </c>
      <c r="F4896" s="8">
        <f t="shared" si="152"/>
        <v>8.2578119999961928</v>
      </c>
      <c r="G4896" s="8">
        <f t="shared" si="153"/>
        <v>8.2578119999961921E-3</v>
      </c>
    </row>
    <row r="4897" spans="1:7" x14ac:dyDescent="0.25">
      <c r="A4897" s="8">
        <v>65</v>
      </c>
      <c r="B4897" s="8">
        <v>25</v>
      </c>
      <c r="C4897" s="8">
        <v>855.05487100000005</v>
      </c>
      <c r="D4897" s="8">
        <v>74961.421875</v>
      </c>
      <c r="E4897" s="8">
        <v>74975.890625</v>
      </c>
      <c r="F4897" s="8">
        <f t="shared" si="152"/>
        <v>14.46875</v>
      </c>
      <c r="G4897" s="8">
        <f t="shared" si="153"/>
        <v>1.4468750000000001E-2</v>
      </c>
    </row>
    <row r="4898" spans="1:7" x14ac:dyDescent="0.25">
      <c r="A4898" s="8">
        <v>65</v>
      </c>
      <c r="B4898" s="8">
        <v>26</v>
      </c>
      <c r="C4898" s="8">
        <v>279.59716800000001</v>
      </c>
      <c r="D4898" s="8">
        <v>75835.070313000004</v>
      </c>
      <c r="E4898" s="8">
        <v>75867.09375</v>
      </c>
      <c r="F4898" s="8">
        <f t="shared" si="152"/>
        <v>32.023436999996193</v>
      </c>
      <c r="G4898" s="8">
        <f t="shared" si="153"/>
        <v>3.2023436999996192E-2</v>
      </c>
    </row>
    <row r="4899" spans="1:7" x14ac:dyDescent="0.25">
      <c r="A4899" s="8">
        <v>65</v>
      </c>
      <c r="B4899" s="8">
        <v>27</v>
      </c>
      <c r="C4899" s="8">
        <v>1256.614746</v>
      </c>
      <c r="D4899" s="8">
        <v>76147.609375</v>
      </c>
      <c r="E4899" s="8">
        <v>76167.398438000004</v>
      </c>
      <c r="F4899" s="8">
        <f t="shared" si="152"/>
        <v>19.789063000003807</v>
      </c>
      <c r="G4899" s="8">
        <f t="shared" si="153"/>
        <v>1.9789063000003809E-2</v>
      </c>
    </row>
    <row r="4900" spans="1:7" x14ac:dyDescent="0.25">
      <c r="A4900" s="8">
        <v>65</v>
      </c>
      <c r="B4900" s="8">
        <v>28</v>
      </c>
      <c r="C4900" s="8">
        <v>178.049744</v>
      </c>
      <c r="D4900" s="8">
        <v>77428.960938000004</v>
      </c>
      <c r="E4900" s="8">
        <v>77451.40625</v>
      </c>
      <c r="F4900" s="8">
        <f t="shared" si="152"/>
        <v>22.445311999996193</v>
      </c>
      <c r="G4900" s="8">
        <f t="shared" si="153"/>
        <v>2.2445311999996193E-2</v>
      </c>
    </row>
    <row r="4901" spans="1:7" x14ac:dyDescent="0.25">
      <c r="A4901" s="8">
        <v>65</v>
      </c>
      <c r="B4901" s="8">
        <v>29</v>
      </c>
      <c r="C4901" s="8">
        <v>3366.2045899999998</v>
      </c>
      <c r="D4901" s="8">
        <v>77632.804688000004</v>
      </c>
      <c r="E4901" s="8">
        <v>77646.0625</v>
      </c>
      <c r="F4901" s="8">
        <f t="shared" si="152"/>
        <v>13.257811999996193</v>
      </c>
      <c r="G4901" s="8">
        <f t="shared" si="153"/>
        <v>1.3257811999996193E-2</v>
      </c>
    </row>
    <row r="4902" spans="1:7" x14ac:dyDescent="0.25">
      <c r="A4902" s="8">
        <v>65</v>
      </c>
      <c r="B4902" s="8">
        <v>30</v>
      </c>
      <c r="C4902" s="8">
        <v>7462.9868159999996</v>
      </c>
      <c r="D4902" s="8">
        <v>81020.789063000004</v>
      </c>
      <c r="E4902" s="8">
        <v>81036.328125</v>
      </c>
      <c r="F4902" s="8">
        <f t="shared" si="152"/>
        <v>15.539061999996193</v>
      </c>
      <c r="G4902" s="8">
        <f t="shared" si="153"/>
        <v>1.5539061999996193E-2</v>
      </c>
    </row>
    <row r="4903" spans="1:7" x14ac:dyDescent="0.25">
      <c r="A4903" s="8">
        <v>65</v>
      </c>
      <c r="B4903" s="8">
        <v>31</v>
      </c>
      <c r="C4903" s="8">
        <v>1999.2211910000001</v>
      </c>
      <c r="D4903" s="8">
        <v>88506.101563000004</v>
      </c>
      <c r="E4903" s="8">
        <v>88519.265625</v>
      </c>
      <c r="F4903" s="8">
        <f t="shared" si="152"/>
        <v>13.164061999996193</v>
      </c>
      <c r="G4903" s="8">
        <f t="shared" si="153"/>
        <v>1.3164061999996193E-2</v>
      </c>
    </row>
    <row r="4904" spans="1:7" x14ac:dyDescent="0.25">
      <c r="A4904" s="8">
        <v>65</v>
      </c>
      <c r="B4904" s="8">
        <v>32</v>
      </c>
      <c r="C4904" s="8">
        <v>386.65164199999998</v>
      </c>
      <c r="D4904" s="8">
        <v>90526.695313000004</v>
      </c>
      <c r="E4904" s="8">
        <v>90546.03125</v>
      </c>
      <c r="F4904" s="8">
        <f t="shared" si="152"/>
        <v>19.335936999996193</v>
      </c>
      <c r="G4904" s="8">
        <f t="shared" si="153"/>
        <v>1.9335936999996192E-2</v>
      </c>
    </row>
    <row r="4905" spans="1:7" x14ac:dyDescent="0.25">
      <c r="A4905" s="8">
        <v>65</v>
      </c>
      <c r="B4905" s="8">
        <v>33</v>
      </c>
      <c r="C4905" s="8">
        <v>2417.3469239999999</v>
      </c>
      <c r="D4905" s="8">
        <v>90932.945313000004</v>
      </c>
      <c r="E4905" s="8">
        <v>90946.867188000004</v>
      </c>
      <c r="F4905" s="8">
        <f t="shared" si="152"/>
        <v>13.921875</v>
      </c>
      <c r="G4905" s="8">
        <f t="shared" si="153"/>
        <v>1.3921875E-2</v>
      </c>
    </row>
    <row r="4906" spans="1:7" x14ac:dyDescent="0.25">
      <c r="A4906" s="8">
        <v>65</v>
      </c>
      <c r="B4906" s="8">
        <v>34</v>
      </c>
      <c r="C4906" s="8">
        <v>161.96829199999999</v>
      </c>
      <c r="D4906" s="8">
        <v>93372.882813000004</v>
      </c>
      <c r="E4906" s="8">
        <v>93378.914063000004</v>
      </c>
      <c r="F4906" s="8">
        <f t="shared" si="152"/>
        <v>6.03125</v>
      </c>
      <c r="G4906" s="8">
        <f t="shared" si="153"/>
        <v>6.0312500000000002E-3</v>
      </c>
    </row>
    <row r="4907" spans="1:7" x14ac:dyDescent="0.25">
      <c r="A4907" s="8">
        <v>65</v>
      </c>
      <c r="B4907" s="8">
        <v>35</v>
      </c>
      <c r="C4907" s="8">
        <v>759.11547900000005</v>
      </c>
      <c r="D4907" s="8">
        <v>93544.945313000004</v>
      </c>
      <c r="E4907" s="8">
        <v>93565.148438000004</v>
      </c>
      <c r="F4907" s="8">
        <f t="shared" si="152"/>
        <v>20.203125</v>
      </c>
      <c r="G4907" s="8">
        <f t="shared" si="153"/>
        <v>2.0203124999999999E-2</v>
      </c>
    </row>
    <row r="4908" spans="1:7" x14ac:dyDescent="0.25">
      <c r="A4908" s="8">
        <v>65</v>
      </c>
      <c r="B4908" s="8">
        <v>36</v>
      </c>
      <c r="C4908" s="8">
        <v>767.51910399999997</v>
      </c>
      <c r="D4908" s="8">
        <v>94326.335938000004</v>
      </c>
      <c r="E4908" s="8">
        <v>94343.632813000004</v>
      </c>
      <c r="F4908" s="8">
        <f t="shared" si="152"/>
        <v>17.296875</v>
      </c>
      <c r="G4908" s="8">
        <f t="shared" si="153"/>
        <v>1.7296875E-2</v>
      </c>
    </row>
    <row r="4909" spans="1:7" x14ac:dyDescent="0.25">
      <c r="A4909" s="8">
        <v>65</v>
      </c>
      <c r="B4909" s="8">
        <v>37</v>
      </c>
      <c r="C4909" s="8">
        <v>453.13497899999999</v>
      </c>
      <c r="D4909" s="8">
        <v>95118.3125</v>
      </c>
      <c r="E4909" s="8">
        <v>95135.109375</v>
      </c>
      <c r="F4909" s="8">
        <f t="shared" si="152"/>
        <v>16.796875</v>
      </c>
      <c r="G4909" s="8">
        <f t="shared" si="153"/>
        <v>1.6796874999999999E-2</v>
      </c>
    </row>
    <row r="4910" spans="1:7" x14ac:dyDescent="0.25">
      <c r="A4910" s="8">
        <v>65</v>
      </c>
      <c r="B4910" s="8">
        <v>38</v>
      </c>
      <c r="C4910" s="8">
        <v>554.65808100000004</v>
      </c>
      <c r="D4910" s="8">
        <v>95600.265625</v>
      </c>
      <c r="E4910" s="8">
        <v>95619.757813000004</v>
      </c>
      <c r="F4910" s="8">
        <f t="shared" si="152"/>
        <v>19.492188000003807</v>
      </c>
      <c r="G4910" s="8">
        <f t="shared" si="153"/>
        <v>1.9492188000003807E-2</v>
      </c>
    </row>
    <row r="4911" spans="1:7" x14ac:dyDescent="0.25">
      <c r="A4911" s="8">
        <v>65</v>
      </c>
      <c r="B4911" s="8">
        <v>39</v>
      </c>
      <c r="C4911" s="8">
        <v>1160.5656739999999</v>
      </c>
      <c r="D4911" s="8">
        <v>96178.351563000004</v>
      </c>
      <c r="E4911" s="8">
        <v>96189.289063000004</v>
      </c>
      <c r="F4911" s="8">
        <f t="shared" si="152"/>
        <v>10.9375</v>
      </c>
      <c r="G4911" s="8">
        <f t="shared" si="153"/>
        <v>1.0937499999999999E-2</v>
      </c>
    </row>
    <row r="4912" spans="1:7" x14ac:dyDescent="0.25">
      <c r="A4912" s="8">
        <v>65</v>
      </c>
      <c r="B4912" s="8">
        <v>40</v>
      </c>
      <c r="C4912" s="8">
        <v>505.88382000000001</v>
      </c>
      <c r="D4912" s="8">
        <v>97356.726563000004</v>
      </c>
      <c r="E4912" s="8">
        <v>97382.375</v>
      </c>
      <c r="F4912" s="8">
        <f t="shared" si="152"/>
        <v>25.648436999996193</v>
      </c>
      <c r="G4912" s="8">
        <f t="shared" si="153"/>
        <v>2.5648436999996194E-2</v>
      </c>
    </row>
    <row r="4913" spans="1:7" x14ac:dyDescent="0.25">
      <c r="A4913" s="8">
        <v>65</v>
      </c>
      <c r="B4913" s="8">
        <v>41</v>
      </c>
      <c r="C4913" s="8">
        <v>606.55181900000002</v>
      </c>
      <c r="D4913" s="8">
        <v>97894.515625</v>
      </c>
      <c r="E4913" s="8">
        <v>97908.265625</v>
      </c>
      <c r="F4913" s="8">
        <f t="shared" si="152"/>
        <v>13.75</v>
      </c>
      <c r="G4913" s="8">
        <f t="shared" si="153"/>
        <v>1.375E-2</v>
      </c>
    </row>
    <row r="4914" spans="1:7" x14ac:dyDescent="0.25">
      <c r="A4914" s="8">
        <v>65</v>
      </c>
      <c r="B4914" s="8">
        <v>42</v>
      </c>
      <c r="C4914" s="8">
        <v>5152.6723629999997</v>
      </c>
      <c r="D4914" s="8">
        <v>98519.429688000004</v>
      </c>
      <c r="E4914" s="8">
        <v>98544.054688000004</v>
      </c>
      <c r="F4914" s="8">
        <f t="shared" si="152"/>
        <v>24.625</v>
      </c>
      <c r="G4914" s="8">
        <f t="shared" si="153"/>
        <v>2.4625000000000001E-2</v>
      </c>
    </row>
    <row r="4915" spans="1:7" x14ac:dyDescent="0.25">
      <c r="A4915" s="8">
        <v>65</v>
      </c>
      <c r="B4915" s="8">
        <v>43</v>
      </c>
      <c r="C4915" s="8">
        <v>676.70794699999999</v>
      </c>
      <c r="D4915" s="8">
        <v>103700.492188</v>
      </c>
      <c r="E4915" s="8">
        <v>103725.835938</v>
      </c>
      <c r="F4915" s="8">
        <f t="shared" si="152"/>
        <v>25.34375</v>
      </c>
      <c r="G4915" s="8">
        <f t="shared" si="153"/>
        <v>2.5343750000000002E-2</v>
      </c>
    </row>
    <row r="4916" spans="1:7" x14ac:dyDescent="0.25">
      <c r="A4916" s="8">
        <v>65</v>
      </c>
      <c r="B4916" s="8">
        <v>44</v>
      </c>
      <c r="C4916" s="8">
        <v>1866.716064</v>
      </c>
      <c r="D4916" s="8">
        <v>104409.53125</v>
      </c>
      <c r="E4916" s="8">
        <v>104429.242188</v>
      </c>
      <c r="F4916" s="8">
        <f t="shared" si="152"/>
        <v>19.710938000003807</v>
      </c>
      <c r="G4916" s="8">
        <f t="shared" si="153"/>
        <v>1.9710938000003807E-2</v>
      </c>
    </row>
    <row r="4917" spans="1:7" x14ac:dyDescent="0.25">
      <c r="A4917" s="8">
        <v>65</v>
      </c>
      <c r="B4917" s="8">
        <v>45</v>
      </c>
      <c r="C4917" s="8">
        <v>1561.1441649999999</v>
      </c>
      <c r="D4917" s="8">
        <v>106297.195313</v>
      </c>
      <c r="E4917" s="8">
        <v>106317.023438</v>
      </c>
      <c r="F4917" s="8">
        <f t="shared" si="152"/>
        <v>19.828125</v>
      </c>
      <c r="G4917" s="8">
        <f t="shared" si="153"/>
        <v>1.9828124999999999E-2</v>
      </c>
    </row>
    <row r="4918" spans="1:7" x14ac:dyDescent="0.25">
      <c r="A4918" s="8">
        <v>65</v>
      </c>
      <c r="B4918" s="8">
        <v>46</v>
      </c>
      <c r="C4918" s="8">
        <v>419.80529799999999</v>
      </c>
      <c r="D4918" s="8">
        <v>107891.726563</v>
      </c>
      <c r="E4918" s="8">
        <v>107912.140625</v>
      </c>
      <c r="F4918" s="8">
        <f t="shared" si="152"/>
        <v>20.414061999996193</v>
      </c>
      <c r="G4918" s="8">
        <f t="shared" si="153"/>
        <v>2.0414061999996194E-2</v>
      </c>
    </row>
    <row r="4919" spans="1:7" x14ac:dyDescent="0.25">
      <c r="A4919" s="8">
        <v>65</v>
      </c>
      <c r="B4919" s="8">
        <v>47</v>
      </c>
      <c r="C4919" s="8">
        <v>8131.3505859999996</v>
      </c>
      <c r="D4919" s="8">
        <v>108344.890625</v>
      </c>
      <c r="E4919" s="8">
        <v>108399.171875</v>
      </c>
      <c r="F4919" s="8">
        <f t="shared" si="152"/>
        <v>54.28125</v>
      </c>
      <c r="G4919" s="8">
        <f t="shared" si="153"/>
        <v>5.4281250000000003E-2</v>
      </c>
    </row>
    <row r="4920" spans="1:7" x14ac:dyDescent="0.25">
      <c r="A4920" s="8">
        <v>65</v>
      </c>
      <c r="B4920" s="8">
        <v>48</v>
      </c>
      <c r="C4920" s="8">
        <v>1892.3354489999999</v>
      </c>
      <c r="D4920" s="8">
        <v>116536.359375</v>
      </c>
      <c r="E4920" s="8">
        <v>116559.085938</v>
      </c>
      <c r="F4920" s="8">
        <f t="shared" si="152"/>
        <v>22.726563000003807</v>
      </c>
      <c r="G4920" s="8">
        <f t="shared" si="153"/>
        <v>2.2726563000003808E-2</v>
      </c>
    </row>
    <row r="4921" spans="1:7" x14ac:dyDescent="0.25">
      <c r="A4921" s="8">
        <v>65</v>
      </c>
      <c r="B4921" s="8">
        <v>49</v>
      </c>
      <c r="C4921" s="8">
        <v>1575.3161620000001</v>
      </c>
      <c r="D4921" s="8">
        <v>118463.101563</v>
      </c>
      <c r="E4921" s="8">
        <v>118471.15625</v>
      </c>
      <c r="F4921" s="8">
        <f t="shared" si="152"/>
        <v>8.0546869999961928</v>
      </c>
      <c r="G4921" s="8">
        <f t="shared" si="153"/>
        <v>8.0546869999961919E-3</v>
      </c>
    </row>
    <row r="4922" spans="1:7" x14ac:dyDescent="0.25">
      <c r="A4922" s="8">
        <v>65</v>
      </c>
      <c r="B4922" s="8">
        <v>50</v>
      </c>
      <c r="C4922" s="8">
        <v>549.590149</v>
      </c>
      <c r="D4922" s="8">
        <v>120046.664063</v>
      </c>
      <c r="E4922" s="8">
        <v>120055.179688</v>
      </c>
      <c r="F4922" s="8">
        <f t="shared" si="152"/>
        <v>8.515625</v>
      </c>
      <c r="G4922" s="8">
        <f t="shared" si="153"/>
        <v>8.5156250000000006E-3</v>
      </c>
    </row>
    <row r="4923" spans="1:7" x14ac:dyDescent="0.25">
      <c r="A4923" s="8">
        <v>65</v>
      </c>
      <c r="B4923" s="8">
        <v>51</v>
      </c>
      <c r="C4923" s="8">
        <v>720.50402799999995</v>
      </c>
      <c r="D4923" s="8">
        <v>120609.226563</v>
      </c>
      <c r="E4923" s="8">
        <v>120619.992188</v>
      </c>
      <c r="F4923" s="8">
        <f t="shared" si="152"/>
        <v>10.765625</v>
      </c>
      <c r="G4923" s="8">
        <f t="shared" si="153"/>
        <v>1.0765624999999999E-2</v>
      </c>
    </row>
    <row r="4924" spans="1:7" x14ac:dyDescent="0.25">
      <c r="A4924" s="8">
        <v>65</v>
      </c>
      <c r="B4924" s="8">
        <v>52</v>
      </c>
      <c r="C4924" s="8">
        <v>635.94628899999998</v>
      </c>
      <c r="D4924" s="8">
        <v>121345.648438</v>
      </c>
      <c r="E4924" s="8">
        <v>121358.046875</v>
      </c>
      <c r="F4924" s="8">
        <f t="shared" si="152"/>
        <v>12.398436999996193</v>
      </c>
      <c r="G4924" s="8">
        <f t="shared" si="153"/>
        <v>1.2398436999996192E-2</v>
      </c>
    </row>
    <row r="4925" spans="1:7" x14ac:dyDescent="0.25">
      <c r="A4925" s="8">
        <v>65</v>
      </c>
      <c r="B4925" s="8">
        <v>53</v>
      </c>
      <c r="C4925" s="8">
        <v>1797.009888</v>
      </c>
      <c r="D4925" s="8">
        <v>122002.09375</v>
      </c>
      <c r="E4925" s="8">
        <v>122015.523438</v>
      </c>
      <c r="F4925" s="8">
        <f t="shared" si="152"/>
        <v>13.429688000003807</v>
      </c>
      <c r="G4925" s="8">
        <f t="shared" si="153"/>
        <v>1.3429688000003808E-2</v>
      </c>
    </row>
    <row r="4926" spans="1:7" x14ac:dyDescent="0.25">
      <c r="A4926" s="8">
        <v>65</v>
      </c>
      <c r="B4926" s="8">
        <v>54</v>
      </c>
      <c r="C4926" s="8">
        <v>837.25707999999997</v>
      </c>
      <c r="D4926" s="8">
        <v>123824.539063</v>
      </c>
      <c r="E4926" s="8">
        <v>123844.648438</v>
      </c>
      <c r="F4926" s="8">
        <f t="shared" si="152"/>
        <v>20.109375</v>
      </c>
      <c r="G4926" s="8">
        <f t="shared" si="153"/>
        <v>2.0109374999999999E-2</v>
      </c>
    </row>
    <row r="4927" spans="1:7" x14ac:dyDescent="0.25">
      <c r="A4927" s="8">
        <v>65</v>
      </c>
      <c r="B4927" s="8">
        <v>55</v>
      </c>
      <c r="C4927" s="8">
        <v>602.75299099999995</v>
      </c>
      <c r="D4927" s="8">
        <v>124689.585938</v>
      </c>
      <c r="E4927" s="8">
        <v>124705.023438</v>
      </c>
      <c r="F4927" s="8">
        <f t="shared" si="152"/>
        <v>15.4375</v>
      </c>
      <c r="G4927" s="8">
        <f t="shared" si="153"/>
        <v>1.54375E-2</v>
      </c>
    </row>
    <row r="4928" spans="1:7" x14ac:dyDescent="0.25">
      <c r="A4928" s="8">
        <v>65</v>
      </c>
      <c r="B4928" s="8">
        <v>56</v>
      </c>
      <c r="C4928" s="8">
        <v>1915.5814210000001</v>
      </c>
      <c r="D4928" s="8">
        <v>125314.671875</v>
      </c>
      <c r="E4928" s="8">
        <v>125333.070313</v>
      </c>
      <c r="F4928" s="8">
        <f t="shared" si="152"/>
        <v>18.398438000003807</v>
      </c>
      <c r="G4928" s="8">
        <f t="shared" si="153"/>
        <v>1.8398438000003806E-2</v>
      </c>
    </row>
    <row r="4929" spans="1:7" x14ac:dyDescent="0.25">
      <c r="A4929" s="8">
        <v>65</v>
      </c>
      <c r="B4929" s="8">
        <v>57</v>
      </c>
      <c r="C4929" s="8">
        <v>4468.7514650000003</v>
      </c>
      <c r="D4929" s="8">
        <v>127253.039063</v>
      </c>
      <c r="E4929" s="8">
        <v>127268.617188</v>
      </c>
      <c r="F4929" s="8">
        <f t="shared" si="152"/>
        <v>15.578125</v>
      </c>
      <c r="G4929" s="8">
        <f t="shared" si="153"/>
        <v>1.5578125E-2</v>
      </c>
    </row>
    <row r="4930" spans="1:7" x14ac:dyDescent="0.25">
      <c r="A4930" s="8">
        <v>65</v>
      </c>
      <c r="B4930" s="8">
        <v>58</v>
      </c>
      <c r="C4930" s="8">
        <v>1384.890991</v>
      </c>
      <c r="D4930" s="8">
        <v>131748.90625</v>
      </c>
      <c r="E4930" s="8">
        <v>131757</v>
      </c>
      <c r="F4930" s="8">
        <f t="shared" si="152"/>
        <v>8.09375</v>
      </c>
      <c r="G4930" s="8">
        <f t="shared" si="153"/>
        <v>8.0937500000000002E-3</v>
      </c>
    </row>
    <row r="4931" spans="1:7" x14ac:dyDescent="0.25">
      <c r="A4931" s="8">
        <v>65</v>
      </c>
      <c r="B4931" s="8">
        <v>59</v>
      </c>
      <c r="C4931" s="8">
        <v>1216.293823</v>
      </c>
      <c r="D4931" s="8">
        <v>133144.296875</v>
      </c>
      <c r="E4931" s="8">
        <v>133157.78125</v>
      </c>
      <c r="F4931" s="8">
        <f t="shared" si="152"/>
        <v>13.484375</v>
      </c>
      <c r="G4931" s="8">
        <f t="shared" si="153"/>
        <v>1.3484375E-2</v>
      </c>
    </row>
    <row r="4932" spans="1:7" x14ac:dyDescent="0.25">
      <c r="A4932" s="8">
        <v>65</v>
      </c>
      <c r="B4932" s="8">
        <v>60</v>
      </c>
      <c r="C4932" s="8">
        <v>1385.623047</v>
      </c>
      <c r="D4932" s="8">
        <v>134378.796875</v>
      </c>
      <c r="E4932" s="8">
        <v>134388.578125</v>
      </c>
      <c r="F4932" s="8">
        <f t="shared" si="152"/>
        <v>9.78125</v>
      </c>
      <c r="G4932" s="8">
        <f t="shared" si="153"/>
        <v>9.78125E-3</v>
      </c>
    </row>
    <row r="4933" spans="1:7" x14ac:dyDescent="0.25">
      <c r="A4933" s="8">
        <v>65</v>
      </c>
      <c r="B4933" s="8">
        <v>61</v>
      </c>
      <c r="C4933" s="8">
        <v>1049.947876</v>
      </c>
      <c r="D4933" s="8">
        <v>135788.375</v>
      </c>
      <c r="E4933" s="8">
        <v>135826.421875</v>
      </c>
      <c r="F4933" s="8">
        <f t="shared" si="152"/>
        <v>38.046875</v>
      </c>
      <c r="G4933" s="8">
        <f t="shared" si="153"/>
        <v>3.8046875000000001E-2</v>
      </c>
    </row>
    <row r="4934" spans="1:7" x14ac:dyDescent="0.25">
      <c r="A4934" s="8">
        <v>65</v>
      </c>
      <c r="B4934" s="8">
        <v>62</v>
      </c>
      <c r="C4934" s="8">
        <v>2587.0629880000001</v>
      </c>
      <c r="D4934" s="8">
        <v>136887.921875</v>
      </c>
      <c r="E4934" s="8">
        <v>136910.6875</v>
      </c>
      <c r="F4934" s="8">
        <f t="shared" si="152"/>
        <v>22.765625</v>
      </c>
      <c r="G4934" s="8">
        <f t="shared" si="153"/>
        <v>2.2765625000000001E-2</v>
      </c>
    </row>
    <row r="4935" spans="1:7" x14ac:dyDescent="0.25">
      <c r="A4935" s="8">
        <v>65</v>
      </c>
      <c r="B4935" s="8">
        <v>63</v>
      </c>
      <c r="C4935" s="8">
        <v>2073.560547</v>
      </c>
      <c r="D4935" s="8">
        <v>139506.28125</v>
      </c>
      <c r="E4935" s="8">
        <v>139520.046875</v>
      </c>
      <c r="F4935" s="8">
        <f t="shared" si="152"/>
        <v>13.765625</v>
      </c>
      <c r="G4935" s="8">
        <f t="shared" si="153"/>
        <v>1.3765625E-2</v>
      </c>
    </row>
    <row r="4936" spans="1:7" x14ac:dyDescent="0.25">
      <c r="A4936" s="8">
        <v>65</v>
      </c>
      <c r="B4936" s="8">
        <v>64</v>
      </c>
      <c r="C4936" s="8">
        <v>2941.319336</v>
      </c>
      <c r="D4936" s="8">
        <v>141594.890625</v>
      </c>
      <c r="E4936" s="8">
        <v>141602.21875</v>
      </c>
      <c r="F4936" s="8">
        <f t="shared" si="152"/>
        <v>7.328125</v>
      </c>
      <c r="G4936" s="8">
        <f t="shared" si="153"/>
        <v>7.3281249999999996E-3</v>
      </c>
    </row>
    <row r="4937" spans="1:7" x14ac:dyDescent="0.25">
      <c r="A4937" s="8">
        <v>65</v>
      </c>
      <c r="B4937" s="8">
        <v>65</v>
      </c>
      <c r="C4937" s="8">
        <v>2758.1748050000001</v>
      </c>
      <c r="D4937" s="8">
        <v>144556.875</v>
      </c>
      <c r="E4937" s="8">
        <v>144576.703125</v>
      </c>
      <c r="F4937" s="8">
        <f t="shared" si="152"/>
        <v>19.828125</v>
      </c>
      <c r="G4937" s="8">
        <f t="shared" si="153"/>
        <v>1.9828124999999999E-2</v>
      </c>
    </row>
    <row r="4938" spans="1:7" x14ac:dyDescent="0.25">
      <c r="A4938" s="8">
        <v>65</v>
      </c>
      <c r="B4938" s="8">
        <v>66</v>
      </c>
      <c r="C4938" s="8">
        <v>559.17370600000004</v>
      </c>
      <c r="D4938" s="8">
        <v>147349.8125</v>
      </c>
      <c r="E4938" s="8">
        <v>147360.125</v>
      </c>
      <c r="F4938" s="8">
        <f t="shared" si="152"/>
        <v>10.3125</v>
      </c>
      <c r="G4938" s="8">
        <f t="shared" si="153"/>
        <v>1.03125E-2</v>
      </c>
    </row>
    <row r="4939" spans="1:7" x14ac:dyDescent="0.25">
      <c r="A4939" s="8">
        <v>65</v>
      </c>
      <c r="B4939" s="8">
        <v>67</v>
      </c>
      <c r="C4939" s="8">
        <v>1416.1186520000001</v>
      </c>
      <c r="D4939" s="8">
        <v>147928.015625</v>
      </c>
      <c r="E4939" s="8">
        <v>147948.3125</v>
      </c>
      <c r="F4939" s="8">
        <f t="shared" ref="F4939:F5002" si="154">E4939-D4939</f>
        <v>20.296875</v>
      </c>
      <c r="G4939" s="8">
        <f t="shared" ref="G4939:G5002" si="155">F4939/1000</f>
        <v>2.0296874999999999E-2</v>
      </c>
    </row>
    <row r="4940" spans="1:7" x14ac:dyDescent="0.25">
      <c r="A4940" s="8">
        <v>65</v>
      </c>
      <c r="B4940" s="8">
        <v>68</v>
      </c>
      <c r="C4940" s="8">
        <v>3745.6196289999998</v>
      </c>
      <c r="D4940" s="8">
        <v>149369.203125</v>
      </c>
      <c r="E4940" s="8">
        <v>149382.234375</v>
      </c>
      <c r="F4940" s="8">
        <f t="shared" si="154"/>
        <v>13.03125</v>
      </c>
      <c r="G4940" s="8">
        <f t="shared" si="155"/>
        <v>1.3031249999999999E-2</v>
      </c>
    </row>
    <row r="4941" spans="1:7" x14ac:dyDescent="0.25">
      <c r="A4941" s="8">
        <v>65</v>
      </c>
      <c r="B4941" s="8">
        <v>69</v>
      </c>
      <c r="C4941" s="8">
        <v>3195.0310060000002</v>
      </c>
      <c r="D4941" s="8">
        <v>153140.78125</v>
      </c>
      <c r="E4941" s="8">
        <v>153173.46875</v>
      </c>
      <c r="F4941" s="8">
        <f t="shared" si="154"/>
        <v>32.6875</v>
      </c>
      <c r="G4941" s="8">
        <f t="shared" si="155"/>
        <v>3.2687500000000001E-2</v>
      </c>
    </row>
    <row r="4942" spans="1:7" x14ac:dyDescent="0.25">
      <c r="A4942" s="8">
        <v>65</v>
      </c>
      <c r="B4942" s="8">
        <v>70</v>
      </c>
      <c r="C4942" s="8">
        <v>1277.199707</v>
      </c>
      <c r="D4942" s="8">
        <v>156375.453125</v>
      </c>
      <c r="E4942" s="8">
        <v>156389.703125</v>
      </c>
      <c r="F4942" s="8">
        <f t="shared" si="154"/>
        <v>14.25</v>
      </c>
      <c r="G4942" s="8">
        <f t="shared" si="155"/>
        <v>1.4250000000000001E-2</v>
      </c>
    </row>
    <row r="4943" spans="1:7" x14ac:dyDescent="0.25">
      <c r="A4943" s="8">
        <v>65</v>
      </c>
      <c r="B4943" s="8">
        <v>71</v>
      </c>
      <c r="C4943" s="8">
        <v>139.78720100000001</v>
      </c>
      <c r="D4943" s="8">
        <v>157672.46875</v>
      </c>
      <c r="E4943" s="8">
        <v>157682.90625</v>
      </c>
      <c r="F4943" s="8">
        <f t="shared" si="154"/>
        <v>10.4375</v>
      </c>
      <c r="G4943" s="8">
        <f t="shared" si="155"/>
        <v>1.0437500000000001E-2</v>
      </c>
    </row>
    <row r="4944" spans="1:7" x14ac:dyDescent="0.25">
      <c r="A4944" s="8">
        <v>65</v>
      </c>
      <c r="B4944" s="8">
        <v>72</v>
      </c>
      <c r="C4944" s="8">
        <v>753.50286900000003</v>
      </c>
      <c r="D4944" s="8">
        <v>157828.78125</v>
      </c>
      <c r="E4944" s="8">
        <v>157849</v>
      </c>
      <c r="F4944" s="8">
        <f t="shared" si="154"/>
        <v>20.21875</v>
      </c>
      <c r="G4944" s="8">
        <f t="shared" si="155"/>
        <v>2.0218750000000001E-2</v>
      </c>
    </row>
    <row r="4945" spans="1:7" x14ac:dyDescent="0.25">
      <c r="A4945" s="8">
        <v>65</v>
      </c>
      <c r="B4945" s="8">
        <v>73</v>
      </c>
      <c r="C4945" s="8">
        <v>736.93536400000005</v>
      </c>
      <c r="D4945" s="8">
        <v>158610.875</v>
      </c>
      <c r="E4945" s="8">
        <v>158618.09375</v>
      </c>
      <c r="F4945" s="8">
        <f t="shared" si="154"/>
        <v>7.21875</v>
      </c>
      <c r="G4945" s="8">
        <f t="shared" si="155"/>
        <v>7.2187500000000003E-3</v>
      </c>
    </row>
    <row r="4946" spans="1:7" x14ac:dyDescent="0.25">
      <c r="A4946" s="8">
        <v>65</v>
      </c>
      <c r="B4946" s="8">
        <v>74</v>
      </c>
      <c r="C4946" s="8">
        <v>272.17025799999999</v>
      </c>
      <c r="D4946" s="8">
        <v>159361.140625</v>
      </c>
      <c r="E4946" s="8">
        <v>159368.65625</v>
      </c>
      <c r="F4946" s="8">
        <f t="shared" si="154"/>
        <v>7.515625</v>
      </c>
      <c r="G4946" s="8">
        <f t="shared" si="155"/>
        <v>7.5156249999999997E-3</v>
      </c>
    </row>
    <row r="4947" spans="1:7" x14ac:dyDescent="0.25">
      <c r="A4947" s="8">
        <v>65</v>
      </c>
      <c r="B4947" s="8">
        <v>75</v>
      </c>
      <c r="C4947" s="8">
        <v>2830.4885250000002</v>
      </c>
      <c r="D4947" s="8">
        <v>159642.390625</v>
      </c>
      <c r="E4947" s="8">
        <v>159654.46875</v>
      </c>
      <c r="F4947" s="8">
        <f t="shared" si="154"/>
        <v>12.078125</v>
      </c>
      <c r="G4947" s="8">
        <f t="shared" si="155"/>
        <v>1.2078125E-2</v>
      </c>
    </row>
    <row r="4948" spans="1:7" x14ac:dyDescent="0.25">
      <c r="A4948" s="8">
        <v>65</v>
      </c>
      <c r="B4948" s="8">
        <v>76</v>
      </c>
      <c r="C4948" s="8">
        <v>1980.567505</v>
      </c>
      <c r="D4948" s="8">
        <v>162487.078125</v>
      </c>
      <c r="E4948" s="8">
        <v>162501.34375</v>
      </c>
      <c r="F4948" s="8">
        <f t="shared" si="154"/>
        <v>14.265625</v>
      </c>
      <c r="G4948" s="8">
        <f t="shared" si="155"/>
        <v>1.4265625000000001E-2</v>
      </c>
    </row>
    <row r="4949" spans="1:7" x14ac:dyDescent="0.25">
      <c r="A4949" s="8">
        <v>65</v>
      </c>
      <c r="B4949" s="8">
        <v>77</v>
      </c>
      <c r="C4949" s="8">
        <v>361.41082799999998</v>
      </c>
      <c r="D4949" s="8">
        <v>164497.171875</v>
      </c>
      <c r="E4949" s="8">
        <v>164518.1875</v>
      </c>
      <c r="F4949" s="8">
        <f t="shared" si="154"/>
        <v>21.015625</v>
      </c>
      <c r="G4949" s="8">
        <f t="shared" si="155"/>
        <v>2.1015625E-2</v>
      </c>
    </row>
    <row r="4950" spans="1:7" x14ac:dyDescent="0.25">
      <c r="A4950" s="8">
        <v>65</v>
      </c>
      <c r="B4950" s="8">
        <v>78</v>
      </c>
      <c r="C4950" s="8">
        <v>711.77221699999996</v>
      </c>
      <c r="D4950" s="8">
        <v>164889.734375</v>
      </c>
      <c r="E4950" s="8">
        <v>164896.953125</v>
      </c>
      <c r="F4950" s="8">
        <f t="shared" si="154"/>
        <v>7.21875</v>
      </c>
      <c r="G4950" s="8">
        <f t="shared" si="155"/>
        <v>7.2187500000000003E-3</v>
      </c>
    </row>
    <row r="4951" spans="1:7" x14ac:dyDescent="0.25">
      <c r="A4951" s="8">
        <v>65</v>
      </c>
      <c r="B4951" s="8">
        <v>79</v>
      </c>
      <c r="C4951" s="8">
        <v>1688.623047</v>
      </c>
      <c r="D4951" s="8">
        <v>165608.4375</v>
      </c>
      <c r="E4951" s="8">
        <v>165620.203125</v>
      </c>
      <c r="F4951" s="8">
        <f t="shared" si="154"/>
        <v>11.765625</v>
      </c>
      <c r="G4951" s="8">
        <f t="shared" si="155"/>
        <v>1.1765625E-2</v>
      </c>
    </row>
    <row r="4952" spans="1:7" x14ac:dyDescent="0.25">
      <c r="A4952" s="8">
        <v>65</v>
      </c>
      <c r="B4952" s="8">
        <v>80</v>
      </c>
      <c r="C4952" s="8">
        <v>1462.498169</v>
      </c>
      <c r="D4952" s="8">
        <v>167322.328125</v>
      </c>
      <c r="E4952" s="8">
        <v>167336.796875</v>
      </c>
      <c r="F4952" s="8">
        <f t="shared" si="154"/>
        <v>14.46875</v>
      </c>
      <c r="G4952" s="8">
        <f t="shared" si="155"/>
        <v>1.4468750000000001E-2</v>
      </c>
    </row>
    <row r="4953" spans="1:7" x14ac:dyDescent="0.25">
      <c r="A4953" s="8">
        <v>65</v>
      </c>
      <c r="B4953" s="8">
        <v>81</v>
      </c>
      <c r="C4953" s="8">
        <v>1605.463013</v>
      </c>
      <c r="D4953" s="8">
        <v>168809.9375</v>
      </c>
      <c r="E4953" s="8">
        <v>168825.953125</v>
      </c>
      <c r="F4953" s="8">
        <f t="shared" si="154"/>
        <v>16.015625</v>
      </c>
      <c r="G4953" s="8">
        <f t="shared" si="155"/>
        <v>1.6015624999999999E-2</v>
      </c>
    </row>
    <row r="4954" spans="1:7" x14ac:dyDescent="0.25">
      <c r="A4954" s="8">
        <v>66</v>
      </c>
      <c r="B4954" s="8">
        <v>0</v>
      </c>
      <c r="C4954" s="8">
        <v>998.61071800000002</v>
      </c>
      <c r="D4954" s="8">
        <v>22141.302734000001</v>
      </c>
      <c r="E4954" s="8">
        <v>22149.027343999998</v>
      </c>
      <c r="F4954" s="8">
        <f t="shared" si="154"/>
        <v>7.7246099999974831</v>
      </c>
      <c r="G4954" s="8">
        <f t="shared" si="155"/>
        <v>7.7246099999974827E-3</v>
      </c>
    </row>
    <row r="4955" spans="1:7" x14ac:dyDescent="0.25">
      <c r="A4955" s="8">
        <v>66</v>
      </c>
      <c r="B4955" s="8">
        <v>1</v>
      </c>
      <c r="C4955" s="8">
        <v>887.89514199999996</v>
      </c>
      <c r="D4955" s="8">
        <v>23159.810547000001</v>
      </c>
      <c r="E4955" s="8">
        <v>23173.615234000001</v>
      </c>
      <c r="F4955" s="8">
        <f t="shared" si="154"/>
        <v>13.804686999999831</v>
      </c>
      <c r="G4955" s="8">
        <f t="shared" si="155"/>
        <v>1.3804686999999831E-2</v>
      </c>
    </row>
    <row r="4956" spans="1:7" x14ac:dyDescent="0.25">
      <c r="A4956" s="8">
        <v>66</v>
      </c>
      <c r="B4956" s="8">
        <v>2</v>
      </c>
      <c r="C4956" s="8">
        <v>8089.0952150000003</v>
      </c>
      <c r="D4956" s="8">
        <v>24068.576172000001</v>
      </c>
      <c r="E4956" s="8">
        <v>24077.605468999998</v>
      </c>
      <c r="F4956" s="8">
        <f t="shared" si="154"/>
        <v>9.0292969999973138</v>
      </c>
      <c r="G4956" s="8">
        <f t="shared" si="155"/>
        <v>9.0292969999973133E-3</v>
      </c>
    </row>
    <row r="4957" spans="1:7" x14ac:dyDescent="0.25">
      <c r="A4957" s="8">
        <v>66</v>
      </c>
      <c r="B4957" s="8">
        <v>3</v>
      </c>
      <c r="C4957" s="8">
        <v>1668.2795410000001</v>
      </c>
      <c r="D4957" s="8">
        <v>32176.294922000001</v>
      </c>
      <c r="E4957" s="8">
        <v>32248.5625</v>
      </c>
      <c r="F4957" s="8">
        <f t="shared" si="154"/>
        <v>72.267577999999048</v>
      </c>
      <c r="G4957" s="8">
        <f t="shared" si="155"/>
        <v>7.2267577999999041E-2</v>
      </c>
    </row>
    <row r="4958" spans="1:7" x14ac:dyDescent="0.25">
      <c r="A4958" s="8">
        <v>66</v>
      </c>
      <c r="B4958" s="8">
        <v>4</v>
      </c>
      <c r="C4958" s="8">
        <v>4643.8110349999997</v>
      </c>
      <c r="D4958" s="8">
        <v>33931.339844000002</v>
      </c>
      <c r="E4958" s="8">
        <v>33958.121094000002</v>
      </c>
      <c r="F4958" s="8">
        <f t="shared" si="154"/>
        <v>26.78125</v>
      </c>
      <c r="G4958" s="8">
        <f t="shared" si="155"/>
        <v>2.678125E-2</v>
      </c>
    </row>
    <row r="4959" spans="1:7" x14ac:dyDescent="0.25">
      <c r="A4959" s="8">
        <v>66</v>
      </c>
      <c r="B4959" s="8">
        <v>5</v>
      </c>
      <c r="C4959" s="8">
        <v>3031.7932129999999</v>
      </c>
      <c r="D4959" s="8">
        <v>38605.039062999997</v>
      </c>
      <c r="E4959" s="8">
        <v>38620.417969000002</v>
      </c>
      <c r="F4959" s="8">
        <f t="shared" si="154"/>
        <v>15.378906000005372</v>
      </c>
      <c r="G4959" s="8">
        <f t="shared" si="155"/>
        <v>1.5378906000005372E-2</v>
      </c>
    </row>
    <row r="4960" spans="1:7" x14ac:dyDescent="0.25">
      <c r="A4960" s="8">
        <v>66</v>
      </c>
      <c r="B4960" s="8">
        <v>6</v>
      </c>
      <c r="C4960" s="8">
        <v>1593.6475829999999</v>
      </c>
      <c r="D4960" s="8">
        <v>41653.335937999997</v>
      </c>
      <c r="E4960" s="8">
        <v>41670.222655999998</v>
      </c>
      <c r="F4960" s="8">
        <f t="shared" si="154"/>
        <v>16.886718000001565</v>
      </c>
      <c r="G4960" s="8">
        <f t="shared" si="155"/>
        <v>1.6886718000001567E-2</v>
      </c>
    </row>
    <row r="4961" spans="1:7" x14ac:dyDescent="0.25">
      <c r="A4961" s="8">
        <v>66</v>
      </c>
      <c r="B4961" s="8">
        <v>7</v>
      </c>
      <c r="C4961" s="8">
        <v>815.94164999999998</v>
      </c>
      <c r="D4961" s="8">
        <v>43271.679687999997</v>
      </c>
      <c r="E4961" s="8">
        <v>43283.675780999998</v>
      </c>
      <c r="F4961" s="8">
        <f t="shared" si="154"/>
        <v>11.996093000001565</v>
      </c>
      <c r="G4961" s="8">
        <f t="shared" si="155"/>
        <v>1.1996093000001566E-2</v>
      </c>
    </row>
    <row r="4962" spans="1:7" x14ac:dyDescent="0.25">
      <c r="A4962" s="8">
        <v>66</v>
      </c>
      <c r="B4962" s="8">
        <v>8</v>
      </c>
      <c r="C4962" s="8">
        <v>670.72399900000005</v>
      </c>
      <c r="D4962" s="8">
        <v>44099.875</v>
      </c>
      <c r="E4962" s="8">
        <v>44121.695312999997</v>
      </c>
      <c r="F4962" s="8">
        <f t="shared" si="154"/>
        <v>21.820312999996531</v>
      </c>
      <c r="G4962" s="8">
        <f t="shared" si="155"/>
        <v>2.1820312999996531E-2</v>
      </c>
    </row>
    <row r="4963" spans="1:7" x14ac:dyDescent="0.25">
      <c r="A4963" s="8">
        <v>66</v>
      </c>
      <c r="B4963" s="8">
        <v>9</v>
      </c>
      <c r="C4963" s="8">
        <v>602.50543200000004</v>
      </c>
      <c r="D4963" s="8">
        <v>44803.074219000002</v>
      </c>
      <c r="E4963" s="8">
        <v>44824.046875</v>
      </c>
      <c r="F4963" s="8">
        <f t="shared" si="154"/>
        <v>20.972655999998096</v>
      </c>
      <c r="G4963" s="8">
        <f t="shared" si="155"/>
        <v>2.0972655999998098E-2</v>
      </c>
    </row>
    <row r="4964" spans="1:7" x14ac:dyDescent="0.25">
      <c r="A4964" s="8">
        <v>66</v>
      </c>
      <c r="B4964" s="8">
        <v>10</v>
      </c>
      <c r="C4964" s="8">
        <v>255.663895</v>
      </c>
      <c r="D4964" s="8">
        <v>45428.171875</v>
      </c>
      <c r="E4964" s="8">
        <v>45445.976562999997</v>
      </c>
      <c r="F4964" s="8">
        <f t="shared" si="154"/>
        <v>17.804687999996531</v>
      </c>
      <c r="G4964" s="8">
        <f t="shared" si="155"/>
        <v>1.780468799999653E-2</v>
      </c>
    </row>
    <row r="4965" spans="1:7" x14ac:dyDescent="0.25">
      <c r="A4965" s="8">
        <v>66</v>
      </c>
      <c r="B4965" s="8">
        <v>11</v>
      </c>
      <c r="C4965" s="8">
        <v>4674.5375979999999</v>
      </c>
      <c r="D4965" s="8">
        <v>45709.410155999998</v>
      </c>
      <c r="E4965" s="8">
        <v>45720.046875</v>
      </c>
      <c r="F4965" s="8">
        <f t="shared" si="154"/>
        <v>10.636719000001904</v>
      </c>
      <c r="G4965" s="8">
        <f t="shared" si="155"/>
        <v>1.0636719000001904E-2</v>
      </c>
    </row>
    <row r="4966" spans="1:7" x14ac:dyDescent="0.25">
      <c r="A4966" s="8">
        <v>66</v>
      </c>
      <c r="B4966" s="8">
        <v>12</v>
      </c>
      <c r="C4966" s="8">
        <v>3283.194336</v>
      </c>
      <c r="D4966" s="8">
        <v>50409.101562999997</v>
      </c>
      <c r="E4966" s="8">
        <v>50426.519530999998</v>
      </c>
      <c r="F4966" s="8">
        <f t="shared" si="154"/>
        <v>17.417968000001565</v>
      </c>
      <c r="G4966" s="8">
        <f t="shared" si="155"/>
        <v>1.7417968000001564E-2</v>
      </c>
    </row>
    <row r="4967" spans="1:7" x14ac:dyDescent="0.25">
      <c r="A4967" s="8">
        <v>66</v>
      </c>
      <c r="B4967" s="8">
        <v>13</v>
      </c>
      <c r="C4967" s="8">
        <v>3336.2072750000002</v>
      </c>
      <c r="D4967" s="8">
        <v>53718.109375</v>
      </c>
      <c r="E4967" s="8">
        <v>53730.917969000002</v>
      </c>
      <c r="F4967" s="8">
        <f t="shared" si="154"/>
        <v>12.808594000001904</v>
      </c>
      <c r="G4967" s="8">
        <f t="shared" si="155"/>
        <v>1.2808594000001904E-2</v>
      </c>
    </row>
    <row r="4968" spans="1:7" x14ac:dyDescent="0.25">
      <c r="A4968" s="8">
        <v>66</v>
      </c>
      <c r="B4968" s="8">
        <v>14</v>
      </c>
      <c r="C4968" s="8">
        <v>2657.9533689999998</v>
      </c>
      <c r="D4968" s="8">
        <v>57082.597655999998</v>
      </c>
      <c r="E4968" s="8">
        <v>57096.742187999997</v>
      </c>
      <c r="F4968" s="8">
        <f t="shared" si="154"/>
        <v>14.144531999998435</v>
      </c>
      <c r="G4968" s="8">
        <f t="shared" si="155"/>
        <v>1.4144531999998435E-2</v>
      </c>
    </row>
    <row r="4969" spans="1:7" x14ac:dyDescent="0.25">
      <c r="A4969" s="8">
        <v>66</v>
      </c>
      <c r="B4969" s="8">
        <v>15</v>
      </c>
      <c r="C4969" s="8">
        <v>1037.2969969999999</v>
      </c>
      <c r="D4969" s="8">
        <v>59763.050780999998</v>
      </c>
      <c r="E4969" s="8">
        <v>59779.597655999998</v>
      </c>
      <c r="F4969" s="8">
        <f t="shared" si="154"/>
        <v>16.546875</v>
      </c>
      <c r="G4969" s="8">
        <f t="shared" si="155"/>
        <v>1.6546874999999999E-2</v>
      </c>
    </row>
    <row r="4970" spans="1:7" x14ac:dyDescent="0.25">
      <c r="A4970" s="8">
        <v>66</v>
      </c>
      <c r="B4970" s="8">
        <v>16</v>
      </c>
      <c r="C4970" s="8">
        <v>3205.3107909999999</v>
      </c>
      <c r="D4970" s="8">
        <v>60825.695312999997</v>
      </c>
      <c r="E4970" s="8">
        <v>60837.480469000002</v>
      </c>
      <c r="F4970" s="8">
        <f t="shared" si="154"/>
        <v>11.785156000005372</v>
      </c>
      <c r="G4970" s="8">
        <f t="shared" si="155"/>
        <v>1.1785156000005372E-2</v>
      </c>
    </row>
    <row r="4971" spans="1:7" x14ac:dyDescent="0.25">
      <c r="A4971" s="8">
        <v>66</v>
      </c>
      <c r="B4971" s="8">
        <v>17</v>
      </c>
      <c r="C4971" s="8">
        <v>2653.5776369999999</v>
      </c>
      <c r="D4971" s="8">
        <v>64058.28125</v>
      </c>
      <c r="E4971" s="8">
        <v>64187.578125</v>
      </c>
      <c r="F4971" s="8">
        <f t="shared" si="154"/>
        <v>129.296875</v>
      </c>
      <c r="G4971" s="8">
        <f t="shared" si="155"/>
        <v>0.12929687500000001</v>
      </c>
    </row>
    <row r="4972" spans="1:7" x14ac:dyDescent="0.25">
      <c r="A4972" s="8">
        <v>66</v>
      </c>
      <c r="B4972" s="8">
        <v>18</v>
      </c>
      <c r="C4972" s="8">
        <v>207.69189499999999</v>
      </c>
      <c r="D4972" s="8">
        <v>66856.21875</v>
      </c>
      <c r="E4972" s="8">
        <v>66870.195313000004</v>
      </c>
      <c r="F4972" s="8">
        <f t="shared" si="154"/>
        <v>13.976563000003807</v>
      </c>
      <c r="G4972" s="8">
        <f t="shared" si="155"/>
        <v>1.3976563000003807E-2</v>
      </c>
    </row>
    <row r="4973" spans="1:7" x14ac:dyDescent="0.25">
      <c r="A4973" s="8">
        <v>66</v>
      </c>
      <c r="B4973" s="8">
        <v>19</v>
      </c>
      <c r="C4973" s="8">
        <v>1064.8608400000001</v>
      </c>
      <c r="D4973" s="8">
        <v>67091.210938000004</v>
      </c>
      <c r="E4973" s="8">
        <v>67108.4375</v>
      </c>
      <c r="F4973" s="8">
        <f t="shared" si="154"/>
        <v>17.226561999996193</v>
      </c>
      <c r="G4973" s="8">
        <f t="shared" si="155"/>
        <v>1.7226561999996191E-2</v>
      </c>
    </row>
    <row r="4974" spans="1:7" x14ac:dyDescent="0.25">
      <c r="A4974" s="8">
        <v>66</v>
      </c>
      <c r="B4974" s="8">
        <v>20</v>
      </c>
      <c r="C4974" s="8">
        <v>8361.1425780000009</v>
      </c>
      <c r="D4974" s="8">
        <v>68185.953125</v>
      </c>
      <c r="E4974" s="8">
        <v>68203.3125</v>
      </c>
      <c r="F4974" s="8">
        <f t="shared" si="154"/>
        <v>17.359375</v>
      </c>
      <c r="G4974" s="8">
        <f t="shared" si="155"/>
        <v>1.7359375E-2</v>
      </c>
    </row>
    <row r="4975" spans="1:7" x14ac:dyDescent="0.25">
      <c r="A4975" s="8">
        <v>66</v>
      </c>
      <c r="B4975" s="8">
        <v>21</v>
      </c>
      <c r="C4975" s="8">
        <v>55.011603999999998</v>
      </c>
      <c r="D4975" s="8">
        <v>76569.578125</v>
      </c>
      <c r="E4975" s="8">
        <v>76589.882813000004</v>
      </c>
      <c r="F4975" s="8">
        <f t="shared" si="154"/>
        <v>20.304688000003807</v>
      </c>
      <c r="G4975" s="8">
        <f t="shared" si="155"/>
        <v>2.0304688000003807E-2</v>
      </c>
    </row>
    <row r="4976" spans="1:7" x14ac:dyDescent="0.25">
      <c r="A4976" s="8">
        <v>66</v>
      </c>
      <c r="B4976" s="8">
        <v>22</v>
      </c>
      <c r="C4976" s="8">
        <v>501.957581</v>
      </c>
      <c r="D4976" s="8">
        <v>76647.6875</v>
      </c>
      <c r="E4976" s="8">
        <v>76678.226563000004</v>
      </c>
      <c r="F4976" s="8">
        <f t="shared" si="154"/>
        <v>30.539063000003807</v>
      </c>
      <c r="G4976" s="8">
        <f t="shared" si="155"/>
        <v>3.0539063000003808E-2</v>
      </c>
    </row>
    <row r="4977" spans="1:7" x14ac:dyDescent="0.25">
      <c r="A4977" s="8">
        <v>66</v>
      </c>
      <c r="B4977" s="8">
        <v>23</v>
      </c>
      <c r="C4977" s="8">
        <v>964.21398899999997</v>
      </c>
      <c r="D4977" s="8">
        <v>77194.609375</v>
      </c>
      <c r="E4977" s="8">
        <v>77217.242188000004</v>
      </c>
      <c r="F4977" s="8">
        <f t="shared" si="154"/>
        <v>22.632813000003807</v>
      </c>
      <c r="G4977" s="8">
        <f t="shared" si="155"/>
        <v>2.2632813000003808E-2</v>
      </c>
    </row>
    <row r="4978" spans="1:7" x14ac:dyDescent="0.25">
      <c r="A4978" s="8">
        <v>66</v>
      </c>
      <c r="B4978" s="8">
        <v>24</v>
      </c>
      <c r="C4978" s="8">
        <v>63.940444999999997</v>
      </c>
      <c r="D4978" s="8">
        <v>78182.296875</v>
      </c>
      <c r="E4978" s="8">
        <v>78203.4375</v>
      </c>
      <c r="F4978" s="8">
        <f t="shared" si="154"/>
        <v>21.140625</v>
      </c>
      <c r="G4978" s="8">
        <f t="shared" si="155"/>
        <v>2.1140625E-2</v>
      </c>
    </row>
    <row r="4979" spans="1:7" x14ac:dyDescent="0.25">
      <c r="A4979" s="8">
        <v>66</v>
      </c>
      <c r="B4979" s="8">
        <v>25</v>
      </c>
      <c r="C4979" s="8">
        <v>200.99913000000001</v>
      </c>
      <c r="D4979" s="8">
        <v>78275.976563000004</v>
      </c>
      <c r="E4979" s="8">
        <v>78297.859375</v>
      </c>
      <c r="F4979" s="8">
        <f t="shared" si="154"/>
        <v>21.882811999996193</v>
      </c>
      <c r="G4979" s="8">
        <f t="shared" si="155"/>
        <v>2.1882811999996192E-2</v>
      </c>
    </row>
    <row r="4980" spans="1:7" x14ac:dyDescent="0.25">
      <c r="A4980" s="8">
        <v>66</v>
      </c>
      <c r="B4980" s="8">
        <v>26</v>
      </c>
      <c r="C4980" s="8">
        <v>352.50924700000002</v>
      </c>
      <c r="D4980" s="8">
        <v>78513.460938000004</v>
      </c>
      <c r="E4980" s="8">
        <v>78531.257813000004</v>
      </c>
      <c r="F4980" s="8">
        <f t="shared" si="154"/>
        <v>17.796875</v>
      </c>
      <c r="G4980" s="8">
        <f t="shared" si="155"/>
        <v>1.7796875E-2</v>
      </c>
    </row>
    <row r="4981" spans="1:7" x14ac:dyDescent="0.25">
      <c r="A4981" s="8">
        <v>66</v>
      </c>
      <c r="B4981" s="8">
        <v>27</v>
      </c>
      <c r="C4981" s="8">
        <v>3361.9384770000001</v>
      </c>
      <c r="D4981" s="8">
        <v>78888.421875</v>
      </c>
      <c r="E4981" s="8">
        <v>78906.507813000004</v>
      </c>
      <c r="F4981" s="8">
        <f t="shared" si="154"/>
        <v>18.085938000003807</v>
      </c>
      <c r="G4981" s="8">
        <f t="shared" si="155"/>
        <v>1.8085938000003809E-2</v>
      </c>
    </row>
    <row r="4982" spans="1:7" x14ac:dyDescent="0.25">
      <c r="A4982" s="8">
        <v>66</v>
      </c>
      <c r="B4982" s="8">
        <v>28</v>
      </c>
      <c r="C4982" s="8">
        <v>5329.6162109999996</v>
      </c>
      <c r="D4982" s="8">
        <v>82276.703125</v>
      </c>
      <c r="E4982" s="8">
        <v>82297.484375</v>
      </c>
      <c r="F4982" s="8">
        <f t="shared" si="154"/>
        <v>20.78125</v>
      </c>
      <c r="G4982" s="8">
        <f t="shared" si="155"/>
        <v>2.0781250000000001E-2</v>
      </c>
    </row>
    <row r="4983" spans="1:7" x14ac:dyDescent="0.25">
      <c r="A4983" s="8">
        <v>66</v>
      </c>
      <c r="B4983" s="8">
        <v>29</v>
      </c>
      <c r="C4983" s="8">
        <v>9366.8886719999991</v>
      </c>
      <c r="D4983" s="8">
        <v>87630.226563000004</v>
      </c>
      <c r="E4983" s="8">
        <v>87654.617188000004</v>
      </c>
      <c r="F4983" s="8">
        <f t="shared" si="154"/>
        <v>24.390625</v>
      </c>
      <c r="G4983" s="8">
        <f t="shared" si="155"/>
        <v>2.4390624999999999E-2</v>
      </c>
    </row>
    <row r="4984" spans="1:7" x14ac:dyDescent="0.25">
      <c r="A4984" s="8">
        <v>66</v>
      </c>
      <c r="B4984" s="8">
        <v>30</v>
      </c>
      <c r="C4984" s="8">
        <v>423.950714</v>
      </c>
      <c r="D4984" s="8">
        <v>97024.875</v>
      </c>
      <c r="E4984" s="8">
        <v>97167.75</v>
      </c>
      <c r="F4984" s="8">
        <f t="shared" si="154"/>
        <v>142.875</v>
      </c>
      <c r="G4984" s="8">
        <f t="shared" si="155"/>
        <v>0.142875</v>
      </c>
    </row>
    <row r="4985" spans="1:7" x14ac:dyDescent="0.25">
      <c r="A4985" s="8">
        <v>66</v>
      </c>
      <c r="B4985" s="8">
        <v>31</v>
      </c>
      <c r="C4985" s="8">
        <v>234.13990799999999</v>
      </c>
      <c r="D4985" s="8">
        <v>97591.03125</v>
      </c>
      <c r="E4985" s="8">
        <v>97601.898438000004</v>
      </c>
      <c r="F4985" s="8">
        <f t="shared" si="154"/>
        <v>10.867188000003807</v>
      </c>
      <c r="G4985" s="8">
        <f t="shared" si="155"/>
        <v>1.0867188000003808E-2</v>
      </c>
    </row>
    <row r="4986" spans="1:7" x14ac:dyDescent="0.25">
      <c r="A4986" s="8">
        <v>66</v>
      </c>
      <c r="B4986" s="8">
        <v>32</v>
      </c>
      <c r="C4986" s="8">
        <v>706.03008999999997</v>
      </c>
      <c r="D4986" s="8">
        <v>97844.53125</v>
      </c>
      <c r="E4986" s="8">
        <v>97862.359375</v>
      </c>
      <c r="F4986" s="8">
        <f t="shared" si="154"/>
        <v>17.828125</v>
      </c>
      <c r="G4986" s="8">
        <f t="shared" si="155"/>
        <v>1.7828125E-2</v>
      </c>
    </row>
    <row r="4987" spans="1:7" x14ac:dyDescent="0.25">
      <c r="A4987" s="8">
        <v>66</v>
      </c>
      <c r="B4987" s="8">
        <v>33</v>
      </c>
      <c r="C4987" s="8">
        <v>4264.5976559999999</v>
      </c>
      <c r="D4987" s="8">
        <v>98582.109375</v>
      </c>
      <c r="E4987" s="8">
        <v>98593.117188000004</v>
      </c>
      <c r="F4987" s="8">
        <f t="shared" si="154"/>
        <v>11.007813000003807</v>
      </c>
      <c r="G4987" s="8">
        <f t="shared" si="155"/>
        <v>1.1007813000003808E-2</v>
      </c>
    </row>
    <row r="4988" spans="1:7" x14ac:dyDescent="0.25">
      <c r="A4988" s="8">
        <v>66</v>
      </c>
      <c r="B4988" s="8">
        <v>34</v>
      </c>
      <c r="C4988" s="8">
        <v>581.00781300000006</v>
      </c>
      <c r="D4988" s="8">
        <v>102867.6875</v>
      </c>
      <c r="E4988" s="8">
        <v>102879.257813</v>
      </c>
      <c r="F4988" s="8">
        <f t="shared" si="154"/>
        <v>11.570313000003807</v>
      </c>
      <c r="G4988" s="8">
        <f t="shared" si="155"/>
        <v>1.1570313000003806E-2</v>
      </c>
    </row>
    <row r="4989" spans="1:7" x14ac:dyDescent="0.25">
      <c r="A4989" s="8">
        <v>66</v>
      </c>
      <c r="B4989" s="8">
        <v>35</v>
      </c>
      <c r="C4989" s="8">
        <v>1836.0635990000001</v>
      </c>
      <c r="D4989" s="8">
        <v>103463.34375</v>
      </c>
      <c r="E4989" s="8">
        <v>103476.046875</v>
      </c>
      <c r="F4989" s="8">
        <f t="shared" si="154"/>
        <v>12.703125</v>
      </c>
      <c r="G4989" s="8">
        <f t="shared" si="155"/>
        <v>1.2703124999999999E-2</v>
      </c>
    </row>
    <row r="4990" spans="1:7" x14ac:dyDescent="0.25">
      <c r="A4990" s="8">
        <v>66</v>
      </c>
      <c r="B4990" s="8">
        <v>36</v>
      </c>
      <c r="C4990" s="8">
        <v>414.61685199999999</v>
      </c>
      <c r="D4990" s="8">
        <v>105315.984375</v>
      </c>
      <c r="E4990" s="8">
        <v>105325.015625</v>
      </c>
      <c r="F4990" s="8">
        <f t="shared" si="154"/>
        <v>9.03125</v>
      </c>
      <c r="G4990" s="8">
        <f t="shared" si="155"/>
        <v>9.0312499999999993E-3</v>
      </c>
    </row>
    <row r="4991" spans="1:7" x14ac:dyDescent="0.25">
      <c r="A4991" s="8">
        <v>66</v>
      </c>
      <c r="B4991" s="8">
        <v>37</v>
      </c>
      <c r="C4991" s="8">
        <v>8919.2822269999997</v>
      </c>
      <c r="D4991" s="8">
        <v>105750.226563</v>
      </c>
      <c r="E4991" s="8">
        <v>105767.84375</v>
      </c>
      <c r="F4991" s="8">
        <f t="shared" si="154"/>
        <v>17.617186999996193</v>
      </c>
      <c r="G4991" s="8">
        <f t="shared" si="155"/>
        <v>1.7617186999996193E-2</v>
      </c>
    </row>
    <row r="4992" spans="1:7" x14ac:dyDescent="0.25">
      <c r="A4992" s="8">
        <v>66</v>
      </c>
      <c r="B4992" s="8">
        <v>38</v>
      </c>
      <c r="C4992" s="8">
        <v>60.791896999999999</v>
      </c>
      <c r="D4992" s="8">
        <v>114690.773438</v>
      </c>
      <c r="E4992" s="8">
        <v>114712.375</v>
      </c>
      <c r="F4992" s="8">
        <f t="shared" si="154"/>
        <v>21.601561999996193</v>
      </c>
      <c r="G4992" s="8">
        <f t="shared" si="155"/>
        <v>2.1601561999996192E-2</v>
      </c>
    </row>
    <row r="4993" spans="1:7" x14ac:dyDescent="0.25">
      <c r="A4993" s="8">
        <v>66</v>
      </c>
      <c r="B4993" s="8">
        <v>39</v>
      </c>
      <c r="C4993" s="8">
        <v>2328.1945799999999</v>
      </c>
      <c r="D4993" s="8">
        <v>114784.523438</v>
      </c>
      <c r="E4993" s="8">
        <v>114796.476563</v>
      </c>
      <c r="F4993" s="8">
        <f t="shared" si="154"/>
        <v>11.953125</v>
      </c>
      <c r="G4993" s="8">
        <f t="shared" si="155"/>
        <v>1.1953125E-2</v>
      </c>
    </row>
    <row r="4994" spans="1:7" x14ac:dyDescent="0.25">
      <c r="A4994" s="8">
        <v>66</v>
      </c>
      <c r="B4994" s="8">
        <v>40</v>
      </c>
      <c r="C4994" s="8">
        <v>1442.937866</v>
      </c>
      <c r="D4994" s="8">
        <v>117137.789063</v>
      </c>
      <c r="E4994" s="8">
        <v>117149.398438</v>
      </c>
      <c r="F4994" s="8">
        <f t="shared" si="154"/>
        <v>11.609375</v>
      </c>
      <c r="G4994" s="8">
        <f t="shared" si="155"/>
        <v>1.1609375E-2</v>
      </c>
    </row>
    <row r="4995" spans="1:7" x14ac:dyDescent="0.25">
      <c r="A4995" s="8">
        <v>66</v>
      </c>
      <c r="B4995" s="8">
        <v>41</v>
      </c>
      <c r="C4995" s="8">
        <v>2377.4770509999998</v>
      </c>
      <c r="D4995" s="8">
        <v>118603.859375</v>
      </c>
      <c r="E4995" s="8">
        <v>118623.6875</v>
      </c>
      <c r="F4995" s="8">
        <f t="shared" si="154"/>
        <v>19.828125</v>
      </c>
      <c r="G4995" s="8">
        <f t="shared" si="155"/>
        <v>1.9828124999999999E-2</v>
      </c>
    </row>
    <row r="4996" spans="1:7" x14ac:dyDescent="0.25">
      <c r="A4996" s="8">
        <v>66</v>
      </c>
      <c r="B4996" s="8">
        <v>42</v>
      </c>
      <c r="C4996" s="8">
        <v>1362.328857</v>
      </c>
      <c r="D4996" s="8">
        <v>121002.015625</v>
      </c>
      <c r="E4996" s="8">
        <v>121024.992188</v>
      </c>
      <c r="F4996" s="8">
        <f t="shared" si="154"/>
        <v>22.976563000003807</v>
      </c>
      <c r="G4996" s="8">
        <f t="shared" si="155"/>
        <v>2.2976563000003808E-2</v>
      </c>
    </row>
    <row r="4997" spans="1:7" x14ac:dyDescent="0.25">
      <c r="A4997" s="8">
        <v>66</v>
      </c>
      <c r="B4997" s="8">
        <v>43</v>
      </c>
      <c r="C4997" s="8">
        <v>1839.735596</v>
      </c>
      <c r="D4997" s="8">
        <v>122392.75</v>
      </c>
      <c r="E4997" s="8">
        <v>122407.460938</v>
      </c>
      <c r="F4997" s="8">
        <f t="shared" si="154"/>
        <v>14.710938000003807</v>
      </c>
      <c r="G4997" s="8">
        <f t="shared" si="155"/>
        <v>1.4710938000003808E-2</v>
      </c>
    </row>
    <row r="4998" spans="1:7" x14ac:dyDescent="0.25">
      <c r="A4998" s="8">
        <v>66</v>
      </c>
      <c r="B4998" s="8">
        <v>44</v>
      </c>
      <c r="C4998" s="8">
        <v>2242.2854000000002</v>
      </c>
      <c r="D4998" s="8">
        <v>124252.0625</v>
      </c>
      <c r="E4998" s="8">
        <v>124284.507813</v>
      </c>
      <c r="F4998" s="8">
        <f t="shared" si="154"/>
        <v>32.445313000003807</v>
      </c>
      <c r="G4998" s="8">
        <f t="shared" si="155"/>
        <v>3.2445313000003806E-2</v>
      </c>
    </row>
    <row r="4999" spans="1:7" x14ac:dyDescent="0.25">
      <c r="A4999" s="8">
        <v>66</v>
      </c>
      <c r="B4999" s="8">
        <v>45</v>
      </c>
      <c r="C4999" s="8">
        <v>116.749008</v>
      </c>
      <c r="D4999" s="8">
        <v>126534.1875</v>
      </c>
      <c r="E4999" s="8">
        <v>126544.078125</v>
      </c>
      <c r="F4999" s="8">
        <f t="shared" si="154"/>
        <v>9.890625</v>
      </c>
      <c r="G4999" s="8">
        <f t="shared" si="155"/>
        <v>9.8906250000000001E-3</v>
      </c>
    </row>
    <row r="5000" spans="1:7" x14ac:dyDescent="0.25">
      <c r="A5000" s="8">
        <v>66</v>
      </c>
      <c r="B5000" s="8">
        <v>46</v>
      </c>
      <c r="C5000" s="8">
        <v>575.71008300000005</v>
      </c>
      <c r="D5000" s="8">
        <v>126674.773438</v>
      </c>
      <c r="E5000" s="8">
        <v>126687.632813</v>
      </c>
      <c r="F5000" s="8">
        <f t="shared" si="154"/>
        <v>12.859375</v>
      </c>
      <c r="G5000" s="8">
        <f t="shared" si="155"/>
        <v>1.2859374999999999E-2</v>
      </c>
    </row>
    <row r="5001" spans="1:7" x14ac:dyDescent="0.25">
      <c r="A5001" s="8">
        <v>66</v>
      </c>
      <c r="B5001" s="8">
        <v>47</v>
      </c>
      <c r="C5001" s="8">
        <v>2523.1206050000001</v>
      </c>
      <c r="D5001" s="8">
        <v>127268.640625</v>
      </c>
      <c r="E5001" s="8">
        <v>127279.46875</v>
      </c>
      <c r="F5001" s="8">
        <f t="shared" si="154"/>
        <v>10.828125</v>
      </c>
      <c r="G5001" s="8">
        <f t="shared" si="155"/>
        <v>1.0828124999999999E-2</v>
      </c>
    </row>
    <row r="5002" spans="1:7" x14ac:dyDescent="0.25">
      <c r="A5002" s="8">
        <v>66</v>
      </c>
      <c r="B5002" s="8">
        <v>48</v>
      </c>
      <c r="C5002" s="8">
        <v>1245.5474850000001</v>
      </c>
      <c r="D5002" s="8">
        <v>129817.125</v>
      </c>
      <c r="E5002" s="8">
        <v>129832.070313</v>
      </c>
      <c r="F5002" s="8">
        <f t="shared" si="154"/>
        <v>14.945313000003807</v>
      </c>
      <c r="G5002" s="8">
        <f t="shared" si="155"/>
        <v>1.4945313000003808E-2</v>
      </c>
    </row>
    <row r="5003" spans="1:7" x14ac:dyDescent="0.25">
      <c r="A5003" s="8">
        <v>66</v>
      </c>
      <c r="B5003" s="8">
        <v>49</v>
      </c>
      <c r="C5003" s="8">
        <v>1090.702759</v>
      </c>
      <c r="D5003" s="8">
        <v>131082.875</v>
      </c>
      <c r="E5003" s="8">
        <v>131107.375</v>
      </c>
      <c r="F5003" s="8">
        <f t="shared" ref="F5003:F5066" si="156">E5003-D5003</f>
        <v>24.5</v>
      </c>
      <c r="G5003" s="8">
        <f t="shared" ref="G5003:G5066" si="157">F5003/1000</f>
        <v>2.4500000000000001E-2</v>
      </c>
    </row>
    <row r="5004" spans="1:7" x14ac:dyDescent="0.25">
      <c r="A5004" s="8">
        <v>66</v>
      </c>
      <c r="B5004" s="8">
        <v>50</v>
      </c>
      <c r="C5004" s="8">
        <v>1583.6523440000001</v>
      </c>
      <c r="D5004" s="8">
        <v>132202.0625</v>
      </c>
      <c r="E5004" s="8">
        <v>132233.78125</v>
      </c>
      <c r="F5004" s="8">
        <f t="shared" si="156"/>
        <v>31.71875</v>
      </c>
      <c r="G5004" s="8">
        <f t="shared" si="157"/>
        <v>3.1718749999999997E-2</v>
      </c>
    </row>
    <row r="5005" spans="1:7" x14ac:dyDescent="0.25">
      <c r="A5005" s="8">
        <v>66</v>
      </c>
      <c r="B5005" s="8">
        <v>51</v>
      </c>
      <c r="C5005" s="8">
        <v>4834.3071289999998</v>
      </c>
      <c r="D5005" s="8">
        <v>133831.921875</v>
      </c>
      <c r="E5005" s="8">
        <v>133855.75</v>
      </c>
      <c r="F5005" s="8">
        <f t="shared" si="156"/>
        <v>23.828125</v>
      </c>
      <c r="G5005" s="8">
        <f t="shared" si="157"/>
        <v>2.3828124999999999E-2</v>
      </c>
    </row>
    <row r="5006" spans="1:7" x14ac:dyDescent="0.25">
      <c r="A5006" s="8">
        <v>66</v>
      </c>
      <c r="B5006" s="8">
        <v>52</v>
      </c>
      <c r="C5006" s="8">
        <v>4306.2119140000004</v>
      </c>
      <c r="D5006" s="8">
        <v>138703.1875</v>
      </c>
      <c r="E5006" s="8">
        <v>138722.328125</v>
      </c>
      <c r="F5006" s="8">
        <f t="shared" si="156"/>
        <v>19.140625</v>
      </c>
      <c r="G5006" s="8">
        <f t="shared" si="157"/>
        <v>1.9140625000000001E-2</v>
      </c>
    </row>
    <row r="5007" spans="1:7" x14ac:dyDescent="0.25">
      <c r="A5007" s="8">
        <v>66</v>
      </c>
      <c r="B5007" s="8">
        <v>53</v>
      </c>
      <c r="C5007" s="8">
        <v>971.83978300000001</v>
      </c>
      <c r="D5007" s="8">
        <v>143030.90625</v>
      </c>
      <c r="E5007" s="8">
        <v>143038.734375</v>
      </c>
      <c r="F5007" s="8">
        <f t="shared" si="156"/>
        <v>7.828125</v>
      </c>
      <c r="G5007" s="8">
        <f t="shared" si="157"/>
        <v>7.828125E-3</v>
      </c>
    </row>
    <row r="5008" spans="1:7" x14ac:dyDescent="0.25">
      <c r="A5008" s="8">
        <v>66</v>
      </c>
      <c r="B5008" s="8">
        <v>54</v>
      </c>
      <c r="C5008" s="8">
        <v>656.77410899999995</v>
      </c>
      <c r="D5008" s="8">
        <v>144025.5625</v>
      </c>
      <c r="E5008" s="8">
        <v>144046.15625</v>
      </c>
      <c r="F5008" s="8">
        <f t="shared" si="156"/>
        <v>20.59375</v>
      </c>
      <c r="G5008" s="8">
        <f t="shared" si="157"/>
        <v>2.0593750000000001E-2</v>
      </c>
    </row>
    <row r="5009" spans="1:7" x14ac:dyDescent="0.25">
      <c r="A5009" s="8">
        <v>66</v>
      </c>
      <c r="B5009" s="8">
        <v>55</v>
      </c>
      <c r="C5009" s="8">
        <v>5163.9404299999997</v>
      </c>
      <c r="D5009" s="8">
        <v>144713.03125</v>
      </c>
      <c r="E5009" s="8">
        <v>144723.875</v>
      </c>
      <c r="F5009" s="8">
        <f t="shared" si="156"/>
        <v>10.84375</v>
      </c>
      <c r="G5009" s="8">
        <f t="shared" si="157"/>
        <v>1.0843749999999999E-2</v>
      </c>
    </row>
    <row r="5010" spans="1:7" x14ac:dyDescent="0.25">
      <c r="A5010" s="8">
        <v>66</v>
      </c>
      <c r="B5010" s="8">
        <v>56</v>
      </c>
      <c r="C5010" s="8">
        <v>5334.0048829999996</v>
      </c>
      <c r="D5010" s="8">
        <v>149889.40625</v>
      </c>
      <c r="E5010" s="8">
        <v>149911.15625</v>
      </c>
      <c r="F5010" s="8">
        <f t="shared" si="156"/>
        <v>21.75</v>
      </c>
      <c r="G5010" s="8">
        <f t="shared" si="157"/>
        <v>2.1749999999999999E-2</v>
      </c>
    </row>
    <row r="5011" spans="1:7" x14ac:dyDescent="0.25">
      <c r="A5011" s="8">
        <v>66</v>
      </c>
      <c r="B5011" s="8">
        <v>57</v>
      </c>
      <c r="C5011" s="8">
        <v>3309.8447270000001</v>
      </c>
      <c r="D5011" s="8">
        <v>155250.40625</v>
      </c>
      <c r="E5011" s="8">
        <v>155276.640625</v>
      </c>
      <c r="F5011" s="8">
        <f t="shared" si="156"/>
        <v>26.234375</v>
      </c>
      <c r="G5011" s="8">
        <f t="shared" si="157"/>
        <v>2.6234375000000001E-2</v>
      </c>
    </row>
    <row r="5012" spans="1:7" x14ac:dyDescent="0.25">
      <c r="A5012" s="8">
        <v>66</v>
      </c>
      <c r="B5012" s="8">
        <v>58</v>
      </c>
      <c r="C5012" s="8">
        <v>3633.2673340000001</v>
      </c>
      <c r="D5012" s="8">
        <v>158595.359375</v>
      </c>
      <c r="E5012" s="8">
        <v>158612.03125</v>
      </c>
      <c r="F5012" s="8">
        <f t="shared" si="156"/>
        <v>16.671875</v>
      </c>
      <c r="G5012" s="8">
        <f t="shared" si="157"/>
        <v>1.6671874999999999E-2</v>
      </c>
    </row>
    <row r="5013" spans="1:7" x14ac:dyDescent="0.25">
      <c r="A5013" s="8">
        <v>66</v>
      </c>
      <c r="B5013" s="8">
        <v>59</v>
      </c>
      <c r="C5013" s="8">
        <v>444.19769300000002</v>
      </c>
      <c r="D5013" s="8">
        <v>162252.71875</v>
      </c>
      <c r="E5013" s="8">
        <v>162284.15625</v>
      </c>
      <c r="F5013" s="8">
        <f t="shared" si="156"/>
        <v>31.4375</v>
      </c>
      <c r="G5013" s="8">
        <f t="shared" si="157"/>
        <v>3.14375E-2</v>
      </c>
    </row>
    <row r="5014" spans="1:7" x14ac:dyDescent="0.25">
      <c r="A5014" s="8">
        <v>66</v>
      </c>
      <c r="B5014" s="8">
        <v>60</v>
      </c>
      <c r="C5014" s="8">
        <v>6328.8876950000003</v>
      </c>
      <c r="D5014" s="8">
        <v>162736.890625</v>
      </c>
      <c r="E5014" s="8">
        <v>162758.078125</v>
      </c>
      <c r="F5014" s="8">
        <f t="shared" si="156"/>
        <v>21.1875</v>
      </c>
      <c r="G5014" s="8">
        <f t="shared" si="157"/>
        <v>2.1187500000000001E-2</v>
      </c>
    </row>
    <row r="5015" spans="1:7" x14ac:dyDescent="0.25">
      <c r="A5015" s="8">
        <v>66</v>
      </c>
      <c r="B5015" s="8">
        <v>61</v>
      </c>
      <c r="C5015" s="8">
        <v>193.58892800000001</v>
      </c>
      <c r="D5015" s="8">
        <v>169095.328125</v>
      </c>
      <c r="E5015" s="8">
        <v>169115.046875</v>
      </c>
      <c r="F5015" s="8">
        <f t="shared" si="156"/>
        <v>19.71875</v>
      </c>
      <c r="G5015" s="8">
        <f t="shared" si="157"/>
        <v>1.971875E-2</v>
      </c>
    </row>
    <row r="5016" spans="1:7" x14ac:dyDescent="0.25">
      <c r="A5016" s="8">
        <v>66</v>
      </c>
      <c r="B5016" s="8">
        <v>62</v>
      </c>
      <c r="C5016" s="8">
        <v>284.094696</v>
      </c>
      <c r="D5016" s="8">
        <v>169314.09375</v>
      </c>
      <c r="E5016" s="8">
        <v>169330.9375</v>
      </c>
      <c r="F5016" s="8">
        <f t="shared" si="156"/>
        <v>16.84375</v>
      </c>
      <c r="G5016" s="8">
        <f t="shared" si="157"/>
        <v>1.6843750000000001E-2</v>
      </c>
    </row>
    <row r="5017" spans="1:7" x14ac:dyDescent="0.25">
      <c r="A5017" s="8">
        <v>66</v>
      </c>
      <c r="B5017" s="8">
        <v>63</v>
      </c>
      <c r="C5017" s="8">
        <v>343.50219700000002</v>
      </c>
      <c r="D5017" s="8">
        <v>169626.640625</v>
      </c>
      <c r="E5017" s="8">
        <v>169641.109375</v>
      </c>
      <c r="F5017" s="8">
        <f t="shared" si="156"/>
        <v>14.46875</v>
      </c>
      <c r="G5017" s="8">
        <f t="shared" si="157"/>
        <v>1.4468750000000001E-2</v>
      </c>
    </row>
    <row r="5018" spans="1:7" x14ac:dyDescent="0.25">
      <c r="A5018" s="8">
        <v>67</v>
      </c>
      <c r="B5018" s="8">
        <v>0</v>
      </c>
      <c r="C5018" s="8">
        <v>601.845642</v>
      </c>
      <c r="D5018" s="8">
        <v>24990.642577999999</v>
      </c>
      <c r="E5018" s="8">
        <v>24998.558593999998</v>
      </c>
      <c r="F5018" s="8">
        <f t="shared" si="156"/>
        <v>7.9160159999992175</v>
      </c>
      <c r="G5018" s="8">
        <f t="shared" si="157"/>
        <v>7.9160159999992173E-3</v>
      </c>
    </row>
    <row r="5019" spans="1:7" x14ac:dyDescent="0.25">
      <c r="A5019" s="8">
        <v>67</v>
      </c>
      <c r="B5019" s="8">
        <v>1</v>
      </c>
      <c r="C5019" s="8">
        <v>851.03411900000003</v>
      </c>
      <c r="D5019" s="8">
        <v>25599.917968999998</v>
      </c>
      <c r="E5019" s="8">
        <v>25611.035156000002</v>
      </c>
      <c r="F5019" s="8">
        <f t="shared" si="156"/>
        <v>11.117187000003469</v>
      </c>
      <c r="G5019" s="8">
        <f t="shared" si="157"/>
        <v>1.1117187000003468E-2</v>
      </c>
    </row>
    <row r="5020" spans="1:7" x14ac:dyDescent="0.25">
      <c r="A5020" s="8">
        <v>67</v>
      </c>
      <c r="B5020" s="8">
        <v>2</v>
      </c>
      <c r="C5020" s="8">
        <v>2654.0375979999999</v>
      </c>
      <c r="D5020" s="8">
        <v>26477.513672000001</v>
      </c>
      <c r="E5020" s="8">
        <v>26560.853515999999</v>
      </c>
      <c r="F5020" s="8">
        <f t="shared" si="156"/>
        <v>83.339843999998266</v>
      </c>
      <c r="G5020" s="8">
        <f t="shared" si="157"/>
        <v>8.3339843999998262E-2</v>
      </c>
    </row>
    <row r="5021" spans="1:7" x14ac:dyDescent="0.25">
      <c r="A5021" s="8">
        <v>67</v>
      </c>
      <c r="B5021" s="8">
        <v>3</v>
      </c>
      <c r="C5021" s="8">
        <v>481.12033100000002</v>
      </c>
      <c r="D5021" s="8">
        <v>29215.167968999998</v>
      </c>
      <c r="E5021" s="8">
        <v>29225.65625</v>
      </c>
      <c r="F5021" s="8">
        <f t="shared" si="156"/>
        <v>10.488281000001734</v>
      </c>
      <c r="G5021" s="8">
        <f t="shared" si="157"/>
        <v>1.0488281000001735E-2</v>
      </c>
    </row>
    <row r="5022" spans="1:7" x14ac:dyDescent="0.25">
      <c r="A5022" s="8">
        <v>67</v>
      </c>
      <c r="B5022" s="8">
        <v>4</v>
      </c>
      <c r="C5022" s="8">
        <v>1738.221313</v>
      </c>
      <c r="D5022" s="8">
        <v>29715.339843999998</v>
      </c>
      <c r="E5022" s="8">
        <v>29741.90625</v>
      </c>
      <c r="F5022" s="8">
        <f t="shared" si="156"/>
        <v>26.566406000001734</v>
      </c>
      <c r="G5022" s="8">
        <f t="shared" si="157"/>
        <v>2.6566406000001735E-2</v>
      </c>
    </row>
    <row r="5023" spans="1:7" x14ac:dyDescent="0.25">
      <c r="A5023" s="8">
        <v>67</v>
      </c>
      <c r="B5023" s="8">
        <v>5</v>
      </c>
      <c r="C5023" s="8">
        <v>902.026794</v>
      </c>
      <c r="D5023" s="8">
        <v>31487.892577999999</v>
      </c>
      <c r="E5023" s="8">
        <v>31511.523438</v>
      </c>
      <c r="F5023" s="8">
        <f t="shared" si="156"/>
        <v>23.630860000001121</v>
      </c>
      <c r="G5023" s="8">
        <f t="shared" si="157"/>
        <v>2.3630860000001121E-2</v>
      </c>
    </row>
    <row r="5024" spans="1:7" x14ac:dyDescent="0.25">
      <c r="A5024" s="8">
        <v>67</v>
      </c>
      <c r="B5024" s="8">
        <v>6</v>
      </c>
      <c r="C5024" s="8">
        <v>7941.3774409999996</v>
      </c>
      <c r="D5024" s="8">
        <v>32426.277343999998</v>
      </c>
      <c r="E5024" s="8">
        <v>32446.583984000001</v>
      </c>
      <c r="F5024" s="8">
        <f t="shared" si="156"/>
        <v>20.306640000002517</v>
      </c>
      <c r="G5024" s="8">
        <f t="shared" si="157"/>
        <v>2.0306640000002516E-2</v>
      </c>
    </row>
    <row r="5025" spans="1:7" x14ac:dyDescent="0.25">
      <c r="A5025" s="8">
        <v>67</v>
      </c>
      <c r="B5025" s="8">
        <v>7</v>
      </c>
      <c r="C5025" s="8">
        <v>4417.5317379999997</v>
      </c>
      <c r="D5025" s="8">
        <v>40402.347655999998</v>
      </c>
      <c r="E5025" s="8">
        <v>40424.347655999998</v>
      </c>
      <c r="F5025" s="8">
        <f t="shared" si="156"/>
        <v>22</v>
      </c>
      <c r="G5025" s="8">
        <f t="shared" si="157"/>
        <v>2.1999999999999999E-2</v>
      </c>
    </row>
    <row r="5026" spans="1:7" x14ac:dyDescent="0.25">
      <c r="A5026" s="8">
        <v>67</v>
      </c>
      <c r="B5026" s="8">
        <v>8</v>
      </c>
      <c r="C5026" s="8">
        <v>1011.524414</v>
      </c>
      <c r="D5026" s="8">
        <v>44849.988280999998</v>
      </c>
      <c r="E5026" s="8">
        <v>44866.496094000002</v>
      </c>
      <c r="F5026" s="8">
        <f t="shared" si="156"/>
        <v>16.507813000003807</v>
      </c>
      <c r="G5026" s="8">
        <f t="shared" si="157"/>
        <v>1.6507813000003806E-2</v>
      </c>
    </row>
    <row r="5027" spans="1:7" x14ac:dyDescent="0.25">
      <c r="A5027" s="8">
        <v>67</v>
      </c>
      <c r="B5027" s="8">
        <v>9</v>
      </c>
      <c r="C5027" s="8">
        <v>217.602936</v>
      </c>
      <c r="D5027" s="8">
        <v>45882.046875</v>
      </c>
      <c r="E5027" s="8">
        <v>45912.289062999997</v>
      </c>
      <c r="F5027" s="8">
        <f t="shared" si="156"/>
        <v>30.242187999996531</v>
      </c>
      <c r="G5027" s="8">
        <f t="shared" si="157"/>
        <v>3.024218799999653E-2</v>
      </c>
    </row>
    <row r="5028" spans="1:7" x14ac:dyDescent="0.25">
      <c r="A5028" s="8">
        <v>67</v>
      </c>
      <c r="B5028" s="8">
        <v>10</v>
      </c>
      <c r="C5028" s="8">
        <v>40.633347000000001</v>
      </c>
      <c r="D5028" s="8">
        <v>46132.59375</v>
      </c>
      <c r="E5028" s="8">
        <v>46155.25</v>
      </c>
      <c r="F5028" s="8">
        <f t="shared" si="156"/>
        <v>22.65625</v>
      </c>
      <c r="G5028" s="8">
        <f t="shared" si="157"/>
        <v>2.2656249999999999E-2</v>
      </c>
    </row>
    <row r="5029" spans="1:7" x14ac:dyDescent="0.25">
      <c r="A5029" s="8">
        <v>67</v>
      </c>
      <c r="B5029" s="8">
        <v>11</v>
      </c>
      <c r="C5029" s="8">
        <v>1453.7670900000001</v>
      </c>
      <c r="D5029" s="8">
        <v>46202.109375</v>
      </c>
      <c r="E5029" s="8">
        <v>46216.425780999998</v>
      </c>
      <c r="F5029" s="8">
        <f t="shared" si="156"/>
        <v>14.316405999998096</v>
      </c>
      <c r="G5029" s="8">
        <f t="shared" si="157"/>
        <v>1.4316405999998096E-2</v>
      </c>
    </row>
    <row r="5030" spans="1:7" x14ac:dyDescent="0.25">
      <c r="A5030" s="8">
        <v>67</v>
      </c>
      <c r="B5030" s="8">
        <v>12</v>
      </c>
      <c r="C5030" s="8">
        <v>2564.9340820000002</v>
      </c>
      <c r="D5030" s="8">
        <v>47672.863280999998</v>
      </c>
      <c r="E5030" s="8">
        <v>47680.511719000002</v>
      </c>
      <c r="F5030" s="8">
        <f t="shared" si="156"/>
        <v>7.6484380000038072</v>
      </c>
      <c r="G5030" s="8">
        <f t="shared" si="157"/>
        <v>7.6484380000038073E-3</v>
      </c>
    </row>
    <row r="5031" spans="1:7" x14ac:dyDescent="0.25">
      <c r="A5031" s="8">
        <v>67</v>
      </c>
      <c r="B5031" s="8">
        <v>13</v>
      </c>
      <c r="C5031" s="8">
        <v>456.88989299999997</v>
      </c>
      <c r="D5031" s="8">
        <v>50252.789062999997</v>
      </c>
      <c r="E5031" s="8">
        <v>50270.34375</v>
      </c>
      <c r="F5031" s="8">
        <f t="shared" si="156"/>
        <v>17.554687000003469</v>
      </c>
      <c r="G5031" s="8">
        <f t="shared" si="157"/>
        <v>1.7554687000003469E-2</v>
      </c>
    </row>
    <row r="5032" spans="1:7" x14ac:dyDescent="0.25">
      <c r="A5032" s="8">
        <v>67</v>
      </c>
      <c r="B5032" s="8">
        <v>14</v>
      </c>
      <c r="C5032" s="8">
        <v>1028.6011960000001</v>
      </c>
      <c r="D5032" s="8">
        <v>50737.261719000002</v>
      </c>
      <c r="E5032" s="8">
        <v>50744.976562999997</v>
      </c>
      <c r="F5032" s="8">
        <f t="shared" si="156"/>
        <v>7.7148439999946277</v>
      </c>
      <c r="G5032" s="8">
        <f t="shared" si="157"/>
        <v>7.7148439999946278E-3</v>
      </c>
    </row>
    <row r="5033" spans="1:7" x14ac:dyDescent="0.25">
      <c r="A5033" s="8">
        <v>67</v>
      </c>
      <c r="B5033" s="8">
        <v>15</v>
      </c>
      <c r="C5033" s="8">
        <v>1619.5423579999999</v>
      </c>
      <c r="D5033" s="8">
        <v>51779.324219000002</v>
      </c>
      <c r="E5033" s="8">
        <v>51802.871094000002</v>
      </c>
      <c r="F5033" s="8">
        <f t="shared" si="156"/>
        <v>23.546875</v>
      </c>
      <c r="G5033" s="8">
        <f t="shared" si="157"/>
        <v>2.3546874999999998E-2</v>
      </c>
    </row>
    <row r="5034" spans="1:7" x14ac:dyDescent="0.25">
      <c r="A5034" s="8">
        <v>67</v>
      </c>
      <c r="B5034" s="8">
        <v>16</v>
      </c>
      <c r="C5034" s="8">
        <v>812.54834000000005</v>
      </c>
      <c r="D5034" s="8">
        <v>53436.882812999997</v>
      </c>
      <c r="E5034" s="8">
        <v>53544.539062999997</v>
      </c>
      <c r="F5034" s="8">
        <f t="shared" si="156"/>
        <v>107.65625</v>
      </c>
      <c r="G5034" s="8">
        <f t="shared" si="157"/>
        <v>0.10765625</v>
      </c>
    </row>
    <row r="5035" spans="1:7" x14ac:dyDescent="0.25">
      <c r="A5035" s="8">
        <v>67</v>
      </c>
      <c r="B5035" s="8">
        <v>17</v>
      </c>
      <c r="C5035" s="8">
        <v>871.40765399999998</v>
      </c>
      <c r="D5035" s="8">
        <v>54362.804687999997</v>
      </c>
      <c r="E5035" s="8">
        <v>54386.085937999997</v>
      </c>
      <c r="F5035" s="8">
        <f t="shared" si="156"/>
        <v>23.28125</v>
      </c>
      <c r="G5035" s="8">
        <f t="shared" si="157"/>
        <v>2.328125E-2</v>
      </c>
    </row>
    <row r="5036" spans="1:7" x14ac:dyDescent="0.25">
      <c r="A5036" s="8">
        <v>67</v>
      </c>
      <c r="B5036" s="8">
        <v>18</v>
      </c>
      <c r="C5036" s="8">
        <v>1472.7966309999999</v>
      </c>
      <c r="D5036" s="8">
        <v>55269.253905999998</v>
      </c>
      <c r="E5036" s="8">
        <v>55281.542969000002</v>
      </c>
      <c r="F5036" s="8">
        <f t="shared" si="156"/>
        <v>12.289063000003807</v>
      </c>
      <c r="G5036" s="8">
        <f t="shared" si="157"/>
        <v>1.2289063000003807E-2</v>
      </c>
    </row>
    <row r="5037" spans="1:7" x14ac:dyDescent="0.25">
      <c r="A5037" s="8">
        <v>67</v>
      </c>
      <c r="B5037" s="8">
        <v>19</v>
      </c>
      <c r="C5037" s="8">
        <v>6390.5214839999999</v>
      </c>
      <c r="D5037" s="8">
        <v>56753.734375</v>
      </c>
      <c r="E5037" s="8">
        <v>56772.492187999997</v>
      </c>
      <c r="F5037" s="8">
        <f t="shared" si="156"/>
        <v>18.757812999996531</v>
      </c>
      <c r="G5037" s="8">
        <f t="shared" si="157"/>
        <v>1.8757812999996532E-2</v>
      </c>
    </row>
    <row r="5038" spans="1:7" x14ac:dyDescent="0.25">
      <c r="A5038" s="8">
        <v>67</v>
      </c>
      <c r="B5038" s="8">
        <v>20</v>
      </c>
      <c r="C5038" s="8">
        <v>1236.5792240000001</v>
      </c>
      <c r="D5038" s="8">
        <v>63172.964844000002</v>
      </c>
      <c r="E5038" s="8">
        <v>63182.78125</v>
      </c>
      <c r="F5038" s="8">
        <f t="shared" si="156"/>
        <v>9.8164059999980964</v>
      </c>
      <c r="G5038" s="8">
        <f t="shared" si="157"/>
        <v>9.8164059999980968E-3</v>
      </c>
    </row>
    <row r="5039" spans="1:7" x14ac:dyDescent="0.25">
      <c r="A5039" s="8">
        <v>67</v>
      </c>
      <c r="B5039" s="8">
        <v>21</v>
      </c>
      <c r="C5039" s="8">
        <v>176.24903900000001</v>
      </c>
      <c r="D5039" s="8">
        <v>64434.03125</v>
      </c>
      <c r="E5039" s="8">
        <v>64450.898437999997</v>
      </c>
      <c r="F5039" s="8">
        <f t="shared" si="156"/>
        <v>16.867187999996531</v>
      </c>
      <c r="G5039" s="8">
        <f t="shared" si="157"/>
        <v>1.6867187999996532E-2</v>
      </c>
    </row>
    <row r="5040" spans="1:7" x14ac:dyDescent="0.25">
      <c r="A5040" s="8">
        <v>67</v>
      </c>
      <c r="B5040" s="8">
        <v>22</v>
      </c>
      <c r="C5040" s="8">
        <v>1812.0566409999999</v>
      </c>
      <c r="D5040" s="8">
        <v>64637.152344000002</v>
      </c>
      <c r="E5040" s="8">
        <v>64649.9375</v>
      </c>
      <c r="F5040" s="8">
        <f t="shared" si="156"/>
        <v>12.785155999998096</v>
      </c>
      <c r="G5040" s="8">
        <f t="shared" si="157"/>
        <v>1.2785155999998096E-2</v>
      </c>
    </row>
    <row r="5041" spans="1:7" x14ac:dyDescent="0.25">
      <c r="A5041" s="8">
        <v>67</v>
      </c>
      <c r="B5041" s="8">
        <v>23</v>
      </c>
      <c r="C5041" s="8">
        <v>228.24737500000001</v>
      </c>
      <c r="D5041" s="8">
        <v>66465.492188000004</v>
      </c>
      <c r="E5041" s="8">
        <v>66489.539063000004</v>
      </c>
      <c r="F5041" s="8">
        <f t="shared" si="156"/>
        <v>24.046875</v>
      </c>
      <c r="G5041" s="8">
        <f t="shared" si="157"/>
        <v>2.4046874999999999E-2</v>
      </c>
    </row>
    <row r="5042" spans="1:7" x14ac:dyDescent="0.25">
      <c r="A5042" s="8">
        <v>67</v>
      </c>
      <c r="B5042" s="8">
        <v>24</v>
      </c>
      <c r="C5042" s="8">
        <v>900.68573000000004</v>
      </c>
      <c r="D5042" s="8">
        <v>66731.132813000004</v>
      </c>
      <c r="E5042" s="8">
        <v>66755.34375</v>
      </c>
      <c r="F5042" s="8">
        <f t="shared" si="156"/>
        <v>24.210936999996193</v>
      </c>
      <c r="G5042" s="8">
        <f t="shared" si="157"/>
        <v>2.4210936999996192E-2</v>
      </c>
    </row>
    <row r="5043" spans="1:7" x14ac:dyDescent="0.25">
      <c r="A5043" s="8">
        <v>67</v>
      </c>
      <c r="B5043" s="8">
        <v>25</v>
      </c>
      <c r="C5043" s="8">
        <v>5484.5205079999996</v>
      </c>
      <c r="D5043" s="8">
        <v>67670.28125</v>
      </c>
      <c r="E5043" s="8">
        <v>67692.5</v>
      </c>
      <c r="F5043" s="8">
        <f t="shared" si="156"/>
        <v>22.21875</v>
      </c>
      <c r="G5043" s="8">
        <f t="shared" si="157"/>
        <v>2.2218749999999999E-2</v>
      </c>
    </row>
    <row r="5044" spans="1:7" x14ac:dyDescent="0.25">
      <c r="A5044" s="8">
        <v>67</v>
      </c>
      <c r="B5044" s="8">
        <v>26</v>
      </c>
      <c r="C5044" s="8">
        <v>1720.3969729999999</v>
      </c>
      <c r="D5044" s="8">
        <v>73185.53125</v>
      </c>
      <c r="E5044" s="8">
        <v>73196.695313000004</v>
      </c>
      <c r="F5044" s="8">
        <f t="shared" si="156"/>
        <v>11.164063000003807</v>
      </c>
      <c r="G5044" s="8">
        <f t="shared" si="157"/>
        <v>1.1164063000003808E-2</v>
      </c>
    </row>
    <row r="5045" spans="1:7" x14ac:dyDescent="0.25">
      <c r="A5045" s="8">
        <v>67</v>
      </c>
      <c r="B5045" s="8">
        <v>27</v>
      </c>
      <c r="C5045" s="8">
        <v>6311.6215819999998</v>
      </c>
      <c r="D5045" s="8">
        <v>74930.140625</v>
      </c>
      <c r="E5045" s="8">
        <v>74944.65625</v>
      </c>
      <c r="F5045" s="8">
        <f t="shared" si="156"/>
        <v>14.515625</v>
      </c>
      <c r="G5045" s="8">
        <f t="shared" si="157"/>
        <v>1.4515625000000001E-2</v>
      </c>
    </row>
    <row r="5046" spans="1:7" x14ac:dyDescent="0.25">
      <c r="A5046" s="8">
        <v>67</v>
      </c>
      <c r="B5046" s="8">
        <v>28</v>
      </c>
      <c r="C5046" s="8">
        <v>566.29022199999997</v>
      </c>
      <c r="D5046" s="8">
        <v>81270.765625</v>
      </c>
      <c r="E5046" s="8">
        <v>81291.773438000004</v>
      </c>
      <c r="F5046" s="8">
        <f t="shared" si="156"/>
        <v>21.007813000003807</v>
      </c>
      <c r="G5046" s="8">
        <f t="shared" si="157"/>
        <v>2.1007813000003806E-2</v>
      </c>
    </row>
    <row r="5047" spans="1:7" x14ac:dyDescent="0.25">
      <c r="A5047" s="8">
        <v>67</v>
      </c>
      <c r="B5047" s="8">
        <v>29</v>
      </c>
      <c r="C5047" s="8">
        <v>1617.348755</v>
      </c>
      <c r="D5047" s="8">
        <v>81869.4375</v>
      </c>
      <c r="E5047" s="8">
        <v>81880.40625</v>
      </c>
      <c r="F5047" s="8">
        <f t="shared" si="156"/>
        <v>10.96875</v>
      </c>
      <c r="G5047" s="8">
        <f t="shared" si="157"/>
        <v>1.0968749999999999E-2</v>
      </c>
    </row>
    <row r="5048" spans="1:7" x14ac:dyDescent="0.25">
      <c r="A5048" s="8">
        <v>67</v>
      </c>
      <c r="B5048" s="8">
        <v>30</v>
      </c>
      <c r="C5048" s="8">
        <v>451.37481700000001</v>
      </c>
      <c r="D5048" s="8">
        <v>83499.804688000004</v>
      </c>
      <c r="E5048" s="8">
        <v>83527.15625</v>
      </c>
      <c r="F5048" s="8">
        <f t="shared" si="156"/>
        <v>27.351561999996193</v>
      </c>
      <c r="G5048" s="8">
        <f t="shared" si="157"/>
        <v>2.7351561999996193E-2</v>
      </c>
    </row>
    <row r="5049" spans="1:7" x14ac:dyDescent="0.25">
      <c r="A5049" s="8">
        <v>67</v>
      </c>
      <c r="B5049" s="8">
        <v>31</v>
      </c>
      <c r="C5049" s="8">
        <v>2781.0910640000002</v>
      </c>
      <c r="D5049" s="8">
        <v>83984.195313000004</v>
      </c>
      <c r="E5049" s="8">
        <v>83996.046875</v>
      </c>
      <c r="F5049" s="8">
        <f t="shared" si="156"/>
        <v>11.851561999996193</v>
      </c>
      <c r="G5049" s="8">
        <f t="shared" si="157"/>
        <v>1.1851561999996194E-2</v>
      </c>
    </row>
    <row r="5050" spans="1:7" x14ac:dyDescent="0.25">
      <c r="A5050" s="8">
        <v>67</v>
      </c>
      <c r="B5050" s="8">
        <v>32</v>
      </c>
      <c r="C5050" s="8">
        <v>1438.4219969999999</v>
      </c>
      <c r="D5050" s="8">
        <v>86783.992188000004</v>
      </c>
      <c r="E5050" s="8">
        <v>86793.0625</v>
      </c>
      <c r="F5050" s="8">
        <f t="shared" si="156"/>
        <v>9.0703119999961928</v>
      </c>
      <c r="G5050" s="8">
        <f t="shared" si="157"/>
        <v>9.0703119999961928E-3</v>
      </c>
    </row>
    <row r="5051" spans="1:7" x14ac:dyDescent="0.25">
      <c r="A5051" s="8">
        <v>67</v>
      </c>
      <c r="B5051" s="8">
        <v>33</v>
      </c>
      <c r="C5051" s="8">
        <v>3807.7341310000002</v>
      </c>
      <c r="D5051" s="8">
        <v>88240.453125</v>
      </c>
      <c r="E5051" s="8">
        <v>88284.90625</v>
      </c>
      <c r="F5051" s="8">
        <f t="shared" si="156"/>
        <v>44.453125</v>
      </c>
      <c r="G5051" s="8">
        <f t="shared" si="157"/>
        <v>4.4453125000000003E-2</v>
      </c>
    </row>
    <row r="5052" spans="1:7" x14ac:dyDescent="0.25">
      <c r="A5052" s="8">
        <v>67</v>
      </c>
      <c r="B5052" s="8">
        <v>34</v>
      </c>
      <c r="C5052" s="8">
        <v>4943.3164059999999</v>
      </c>
      <c r="D5052" s="8">
        <v>92105.007813000004</v>
      </c>
      <c r="E5052" s="8">
        <v>92122.226563000004</v>
      </c>
      <c r="F5052" s="8">
        <f t="shared" si="156"/>
        <v>17.21875</v>
      </c>
      <c r="G5052" s="8">
        <f t="shared" si="157"/>
        <v>1.7218750000000001E-2</v>
      </c>
    </row>
    <row r="5053" spans="1:7" x14ac:dyDescent="0.25">
      <c r="A5053" s="8">
        <v>67</v>
      </c>
      <c r="B5053" s="8">
        <v>35</v>
      </c>
      <c r="C5053" s="8">
        <v>291.91922</v>
      </c>
      <c r="D5053" s="8">
        <v>97071.757813000004</v>
      </c>
      <c r="E5053" s="8">
        <v>97179.21875</v>
      </c>
      <c r="F5053" s="8">
        <f t="shared" si="156"/>
        <v>107.46093699999619</v>
      </c>
      <c r="G5053" s="8">
        <f t="shared" si="157"/>
        <v>0.10746093699999619</v>
      </c>
    </row>
    <row r="5054" spans="1:7" x14ac:dyDescent="0.25">
      <c r="A5054" s="8">
        <v>67</v>
      </c>
      <c r="B5054" s="8">
        <v>36</v>
      </c>
      <c r="C5054" s="8">
        <v>3034.8527829999998</v>
      </c>
      <c r="D5054" s="8">
        <v>97481.59375</v>
      </c>
      <c r="E5054" s="8">
        <v>97493.078125</v>
      </c>
      <c r="F5054" s="8">
        <f t="shared" si="156"/>
        <v>11.484375</v>
      </c>
      <c r="G5054" s="8">
        <f t="shared" si="157"/>
        <v>1.1484375E-2</v>
      </c>
    </row>
    <row r="5055" spans="1:7" x14ac:dyDescent="0.25">
      <c r="A5055" s="8">
        <v>67</v>
      </c>
      <c r="B5055" s="8">
        <v>37</v>
      </c>
      <c r="C5055" s="8">
        <v>3091.6000979999999</v>
      </c>
      <c r="D5055" s="8">
        <v>100542.078125</v>
      </c>
      <c r="E5055" s="8">
        <v>100554.351563</v>
      </c>
      <c r="F5055" s="8">
        <f t="shared" si="156"/>
        <v>12.273438000003807</v>
      </c>
      <c r="G5055" s="8">
        <f t="shared" si="157"/>
        <v>1.2273438000003807E-2</v>
      </c>
    </row>
    <row r="5056" spans="1:7" x14ac:dyDescent="0.25">
      <c r="A5056" s="8">
        <v>67</v>
      </c>
      <c r="B5056" s="8">
        <v>38</v>
      </c>
      <c r="C5056" s="8">
        <v>4115.8305659999996</v>
      </c>
      <c r="D5056" s="8">
        <v>103653.601563</v>
      </c>
      <c r="E5056" s="8">
        <v>103672.117188</v>
      </c>
      <c r="F5056" s="8">
        <f t="shared" si="156"/>
        <v>18.515625</v>
      </c>
      <c r="G5056" s="8">
        <f t="shared" si="157"/>
        <v>1.8515625000000001E-2</v>
      </c>
    </row>
    <row r="5057" spans="1:7" x14ac:dyDescent="0.25">
      <c r="A5057" s="8">
        <v>67</v>
      </c>
      <c r="B5057" s="8">
        <v>39</v>
      </c>
      <c r="C5057" s="8">
        <v>51.877074999999998</v>
      </c>
      <c r="D5057" s="8">
        <v>107797.976563</v>
      </c>
      <c r="E5057" s="8">
        <v>107813.101563</v>
      </c>
      <c r="F5057" s="8">
        <f t="shared" si="156"/>
        <v>15.125</v>
      </c>
      <c r="G5057" s="8">
        <f t="shared" si="157"/>
        <v>1.5125E-2</v>
      </c>
    </row>
    <row r="5058" spans="1:7" x14ac:dyDescent="0.25">
      <c r="A5058" s="8">
        <v>67</v>
      </c>
      <c r="B5058" s="8">
        <v>40</v>
      </c>
      <c r="C5058" s="8">
        <v>2236.1145019999999</v>
      </c>
      <c r="D5058" s="8">
        <v>107876.117188</v>
      </c>
      <c r="E5058" s="8">
        <v>107888.539063</v>
      </c>
      <c r="F5058" s="8">
        <f t="shared" si="156"/>
        <v>12.421875</v>
      </c>
      <c r="G5058" s="8">
        <f t="shared" si="157"/>
        <v>1.2421875000000001E-2</v>
      </c>
    </row>
    <row r="5059" spans="1:7" x14ac:dyDescent="0.25">
      <c r="A5059" s="8">
        <v>67</v>
      </c>
      <c r="B5059" s="8">
        <v>41</v>
      </c>
      <c r="C5059" s="8">
        <v>4585.5517579999996</v>
      </c>
      <c r="D5059" s="8">
        <v>110127.054688</v>
      </c>
      <c r="E5059" s="8">
        <v>110141.664063</v>
      </c>
      <c r="F5059" s="8">
        <f t="shared" si="156"/>
        <v>14.609375</v>
      </c>
      <c r="G5059" s="8">
        <f t="shared" si="157"/>
        <v>1.4609375000000001E-2</v>
      </c>
    </row>
    <row r="5060" spans="1:7" x14ac:dyDescent="0.25">
      <c r="A5060" s="8">
        <v>67</v>
      </c>
      <c r="B5060" s="8">
        <v>42</v>
      </c>
      <c r="C5060" s="8">
        <v>2725.7165530000002</v>
      </c>
      <c r="D5060" s="8">
        <v>114737.640625</v>
      </c>
      <c r="E5060" s="8">
        <v>114765.375</v>
      </c>
      <c r="F5060" s="8">
        <f t="shared" si="156"/>
        <v>27.734375</v>
      </c>
      <c r="G5060" s="8">
        <f t="shared" si="157"/>
        <v>2.7734374999999999E-2</v>
      </c>
    </row>
    <row r="5061" spans="1:7" x14ac:dyDescent="0.25">
      <c r="A5061" s="8">
        <v>67</v>
      </c>
      <c r="B5061" s="8">
        <v>43</v>
      </c>
      <c r="C5061" s="8">
        <v>117.00784299999999</v>
      </c>
      <c r="D5061" s="8">
        <v>117504.210938</v>
      </c>
      <c r="E5061" s="8">
        <v>117527.09375</v>
      </c>
      <c r="F5061" s="8">
        <f t="shared" si="156"/>
        <v>22.882811999996193</v>
      </c>
      <c r="G5061" s="8">
        <f t="shared" si="157"/>
        <v>2.2882811999996193E-2</v>
      </c>
    </row>
    <row r="5062" spans="1:7" x14ac:dyDescent="0.25">
      <c r="A5062" s="8">
        <v>67</v>
      </c>
      <c r="B5062" s="8">
        <v>44</v>
      </c>
      <c r="C5062" s="8">
        <v>3488.1110840000001</v>
      </c>
      <c r="D5062" s="8">
        <v>117650.460938</v>
      </c>
      <c r="E5062" s="8">
        <v>117658.015625</v>
      </c>
      <c r="F5062" s="8">
        <f t="shared" si="156"/>
        <v>7.5546869999961928</v>
      </c>
      <c r="G5062" s="8">
        <f t="shared" si="157"/>
        <v>7.5546869999961932E-3</v>
      </c>
    </row>
    <row r="5063" spans="1:7" x14ac:dyDescent="0.25">
      <c r="A5063" s="8">
        <v>67</v>
      </c>
      <c r="B5063" s="8">
        <v>45</v>
      </c>
      <c r="C5063" s="8">
        <v>321.59042399999998</v>
      </c>
      <c r="D5063" s="8">
        <v>121158.070313</v>
      </c>
      <c r="E5063" s="8">
        <v>121172.375</v>
      </c>
      <c r="F5063" s="8">
        <f t="shared" si="156"/>
        <v>14.304686999996193</v>
      </c>
      <c r="G5063" s="8">
        <f t="shared" si="157"/>
        <v>1.4304686999996192E-2</v>
      </c>
    </row>
    <row r="5064" spans="1:7" x14ac:dyDescent="0.25">
      <c r="A5064" s="8">
        <v>67</v>
      </c>
      <c r="B5064" s="8">
        <v>46</v>
      </c>
      <c r="C5064" s="8">
        <v>1586.7536620000001</v>
      </c>
      <c r="D5064" s="8">
        <v>121502.109375</v>
      </c>
      <c r="E5064" s="8">
        <v>121515.515625</v>
      </c>
      <c r="F5064" s="8">
        <f t="shared" si="156"/>
        <v>13.40625</v>
      </c>
      <c r="G5064" s="8">
        <f t="shared" si="157"/>
        <v>1.340625E-2</v>
      </c>
    </row>
    <row r="5065" spans="1:7" x14ac:dyDescent="0.25">
      <c r="A5065" s="8">
        <v>67</v>
      </c>
      <c r="B5065" s="8">
        <v>47</v>
      </c>
      <c r="C5065" s="8">
        <v>7764.9287109999996</v>
      </c>
      <c r="D5065" s="8">
        <v>123115.796875</v>
      </c>
      <c r="E5065" s="8">
        <v>123130.070313</v>
      </c>
      <c r="F5065" s="8">
        <f t="shared" si="156"/>
        <v>14.273438000003807</v>
      </c>
      <c r="G5065" s="8">
        <f t="shared" si="157"/>
        <v>1.4273438000003807E-2</v>
      </c>
    </row>
    <row r="5066" spans="1:7" x14ac:dyDescent="0.25">
      <c r="A5066" s="8">
        <v>67</v>
      </c>
      <c r="B5066" s="8">
        <v>48</v>
      </c>
      <c r="C5066" s="8">
        <v>181.12114</v>
      </c>
      <c r="D5066" s="8">
        <v>130895.296875</v>
      </c>
      <c r="E5066" s="8">
        <v>130917.125</v>
      </c>
      <c r="F5066" s="8">
        <f t="shared" si="156"/>
        <v>21.828125</v>
      </c>
      <c r="G5066" s="8">
        <f t="shared" si="157"/>
        <v>2.1828125E-2</v>
      </c>
    </row>
    <row r="5067" spans="1:7" x14ac:dyDescent="0.25">
      <c r="A5067" s="8">
        <v>67</v>
      </c>
      <c r="B5067" s="8">
        <v>49</v>
      </c>
      <c r="C5067" s="8">
        <v>420.18179300000003</v>
      </c>
      <c r="D5067" s="8">
        <v>131098.421875</v>
      </c>
      <c r="E5067" s="8">
        <v>131113.40625</v>
      </c>
      <c r="F5067" s="8">
        <f t="shared" ref="F5067:F5130" si="158">E5067-D5067</f>
        <v>14.984375</v>
      </c>
      <c r="G5067" s="8">
        <f t="shared" ref="G5067:G5130" si="159">F5067/1000</f>
        <v>1.4984374999999999E-2</v>
      </c>
    </row>
    <row r="5068" spans="1:7" x14ac:dyDescent="0.25">
      <c r="A5068" s="8">
        <v>67</v>
      </c>
      <c r="B5068" s="8">
        <v>50</v>
      </c>
      <c r="C5068" s="8">
        <v>479.56820699999997</v>
      </c>
      <c r="D5068" s="8">
        <v>131545.671875</v>
      </c>
      <c r="E5068" s="8">
        <v>131556.828125</v>
      </c>
      <c r="F5068" s="8">
        <f t="shared" si="158"/>
        <v>11.15625</v>
      </c>
      <c r="G5068" s="8">
        <f t="shared" si="159"/>
        <v>1.115625E-2</v>
      </c>
    </row>
    <row r="5069" spans="1:7" x14ac:dyDescent="0.25">
      <c r="A5069" s="8">
        <v>67</v>
      </c>
      <c r="B5069" s="8">
        <v>51</v>
      </c>
      <c r="C5069" s="8">
        <v>3507.054932</v>
      </c>
      <c r="D5069" s="8">
        <v>132045.765625</v>
      </c>
      <c r="E5069" s="8">
        <v>132070.578125</v>
      </c>
      <c r="F5069" s="8">
        <f t="shared" si="158"/>
        <v>24.8125</v>
      </c>
      <c r="G5069" s="8">
        <f t="shared" si="159"/>
        <v>2.4812500000000001E-2</v>
      </c>
    </row>
    <row r="5070" spans="1:7" x14ac:dyDescent="0.25">
      <c r="A5070" s="8">
        <v>67</v>
      </c>
      <c r="B5070" s="8">
        <v>52</v>
      </c>
      <c r="C5070" s="8">
        <v>973.13012700000002</v>
      </c>
      <c r="D5070" s="8">
        <v>135585.203125</v>
      </c>
      <c r="E5070" s="8">
        <v>135593.921875</v>
      </c>
      <c r="F5070" s="8">
        <f t="shared" si="158"/>
        <v>8.71875</v>
      </c>
      <c r="G5070" s="8">
        <f t="shared" si="159"/>
        <v>8.7187500000000008E-3</v>
      </c>
    </row>
    <row r="5071" spans="1:7" x14ac:dyDescent="0.25">
      <c r="A5071" s="8">
        <v>67</v>
      </c>
      <c r="B5071" s="8">
        <v>53</v>
      </c>
      <c r="C5071" s="8">
        <v>2107.7612300000001</v>
      </c>
      <c r="D5071" s="8">
        <v>136571.015625</v>
      </c>
      <c r="E5071" s="8">
        <v>136586.609375</v>
      </c>
      <c r="F5071" s="8">
        <f t="shared" si="158"/>
        <v>15.59375</v>
      </c>
      <c r="G5071" s="8">
        <f t="shared" si="159"/>
        <v>1.559375E-2</v>
      </c>
    </row>
    <row r="5072" spans="1:7" x14ac:dyDescent="0.25">
      <c r="A5072" s="8">
        <v>67</v>
      </c>
      <c r="B5072" s="8">
        <v>54</v>
      </c>
      <c r="C5072" s="8">
        <v>235.581345</v>
      </c>
      <c r="D5072" s="8">
        <v>138703.1875</v>
      </c>
      <c r="E5072" s="8">
        <v>138714.4375</v>
      </c>
      <c r="F5072" s="8">
        <f t="shared" si="158"/>
        <v>11.25</v>
      </c>
      <c r="G5072" s="8">
        <f t="shared" si="159"/>
        <v>1.125E-2</v>
      </c>
    </row>
    <row r="5073" spans="1:7" x14ac:dyDescent="0.25">
      <c r="A5073" s="8">
        <v>67</v>
      </c>
      <c r="B5073" s="8">
        <v>55</v>
      </c>
      <c r="C5073" s="8">
        <v>471.05291699999998</v>
      </c>
      <c r="D5073" s="8">
        <v>138959.25</v>
      </c>
      <c r="E5073" s="8">
        <v>138980</v>
      </c>
      <c r="F5073" s="8">
        <f t="shared" si="158"/>
        <v>20.75</v>
      </c>
      <c r="G5073" s="8">
        <f t="shared" si="159"/>
        <v>2.0750000000000001E-2</v>
      </c>
    </row>
    <row r="5074" spans="1:7" x14ac:dyDescent="0.25">
      <c r="A5074" s="8">
        <v>67</v>
      </c>
      <c r="B5074" s="8">
        <v>56</v>
      </c>
      <c r="C5074" s="8">
        <v>503.684235</v>
      </c>
      <c r="D5074" s="8">
        <v>139459.515625</v>
      </c>
      <c r="E5074" s="8">
        <v>139473.203125</v>
      </c>
      <c r="F5074" s="8">
        <f t="shared" si="158"/>
        <v>13.6875</v>
      </c>
      <c r="G5074" s="8">
        <f t="shared" si="159"/>
        <v>1.36875E-2</v>
      </c>
    </row>
    <row r="5075" spans="1:7" x14ac:dyDescent="0.25">
      <c r="A5075" s="8">
        <v>67</v>
      </c>
      <c r="B5075" s="8">
        <v>57</v>
      </c>
      <c r="C5075" s="8">
        <v>1507.772461</v>
      </c>
      <c r="D5075" s="8">
        <v>139990.96875</v>
      </c>
      <c r="E5075" s="8">
        <v>140002.203125</v>
      </c>
      <c r="F5075" s="8">
        <f t="shared" si="158"/>
        <v>11.234375</v>
      </c>
      <c r="G5075" s="8">
        <f t="shared" si="159"/>
        <v>1.1234375E-2</v>
      </c>
    </row>
    <row r="5076" spans="1:7" x14ac:dyDescent="0.25">
      <c r="A5076" s="8">
        <v>67</v>
      </c>
      <c r="B5076" s="8">
        <v>58</v>
      </c>
      <c r="C5076" s="8">
        <v>595.01263400000005</v>
      </c>
      <c r="D5076" s="8">
        <v>141516.78125</v>
      </c>
      <c r="E5076" s="8">
        <v>141535.609375</v>
      </c>
      <c r="F5076" s="8">
        <f t="shared" si="158"/>
        <v>18.828125</v>
      </c>
      <c r="G5076" s="8">
        <f t="shared" si="159"/>
        <v>1.8828125000000001E-2</v>
      </c>
    </row>
    <row r="5077" spans="1:7" x14ac:dyDescent="0.25">
      <c r="A5077" s="8">
        <v>67</v>
      </c>
      <c r="B5077" s="8">
        <v>59</v>
      </c>
      <c r="C5077" s="8">
        <v>1717.6577150000001</v>
      </c>
      <c r="D5077" s="8">
        <v>142140.171875</v>
      </c>
      <c r="E5077" s="8">
        <v>142147.828125</v>
      </c>
      <c r="F5077" s="8">
        <f t="shared" si="158"/>
        <v>7.65625</v>
      </c>
      <c r="G5077" s="8">
        <f t="shared" si="159"/>
        <v>7.6562499999999999E-3</v>
      </c>
    </row>
    <row r="5078" spans="1:7" x14ac:dyDescent="0.25">
      <c r="A5078" s="8">
        <v>67</v>
      </c>
      <c r="B5078" s="8">
        <v>60</v>
      </c>
      <c r="C5078" s="8">
        <v>624.57031300000006</v>
      </c>
      <c r="D5078" s="8">
        <v>143869.28125</v>
      </c>
      <c r="E5078" s="8">
        <v>143880.59375</v>
      </c>
      <c r="F5078" s="8">
        <f t="shared" si="158"/>
        <v>11.3125</v>
      </c>
      <c r="G5078" s="8">
        <f t="shared" si="159"/>
        <v>1.13125E-2</v>
      </c>
    </row>
    <row r="5079" spans="1:7" x14ac:dyDescent="0.25">
      <c r="A5079" s="8">
        <v>67</v>
      </c>
      <c r="B5079" s="8">
        <v>61</v>
      </c>
      <c r="C5079" s="8">
        <v>645.02655000000004</v>
      </c>
      <c r="D5079" s="8">
        <v>144510</v>
      </c>
      <c r="E5079" s="8">
        <v>144527.5</v>
      </c>
      <c r="F5079" s="8">
        <f t="shared" si="158"/>
        <v>17.5</v>
      </c>
      <c r="G5079" s="8">
        <f t="shared" si="159"/>
        <v>1.7500000000000002E-2</v>
      </c>
    </row>
    <row r="5080" spans="1:7" x14ac:dyDescent="0.25">
      <c r="A5080" s="8">
        <v>67</v>
      </c>
      <c r="B5080" s="8">
        <v>62</v>
      </c>
      <c r="C5080" s="8">
        <v>1070.8991699999999</v>
      </c>
      <c r="D5080" s="8">
        <v>145177.734375</v>
      </c>
      <c r="E5080" s="8">
        <v>145194.796875</v>
      </c>
      <c r="F5080" s="8">
        <f t="shared" si="158"/>
        <v>17.0625</v>
      </c>
      <c r="G5080" s="8">
        <f t="shared" si="159"/>
        <v>1.7062500000000001E-2</v>
      </c>
    </row>
    <row r="5081" spans="1:7" x14ac:dyDescent="0.25">
      <c r="A5081" s="8">
        <v>67</v>
      </c>
      <c r="B5081" s="8">
        <v>63</v>
      </c>
      <c r="C5081" s="8">
        <v>3047.6984859999998</v>
      </c>
      <c r="D5081" s="8">
        <v>146271.46875</v>
      </c>
      <c r="E5081" s="8">
        <v>146402.046875</v>
      </c>
      <c r="F5081" s="8">
        <f t="shared" si="158"/>
        <v>130.578125</v>
      </c>
      <c r="G5081" s="8">
        <f t="shared" si="159"/>
        <v>0.13057812499999999</v>
      </c>
    </row>
    <row r="5082" spans="1:7" x14ac:dyDescent="0.25">
      <c r="A5082" s="8">
        <v>67</v>
      </c>
      <c r="B5082" s="8">
        <v>64</v>
      </c>
      <c r="C5082" s="8">
        <v>45.622836999999997</v>
      </c>
      <c r="D5082" s="8">
        <v>149462.96875</v>
      </c>
      <c r="E5082" s="8">
        <v>149483.6875</v>
      </c>
      <c r="F5082" s="8">
        <f t="shared" si="158"/>
        <v>20.71875</v>
      </c>
      <c r="G5082" s="8">
        <f t="shared" si="159"/>
        <v>2.0718750000000001E-2</v>
      </c>
    </row>
    <row r="5083" spans="1:7" x14ac:dyDescent="0.25">
      <c r="A5083" s="8">
        <v>67</v>
      </c>
      <c r="B5083" s="8">
        <v>65</v>
      </c>
      <c r="C5083" s="8">
        <v>2309.7075199999999</v>
      </c>
      <c r="D5083" s="8">
        <v>149541.109375</v>
      </c>
      <c r="E5083" s="8">
        <v>149555.578125</v>
      </c>
      <c r="F5083" s="8">
        <f t="shared" si="158"/>
        <v>14.46875</v>
      </c>
      <c r="G5083" s="8">
        <f t="shared" si="159"/>
        <v>1.4468750000000001E-2</v>
      </c>
    </row>
    <row r="5084" spans="1:7" x14ac:dyDescent="0.25">
      <c r="A5084" s="8">
        <v>67</v>
      </c>
      <c r="B5084" s="8">
        <v>66</v>
      </c>
      <c r="C5084" s="8">
        <v>3313.0410160000001</v>
      </c>
      <c r="D5084" s="8">
        <v>151874.03125</v>
      </c>
      <c r="E5084" s="8">
        <v>151999.03125</v>
      </c>
      <c r="F5084" s="8">
        <f t="shared" si="158"/>
        <v>125</v>
      </c>
      <c r="G5084" s="8">
        <f t="shared" si="159"/>
        <v>0.125</v>
      </c>
    </row>
    <row r="5085" spans="1:7" x14ac:dyDescent="0.25">
      <c r="A5085" s="8">
        <v>67</v>
      </c>
      <c r="B5085" s="8">
        <v>67</v>
      </c>
      <c r="C5085" s="8">
        <v>3383.6923830000001</v>
      </c>
      <c r="D5085" s="8">
        <v>155312.90625</v>
      </c>
      <c r="E5085" s="8">
        <v>155320.234375</v>
      </c>
      <c r="F5085" s="8">
        <f t="shared" si="158"/>
        <v>7.328125</v>
      </c>
      <c r="G5085" s="8">
        <f t="shared" si="159"/>
        <v>7.3281249999999996E-3</v>
      </c>
    </row>
    <row r="5086" spans="1:7" x14ac:dyDescent="0.25">
      <c r="A5086" s="8">
        <v>67</v>
      </c>
      <c r="B5086" s="8">
        <v>68</v>
      </c>
      <c r="C5086" s="8">
        <v>34.662509999999997</v>
      </c>
      <c r="D5086" s="8">
        <v>158704.640625</v>
      </c>
      <c r="E5086" s="8">
        <v>158721.453125</v>
      </c>
      <c r="F5086" s="8">
        <f t="shared" si="158"/>
        <v>16.8125</v>
      </c>
      <c r="G5086" s="8">
        <f t="shared" si="159"/>
        <v>1.6812500000000001E-2</v>
      </c>
    </row>
    <row r="5087" spans="1:7" x14ac:dyDescent="0.25">
      <c r="A5087" s="8">
        <v>67</v>
      </c>
      <c r="B5087" s="8">
        <v>69</v>
      </c>
      <c r="C5087" s="8">
        <v>371.67474399999998</v>
      </c>
      <c r="D5087" s="8">
        <v>158767.15625</v>
      </c>
      <c r="E5087" s="8">
        <v>158777.96875</v>
      </c>
      <c r="F5087" s="8">
        <f t="shared" si="158"/>
        <v>10.8125</v>
      </c>
      <c r="G5087" s="8">
        <f t="shared" si="159"/>
        <v>1.0812499999999999E-2</v>
      </c>
    </row>
    <row r="5088" spans="1:7" x14ac:dyDescent="0.25">
      <c r="A5088" s="8">
        <v>67</v>
      </c>
      <c r="B5088" s="8">
        <v>70</v>
      </c>
      <c r="C5088" s="8">
        <v>2288.5126949999999</v>
      </c>
      <c r="D5088" s="8">
        <v>159158.125</v>
      </c>
      <c r="E5088" s="8">
        <v>159178.71875</v>
      </c>
      <c r="F5088" s="8">
        <f t="shared" si="158"/>
        <v>20.59375</v>
      </c>
      <c r="G5088" s="8">
        <f t="shared" si="159"/>
        <v>2.0593750000000001E-2</v>
      </c>
    </row>
    <row r="5089" spans="1:7" x14ac:dyDescent="0.25">
      <c r="A5089" s="8">
        <v>67</v>
      </c>
      <c r="B5089" s="8">
        <v>71</v>
      </c>
      <c r="C5089" s="8">
        <v>44.436641999999999</v>
      </c>
      <c r="D5089" s="8">
        <v>161470.796875</v>
      </c>
      <c r="E5089" s="8">
        <v>161483.484375</v>
      </c>
      <c r="F5089" s="8">
        <f t="shared" si="158"/>
        <v>12.6875</v>
      </c>
      <c r="G5089" s="8">
        <f t="shared" si="159"/>
        <v>1.2687500000000001E-2</v>
      </c>
    </row>
    <row r="5090" spans="1:7" x14ac:dyDescent="0.25">
      <c r="A5090" s="8">
        <v>67</v>
      </c>
      <c r="B5090" s="8">
        <v>72</v>
      </c>
      <c r="C5090" s="8">
        <v>1471.267578</v>
      </c>
      <c r="D5090" s="8">
        <v>161533.296875</v>
      </c>
      <c r="E5090" s="8">
        <v>161546.65625</v>
      </c>
      <c r="F5090" s="8">
        <f t="shared" si="158"/>
        <v>13.359375</v>
      </c>
      <c r="G5090" s="8">
        <f t="shared" si="159"/>
        <v>1.3359375E-2</v>
      </c>
    </row>
    <row r="5091" spans="1:7" x14ac:dyDescent="0.25">
      <c r="A5091" s="8">
        <v>67</v>
      </c>
      <c r="B5091" s="8">
        <v>73</v>
      </c>
      <c r="C5091" s="8">
        <v>1456.4204099999999</v>
      </c>
      <c r="D5091" s="8">
        <v>163018.328125</v>
      </c>
      <c r="E5091" s="8">
        <v>163035.40625</v>
      </c>
      <c r="F5091" s="8">
        <f t="shared" si="158"/>
        <v>17.078125</v>
      </c>
      <c r="G5091" s="8">
        <f t="shared" si="159"/>
        <v>1.7078125E-2</v>
      </c>
    </row>
    <row r="5092" spans="1:7" x14ac:dyDescent="0.25">
      <c r="A5092" s="8">
        <v>67</v>
      </c>
      <c r="B5092" s="8">
        <v>74</v>
      </c>
      <c r="C5092" s="8">
        <v>987.67938200000003</v>
      </c>
      <c r="D5092" s="8">
        <v>164497.140625</v>
      </c>
      <c r="E5092" s="8">
        <v>164513.53125</v>
      </c>
      <c r="F5092" s="8">
        <f t="shared" si="158"/>
        <v>16.390625</v>
      </c>
      <c r="G5092" s="8">
        <f t="shared" si="159"/>
        <v>1.6390624999999999E-2</v>
      </c>
    </row>
    <row r="5093" spans="1:7" x14ac:dyDescent="0.25">
      <c r="A5093" s="8">
        <v>67</v>
      </c>
      <c r="B5093" s="8">
        <v>75</v>
      </c>
      <c r="C5093" s="8">
        <v>2192.3474120000001</v>
      </c>
      <c r="D5093" s="8">
        <v>165514.6875</v>
      </c>
      <c r="E5093" s="8">
        <v>165528.3125</v>
      </c>
      <c r="F5093" s="8">
        <f t="shared" si="158"/>
        <v>13.625</v>
      </c>
      <c r="G5093" s="8">
        <f t="shared" si="159"/>
        <v>1.3625E-2</v>
      </c>
    </row>
    <row r="5094" spans="1:7" x14ac:dyDescent="0.25">
      <c r="A5094" s="8">
        <v>67</v>
      </c>
      <c r="B5094" s="8">
        <v>76</v>
      </c>
      <c r="C5094" s="8">
        <v>495.69131499999997</v>
      </c>
      <c r="D5094" s="8">
        <v>167728.625</v>
      </c>
      <c r="E5094" s="8">
        <v>167751.703125</v>
      </c>
      <c r="F5094" s="8">
        <f t="shared" si="158"/>
        <v>23.078125</v>
      </c>
      <c r="G5094" s="8">
        <f t="shared" si="159"/>
        <v>2.3078125000000001E-2</v>
      </c>
    </row>
    <row r="5095" spans="1:7" x14ac:dyDescent="0.25">
      <c r="A5095" s="8">
        <v>67</v>
      </c>
      <c r="B5095" s="8">
        <v>77</v>
      </c>
      <c r="C5095" s="8">
        <v>2570.2229000000002</v>
      </c>
      <c r="D5095" s="8">
        <v>168260.46875</v>
      </c>
      <c r="E5095" s="8">
        <v>168295.375</v>
      </c>
      <c r="F5095" s="8">
        <f t="shared" si="158"/>
        <v>34.90625</v>
      </c>
      <c r="G5095" s="8">
        <f t="shared" si="159"/>
        <v>3.490625E-2</v>
      </c>
    </row>
    <row r="5096" spans="1:7" x14ac:dyDescent="0.25">
      <c r="A5096" s="8">
        <v>68</v>
      </c>
      <c r="B5096" s="8">
        <v>0</v>
      </c>
      <c r="C5096" s="8">
        <v>916.25885000000005</v>
      </c>
      <c r="D5096" s="8">
        <v>22438.078125</v>
      </c>
      <c r="E5096" s="8">
        <v>22449.427734000001</v>
      </c>
      <c r="F5096" s="8">
        <f t="shared" si="158"/>
        <v>11.349609000000783</v>
      </c>
      <c r="G5096" s="8">
        <f t="shared" si="159"/>
        <v>1.1349609000000782E-2</v>
      </c>
    </row>
    <row r="5097" spans="1:7" x14ac:dyDescent="0.25">
      <c r="A5097" s="8">
        <v>68</v>
      </c>
      <c r="B5097" s="8">
        <v>1</v>
      </c>
      <c r="C5097" s="8">
        <v>7803.8232420000004</v>
      </c>
      <c r="D5097" s="8">
        <v>23378.414063</v>
      </c>
      <c r="E5097" s="8">
        <v>23398.119140999999</v>
      </c>
      <c r="F5097" s="8">
        <f t="shared" si="158"/>
        <v>19.705077999999048</v>
      </c>
      <c r="G5097" s="8">
        <f t="shared" si="159"/>
        <v>1.9705077999999047E-2</v>
      </c>
    </row>
    <row r="5098" spans="1:7" x14ac:dyDescent="0.25">
      <c r="A5098" s="8">
        <v>68</v>
      </c>
      <c r="B5098" s="8">
        <v>2</v>
      </c>
      <c r="C5098" s="8">
        <v>482.90685999999999</v>
      </c>
      <c r="D5098" s="8">
        <v>31206.632813</v>
      </c>
      <c r="E5098" s="8">
        <v>31214.767577999999</v>
      </c>
      <c r="F5098" s="8">
        <f t="shared" si="158"/>
        <v>8.1347649999988789</v>
      </c>
      <c r="G5098" s="8">
        <f t="shared" si="159"/>
        <v>8.1347649999988798E-3</v>
      </c>
    </row>
    <row r="5099" spans="1:7" x14ac:dyDescent="0.25">
      <c r="A5099" s="8">
        <v>68</v>
      </c>
      <c r="B5099" s="8">
        <v>3</v>
      </c>
      <c r="C5099" s="8">
        <v>4451.720703</v>
      </c>
      <c r="D5099" s="8">
        <v>31707.472656000002</v>
      </c>
      <c r="E5099" s="8">
        <v>31730.177734000001</v>
      </c>
      <c r="F5099" s="8">
        <f t="shared" si="158"/>
        <v>22.705077999999048</v>
      </c>
      <c r="G5099" s="8">
        <f t="shared" si="159"/>
        <v>2.2705077999999049E-2</v>
      </c>
    </row>
    <row r="5100" spans="1:7" x14ac:dyDescent="0.25">
      <c r="A5100" s="8">
        <v>68</v>
      </c>
      <c r="B5100" s="8">
        <v>4</v>
      </c>
      <c r="C5100" s="8">
        <v>1109.7475589999999</v>
      </c>
      <c r="D5100" s="8">
        <v>36186.433594000002</v>
      </c>
      <c r="E5100" s="8">
        <v>36197.566405999998</v>
      </c>
      <c r="F5100" s="8">
        <f t="shared" si="158"/>
        <v>11.132811999996193</v>
      </c>
      <c r="G5100" s="8">
        <f t="shared" si="159"/>
        <v>1.1132811999996193E-2</v>
      </c>
    </row>
    <row r="5101" spans="1:7" x14ac:dyDescent="0.25">
      <c r="A5101" s="8">
        <v>68</v>
      </c>
      <c r="B5101" s="8">
        <v>5</v>
      </c>
      <c r="C5101" s="8">
        <v>1350.66272</v>
      </c>
      <c r="D5101" s="8">
        <v>37315.964844000002</v>
      </c>
      <c r="E5101" s="8">
        <v>37327.277344000002</v>
      </c>
      <c r="F5101" s="8">
        <f t="shared" si="158"/>
        <v>11.3125</v>
      </c>
      <c r="G5101" s="8">
        <f t="shared" si="159"/>
        <v>1.13125E-2</v>
      </c>
    </row>
    <row r="5102" spans="1:7" x14ac:dyDescent="0.25">
      <c r="A5102" s="8">
        <v>68</v>
      </c>
      <c r="B5102" s="8">
        <v>6</v>
      </c>
      <c r="C5102" s="8">
        <v>2395.795654</v>
      </c>
      <c r="D5102" s="8">
        <v>38683.453125</v>
      </c>
      <c r="E5102" s="8">
        <v>38700.496094000002</v>
      </c>
      <c r="F5102" s="8">
        <f t="shared" si="158"/>
        <v>17.042969000001904</v>
      </c>
      <c r="G5102" s="8">
        <f t="shared" si="159"/>
        <v>1.7042969000001903E-2</v>
      </c>
    </row>
    <row r="5103" spans="1:7" x14ac:dyDescent="0.25">
      <c r="A5103" s="8">
        <v>68</v>
      </c>
      <c r="B5103" s="8">
        <v>7</v>
      </c>
      <c r="C5103" s="8">
        <v>349.52654999999999</v>
      </c>
      <c r="D5103" s="8">
        <v>41106.363280999998</v>
      </c>
      <c r="E5103" s="8">
        <v>41124.144530999998</v>
      </c>
      <c r="F5103" s="8">
        <f t="shared" si="158"/>
        <v>17.78125</v>
      </c>
      <c r="G5103" s="8">
        <f t="shared" si="159"/>
        <v>1.7781249999999998E-2</v>
      </c>
    </row>
    <row r="5104" spans="1:7" x14ac:dyDescent="0.25">
      <c r="A5104" s="8">
        <v>68</v>
      </c>
      <c r="B5104" s="8">
        <v>8</v>
      </c>
      <c r="C5104" s="8">
        <v>321.16037</v>
      </c>
      <c r="D5104" s="8">
        <v>41481.414062999997</v>
      </c>
      <c r="E5104" s="8">
        <v>41495.613280999998</v>
      </c>
      <c r="F5104" s="8">
        <f t="shared" si="158"/>
        <v>14.199218000001565</v>
      </c>
      <c r="G5104" s="8">
        <f t="shared" si="159"/>
        <v>1.4199218000001564E-2</v>
      </c>
    </row>
    <row r="5105" spans="1:7" x14ac:dyDescent="0.25">
      <c r="A5105" s="8">
        <v>68</v>
      </c>
      <c r="B5105" s="8">
        <v>9</v>
      </c>
      <c r="C5105" s="8">
        <v>2305.0642090000001</v>
      </c>
      <c r="D5105" s="8">
        <v>41825.203125</v>
      </c>
      <c r="E5105" s="8">
        <v>41837.527344000002</v>
      </c>
      <c r="F5105" s="8">
        <f t="shared" si="158"/>
        <v>12.324219000001904</v>
      </c>
      <c r="G5105" s="8">
        <f t="shared" si="159"/>
        <v>1.2324219000001904E-2</v>
      </c>
    </row>
    <row r="5106" spans="1:7" x14ac:dyDescent="0.25">
      <c r="A5106" s="8">
        <v>68</v>
      </c>
      <c r="B5106" s="8">
        <v>10</v>
      </c>
      <c r="C5106" s="8">
        <v>462.95849600000003</v>
      </c>
      <c r="D5106" s="8">
        <v>44146.71875</v>
      </c>
      <c r="E5106" s="8">
        <v>44164.128905999998</v>
      </c>
      <c r="F5106" s="8">
        <f t="shared" si="158"/>
        <v>17.410155999998096</v>
      </c>
      <c r="G5106" s="8">
        <f t="shared" si="159"/>
        <v>1.7410155999998095E-2</v>
      </c>
    </row>
    <row r="5107" spans="1:7" x14ac:dyDescent="0.25">
      <c r="A5107" s="8">
        <v>68</v>
      </c>
      <c r="B5107" s="8">
        <v>11</v>
      </c>
      <c r="C5107" s="8">
        <v>3952.9897460000002</v>
      </c>
      <c r="D5107" s="8">
        <v>44631.210937999997</v>
      </c>
      <c r="E5107" s="8">
        <v>44640.671875</v>
      </c>
      <c r="F5107" s="8">
        <f t="shared" si="158"/>
        <v>9.4609370000034687</v>
      </c>
      <c r="G5107" s="8">
        <f t="shared" si="159"/>
        <v>9.4609370000034686E-3</v>
      </c>
    </row>
    <row r="5108" spans="1:7" x14ac:dyDescent="0.25">
      <c r="A5108" s="8">
        <v>68</v>
      </c>
      <c r="B5108" s="8">
        <v>12</v>
      </c>
      <c r="C5108" s="8">
        <v>4507.3193359999996</v>
      </c>
      <c r="D5108" s="8">
        <v>48595.59375</v>
      </c>
      <c r="E5108" s="8">
        <v>48615.910155999998</v>
      </c>
      <c r="F5108" s="8">
        <f t="shared" si="158"/>
        <v>20.316405999998096</v>
      </c>
      <c r="G5108" s="8">
        <f t="shared" si="159"/>
        <v>2.0316405999998097E-2</v>
      </c>
    </row>
    <row r="5109" spans="1:7" x14ac:dyDescent="0.25">
      <c r="A5109" s="8">
        <v>68</v>
      </c>
      <c r="B5109" s="8">
        <v>13</v>
      </c>
      <c r="C5109" s="8">
        <v>733.76153599999998</v>
      </c>
      <c r="D5109" s="8">
        <v>53123.570312999997</v>
      </c>
      <c r="E5109" s="8">
        <v>53153.992187999997</v>
      </c>
      <c r="F5109" s="8">
        <f t="shared" si="158"/>
        <v>30.421875</v>
      </c>
      <c r="G5109" s="8">
        <f t="shared" si="159"/>
        <v>3.0421875000000001E-2</v>
      </c>
    </row>
    <row r="5110" spans="1:7" x14ac:dyDescent="0.25">
      <c r="A5110" s="8">
        <v>68</v>
      </c>
      <c r="B5110" s="8">
        <v>14</v>
      </c>
      <c r="C5110" s="8">
        <v>1440.553345</v>
      </c>
      <c r="D5110" s="8">
        <v>53893.773437999997</v>
      </c>
      <c r="E5110" s="8">
        <v>53908.429687999997</v>
      </c>
      <c r="F5110" s="8">
        <f t="shared" si="158"/>
        <v>14.65625</v>
      </c>
      <c r="G5110" s="8">
        <f t="shared" si="159"/>
        <v>1.4656249999999999E-2</v>
      </c>
    </row>
    <row r="5111" spans="1:7" x14ac:dyDescent="0.25">
      <c r="A5111" s="8">
        <v>68</v>
      </c>
      <c r="B5111" s="8">
        <v>15</v>
      </c>
      <c r="C5111" s="8">
        <v>264.00448599999999</v>
      </c>
      <c r="D5111" s="8">
        <v>55362.964844000002</v>
      </c>
      <c r="E5111" s="8">
        <v>55372.96875</v>
      </c>
      <c r="F5111" s="8">
        <f t="shared" si="158"/>
        <v>10.003905999998096</v>
      </c>
      <c r="G5111" s="8">
        <f t="shared" si="159"/>
        <v>1.0003905999998097E-2</v>
      </c>
    </row>
    <row r="5112" spans="1:7" x14ac:dyDescent="0.25">
      <c r="A5112" s="8">
        <v>68</v>
      </c>
      <c r="B5112" s="8">
        <v>16</v>
      </c>
      <c r="C5112" s="8">
        <v>1138.659058</v>
      </c>
      <c r="D5112" s="8">
        <v>55644.242187999997</v>
      </c>
      <c r="E5112" s="8">
        <v>55658.238280999998</v>
      </c>
      <c r="F5112" s="8">
        <f t="shared" si="158"/>
        <v>13.996093000001565</v>
      </c>
      <c r="G5112" s="8">
        <f t="shared" si="159"/>
        <v>1.3996093000001566E-2</v>
      </c>
    </row>
    <row r="5113" spans="1:7" x14ac:dyDescent="0.25">
      <c r="A5113" s="8">
        <v>68</v>
      </c>
      <c r="B5113" s="8">
        <v>17</v>
      </c>
      <c r="C5113" s="8">
        <v>195.33802800000001</v>
      </c>
      <c r="D5113" s="8">
        <v>56800.613280999998</v>
      </c>
      <c r="E5113" s="8">
        <v>56823.355469000002</v>
      </c>
      <c r="F5113" s="8">
        <f t="shared" si="158"/>
        <v>22.742188000003807</v>
      </c>
      <c r="G5113" s="8">
        <f t="shared" si="159"/>
        <v>2.2742188000003806E-2</v>
      </c>
    </row>
    <row r="5114" spans="1:7" x14ac:dyDescent="0.25">
      <c r="A5114" s="8">
        <v>68</v>
      </c>
      <c r="B5114" s="8">
        <v>18</v>
      </c>
      <c r="C5114" s="8">
        <v>3248.2045899999998</v>
      </c>
      <c r="D5114" s="8">
        <v>57020.066405999998</v>
      </c>
      <c r="E5114" s="8">
        <v>57039.371094000002</v>
      </c>
      <c r="F5114" s="8">
        <f t="shared" si="158"/>
        <v>19.304688000003807</v>
      </c>
      <c r="G5114" s="8">
        <f t="shared" si="159"/>
        <v>1.9304688000003806E-2</v>
      </c>
    </row>
    <row r="5115" spans="1:7" x14ac:dyDescent="0.25">
      <c r="A5115" s="8">
        <v>68</v>
      </c>
      <c r="B5115" s="8">
        <v>19</v>
      </c>
      <c r="C5115" s="8">
        <v>2698.005615</v>
      </c>
      <c r="D5115" s="8">
        <v>60294.3125</v>
      </c>
      <c r="E5115" s="8">
        <v>60307.796875</v>
      </c>
      <c r="F5115" s="8">
        <f t="shared" si="158"/>
        <v>13.484375</v>
      </c>
      <c r="G5115" s="8">
        <f t="shared" si="159"/>
        <v>1.3484375E-2</v>
      </c>
    </row>
    <row r="5116" spans="1:7" x14ac:dyDescent="0.25">
      <c r="A5116" s="8">
        <v>68</v>
      </c>
      <c r="B5116" s="8">
        <v>20</v>
      </c>
      <c r="C5116" s="8">
        <v>3715.6623540000001</v>
      </c>
      <c r="D5116" s="8">
        <v>63016.554687999997</v>
      </c>
      <c r="E5116" s="8">
        <v>63023.835937999997</v>
      </c>
      <c r="F5116" s="8">
        <f t="shared" si="158"/>
        <v>7.28125</v>
      </c>
      <c r="G5116" s="8">
        <f t="shared" si="159"/>
        <v>7.2812500000000004E-3</v>
      </c>
    </row>
    <row r="5117" spans="1:7" x14ac:dyDescent="0.25">
      <c r="A5117" s="8">
        <v>68</v>
      </c>
      <c r="B5117" s="8">
        <v>21</v>
      </c>
      <c r="C5117" s="8">
        <v>5373.0478519999997</v>
      </c>
      <c r="D5117" s="8">
        <v>66746.78125</v>
      </c>
      <c r="E5117" s="8">
        <v>66764.3125</v>
      </c>
      <c r="F5117" s="8">
        <f t="shared" si="158"/>
        <v>17.53125</v>
      </c>
      <c r="G5117" s="8">
        <f t="shared" si="159"/>
        <v>1.7531250000000002E-2</v>
      </c>
    </row>
    <row r="5118" spans="1:7" x14ac:dyDescent="0.25">
      <c r="A5118" s="8">
        <v>68</v>
      </c>
      <c r="B5118" s="8">
        <v>22</v>
      </c>
      <c r="C5118" s="8">
        <v>1519.6118160000001</v>
      </c>
      <c r="D5118" s="8">
        <v>72138.609375</v>
      </c>
      <c r="E5118" s="8">
        <v>72146.21875</v>
      </c>
      <c r="F5118" s="8">
        <f t="shared" si="158"/>
        <v>7.609375</v>
      </c>
      <c r="G5118" s="8">
        <f t="shared" si="159"/>
        <v>7.6093749999999998E-3</v>
      </c>
    </row>
    <row r="5119" spans="1:7" x14ac:dyDescent="0.25">
      <c r="A5119" s="8">
        <v>68</v>
      </c>
      <c r="B5119" s="8">
        <v>23</v>
      </c>
      <c r="C5119" s="8">
        <v>1238.732422</v>
      </c>
      <c r="D5119" s="8">
        <v>73670.03125</v>
      </c>
      <c r="E5119" s="8">
        <v>73683.890625</v>
      </c>
      <c r="F5119" s="8">
        <f t="shared" si="158"/>
        <v>13.859375</v>
      </c>
      <c r="G5119" s="8">
        <f t="shared" si="159"/>
        <v>1.3859375E-2</v>
      </c>
    </row>
    <row r="5120" spans="1:7" x14ac:dyDescent="0.25">
      <c r="A5120" s="8">
        <v>68</v>
      </c>
      <c r="B5120" s="8">
        <v>24</v>
      </c>
      <c r="C5120" s="8">
        <v>27.100117000000001</v>
      </c>
      <c r="D5120" s="8">
        <v>74930.125</v>
      </c>
      <c r="E5120" s="8">
        <v>74954.6875</v>
      </c>
      <c r="F5120" s="8">
        <f t="shared" si="158"/>
        <v>24.5625</v>
      </c>
      <c r="G5120" s="8">
        <f t="shared" si="159"/>
        <v>2.4562500000000001E-2</v>
      </c>
    </row>
    <row r="5121" spans="1:7" x14ac:dyDescent="0.25">
      <c r="A5121" s="8">
        <v>68</v>
      </c>
      <c r="B5121" s="8">
        <v>25</v>
      </c>
      <c r="C5121" s="8">
        <v>555.30249000000003</v>
      </c>
      <c r="D5121" s="8">
        <v>74993.851563000004</v>
      </c>
      <c r="E5121" s="8">
        <v>75013.742188000004</v>
      </c>
      <c r="F5121" s="8">
        <f t="shared" si="158"/>
        <v>19.890625</v>
      </c>
      <c r="G5121" s="8">
        <f t="shared" si="159"/>
        <v>1.9890624999999999E-2</v>
      </c>
    </row>
    <row r="5122" spans="1:7" x14ac:dyDescent="0.25">
      <c r="A5122" s="8">
        <v>68</v>
      </c>
      <c r="B5122" s="8">
        <v>26</v>
      </c>
      <c r="C5122" s="8">
        <v>2331.5209960000002</v>
      </c>
      <c r="D5122" s="8">
        <v>75580.796875</v>
      </c>
      <c r="E5122" s="8">
        <v>75607.085938000004</v>
      </c>
      <c r="F5122" s="8">
        <f t="shared" si="158"/>
        <v>26.289063000003807</v>
      </c>
      <c r="G5122" s="8">
        <f t="shared" si="159"/>
        <v>2.6289063000003807E-2</v>
      </c>
    </row>
    <row r="5123" spans="1:7" x14ac:dyDescent="0.25">
      <c r="A5123" s="8">
        <v>68</v>
      </c>
      <c r="B5123" s="8">
        <v>27</v>
      </c>
      <c r="C5123" s="8">
        <v>200.32435599999999</v>
      </c>
      <c r="D5123" s="8">
        <v>77947.796875</v>
      </c>
      <c r="E5123" s="8">
        <v>77967.976563000004</v>
      </c>
      <c r="F5123" s="8">
        <f t="shared" si="158"/>
        <v>20.179688000003807</v>
      </c>
      <c r="G5123" s="8">
        <f t="shared" si="159"/>
        <v>2.0179688000003807E-2</v>
      </c>
    </row>
    <row r="5124" spans="1:7" x14ac:dyDescent="0.25">
      <c r="A5124" s="8">
        <v>68</v>
      </c>
      <c r="B5124" s="8">
        <v>28</v>
      </c>
      <c r="C5124" s="8">
        <v>2484.4875489999999</v>
      </c>
      <c r="D5124" s="8">
        <v>78182.257813000004</v>
      </c>
      <c r="E5124" s="8">
        <v>78207.835938000004</v>
      </c>
      <c r="F5124" s="8">
        <f t="shared" si="158"/>
        <v>25.578125</v>
      </c>
      <c r="G5124" s="8">
        <f t="shared" si="159"/>
        <v>2.5578125E-2</v>
      </c>
    </row>
    <row r="5125" spans="1:7" x14ac:dyDescent="0.25">
      <c r="A5125" s="8">
        <v>68</v>
      </c>
      <c r="B5125" s="8">
        <v>29</v>
      </c>
      <c r="C5125" s="8">
        <v>2043.661865</v>
      </c>
      <c r="D5125" s="8">
        <v>80692.570313000004</v>
      </c>
      <c r="E5125" s="8">
        <v>80707.132813000004</v>
      </c>
      <c r="F5125" s="8">
        <f t="shared" si="158"/>
        <v>14.5625</v>
      </c>
      <c r="G5125" s="8">
        <f t="shared" si="159"/>
        <v>1.4562500000000001E-2</v>
      </c>
    </row>
    <row r="5126" spans="1:7" x14ac:dyDescent="0.25">
      <c r="A5126" s="8">
        <v>68</v>
      </c>
      <c r="B5126" s="8">
        <v>30</v>
      </c>
      <c r="C5126" s="8">
        <v>351.34466600000002</v>
      </c>
      <c r="D5126" s="8">
        <v>82761.226563000004</v>
      </c>
      <c r="E5126" s="8">
        <v>82772.234375</v>
      </c>
      <c r="F5126" s="8">
        <f t="shared" si="158"/>
        <v>11.007811999996193</v>
      </c>
      <c r="G5126" s="8">
        <f t="shared" si="159"/>
        <v>1.1007811999996193E-2</v>
      </c>
    </row>
    <row r="5127" spans="1:7" x14ac:dyDescent="0.25">
      <c r="A5127" s="8">
        <v>68</v>
      </c>
      <c r="B5127" s="8">
        <v>31</v>
      </c>
      <c r="C5127" s="8">
        <v>612.92687999999998</v>
      </c>
      <c r="D5127" s="8">
        <v>83136.234375</v>
      </c>
      <c r="E5127" s="8">
        <v>83144.054688000004</v>
      </c>
      <c r="F5127" s="8">
        <f t="shared" si="158"/>
        <v>7.8203130000038072</v>
      </c>
      <c r="G5127" s="8">
        <f t="shared" si="159"/>
        <v>7.8203130000038066E-3</v>
      </c>
    </row>
    <row r="5128" spans="1:7" x14ac:dyDescent="0.25">
      <c r="A5128" s="8">
        <v>68</v>
      </c>
      <c r="B5128" s="8">
        <v>32</v>
      </c>
      <c r="C5128" s="8">
        <v>2356.9438479999999</v>
      </c>
      <c r="D5128" s="8">
        <v>83765.484375</v>
      </c>
      <c r="E5128" s="8">
        <v>83779.78125</v>
      </c>
      <c r="F5128" s="8">
        <f t="shared" si="158"/>
        <v>14.296875</v>
      </c>
      <c r="G5128" s="8">
        <f t="shared" si="159"/>
        <v>1.4296875000000001E-2</v>
      </c>
    </row>
    <row r="5129" spans="1:7" x14ac:dyDescent="0.25">
      <c r="A5129" s="8">
        <v>68</v>
      </c>
      <c r="B5129" s="8">
        <v>33</v>
      </c>
      <c r="C5129" s="8">
        <v>1356.186768</v>
      </c>
      <c r="D5129" s="8">
        <v>86143.273438000004</v>
      </c>
      <c r="E5129" s="8">
        <v>86162.460938000004</v>
      </c>
      <c r="F5129" s="8">
        <f t="shared" si="158"/>
        <v>19.1875</v>
      </c>
      <c r="G5129" s="8">
        <f t="shared" si="159"/>
        <v>1.91875E-2</v>
      </c>
    </row>
    <row r="5130" spans="1:7" x14ac:dyDescent="0.25">
      <c r="A5130" s="8">
        <v>68</v>
      </c>
      <c r="B5130" s="8">
        <v>34</v>
      </c>
      <c r="C5130" s="8">
        <v>1197.544922</v>
      </c>
      <c r="D5130" s="8">
        <v>87520.820313000004</v>
      </c>
      <c r="E5130" s="8">
        <v>87538.101563000004</v>
      </c>
      <c r="F5130" s="8">
        <f t="shared" si="158"/>
        <v>17.28125</v>
      </c>
      <c r="G5130" s="8">
        <f t="shared" si="159"/>
        <v>1.7281250000000001E-2</v>
      </c>
    </row>
    <row r="5131" spans="1:7" x14ac:dyDescent="0.25">
      <c r="A5131" s="8">
        <v>68</v>
      </c>
      <c r="B5131" s="8">
        <v>35</v>
      </c>
      <c r="C5131" s="8">
        <v>346.11288500000001</v>
      </c>
      <c r="D5131" s="8">
        <v>88740.484375</v>
      </c>
      <c r="E5131" s="8">
        <v>88764.992188000004</v>
      </c>
      <c r="F5131" s="8">
        <f t="shared" ref="F5131:F5194" si="160">E5131-D5131</f>
        <v>24.507813000003807</v>
      </c>
      <c r="G5131" s="8">
        <f t="shared" ref="G5131:G5194" si="161">F5131/1000</f>
        <v>2.4507813000003806E-2</v>
      </c>
    </row>
    <row r="5132" spans="1:7" x14ac:dyDescent="0.25">
      <c r="A5132" s="8">
        <v>68</v>
      </c>
      <c r="B5132" s="8">
        <v>36</v>
      </c>
      <c r="C5132" s="8">
        <v>3317.5246579999998</v>
      </c>
      <c r="D5132" s="8">
        <v>89115.5</v>
      </c>
      <c r="E5132" s="8">
        <v>89126.632813000004</v>
      </c>
      <c r="F5132" s="8">
        <f t="shared" si="160"/>
        <v>11.132813000003807</v>
      </c>
      <c r="G5132" s="8">
        <f t="shared" si="161"/>
        <v>1.1132813000003808E-2</v>
      </c>
    </row>
    <row r="5133" spans="1:7" x14ac:dyDescent="0.25">
      <c r="A5133" s="8">
        <v>68</v>
      </c>
      <c r="B5133" s="8">
        <v>37</v>
      </c>
      <c r="C5133" s="8">
        <v>1225.622192</v>
      </c>
      <c r="D5133" s="8">
        <v>92448.757813000004</v>
      </c>
      <c r="E5133" s="8">
        <v>92471.546875</v>
      </c>
      <c r="F5133" s="8">
        <f t="shared" si="160"/>
        <v>22.789061999996193</v>
      </c>
      <c r="G5133" s="8">
        <f t="shared" si="161"/>
        <v>2.2789061999996193E-2</v>
      </c>
    </row>
    <row r="5134" spans="1:7" x14ac:dyDescent="0.25">
      <c r="A5134" s="8">
        <v>68</v>
      </c>
      <c r="B5134" s="8">
        <v>38</v>
      </c>
      <c r="C5134" s="8">
        <v>1109.9602050000001</v>
      </c>
      <c r="D5134" s="8">
        <v>93701.289063000004</v>
      </c>
      <c r="E5134" s="8">
        <v>93728.53125</v>
      </c>
      <c r="F5134" s="8">
        <f t="shared" si="160"/>
        <v>27.242186999996193</v>
      </c>
      <c r="G5134" s="8">
        <f t="shared" si="161"/>
        <v>2.7242186999996192E-2</v>
      </c>
    </row>
    <row r="5135" spans="1:7" x14ac:dyDescent="0.25">
      <c r="A5135" s="8">
        <v>68</v>
      </c>
      <c r="B5135" s="8">
        <v>39</v>
      </c>
      <c r="C5135" s="8">
        <v>293.26159699999999</v>
      </c>
      <c r="D5135" s="8">
        <v>94842.6875</v>
      </c>
      <c r="E5135" s="8">
        <v>94856.210938000004</v>
      </c>
      <c r="F5135" s="8">
        <f t="shared" si="160"/>
        <v>13.523438000003807</v>
      </c>
      <c r="G5135" s="8">
        <f t="shared" si="161"/>
        <v>1.3523438000003806E-2</v>
      </c>
    </row>
    <row r="5136" spans="1:7" x14ac:dyDescent="0.25">
      <c r="A5136" s="8">
        <v>68</v>
      </c>
      <c r="B5136" s="8">
        <v>40</v>
      </c>
      <c r="C5136" s="8">
        <v>1841.267578</v>
      </c>
      <c r="D5136" s="8">
        <v>95149.5625</v>
      </c>
      <c r="E5136" s="8">
        <v>95167.84375</v>
      </c>
      <c r="F5136" s="8">
        <f t="shared" si="160"/>
        <v>18.28125</v>
      </c>
      <c r="G5136" s="8">
        <f t="shared" si="161"/>
        <v>1.8281249999999999E-2</v>
      </c>
    </row>
    <row r="5137" spans="1:7" x14ac:dyDescent="0.25">
      <c r="A5137" s="8">
        <v>68</v>
      </c>
      <c r="B5137" s="8">
        <v>41</v>
      </c>
      <c r="C5137" s="8">
        <v>1839.5823969999999</v>
      </c>
      <c r="D5137" s="8">
        <v>97009.070313000004</v>
      </c>
      <c r="E5137" s="8">
        <v>97028.328125</v>
      </c>
      <c r="F5137" s="8">
        <f t="shared" si="160"/>
        <v>19.257811999996193</v>
      </c>
      <c r="G5137" s="8">
        <f t="shared" si="161"/>
        <v>1.9257811999996193E-2</v>
      </c>
    </row>
    <row r="5138" spans="1:7" x14ac:dyDescent="0.25">
      <c r="A5138" s="8">
        <v>68</v>
      </c>
      <c r="B5138" s="8">
        <v>42</v>
      </c>
      <c r="C5138" s="8">
        <v>884.28277600000001</v>
      </c>
      <c r="D5138" s="8">
        <v>98879.039063000004</v>
      </c>
      <c r="E5138" s="8">
        <v>98911.890625</v>
      </c>
      <c r="F5138" s="8">
        <f t="shared" si="160"/>
        <v>32.851561999996193</v>
      </c>
      <c r="G5138" s="8">
        <f t="shared" si="161"/>
        <v>3.2851561999996191E-2</v>
      </c>
    </row>
    <row r="5139" spans="1:7" x14ac:dyDescent="0.25">
      <c r="A5139" s="8">
        <v>68</v>
      </c>
      <c r="B5139" s="8">
        <v>43</v>
      </c>
      <c r="C5139" s="8">
        <v>1382.574707</v>
      </c>
      <c r="D5139" s="8">
        <v>99807.65625</v>
      </c>
      <c r="E5139" s="8">
        <v>99825.265625</v>
      </c>
      <c r="F5139" s="8">
        <f t="shared" si="160"/>
        <v>17.609375</v>
      </c>
      <c r="G5139" s="8">
        <f t="shared" si="161"/>
        <v>1.7609375E-2</v>
      </c>
    </row>
    <row r="5140" spans="1:7" x14ac:dyDescent="0.25">
      <c r="A5140" s="8">
        <v>68</v>
      </c>
      <c r="B5140" s="8">
        <v>44</v>
      </c>
      <c r="C5140" s="8">
        <v>778.02874799999995</v>
      </c>
      <c r="D5140" s="8">
        <v>101215.632813</v>
      </c>
      <c r="E5140" s="8">
        <v>101229.3125</v>
      </c>
      <c r="F5140" s="8">
        <f t="shared" si="160"/>
        <v>13.679686999996193</v>
      </c>
      <c r="G5140" s="8">
        <f t="shared" si="161"/>
        <v>1.3679686999996193E-2</v>
      </c>
    </row>
    <row r="5141" spans="1:7" x14ac:dyDescent="0.25">
      <c r="A5141" s="8">
        <v>68</v>
      </c>
      <c r="B5141" s="8">
        <v>45</v>
      </c>
      <c r="C5141" s="8">
        <v>387.83685300000002</v>
      </c>
      <c r="D5141" s="8">
        <v>102010.632813</v>
      </c>
      <c r="E5141" s="8">
        <v>102021.75</v>
      </c>
      <c r="F5141" s="8">
        <f t="shared" si="160"/>
        <v>11.117186999996193</v>
      </c>
      <c r="G5141" s="8">
        <f t="shared" si="161"/>
        <v>1.1117186999996193E-2</v>
      </c>
    </row>
    <row r="5142" spans="1:7" x14ac:dyDescent="0.25">
      <c r="A5142" s="8">
        <v>68</v>
      </c>
      <c r="B5142" s="8">
        <v>46</v>
      </c>
      <c r="C5142" s="8">
        <v>5524.7128910000001</v>
      </c>
      <c r="D5142" s="8">
        <v>102422.375</v>
      </c>
      <c r="E5142" s="8">
        <v>102429.984375</v>
      </c>
      <c r="F5142" s="8">
        <f t="shared" si="160"/>
        <v>7.609375</v>
      </c>
      <c r="G5142" s="8">
        <f t="shared" si="161"/>
        <v>7.6093749999999998E-3</v>
      </c>
    </row>
    <row r="5143" spans="1:7" x14ac:dyDescent="0.25">
      <c r="A5143" s="8">
        <v>68</v>
      </c>
      <c r="B5143" s="8">
        <v>47</v>
      </c>
      <c r="C5143" s="8">
        <v>733.32110599999999</v>
      </c>
      <c r="D5143" s="8">
        <v>107954.289063</v>
      </c>
      <c r="E5143" s="8">
        <v>107977.351563</v>
      </c>
      <c r="F5143" s="8">
        <f t="shared" si="160"/>
        <v>23.0625</v>
      </c>
      <c r="G5143" s="8">
        <f t="shared" si="161"/>
        <v>2.30625E-2</v>
      </c>
    </row>
    <row r="5144" spans="1:7" x14ac:dyDescent="0.25">
      <c r="A5144" s="8">
        <v>68</v>
      </c>
      <c r="B5144" s="8">
        <v>48</v>
      </c>
      <c r="C5144" s="8">
        <v>4281.6586909999996</v>
      </c>
      <c r="D5144" s="8">
        <v>108719.953125</v>
      </c>
      <c r="E5144" s="8">
        <v>108728.054688</v>
      </c>
      <c r="F5144" s="8">
        <f t="shared" si="160"/>
        <v>8.1015630000038072</v>
      </c>
      <c r="G5144" s="8">
        <f t="shared" si="161"/>
        <v>8.1015630000038068E-3</v>
      </c>
    </row>
    <row r="5145" spans="1:7" x14ac:dyDescent="0.25">
      <c r="A5145" s="8">
        <v>68</v>
      </c>
      <c r="B5145" s="8">
        <v>49</v>
      </c>
      <c r="C5145" s="8">
        <v>2249.7910160000001</v>
      </c>
      <c r="D5145" s="8">
        <v>113009.90625</v>
      </c>
      <c r="E5145" s="8">
        <v>113032.921875</v>
      </c>
      <c r="F5145" s="8">
        <f t="shared" si="160"/>
        <v>23.015625</v>
      </c>
      <c r="G5145" s="8">
        <f t="shared" si="161"/>
        <v>2.3015625000000001E-2</v>
      </c>
    </row>
    <row r="5146" spans="1:7" x14ac:dyDescent="0.25">
      <c r="A5146" s="8">
        <v>68</v>
      </c>
      <c r="B5146" s="8">
        <v>50</v>
      </c>
      <c r="C5146" s="8">
        <v>1422.1992190000001</v>
      </c>
      <c r="D5146" s="8">
        <v>115286.007813</v>
      </c>
      <c r="E5146" s="8">
        <v>115306.570313</v>
      </c>
      <c r="F5146" s="8">
        <f t="shared" si="160"/>
        <v>20.5625</v>
      </c>
      <c r="G5146" s="8">
        <f t="shared" si="161"/>
        <v>2.0562500000000001E-2</v>
      </c>
    </row>
    <row r="5147" spans="1:7" x14ac:dyDescent="0.25">
      <c r="A5147" s="8">
        <v>68</v>
      </c>
      <c r="B5147" s="8">
        <v>51</v>
      </c>
      <c r="C5147" s="8">
        <v>1648.419312</v>
      </c>
      <c r="D5147" s="8">
        <v>116739.484375</v>
      </c>
      <c r="E5147" s="8">
        <v>116747.210938</v>
      </c>
      <c r="F5147" s="8">
        <f t="shared" si="160"/>
        <v>7.7265630000038072</v>
      </c>
      <c r="G5147" s="8">
        <f t="shared" si="161"/>
        <v>7.7265630000038074E-3</v>
      </c>
    </row>
    <row r="5148" spans="1:7" x14ac:dyDescent="0.25">
      <c r="A5148" s="8">
        <v>68</v>
      </c>
      <c r="B5148" s="8">
        <v>52</v>
      </c>
      <c r="C5148" s="8">
        <v>2242.2854000000002</v>
      </c>
      <c r="D5148" s="8">
        <v>118400.4375</v>
      </c>
      <c r="E5148" s="8">
        <v>118410.5625</v>
      </c>
      <c r="F5148" s="8">
        <f t="shared" si="160"/>
        <v>10.125</v>
      </c>
      <c r="G5148" s="8">
        <f t="shared" si="161"/>
        <v>1.0125E-2</v>
      </c>
    </row>
    <row r="5149" spans="1:7" x14ac:dyDescent="0.25">
      <c r="A5149" s="8">
        <v>68</v>
      </c>
      <c r="B5149" s="8">
        <v>53</v>
      </c>
      <c r="C5149" s="8">
        <v>535.18084699999997</v>
      </c>
      <c r="D5149" s="8">
        <v>120656.09375</v>
      </c>
      <c r="E5149" s="8">
        <v>120672.3125</v>
      </c>
      <c r="F5149" s="8">
        <f t="shared" si="160"/>
        <v>16.21875</v>
      </c>
      <c r="G5149" s="8">
        <f t="shared" si="161"/>
        <v>1.6218750000000001E-2</v>
      </c>
    </row>
    <row r="5150" spans="1:7" x14ac:dyDescent="0.25">
      <c r="A5150" s="8">
        <v>68</v>
      </c>
      <c r="B5150" s="8">
        <v>54</v>
      </c>
      <c r="C5150" s="8">
        <v>518.34210199999995</v>
      </c>
      <c r="D5150" s="8">
        <v>121220.632813</v>
      </c>
      <c r="E5150" s="8">
        <v>121245.96875</v>
      </c>
      <c r="F5150" s="8">
        <f t="shared" si="160"/>
        <v>25.335936999996193</v>
      </c>
      <c r="G5150" s="8">
        <f t="shared" si="161"/>
        <v>2.5335936999996193E-2</v>
      </c>
    </row>
    <row r="5151" spans="1:7" x14ac:dyDescent="0.25">
      <c r="A5151" s="8">
        <v>68</v>
      </c>
      <c r="B5151" s="8">
        <v>55</v>
      </c>
      <c r="C5151" s="8">
        <v>1862.5295410000001</v>
      </c>
      <c r="D5151" s="8">
        <v>121767.585938</v>
      </c>
      <c r="E5151" s="8">
        <v>121781.570313</v>
      </c>
      <c r="F5151" s="8">
        <f t="shared" si="160"/>
        <v>13.984375</v>
      </c>
      <c r="G5151" s="8">
        <f t="shared" si="161"/>
        <v>1.3984375E-2</v>
      </c>
    </row>
    <row r="5152" spans="1:7" x14ac:dyDescent="0.25">
      <c r="A5152" s="8">
        <v>68</v>
      </c>
      <c r="B5152" s="8">
        <v>56</v>
      </c>
      <c r="C5152" s="8">
        <v>2713.5900879999999</v>
      </c>
      <c r="D5152" s="8">
        <v>123652.632813</v>
      </c>
      <c r="E5152" s="8">
        <v>123661.820313</v>
      </c>
      <c r="F5152" s="8">
        <f t="shared" si="160"/>
        <v>9.1875</v>
      </c>
      <c r="G5152" s="8">
        <f t="shared" si="161"/>
        <v>9.1874999999999995E-3</v>
      </c>
    </row>
    <row r="5153" spans="1:7" x14ac:dyDescent="0.25">
      <c r="A5153" s="8">
        <v>68</v>
      </c>
      <c r="B5153" s="8">
        <v>57</v>
      </c>
      <c r="C5153" s="8">
        <v>9612.3798829999996</v>
      </c>
      <c r="D5153" s="8">
        <v>126377.835938</v>
      </c>
      <c r="E5153" s="8">
        <v>126395.179688</v>
      </c>
      <c r="F5153" s="8">
        <f t="shared" si="160"/>
        <v>17.34375</v>
      </c>
      <c r="G5153" s="8">
        <f t="shared" si="161"/>
        <v>1.7343750000000002E-2</v>
      </c>
    </row>
    <row r="5154" spans="1:7" x14ac:dyDescent="0.25">
      <c r="A5154" s="8">
        <v>68</v>
      </c>
      <c r="B5154" s="8">
        <v>58</v>
      </c>
      <c r="C5154" s="8">
        <v>908.45715299999995</v>
      </c>
      <c r="D5154" s="8">
        <v>136022.703125</v>
      </c>
      <c r="E5154" s="8">
        <v>136033.84375</v>
      </c>
      <c r="F5154" s="8">
        <f t="shared" si="160"/>
        <v>11.140625</v>
      </c>
      <c r="G5154" s="8">
        <f t="shared" si="161"/>
        <v>1.1140624999999999E-2</v>
      </c>
    </row>
    <row r="5155" spans="1:7" x14ac:dyDescent="0.25">
      <c r="A5155" s="8">
        <v>68</v>
      </c>
      <c r="B5155" s="8">
        <v>59</v>
      </c>
      <c r="C5155" s="8">
        <v>182.85936000000001</v>
      </c>
      <c r="D5155" s="8">
        <v>136950.609375</v>
      </c>
      <c r="E5155" s="8">
        <v>136979.3125</v>
      </c>
      <c r="F5155" s="8">
        <f t="shared" si="160"/>
        <v>28.703125</v>
      </c>
      <c r="G5155" s="8">
        <f t="shared" si="161"/>
        <v>2.8703124999999999E-2</v>
      </c>
    </row>
    <row r="5156" spans="1:7" x14ac:dyDescent="0.25">
      <c r="A5156" s="8">
        <v>68</v>
      </c>
      <c r="B5156" s="8">
        <v>60</v>
      </c>
      <c r="C5156" s="8">
        <v>650.08905000000004</v>
      </c>
      <c r="D5156" s="8">
        <v>137171.765625</v>
      </c>
      <c r="E5156" s="8">
        <v>137199.828125</v>
      </c>
      <c r="F5156" s="8">
        <f t="shared" si="160"/>
        <v>28.0625</v>
      </c>
      <c r="G5156" s="8">
        <f t="shared" si="161"/>
        <v>2.8062500000000001E-2</v>
      </c>
    </row>
    <row r="5157" spans="1:7" x14ac:dyDescent="0.25">
      <c r="A5157" s="8">
        <v>68</v>
      </c>
      <c r="B5157" s="8">
        <v>61</v>
      </c>
      <c r="C5157" s="8">
        <v>1330.8548579999999</v>
      </c>
      <c r="D5157" s="8">
        <v>137859.375</v>
      </c>
      <c r="E5157" s="8">
        <v>137870.84375</v>
      </c>
      <c r="F5157" s="8">
        <f t="shared" si="160"/>
        <v>11.46875</v>
      </c>
      <c r="G5157" s="8">
        <f t="shared" si="161"/>
        <v>1.146875E-2</v>
      </c>
    </row>
    <row r="5158" spans="1:7" x14ac:dyDescent="0.25">
      <c r="A5158" s="8">
        <v>68</v>
      </c>
      <c r="B5158" s="8">
        <v>62</v>
      </c>
      <c r="C5158" s="8">
        <v>1284.1473390000001</v>
      </c>
      <c r="D5158" s="8">
        <v>139209.46875</v>
      </c>
      <c r="E5158" s="8">
        <v>139226.25</v>
      </c>
      <c r="F5158" s="8">
        <f t="shared" si="160"/>
        <v>16.78125</v>
      </c>
      <c r="G5158" s="8">
        <f t="shared" si="161"/>
        <v>1.6781250000000001E-2</v>
      </c>
    </row>
    <row r="5159" spans="1:7" x14ac:dyDescent="0.25">
      <c r="A5159" s="8">
        <v>68</v>
      </c>
      <c r="B5159" s="8">
        <v>63</v>
      </c>
      <c r="C5159" s="8">
        <v>776.04840100000001</v>
      </c>
      <c r="D5159" s="8">
        <v>140514.0625</v>
      </c>
      <c r="E5159" s="8">
        <v>140521.625</v>
      </c>
      <c r="F5159" s="8">
        <f t="shared" si="160"/>
        <v>7.5625</v>
      </c>
      <c r="G5159" s="8">
        <f t="shared" si="161"/>
        <v>7.5624999999999998E-3</v>
      </c>
    </row>
    <row r="5160" spans="1:7" x14ac:dyDescent="0.25">
      <c r="A5160" s="8">
        <v>68</v>
      </c>
      <c r="B5160" s="8">
        <v>64</v>
      </c>
      <c r="C5160" s="8">
        <v>4443.2592770000001</v>
      </c>
      <c r="D5160" s="8">
        <v>141297.984375</v>
      </c>
      <c r="E5160" s="8">
        <v>141305.75</v>
      </c>
      <c r="F5160" s="8">
        <f t="shared" si="160"/>
        <v>7.765625</v>
      </c>
      <c r="G5160" s="8">
        <f t="shared" si="161"/>
        <v>7.765625E-3</v>
      </c>
    </row>
    <row r="5161" spans="1:7" x14ac:dyDescent="0.25">
      <c r="A5161" s="8">
        <v>68</v>
      </c>
      <c r="B5161" s="8">
        <v>65</v>
      </c>
      <c r="C5161" s="8">
        <v>2405.32251</v>
      </c>
      <c r="D5161" s="8">
        <v>145755.84375</v>
      </c>
      <c r="E5161" s="8">
        <v>145766.625</v>
      </c>
      <c r="F5161" s="8">
        <f t="shared" si="160"/>
        <v>10.78125</v>
      </c>
      <c r="G5161" s="8">
        <f t="shared" si="161"/>
        <v>1.0781249999999999E-2</v>
      </c>
    </row>
    <row r="5162" spans="1:7" x14ac:dyDescent="0.25">
      <c r="A5162" s="8">
        <v>68</v>
      </c>
      <c r="B5162" s="8">
        <v>66</v>
      </c>
      <c r="C5162" s="8">
        <v>2087.5517580000001</v>
      </c>
      <c r="D5162" s="8">
        <v>148180.71875</v>
      </c>
      <c r="E5162" s="8">
        <v>148198.671875</v>
      </c>
      <c r="F5162" s="8">
        <f t="shared" si="160"/>
        <v>17.953125</v>
      </c>
      <c r="G5162" s="8">
        <f t="shared" si="161"/>
        <v>1.7953125E-2</v>
      </c>
    </row>
    <row r="5163" spans="1:7" x14ac:dyDescent="0.25">
      <c r="A5163" s="8">
        <v>68</v>
      </c>
      <c r="B5163" s="8">
        <v>67</v>
      </c>
      <c r="C5163" s="8">
        <v>1045.413086</v>
      </c>
      <c r="D5163" s="8">
        <v>150295.765625</v>
      </c>
      <c r="E5163" s="8">
        <v>150308.15625</v>
      </c>
      <c r="F5163" s="8">
        <f t="shared" si="160"/>
        <v>12.390625</v>
      </c>
      <c r="G5163" s="8">
        <f t="shared" si="161"/>
        <v>1.2390625000000001E-2</v>
      </c>
    </row>
    <row r="5164" spans="1:7" x14ac:dyDescent="0.25">
      <c r="A5164" s="8">
        <v>68</v>
      </c>
      <c r="B5164" s="8">
        <v>68</v>
      </c>
      <c r="C5164" s="8">
        <v>2121.9948730000001</v>
      </c>
      <c r="D5164" s="8">
        <v>151358.140625</v>
      </c>
      <c r="E5164" s="8">
        <v>151370.375</v>
      </c>
      <c r="F5164" s="8">
        <f t="shared" si="160"/>
        <v>12.234375</v>
      </c>
      <c r="G5164" s="8">
        <f t="shared" si="161"/>
        <v>1.2234375E-2</v>
      </c>
    </row>
    <row r="5165" spans="1:7" x14ac:dyDescent="0.25">
      <c r="A5165" s="8">
        <v>68</v>
      </c>
      <c r="B5165" s="8">
        <v>69</v>
      </c>
      <c r="C5165" s="8">
        <v>3554.4938959999999</v>
      </c>
      <c r="D5165" s="8">
        <v>153500.203125</v>
      </c>
      <c r="E5165" s="8">
        <v>153510.96875</v>
      </c>
      <c r="F5165" s="8">
        <f t="shared" si="160"/>
        <v>10.765625</v>
      </c>
      <c r="G5165" s="8">
        <f t="shared" si="161"/>
        <v>1.0765624999999999E-2</v>
      </c>
    </row>
    <row r="5166" spans="1:7" x14ac:dyDescent="0.25">
      <c r="A5166" s="8">
        <v>68</v>
      </c>
      <c r="B5166" s="8">
        <v>70</v>
      </c>
      <c r="C5166" s="8">
        <v>1714.346802</v>
      </c>
      <c r="D5166" s="8">
        <v>157078.71875</v>
      </c>
      <c r="E5166" s="8">
        <v>157092.6875</v>
      </c>
      <c r="F5166" s="8">
        <f t="shared" si="160"/>
        <v>13.96875</v>
      </c>
      <c r="G5166" s="8">
        <f t="shared" si="161"/>
        <v>1.396875E-2</v>
      </c>
    </row>
    <row r="5167" spans="1:7" x14ac:dyDescent="0.25">
      <c r="A5167" s="8">
        <v>68</v>
      </c>
      <c r="B5167" s="8">
        <v>71</v>
      </c>
      <c r="C5167" s="8">
        <v>5332.248047</v>
      </c>
      <c r="D5167" s="8">
        <v>158814.203125</v>
      </c>
      <c r="E5167" s="8">
        <v>158837.5625</v>
      </c>
      <c r="F5167" s="8">
        <f t="shared" si="160"/>
        <v>23.359375</v>
      </c>
      <c r="G5167" s="8">
        <f t="shared" si="161"/>
        <v>2.3359375000000002E-2</v>
      </c>
    </row>
    <row r="5168" spans="1:7" x14ac:dyDescent="0.25">
      <c r="A5168" s="8">
        <v>68</v>
      </c>
      <c r="B5168" s="8">
        <v>72</v>
      </c>
      <c r="C5168" s="8">
        <v>858.70855700000004</v>
      </c>
      <c r="D5168" s="8">
        <v>164174.734375</v>
      </c>
      <c r="E5168" s="8">
        <v>164191.578125</v>
      </c>
      <c r="F5168" s="8">
        <f t="shared" si="160"/>
        <v>16.84375</v>
      </c>
      <c r="G5168" s="8">
        <f t="shared" si="161"/>
        <v>1.6843750000000001E-2</v>
      </c>
    </row>
    <row r="5169" spans="1:7" x14ac:dyDescent="0.25">
      <c r="A5169" s="8">
        <v>68</v>
      </c>
      <c r="B5169" s="8">
        <v>73</v>
      </c>
      <c r="C5169" s="8">
        <v>997.00238000000002</v>
      </c>
      <c r="D5169" s="8">
        <v>165061.546875</v>
      </c>
      <c r="E5169" s="8">
        <v>165083.265625</v>
      </c>
      <c r="F5169" s="8">
        <f t="shared" si="160"/>
        <v>21.71875</v>
      </c>
      <c r="G5169" s="8">
        <f t="shared" si="161"/>
        <v>2.1718749999999998E-2</v>
      </c>
    </row>
    <row r="5170" spans="1:7" x14ac:dyDescent="0.25">
      <c r="A5170" s="8">
        <v>68</v>
      </c>
      <c r="B5170" s="8">
        <v>74</v>
      </c>
      <c r="C5170" s="8">
        <v>1928.3469239999999</v>
      </c>
      <c r="D5170" s="8">
        <v>166092.84375</v>
      </c>
      <c r="E5170" s="8">
        <v>166107</v>
      </c>
      <c r="F5170" s="8">
        <f t="shared" si="160"/>
        <v>14.15625</v>
      </c>
      <c r="G5170" s="8">
        <f t="shared" si="161"/>
        <v>1.415625E-2</v>
      </c>
    </row>
    <row r="5171" spans="1:7" x14ac:dyDescent="0.25">
      <c r="A5171" s="8">
        <v>68</v>
      </c>
      <c r="B5171" s="8">
        <v>75</v>
      </c>
      <c r="C5171" s="8">
        <v>1870.1339109999999</v>
      </c>
      <c r="D5171" s="8">
        <v>168041.71875</v>
      </c>
      <c r="E5171" s="8">
        <v>168057.671875</v>
      </c>
      <c r="F5171" s="8">
        <f t="shared" si="160"/>
        <v>15.953125</v>
      </c>
      <c r="G5171" s="8">
        <f t="shared" si="161"/>
        <v>1.5953124999999999E-2</v>
      </c>
    </row>
    <row r="5172" spans="1:7" x14ac:dyDescent="0.25">
      <c r="A5172" s="8">
        <v>68</v>
      </c>
      <c r="B5172" s="8">
        <v>76</v>
      </c>
      <c r="C5172" s="8">
        <v>5298.2973629999997</v>
      </c>
      <c r="D5172" s="8">
        <v>169939.140625</v>
      </c>
      <c r="E5172" s="8">
        <v>169956.0625</v>
      </c>
      <c r="F5172" s="8">
        <f t="shared" si="160"/>
        <v>16.921875</v>
      </c>
      <c r="G5172" s="8">
        <f t="shared" si="161"/>
        <v>1.6921874999999999E-2</v>
      </c>
    </row>
    <row r="5173" spans="1:7" x14ac:dyDescent="0.25">
      <c r="A5173" s="8">
        <v>69</v>
      </c>
      <c r="B5173" s="8">
        <v>0</v>
      </c>
      <c r="C5173" s="8">
        <v>461.42028800000003</v>
      </c>
      <c r="D5173" s="8">
        <v>22485.089843999998</v>
      </c>
      <c r="E5173" s="8">
        <v>22504.027343999998</v>
      </c>
      <c r="F5173" s="8">
        <f t="shared" si="160"/>
        <v>18.9375</v>
      </c>
      <c r="G5173" s="8">
        <f t="shared" si="161"/>
        <v>1.8937499999999999E-2</v>
      </c>
    </row>
    <row r="5174" spans="1:7" x14ac:dyDescent="0.25">
      <c r="A5174" s="8">
        <v>69</v>
      </c>
      <c r="B5174" s="8">
        <v>1</v>
      </c>
      <c r="C5174" s="8">
        <v>6244.0097660000001</v>
      </c>
      <c r="D5174" s="8">
        <v>22969.515625</v>
      </c>
      <c r="E5174" s="8">
        <v>22976.677734000001</v>
      </c>
      <c r="F5174" s="8">
        <f t="shared" si="160"/>
        <v>7.1621090000007825</v>
      </c>
      <c r="G5174" s="8">
        <f t="shared" si="161"/>
        <v>7.1621090000007822E-3</v>
      </c>
    </row>
    <row r="5175" spans="1:7" x14ac:dyDescent="0.25">
      <c r="A5175" s="8">
        <v>69</v>
      </c>
      <c r="B5175" s="8">
        <v>2</v>
      </c>
      <c r="C5175" s="8">
        <v>930.49585000000002</v>
      </c>
      <c r="D5175" s="8">
        <v>29230.867188</v>
      </c>
      <c r="E5175" s="8">
        <v>29238.882813</v>
      </c>
      <c r="F5175" s="8">
        <f t="shared" si="160"/>
        <v>8.015625</v>
      </c>
      <c r="G5175" s="8">
        <f t="shared" si="161"/>
        <v>8.0156250000000002E-3</v>
      </c>
    </row>
    <row r="5176" spans="1:7" x14ac:dyDescent="0.25">
      <c r="A5176" s="8">
        <v>69</v>
      </c>
      <c r="B5176" s="8">
        <v>3</v>
      </c>
      <c r="C5176" s="8">
        <v>7675.1235349999997</v>
      </c>
      <c r="D5176" s="8">
        <v>30171.667968999998</v>
      </c>
      <c r="E5176" s="8">
        <v>30193.052734000001</v>
      </c>
      <c r="F5176" s="8">
        <f t="shared" si="160"/>
        <v>21.384765000002517</v>
      </c>
      <c r="G5176" s="8">
        <f t="shared" si="161"/>
        <v>2.1384765000002515E-2</v>
      </c>
    </row>
    <row r="5177" spans="1:7" x14ac:dyDescent="0.25">
      <c r="A5177" s="8">
        <v>69</v>
      </c>
      <c r="B5177" s="8">
        <v>4</v>
      </c>
      <c r="C5177" s="8">
        <v>1548.2626949999999</v>
      </c>
      <c r="D5177" s="8">
        <v>37870.382812999997</v>
      </c>
      <c r="E5177" s="8">
        <v>37882.347655999998</v>
      </c>
      <c r="F5177" s="8">
        <f t="shared" si="160"/>
        <v>11.964843000001565</v>
      </c>
      <c r="G5177" s="8">
        <f t="shared" si="161"/>
        <v>1.1964843000001566E-2</v>
      </c>
    </row>
    <row r="5178" spans="1:7" x14ac:dyDescent="0.25">
      <c r="A5178" s="8">
        <v>69</v>
      </c>
      <c r="B5178" s="8">
        <v>5</v>
      </c>
      <c r="C5178" s="8">
        <v>978.89727800000003</v>
      </c>
      <c r="D5178" s="8">
        <v>39433.535155999998</v>
      </c>
      <c r="E5178" s="8">
        <v>39453.769530999998</v>
      </c>
      <c r="F5178" s="8">
        <f t="shared" si="160"/>
        <v>20.234375</v>
      </c>
      <c r="G5178" s="8">
        <f t="shared" si="161"/>
        <v>2.0234374999999999E-2</v>
      </c>
    </row>
    <row r="5179" spans="1:7" x14ac:dyDescent="0.25">
      <c r="A5179" s="8">
        <v>69</v>
      </c>
      <c r="B5179" s="8">
        <v>6</v>
      </c>
      <c r="C5179" s="8">
        <v>2761.571289</v>
      </c>
      <c r="D5179" s="8">
        <v>40433.527344000002</v>
      </c>
      <c r="E5179" s="8">
        <v>40444.550780999998</v>
      </c>
      <c r="F5179" s="8">
        <f t="shared" si="160"/>
        <v>11.023436999996193</v>
      </c>
      <c r="G5179" s="8">
        <f t="shared" si="161"/>
        <v>1.1023436999996193E-2</v>
      </c>
    </row>
    <row r="5180" spans="1:7" x14ac:dyDescent="0.25">
      <c r="A5180" s="8">
        <v>69</v>
      </c>
      <c r="B5180" s="8">
        <v>7</v>
      </c>
      <c r="C5180" s="8">
        <v>6535.7592770000001</v>
      </c>
      <c r="D5180" s="8">
        <v>43209.1875</v>
      </c>
      <c r="E5180" s="8">
        <v>43246.226562999997</v>
      </c>
      <c r="F5180" s="8">
        <f t="shared" si="160"/>
        <v>37.039062999996531</v>
      </c>
      <c r="G5180" s="8">
        <f t="shared" si="161"/>
        <v>3.7039062999996535E-2</v>
      </c>
    </row>
    <row r="5181" spans="1:7" x14ac:dyDescent="0.25">
      <c r="A5181" s="8">
        <v>69</v>
      </c>
      <c r="B5181" s="8">
        <v>8</v>
      </c>
      <c r="C5181" s="8">
        <v>4236.4819340000004</v>
      </c>
      <c r="D5181" s="8">
        <v>49795.578125</v>
      </c>
      <c r="E5181" s="8">
        <v>49822.699219000002</v>
      </c>
      <c r="F5181" s="8">
        <f t="shared" si="160"/>
        <v>27.121094000001904</v>
      </c>
      <c r="G5181" s="8">
        <f t="shared" si="161"/>
        <v>2.7121094000001903E-2</v>
      </c>
    </row>
    <row r="5182" spans="1:7" x14ac:dyDescent="0.25">
      <c r="A5182" s="8">
        <v>69</v>
      </c>
      <c r="B5182" s="8">
        <v>9</v>
      </c>
      <c r="C5182" s="8">
        <v>1822.960693</v>
      </c>
      <c r="D5182" s="8">
        <v>54065.714844000002</v>
      </c>
      <c r="E5182" s="8">
        <v>54082.175780999998</v>
      </c>
      <c r="F5182" s="8">
        <f t="shared" si="160"/>
        <v>16.460936999996193</v>
      </c>
      <c r="G5182" s="8">
        <f t="shared" si="161"/>
        <v>1.6460936999996192E-2</v>
      </c>
    </row>
    <row r="5183" spans="1:7" x14ac:dyDescent="0.25">
      <c r="A5183" s="8">
        <v>69</v>
      </c>
      <c r="B5183" s="8">
        <v>10</v>
      </c>
      <c r="C5183" s="8">
        <v>194.12690699999999</v>
      </c>
      <c r="D5183" s="8">
        <v>55909.832030999998</v>
      </c>
      <c r="E5183" s="8">
        <v>55923.761719000002</v>
      </c>
      <c r="F5183" s="8">
        <f t="shared" si="160"/>
        <v>13.929688000003807</v>
      </c>
      <c r="G5183" s="8">
        <f t="shared" si="161"/>
        <v>1.3929688000003807E-2</v>
      </c>
    </row>
    <row r="5184" spans="1:7" x14ac:dyDescent="0.25">
      <c r="A5184" s="8">
        <v>69</v>
      </c>
      <c r="B5184" s="8">
        <v>11</v>
      </c>
      <c r="C5184" s="8">
        <v>6779.1533200000003</v>
      </c>
      <c r="D5184" s="8">
        <v>56128.664062999997</v>
      </c>
      <c r="E5184" s="8">
        <v>56137.691405999998</v>
      </c>
      <c r="F5184" s="8">
        <f t="shared" si="160"/>
        <v>9.0273430000015651</v>
      </c>
      <c r="G5184" s="8">
        <f t="shared" si="161"/>
        <v>9.0273430000015649E-3</v>
      </c>
    </row>
    <row r="5185" spans="1:7" x14ac:dyDescent="0.25">
      <c r="A5185" s="8">
        <v>69</v>
      </c>
      <c r="B5185" s="8">
        <v>12</v>
      </c>
      <c r="C5185" s="8">
        <v>3908.1225589999999</v>
      </c>
      <c r="D5185" s="8">
        <v>62922.949219000002</v>
      </c>
      <c r="E5185" s="8">
        <v>62951.074219000002</v>
      </c>
      <c r="F5185" s="8">
        <f t="shared" si="160"/>
        <v>28.125</v>
      </c>
      <c r="G5185" s="8">
        <f t="shared" si="161"/>
        <v>2.8125000000000001E-2</v>
      </c>
    </row>
    <row r="5186" spans="1:7" x14ac:dyDescent="0.25">
      <c r="A5186" s="8">
        <v>69</v>
      </c>
      <c r="B5186" s="8">
        <v>13</v>
      </c>
      <c r="C5186" s="8">
        <v>985.28033400000004</v>
      </c>
      <c r="D5186" s="8">
        <v>66871.710938000004</v>
      </c>
      <c r="E5186" s="8">
        <v>66890.367188000004</v>
      </c>
      <c r="F5186" s="8">
        <f t="shared" si="160"/>
        <v>18.65625</v>
      </c>
      <c r="G5186" s="8">
        <f t="shared" si="161"/>
        <v>1.8656249999999999E-2</v>
      </c>
    </row>
    <row r="5187" spans="1:7" x14ac:dyDescent="0.25">
      <c r="A5187" s="8">
        <v>69</v>
      </c>
      <c r="B5187" s="8">
        <v>14</v>
      </c>
      <c r="C5187" s="8">
        <v>1148.0648189999999</v>
      </c>
      <c r="D5187" s="8">
        <v>67889.03125</v>
      </c>
      <c r="E5187" s="8">
        <v>67902.101563000004</v>
      </c>
      <c r="F5187" s="8">
        <f t="shared" si="160"/>
        <v>13.070313000003807</v>
      </c>
      <c r="G5187" s="8">
        <f t="shared" si="161"/>
        <v>1.3070313000003808E-2</v>
      </c>
    </row>
    <row r="5188" spans="1:7" x14ac:dyDescent="0.25">
      <c r="A5188" s="8">
        <v>69</v>
      </c>
      <c r="B5188" s="8">
        <v>15</v>
      </c>
      <c r="C5188" s="8">
        <v>195.270737</v>
      </c>
      <c r="D5188" s="8">
        <v>69061.039063000004</v>
      </c>
      <c r="E5188" s="8">
        <v>69081.984375</v>
      </c>
      <c r="F5188" s="8">
        <f t="shared" si="160"/>
        <v>20.945311999996193</v>
      </c>
      <c r="G5188" s="8">
        <f t="shared" si="161"/>
        <v>2.0945311999996191E-2</v>
      </c>
    </row>
    <row r="5189" spans="1:7" x14ac:dyDescent="0.25">
      <c r="A5189" s="8">
        <v>69</v>
      </c>
      <c r="B5189" s="8">
        <v>16</v>
      </c>
      <c r="C5189" s="8">
        <v>140.24543800000001</v>
      </c>
      <c r="D5189" s="8">
        <v>69279.953125</v>
      </c>
      <c r="E5189" s="8">
        <v>69299.992188000004</v>
      </c>
      <c r="F5189" s="8">
        <f t="shared" si="160"/>
        <v>20.039063000003807</v>
      </c>
      <c r="G5189" s="8">
        <f t="shared" si="161"/>
        <v>2.0039063000003809E-2</v>
      </c>
    </row>
    <row r="5190" spans="1:7" x14ac:dyDescent="0.25">
      <c r="A5190" s="8">
        <v>69</v>
      </c>
      <c r="B5190" s="8">
        <v>17</v>
      </c>
      <c r="C5190" s="8">
        <v>3085.3100589999999</v>
      </c>
      <c r="D5190" s="8">
        <v>69452.03125</v>
      </c>
      <c r="E5190" s="8">
        <v>69477.875</v>
      </c>
      <c r="F5190" s="8">
        <f t="shared" si="160"/>
        <v>25.84375</v>
      </c>
      <c r="G5190" s="8">
        <f t="shared" si="161"/>
        <v>2.5843749999999999E-2</v>
      </c>
    </row>
    <row r="5191" spans="1:7" x14ac:dyDescent="0.25">
      <c r="A5191" s="8">
        <v>69</v>
      </c>
      <c r="B5191" s="8">
        <v>18</v>
      </c>
      <c r="C5191" s="8">
        <v>3063.16626</v>
      </c>
      <c r="D5191" s="8">
        <v>72576.023438000004</v>
      </c>
      <c r="E5191" s="8">
        <v>72608.757813000004</v>
      </c>
      <c r="F5191" s="8">
        <f t="shared" si="160"/>
        <v>32.734375</v>
      </c>
      <c r="G5191" s="8">
        <f t="shared" si="161"/>
        <v>3.2734375000000003E-2</v>
      </c>
    </row>
    <row r="5192" spans="1:7" x14ac:dyDescent="0.25">
      <c r="A5192" s="8">
        <v>69</v>
      </c>
      <c r="B5192" s="8">
        <v>19</v>
      </c>
      <c r="C5192" s="8">
        <v>1784.4575199999999</v>
      </c>
      <c r="D5192" s="8">
        <v>75674.601563000004</v>
      </c>
      <c r="E5192" s="8">
        <v>75686.046875</v>
      </c>
      <c r="F5192" s="8">
        <f t="shared" si="160"/>
        <v>11.445311999996193</v>
      </c>
      <c r="G5192" s="8">
        <f t="shared" si="161"/>
        <v>1.1445311999996193E-2</v>
      </c>
    </row>
    <row r="5193" spans="1:7" x14ac:dyDescent="0.25">
      <c r="A5193" s="8">
        <v>69</v>
      </c>
      <c r="B5193" s="8">
        <v>20</v>
      </c>
      <c r="C5193" s="8">
        <v>1378.192871</v>
      </c>
      <c r="D5193" s="8">
        <v>77476.515625</v>
      </c>
      <c r="E5193" s="8">
        <v>77487.726563000004</v>
      </c>
      <c r="F5193" s="8">
        <f t="shared" si="160"/>
        <v>11.210938000003807</v>
      </c>
      <c r="G5193" s="8">
        <f t="shared" si="161"/>
        <v>1.1210938000003808E-2</v>
      </c>
    </row>
    <row r="5194" spans="1:7" x14ac:dyDescent="0.25">
      <c r="A5194" s="8">
        <v>69</v>
      </c>
      <c r="B5194" s="8">
        <v>21</v>
      </c>
      <c r="C5194" s="8">
        <v>251.99130199999999</v>
      </c>
      <c r="D5194" s="8">
        <v>78872.75</v>
      </c>
      <c r="E5194" s="8">
        <v>78895.617188000004</v>
      </c>
      <c r="F5194" s="8">
        <f t="shared" si="160"/>
        <v>22.867188000003807</v>
      </c>
      <c r="G5194" s="8">
        <f t="shared" si="161"/>
        <v>2.2867188000003806E-2</v>
      </c>
    </row>
    <row r="5195" spans="1:7" x14ac:dyDescent="0.25">
      <c r="A5195" s="8">
        <v>69</v>
      </c>
      <c r="B5195" s="8">
        <v>22</v>
      </c>
      <c r="C5195" s="8">
        <v>2791.9084469999998</v>
      </c>
      <c r="D5195" s="8">
        <v>79154.140625</v>
      </c>
      <c r="E5195" s="8">
        <v>79167.90625</v>
      </c>
      <c r="F5195" s="8">
        <f t="shared" ref="F5195:F5258" si="162">E5195-D5195</f>
        <v>13.765625</v>
      </c>
      <c r="G5195" s="8">
        <f t="shared" ref="G5195:G5258" si="163">F5195/1000</f>
        <v>1.3765625E-2</v>
      </c>
    </row>
    <row r="5196" spans="1:7" x14ac:dyDescent="0.25">
      <c r="A5196" s="8">
        <v>69</v>
      </c>
      <c r="B5196" s="8">
        <v>23</v>
      </c>
      <c r="C5196" s="8">
        <v>676.10870399999999</v>
      </c>
      <c r="D5196" s="8">
        <v>81963.195313000004</v>
      </c>
      <c r="E5196" s="8">
        <v>81982.40625</v>
      </c>
      <c r="F5196" s="8">
        <f t="shared" si="162"/>
        <v>19.210936999996193</v>
      </c>
      <c r="G5196" s="8">
        <f t="shared" si="163"/>
        <v>1.9210936999996191E-2</v>
      </c>
    </row>
    <row r="5197" spans="1:7" x14ac:dyDescent="0.25">
      <c r="A5197" s="8">
        <v>69</v>
      </c>
      <c r="B5197" s="8">
        <v>24</v>
      </c>
      <c r="C5197" s="8">
        <v>226.537766</v>
      </c>
      <c r="D5197" s="8">
        <v>82667.421875</v>
      </c>
      <c r="E5197" s="8">
        <v>82682.523438000004</v>
      </c>
      <c r="F5197" s="8">
        <f t="shared" si="162"/>
        <v>15.101563000003807</v>
      </c>
      <c r="G5197" s="8">
        <f t="shared" si="163"/>
        <v>1.5101563000003808E-2</v>
      </c>
    </row>
    <row r="5198" spans="1:7" x14ac:dyDescent="0.25">
      <c r="A5198" s="8">
        <v>69</v>
      </c>
      <c r="B5198" s="8">
        <v>25</v>
      </c>
      <c r="C5198" s="8">
        <v>2259.0234380000002</v>
      </c>
      <c r="D5198" s="8">
        <v>82917.429688000004</v>
      </c>
      <c r="E5198" s="8">
        <v>82929.75</v>
      </c>
      <c r="F5198" s="8">
        <f t="shared" si="162"/>
        <v>12.320311999996193</v>
      </c>
      <c r="G5198" s="8">
        <f t="shared" si="163"/>
        <v>1.2320311999996192E-2</v>
      </c>
    </row>
    <row r="5199" spans="1:7" x14ac:dyDescent="0.25">
      <c r="A5199" s="8">
        <v>69</v>
      </c>
      <c r="B5199" s="8">
        <v>26</v>
      </c>
      <c r="C5199" s="8">
        <v>1278.8186040000001</v>
      </c>
      <c r="D5199" s="8">
        <v>85204.304688000004</v>
      </c>
      <c r="E5199" s="8">
        <v>85211.40625</v>
      </c>
      <c r="F5199" s="8">
        <f t="shared" si="162"/>
        <v>7.1015619999961928</v>
      </c>
      <c r="G5199" s="8">
        <f t="shared" si="163"/>
        <v>7.1015619999961928E-3</v>
      </c>
    </row>
    <row r="5200" spans="1:7" x14ac:dyDescent="0.25">
      <c r="A5200" s="8">
        <v>69</v>
      </c>
      <c r="B5200" s="8">
        <v>27</v>
      </c>
      <c r="C5200" s="8">
        <v>665.01324499999998</v>
      </c>
      <c r="D5200" s="8">
        <v>86502.734375</v>
      </c>
      <c r="E5200" s="8">
        <v>86530.117188000004</v>
      </c>
      <c r="F5200" s="8">
        <f t="shared" si="162"/>
        <v>27.382813000003807</v>
      </c>
      <c r="G5200" s="8">
        <f t="shared" si="163"/>
        <v>2.7382813000003808E-2</v>
      </c>
    </row>
    <row r="5201" spans="1:7" x14ac:dyDescent="0.25">
      <c r="A5201" s="8">
        <v>69</v>
      </c>
      <c r="B5201" s="8">
        <v>28</v>
      </c>
      <c r="C5201" s="8">
        <v>1964.6923830000001</v>
      </c>
      <c r="D5201" s="8">
        <v>87205.75</v>
      </c>
      <c r="E5201" s="8">
        <v>87227.429688000004</v>
      </c>
      <c r="F5201" s="8">
        <f t="shared" si="162"/>
        <v>21.679688000003807</v>
      </c>
      <c r="G5201" s="8">
        <f t="shared" si="163"/>
        <v>2.1679688000003808E-2</v>
      </c>
    </row>
    <row r="5202" spans="1:7" x14ac:dyDescent="0.25">
      <c r="A5202" s="8">
        <v>69</v>
      </c>
      <c r="B5202" s="8">
        <v>29</v>
      </c>
      <c r="C5202" s="8">
        <v>2265.2653810000002</v>
      </c>
      <c r="D5202" s="8">
        <v>89193.671875</v>
      </c>
      <c r="E5202" s="8">
        <v>89206.664063000004</v>
      </c>
      <c r="F5202" s="8">
        <f t="shared" si="162"/>
        <v>12.992188000003807</v>
      </c>
      <c r="G5202" s="8">
        <f t="shared" si="163"/>
        <v>1.2992188000003808E-2</v>
      </c>
    </row>
    <row r="5203" spans="1:7" x14ac:dyDescent="0.25">
      <c r="A5203" s="8">
        <v>69</v>
      </c>
      <c r="B5203" s="8">
        <v>30</v>
      </c>
      <c r="C5203" s="8">
        <v>1695.0229489999999</v>
      </c>
      <c r="D5203" s="8">
        <v>91479.945313000004</v>
      </c>
      <c r="E5203" s="8">
        <v>91572.726563000004</v>
      </c>
      <c r="F5203" s="8">
        <f t="shared" si="162"/>
        <v>92.78125</v>
      </c>
      <c r="G5203" s="8">
        <f t="shared" si="163"/>
        <v>9.2781249999999996E-2</v>
      </c>
    </row>
    <row r="5204" spans="1:7" x14ac:dyDescent="0.25">
      <c r="A5204" s="8">
        <v>69</v>
      </c>
      <c r="B5204" s="8">
        <v>31</v>
      </c>
      <c r="C5204" s="8">
        <v>906.91973900000005</v>
      </c>
      <c r="D5204" s="8">
        <v>93279.125</v>
      </c>
      <c r="E5204" s="8">
        <v>93286.9375</v>
      </c>
      <c r="F5204" s="8">
        <f t="shared" si="162"/>
        <v>7.8125</v>
      </c>
      <c r="G5204" s="8">
        <f t="shared" si="163"/>
        <v>7.8125E-3</v>
      </c>
    </row>
    <row r="5205" spans="1:7" x14ac:dyDescent="0.25">
      <c r="A5205" s="8">
        <v>69</v>
      </c>
      <c r="B5205" s="8">
        <v>32</v>
      </c>
      <c r="C5205" s="8">
        <v>412.590149</v>
      </c>
      <c r="D5205" s="8">
        <v>94201.375</v>
      </c>
      <c r="E5205" s="8">
        <v>94219.015625</v>
      </c>
      <c r="F5205" s="8">
        <f t="shared" si="162"/>
        <v>17.640625</v>
      </c>
      <c r="G5205" s="8">
        <f t="shared" si="163"/>
        <v>1.7640625E-2</v>
      </c>
    </row>
    <row r="5206" spans="1:7" x14ac:dyDescent="0.25">
      <c r="A5206" s="8">
        <v>69</v>
      </c>
      <c r="B5206" s="8">
        <v>33</v>
      </c>
      <c r="C5206" s="8">
        <v>2750.4333499999998</v>
      </c>
      <c r="D5206" s="8">
        <v>94639.5625</v>
      </c>
      <c r="E5206" s="8">
        <v>94662.382813000004</v>
      </c>
      <c r="F5206" s="8">
        <f t="shared" si="162"/>
        <v>22.820313000003807</v>
      </c>
      <c r="G5206" s="8">
        <f t="shared" si="163"/>
        <v>2.2820313000003808E-2</v>
      </c>
    </row>
    <row r="5207" spans="1:7" x14ac:dyDescent="0.25">
      <c r="A5207" s="8">
        <v>69</v>
      </c>
      <c r="B5207" s="8">
        <v>34</v>
      </c>
      <c r="C5207" s="8">
        <v>1820.8358149999999</v>
      </c>
      <c r="D5207" s="8">
        <v>97419.101563000004</v>
      </c>
      <c r="E5207" s="8">
        <v>97436.015625</v>
      </c>
      <c r="F5207" s="8">
        <f t="shared" si="162"/>
        <v>16.914061999996193</v>
      </c>
      <c r="G5207" s="8">
        <f t="shared" si="163"/>
        <v>1.6914061999996191E-2</v>
      </c>
    </row>
    <row r="5208" spans="1:7" x14ac:dyDescent="0.25">
      <c r="A5208" s="8">
        <v>69</v>
      </c>
      <c r="B5208" s="8">
        <v>35</v>
      </c>
      <c r="C5208" s="8">
        <v>238.88012699999999</v>
      </c>
      <c r="D5208" s="8">
        <v>99260.671875</v>
      </c>
      <c r="E5208" s="8">
        <v>99272.757813000004</v>
      </c>
      <c r="F5208" s="8">
        <f t="shared" si="162"/>
        <v>12.085938000003807</v>
      </c>
      <c r="G5208" s="8">
        <f t="shared" si="163"/>
        <v>1.2085938000003807E-2</v>
      </c>
    </row>
    <row r="5209" spans="1:7" x14ac:dyDescent="0.25">
      <c r="A5209" s="8">
        <v>69</v>
      </c>
      <c r="B5209" s="8">
        <v>36</v>
      </c>
      <c r="C5209" s="8">
        <v>4166.1596680000002</v>
      </c>
      <c r="D5209" s="8">
        <v>99526.289063000004</v>
      </c>
      <c r="E5209" s="8">
        <v>99535.195313000004</v>
      </c>
      <c r="F5209" s="8">
        <f t="shared" si="162"/>
        <v>8.90625</v>
      </c>
      <c r="G5209" s="8">
        <f t="shared" si="163"/>
        <v>8.9062499999999992E-3</v>
      </c>
    </row>
    <row r="5210" spans="1:7" x14ac:dyDescent="0.25">
      <c r="A5210" s="8">
        <v>69</v>
      </c>
      <c r="B5210" s="8">
        <v>37</v>
      </c>
      <c r="C5210" s="8">
        <v>2069.9489749999998</v>
      </c>
      <c r="D5210" s="8">
        <v>103716.015625</v>
      </c>
      <c r="E5210" s="8">
        <v>103737.046875</v>
      </c>
      <c r="F5210" s="8">
        <f t="shared" si="162"/>
        <v>21.03125</v>
      </c>
      <c r="G5210" s="8">
        <f t="shared" si="163"/>
        <v>2.1031250000000001E-2</v>
      </c>
    </row>
    <row r="5211" spans="1:7" x14ac:dyDescent="0.25">
      <c r="A5211" s="8">
        <v>69</v>
      </c>
      <c r="B5211" s="8">
        <v>38</v>
      </c>
      <c r="C5211" s="8">
        <v>2547.405518</v>
      </c>
      <c r="D5211" s="8">
        <v>105812.703125</v>
      </c>
      <c r="E5211" s="8">
        <v>105839.34375</v>
      </c>
      <c r="F5211" s="8">
        <f t="shared" si="162"/>
        <v>26.640625</v>
      </c>
      <c r="G5211" s="8">
        <f t="shared" si="163"/>
        <v>2.6640625000000001E-2</v>
      </c>
    </row>
    <row r="5212" spans="1:7" x14ac:dyDescent="0.25">
      <c r="A5212" s="8">
        <v>69</v>
      </c>
      <c r="B5212" s="8">
        <v>39</v>
      </c>
      <c r="C5212" s="8">
        <v>378.15338100000002</v>
      </c>
      <c r="D5212" s="8">
        <v>108391.804688</v>
      </c>
      <c r="E5212" s="8">
        <v>108411.242188</v>
      </c>
      <c r="F5212" s="8">
        <f t="shared" si="162"/>
        <v>19.4375</v>
      </c>
      <c r="G5212" s="8">
        <f t="shared" si="163"/>
        <v>1.94375E-2</v>
      </c>
    </row>
    <row r="5213" spans="1:7" x14ac:dyDescent="0.25">
      <c r="A5213" s="8">
        <v>69</v>
      </c>
      <c r="B5213" s="8">
        <v>40</v>
      </c>
      <c r="C5213" s="8">
        <v>3169.560547</v>
      </c>
      <c r="D5213" s="8">
        <v>108798.109375</v>
      </c>
      <c r="E5213" s="8">
        <v>108806.03125</v>
      </c>
      <c r="F5213" s="8">
        <f t="shared" si="162"/>
        <v>7.921875</v>
      </c>
      <c r="G5213" s="8">
        <f t="shared" si="163"/>
        <v>7.9218750000000001E-3</v>
      </c>
    </row>
    <row r="5214" spans="1:7" x14ac:dyDescent="0.25">
      <c r="A5214" s="8">
        <v>69</v>
      </c>
      <c r="B5214" s="8">
        <v>41</v>
      </c>
      <c r="C5214" s="8">
        <v>1187.0198969999999</v>
      </c>
      <c r="D5214" s="8">
        <v>111989.28125</v>
      </c>
      <c r="E5214" s="8">
        <v>111996.46875</v>
      </c>
      <c r="F5214" s="8">
        <f t="shared" si="162"/>
        <v>7.1875</v>
      </c>
      <c r="G5214" s="8">
        <f t="shared" si="163"/>
        <v>7.1875000000000003E-3</v>
      </c>
    </row>
    <row r="5215" spans="1:7" x14ac:dyDescent="0.25">
      <c r="A5215" s="8">
        <v>69</v>
      </c>
      <c r="B5215" s="8">
        <v>42</v>
      </c>
      <c r="C5215" s="8">
        <v>112.93498200000001</v>
      </c>
      <c r="D5215" s="8">
        <v>113190.5625</v>
      </c>
      <c r="E5215" s="8">
        <v>113201.789063</v>
      </c>
      <c r="F5215" s="8">
        <f t="shared" si="162"/>
        <v>11.226563000003807</v>
      </c>
      <c r="G5215" s="8">
        <f t="shared" si="163"/>
        <v>1.1226563000003808E-2</v>
      </c>
    </row>
    <row r="5216" spans="1:7" x14ac:dyDescent="0.25">
      <c r="A5216" s="8">
        <v>69</v>
      </c>
      <c r="B5216" s="8">
        <v>43</v>
      </c>
      <c r="C5216" s="8">
        <v>2129.0615229999999</v>
      </c>
      <c r="D5216" s="8">
        <v>113315.617188</v>
      </c>
      <c r="E5216" s="8">
        <v>113431.609375</v>
      </c>
      <c r="F5216" s="8">
        <f t="shared" si="162"/>
        <v>115.99218699999619</v>
      </c>
      <c r="G5216" s="8">
        <f t="shared" si="163"/>
        <v>0.11599218699999619</v>
      </c>
    </row>
    <row r="5217" spans="1:7" x14ac:dyDescent="0.25">
      <c r="A5217" s="8">
        <v>69</v>
      </c>
      <c r="B5217" s="8">
        <v>44</v>
      </c>
      <c r="C5217" s="8">
        <v>2658.1838379999999</v>
      </c>
      <c r="D5217" s="8">
        <v>115567.515625</v>
      </c>
      <c r="E5217" s="8">
        <v>115580.71875</v>
      </c>
      <c r="F5217" s="8">
        <f t="shared" si="162"/>
        <v>13.203125</v>
      </c>
      <c r="G5217" s="8">
        <f t="shared" si="163"/>
        <v>1.3203125E-2</v>
      </c>
    </row>
    <row r="5218" spans="1:7" x14ac:dyDescent="0.25">
      <c r="A5218" s="8">
        <v>69</v>
      </c>
      <c r="B5218" s="8">
        <v>45</v>
      </c>
      <c r="C5218" s="8">
        <v>4851.4921880000002</v>
      </c>
      <c r="D5218" s="8">
        <v>118244.382813</v>
      </c>
      <c r="E5218" s="8">
        <v>118267.015625</v>
      </c>
      <c r="F5218" s="8">
        <f t="shared" si="162"/>
        <v>22.632811999996193</v>
      </c>
      <c r="G5218" s="8">
        <f t="shared" si="163"/>
        <v>2.2632811999996193E-2</v>
      </c>
    </row>
    <row r="5219" spans="1:7" x14ac:dyDescent="0.25">
      <c r="A5219" s="8">
        <v>69</v>
      </c>
      <c r="B5219" s="8">
        <v>46</v>
      </c>
      <c r="C5219" s="8">
        <v>1214.164673</v>
      </c>
      <c r="D5219" s="8">
        <v>123131.328125</v>
      </c>
      <c r="E5219" s="8">
        <v>123141.132813</v>
      </c>
      <c r="F5219" s="8">
        <f t="shared" si="162"/>
        <v>9.8046880000038072</v>
      </c>
      <c r="G5219" s="8">
        <f t="shared" si="163"/>
        <v>9.8046880000038066E-3</v>
      </c>
    </row>
    <row r="5220" spans="1:7" x14ac:dyDescent="0.25">
      <c r="A5220" s="8">
        <v>69</v>
      </c>
      <c r="B5220" s="8">
        <v>47</v>
      </c>
      <c r="C5220" s="8">
        <v>300.12890599999997</v>
      </c>
      <c r="D5220" s="8">
        <v>124361.445313</v>
      </c>
      <c r="E5220" s="8">
        <v>124390.015625</v>
      </c>
      <c r="F5220" s="8">
        <f t="shared" si="162"/>
        <v>28.570311999996193</v>
      </c>
      <c r="G5220" s="8">
        <f t="shared" si="163"/>
        <v>2.8570311999996191E-2</v>
      </c>
    </row>
    <row r="5221" spans="1:7" x14ac:dyDescent="0.25">
      <c r="A5221" s="8">
        <v>69</v>
      </c>
      <c r="B5221" s="8">
        <v>48</v>
      </c>
      <c r="C5221" s="8">
        <v>95.957404999999994</v>
      </c>
      <c r="D5221" s="8">
        <v>124705.070313</v>
      </c>
      <c r="E5221" s="8">
        <v>124719.320313</v>
      </c>
      <c r="F5221" s="8">
        <f t="shared" si="162"/>
        <v>14.25</v>
      </c>
      <c r="G5221" s="8">
        <f t="shared" si="163"/>
        <v>1.4250000000000001E-2</v>
      </c>
    </row>
    <row r="5222" spans="1:7" x14ac:dyDescent="0.25">
      <c r="A5222" s="8">
        <v>69</v>
      </c>
      <c r="B5222" s="8">
        <v>49</v>
      </c>
      <c r="C5222" s="8">
        <v>519.21227999999996</v>
      </c>
      <c r="D5222" s="8">
        <v>124814.601563</v>
      </c>
      <c r="E5222" s="8">
        <v>124824.578125</v>
      </c>
      <c r="F5222" s="8">
        <f t="shared" si="162"/>
        <v>9.9765619999961928</v>
      </c>
      <c r="G5222" s="8">
        <f t="shared" si="163"/>
        <v>9.9765619999961936E-3</v>
      </c>
    </row>
    <row r="5223" spans="1:7" x14ac:dyDescent="0.25">
      <c r="A5223" s="8">
        <v>69</v>
      </c>
      <c r="B5223" s="8">
        <v>50</v>
      </c>
      <c r="C5223" s="8">
        <v>240.80685399999999</v>
      </c>
      <c r="D5223" s="8">
        <v>125345.929688</v>
      </c>
      <c r="E5223" s="8">
        <v>125358.9375</v>
      </c>
      <c r="F5223" s="8">
        <f t="shared" si="162"/>
        <v>13.007811999996193</v>
      </c>
      <c r="G5223" s="8">
        <f t="shared" si="163"/>
        <v>1.3007811999996193E-2</v>
      </c>
    </row>
    <row r="5224" spans="1:7" x14ac:dyDescent="0.25">
      <c r="A5224" s="8">
        <v>69</v>
      </c>
      <c r="B5224" s="8">
        <v>51</v>
      </c>
      <c r="C5224" s="8">
        <v>547.42224099999999</v>
      </c>
      <c r="D5224" s="8">
        <v>125611.632813</v>
      </c>
      <c r="E5224" s="8">
        <v>125627.765625</v>
      </c>
      <c r="F5224" s="8">
        <f t="shared" si="162"/>
        <v>16.132811999996193</v>
      </c>
      <c r="G5224" s="8">
        <f t="shared" si="163"/>
        <v>1.6132811999996194E-2</v>
      </c>
    </row>
    <row r="5225" spans="1:7" x14ac:dyDescent="0.25">
      <c r="A5225" s="8">
        <v>69</v>
      </c>
      <c r="B5225" s="8">
        <v>52</v>
      </c>
      <c r="C5225" s="8">
        <v>3299.968018</v>
      </c>
      <c r="D5225" s="8">
        <v>126190.40625</v>
      </c>
      <c r="E5225" s="8">
        <v>126209.078125</v>
      </c>
      <c r="F5225" s="8">
        <f t="shared" si="162"/>
        <v>18.671875</v>
      </c>
      <c r="G5225" s="8">
        <f t="shared" si="163"/>
        <v>1.8671875000000001E-2</v>
      </c>
    </row>
    <row r="5226" spans="1:7" x14ac:dyDescent="0.25">
      <c r="A5226" s="8">
        <v>69</v>
      </c>
      <c r="B5226" s="8">
        <v>53</v>
      </c>
      <c r="C5226" s="8">
        <v>4609.8754879999997</v>
      </c>
      <c r="D5226" s="8">
        <v>129520.203125</v>
      </c>
      <c r="E5226" s="8">
        <v>129626.335938</v>
      </c>
      <c r="F5226" s="8">
        <f t="shared" si="162"/>
        <v>106.13281300000381</v>
      </c>
      <c r="G5226" s="8">
        <f t="shared" si="163"/>
        <v>0.10613281300000381</v>
      </c>
    </row>
    <row r="5227" spans="1:7" x14ac:dyDescent="0.25">
      <c r="A5227" s="8">
        <v>69</v>
      </c>
      <c r="B5227" s="8">
        <v>54</v>
      </c>
      <c r="C5227" s="8">
        <v>3415.0888669999999</v>
      </c>
      <c r="D5227" s="8">
        <v>134238.15625</v>
      </c>
      <c r="E5227" s="8">
        <v>134251.5</v>
      </c>
      <c r="F5227" s="8">
        <f t="shared" si="162"/>
        <v>13.34375</v>
      </c>
      <c r="G5227" s="8">
        <f t="shared" si="163"/>
        <v>1.334375E-2</v>
      </c>
    </row>
    <row r="5228" spans="1:7" x14ac:dyDescent="0.25">
      <c r="A5228" s="8">
        <v>69</v>
      </c>
      <c r="B5228" s="8">
        <v>55</v>
      </c>
      <c r="C5228" s="8">
        <v>477.00991800000003</v>
      </c>
      <c r="D5228" s="8">
        <v>137671.75</v>
      </c>
      <c r="E5228" s="8">
        <v>137682.203125</v>
      </c>
      <c r="F5228" s="8">
        <f t="shared" si="162"/>
        <v>10.453125</v>
      </c>
      <c r="G5228" s="8">
        <f t="shared" si="163"/>
        <v>1.0453125000000001E-2</v>
      </c>
    </row>
    <row r="5229" spans="1:7" x14ac:dyDescent="0.25">
      <c r="A5229" s="8">
        <v>69</v>
      </c>
      <c r="B5229" s="8">
        <v>56</v>
      </c>
      <c r="C5229" s="8">
        <v>4245.6401370000003</v>
      </c>
      <c r="D5229" s="8">
        <v>138171.84375</v>
      </c>
      <c r="E5229" s="8">
        <v>138196.78125</v>
      </c>
      <c r="F5229" s="8">
        <f t="shared" si="162"/>
        <v>24.9375</v>
      </c>
      <c r="G5229" s="8">
        <f t="shared" si="163"/>
        <v>2.4937500000000001E-2</v>
      </c>
    </row>
    <row r="5230" spans="1:7" x14ac:dyDescent="0.25">
      <c r="A5230" s="8">
        <v>69</v>
      </c>
      <c r="B5230" s="8">
        <v>57</v>
      </c>
      <c r="C5230" s="8">
        <v>5752.8012699999999</v>
      </c>
      <c r="D5230" s="8">
        <v>142452.703125</v>
      </c>
      <c r="E5230" s="8">
        <v>142476.78125</v>
      </c>
      <c r="F5230" s="8">
        <f t="shared" si="162"/>
        <v>24.078125</v>
      </c>
      <c r="G5230" s="8">
        <f t="shared" si="163"/>
        <v>2.4078124999999999E-2</v>
      </c>
    </row>
    <row r="5231" spans="1:7" x14ac:dyDescent="0.25">
      <c r="A5231" s="8">
        <v>69</v>
      </c>
      <c r="B5231" s="8">
        <v>58</v>
      </c>
      <c r="C5231" s="8">
        <v>469.74017300000003</v>
      </c>
      <c r="D5231" s="8">
        <v>148243.296875</v>
      </c>
      <c r="E5231" s="8">
        <v>148250.8125</v>
      </c>
      <c r="F5231" s="8">
        <f t="shared" si="162"/>
        <v>7.515625</v>
      </c>
      <c r="G5231" s="8">
        <f t="shared" si="163"/>
        <v>7.5156249999999997E-3</v>
      </c>
    </row>
    <row r="5232" spans="1:7" x14ac:dyDescent="0.25">
      <c r="A5232" s="8">
        <v>69</v>
      </c>
      <c r="B5232" s="8">
        <v>59</v>
      </c>
      <c r="C5232" s="8">
        <v>1683.376221</v>
      </c>
      <c r="D5232" s="8">
        <v>148728.515625</v>
      </c>
      <c r="E5232" s="8">
        <v>148745.296875</v>
      </c>
      <c r="F5232" s="8">
        <f t="shared" si="162"/>
        <v>16.78125</v>
      </c>
      <c r="G5232" s="8">
        <f t="shared" si="163"/>
        <v>1.6781250000000001E-2</v>
      </c>
    </row>
    <row r="5233" spans="1:7" x14ac:dyDescent="0.25">
      <c r="A5233" s="8">
        <v>69</v>
      </c>
      <c r="B5233" s="8">
        <v>60</v>
      </c>
      <c r="C5233" s="8">
        <v>5914.0610349999997</v>
      </c>
      <c r="D5233" s="8">
        <v>150436.3125</v>
      </c>
      <c r="E5233" s="8">
        <v>150485.78125</v>
      </c>
      <c r="F5233" s="8">
        <f t="shared" si="162"/>
        <v>49.46875</v>
      </c>
      <c r="G5233" s="8">
        <f t="shared" si="163"/>
        <v>4.9468749999999999E-2</v>
      </c>
    </row>
    <row r="5234" spans="1:7" x14ac:dyDescent="0.25">
      <c r="A5234" s="8">
        <v>69</v>
      </c>
      <c r="B5234" s="8">
        <v>61</v>
      </c>
      <c r="C5234" s="8">
        <v>330.21115099999997</v>
      </c>
      <c r="D5234" s="8">
        <v>156406.71875</v>
      </c>
      <c r="E5234" s="8">
        <v>156422.296875</v>
      </c>
      <c r="F5234" s="8">
        <f t="shared" si="162"/>
        <v>15.578125</v>
      </c>
      <c r="G5234" s="8">
        <f t="shared" si="163"/>
        <v>1.5578125E-2</v>
      </c>
    </row>
    <row r="5235" spans="1:7" x14ac:dyDescent="0.25">
      <c r="A5235" s="8">
        <v>69</v>
      </c>
      <c r="B5235" s="8">
        <v>62</v>
      </c>
      <c r="C5235" s="8">
        <v>4082.6545409999999</v>
      </c>
      <c r="D5235" s="8">
        <v>156766.171875</v>
      </c>
      <c r="E5235" s="8">
        <v>156791.046875</v>
      </c>
      <c r="F5235" s="8">
        <f t="shared" si="162"/>
        <v>24.875</v>
      </c>
      <c r="G5235" s="8">
        <f t="shared" si="163"/>
        <v>2.4875000000000001E-2</v>
      </c>
    </row>
    <row r="5236" spans="1:7" x14ac:dyDescent="0.25">
      <c r="A5236" s="8">
        <v>69</v>
      </c>
      <c r="B5236" s="8">
        <v>63</v>
      </c>
      <c r="C5236" s="8">
        <v>355.20465100000001</v>
      </c>
      <c r="D5236" s="8">
        <v>160876.9375</v>
      </c>
      <c r="E5236" s="8">
        <v>160892.46875</v>
      </c>
      <c r="F5236" s="8">
        <f t="shared" si="162"/>
        <v>15.53125</v>
      </c>
      <c r="G5236" s="8">
        <f t="shared" si="163"/>
        <v>1.553125E-2</v>
      </c>
    </row>
    <row r="5237" spans="1:7" x14ac:dyDescent="0.25">
      <c r="A5237" s="8">
        <v>69</v>
      </c>
      <c r="B5237" s="8">
        <v>64</v>
      </c>
      <c r="C5237" s="8">
        <v>282.61773699999998</v>
      </c>
      <c r="D5237" s="8">
        <v>161251.875</v>
      </c>
      <c r="E5237" s="8">
        <v>161277.25</v>
      </c>
      <c r="F5237" s="8">
        <f t="shared" si="162"/>
        <v>25.375</v>
      </c>
      <c r="G5237" s="8">
        <f t="shared" si="163"/>
        <v>2.5375000000000002E-2</v>
      </c>
    </row>
    <row r="5238" spans="1:7" x14ac:dyDescent="0.25">
      <c r="A5238" s="8">
        <v>69</v>
      </c>
      <c r="B5238" s="8">
        <v>65</v>
      </c>
      <c r="C5238" s="8">
        <v>1966.9758300000001</v>
      </c>
      <c r="D5238" s="8">
        <v>161564.53125</v>
      </c>
      <c r="E5238" s="8">
        <v>161588.625</v>
      </c>
      <c r="F5238" s="8">
        <f t="shared" si="162"/>
        <v>24.09375</v>
      </c>
      <c r="G5238" s="8">
        <f t="shared" si="163"/>
        <v>2.4093750000000001E-2</v>
      </c>
    </row>
    <row r="5239" spans="1:7" x14ac:dyDescent="0.25">
      <c r="A5239" s="8">
        <v>69</v>
      </c>
      <c r="B5239" s="8">
        <v>66</v>
      </c>
      <c r="C5239" s="8">
        <v>1901.4750979999999</v>
      </c>
      <c r="D5239" s="8">
        <v>163565.3125</v>
      </c>
      <c r="E5239" s="8">
        <v>163588.5625</v>
      </c>
      <c r="F5239" s="8">
        <f t="shared" si="162"/>
        <v>23.25</v>
      </c>
      <c r="G5239" s="8">
        <f t="shared" si="163"/>
        <v>2.325E-2</v>
      </c>
    </row>
    <row r="5240" spans="1:7" x14ac:dyDescent="0.25">
      <c r="A5240" s="8">
        <v>69</v>
      </c>
      <c r="B5240" s="8">
        <v>67</v>
      </c>
      <c r="C5240" s="8">
        <v>2529.5969239999999</v>
      </c>
      <c r="D5240" s="8">
        <v>165498.953125</v>
      </c>
      <c r="E5240" s="8">
        <v>165510</v>
      </c>
      <c r="F5240" s="8">
        <f t="shared" si="162"/>
        <v>11.046875</v>
      </c>
      <c r="G5240" s="8">
        <f t="shared" si="163"/>
        <v>1.1046874999999999E-2</v>
      </c>
    </row>
    <row r="5241" spans="1:7" x14ac:dyDescent="0.25">
      <c r="A5241" s="8">
        <v>69</v>
      </c>
      <c r="B5241" s="8">
        <v>68</v>
      </c>
      <c r="C5241" s="8">
        <v>639.72473100000002</v>
      </c>
      <c r="D5241" s="8">
        <v>168041.71875</v>
      </c>
      <c r="E5241" s="8">
        <v>168059.609375</v>
      </c>
      <c r="F5241" s="8">
        <f t="shared" si="162"/>
        <v>17.890625</v>
      </c>
      <c r="G5241" s="8">
        <f t="shared" si="163"/>
        <v>1.7890625E-2</v>
      </c>
    </row>
    <row r="5242" spans="1:7" x14ac:dyDescent="0.25">
      <c r="A5242" s="8">
        <v>69</v>
      </c>
      <c r="B5242" s="8">
        <v>69</v>
      </c>
      <c r="C5242" s="8">
        <v>694.59503199999995</v>
      </c>
      <c r="D5242" s="8">
        <v>168700.515625</v>
      </c>
      <c r="E5242" s="8">
        <v>168718.171875</v>
      </c>
      <c r="F5242" s="8">
        <f t="shared" si="162"/>
        <v>17.65625</v>
      </c>
      <c r="G5242" s="8">
        <f t="shared" si="163"/>
        <v>1.7656249999999998E-2</v>
      </c>
    </row>
    <row r="5243" spans="1:7" x14ac:dyDescent="0.25">
      <c r="A5243" s="8">
        <v>69</v>
      </c>
      <c r="B5243" s="8">
        <v>70</v>
      </c>
      <c r="C5243" s="8">
        <v>3126.554443</v>
      </c>
      <c r="D5243" s="8">
        <v>169423.46875</v>
      </c>
      <c r="E5243" s="8">
        <v>169441.078125</v>
      </c>
      <c r="F5243" s="8">
        <f t="shared" si="162"/>
        <v>17.609375</v>
      </c>
      <c r="G5243" s="8">
        <f t="shared" si="163"/>
        <v>1.7609375E-2</v>
      </c>
    </row>
    <row r="5244" spans="1:7" x14ac:dyDescent="0.25">
      <c r="A5244" s="8">
        <v>70</v>
      </c>
      <c r="B5244" s="8">
        <v>0</v>
      </c>
      <c r="C5244" s="8">
        <v>309.86849999999998</v>
      </c>
      <c r="D5244" s="8">
        <v>20088.390625</v>
      </c>
      <c r="E5244" s="8">
        <v>20123.322265999999</v>
      </c>
      <c r="F5244" s="8">
        <f t="shared" si="162"/>
        <v>34.931640999999217</v>
      </c>
      <c r="G5244" s="8">
        <f t="shared" si="163"/>
        <v>3.4931640999999215E-2</v>
      </c>
    </row>
    <row r="5245" spans="1:7" x14ac:dyDescent="0.25">
      <c r="A5245" s="8">
        <v>70</v>
      </c>
      <c r="B5245" s="8">
        <v>1</v>
      </c>
      <c r="C5245" s="8">
        <v>944.93292199999996</v>
      </c>
      <c r="D5245" s="8">
        <v>20437.996093999998</v>
      </c>
      <c r="E5245" s="8">
        <v>20445.759765999999</v>
      </c>
      <c r="F5245" s="8">
        <f t="shared" si="162"/>
        <v>7.7636720000009518</v>
      </c>
      <c r="G5245" s="8">
        <f t="shared" si="163"/>
        <v>7.7636720000009516E-3</v>
      </c>
    </row>
    <row r="5246" spans="1:7" x14ac:dyDescent="0.25">
      <c r="A5246" s="8">
        <v>70</v>
      </c>
      <c r="B5246" s="8">
        <v>2</v>
      </c>
      <c r="C5246" s="8">
        <v>7554.2080079999996</v>
      </c>
      <c r="D5246" s="8">
        <v>21391.261718999998</v>
      </c>
      <c r="E5246" s="8">
        <v>21399.089843999998</v>
      </c>
      <c r="F5246" s="8">
        <f t="shared" si="162"/>
        <v>7.828125</v>
      </c>
      <c r="G5246" s="8">
        <f t="shared" si="163"/>
        <v>7.828125E-3</v>
      </c>
    </row>
    <row r="5247" spans="1:7" x14ac:dyDescent="0.25">
      <c r="A5247" s="8">
        <v>70</v>
      </c>
      <c r="B5247" s="8">
        <v>3</v>
      </c>
      <c r="C5247" s="8">
        <v>3979.5979000000002</v>
      </c>
      <c r="D5247" s="8">
        <v>28965.185547000001</v>
      </c>
      <c r="E5247" s="8">
        <v>28980.167968999998</v>
      </c>
      <c r="F5247" s="8">
        <f t="shared" si="162"/>
        <v>14.982421999997314</v>
      </c>
      <c r="G5247" s="8">
        <f t="shared" si="163"/>
        <v>1.4982421999997313E-2</v>
      </c>
    </row>
    <row r="5248" spans="1:7" x14ac:dyDescent="0.25">
      <c r="A5248" s="8">
        <v>70</v>
      </c>
      <c r="B5248" s="8">
        <v>4</v>
      </c>
      <c r="C5248" s="8">
        <v>4275.9555659999996</v>
      </c>
      <c r="D5248" s="8">
        <v>32973.191405999998</v>
      </c>
      <c r="E5248" s="8">
        <v>32990.070312999997</v>
      </c>
      <c r="F5248" s="8">
        <f t="shared" si="162"/>
        <v>16.878906999998435</v>
      </c>
      <c r="G5248" s="8">
        <f t="shared" si="163"/>
        <v>1.6878906999998434E-2</v>
      </c>
    </row>
    <row r="5249" spans="1:7" x14ac:dyDescent="0.25">
      <c r="A5249" s="8">
        <v>70</v>
      </c>
      <c r="B5249" s="8">
        <v>5</v>
      </c>
      <c r="C5249" s="8">
        <v>148.051682</v>
      </c>
      <c r="D5249" s="8">
        <v>37269.101562999997</v>
      </c>
      <c r="E5249" s="8">
        <v>37287</v>
      </c>
      <c r="F5249" s="8">
        <f t="shared" si="162"/>
        <v>17.898437000003469</v>
      </c>
      <c r="G5249" s="8">
        <f t="shared" si="163"/>
        <v>1.7898437000003469E-2</v>
      </c>
    </row>
    <row r="5250" spans="1:7" x14ac:dyDescent="0.25">
      <c r="A5250" s="8">
        <v>70</v>
      </c>
      <c r="B5250" s="8">
        <v>6</v>
      </c>
      <c r="C5250" s="8">
        <v>1134.026611</v>
      </c>
      <c r="D5250" s="8">
        <v>37440.949219000002</v>
      </c>
      <c r="E5250" s="8">
        <v>37460.660155999998</v>
      </c>
      <c r="F5250" s="8">
        <f t="shared" si="162"/>
        <v>19.710936999996193</v>
      </c>
      <c r="G5250" s="8">
        <f t="shared" si="163"/>
        <v>1.9710936999996192E-2</v>
      </c>
    </row>
    <row r="5251" spans="1:7" x14ac:dyDescent="0.25">
      <c r="A5251" s="8">
        <v>70</v>
      </c>
      <c r="B5251" s="8">
        <v>7</v>
      </c>
      <c r="C5251" s="8">
        <v>126.54351800000001</v>
      </c>
      <c r="D5251" s="8">
        <v>38605.039062999997</v>
      </c>
      <c r="E5251" s="8">
        <v>38626.023437999997</v>
      </c>
      <c r="F5251" s="8">
        <f t="shared" si="162"/>
        <v>20.984375</v>
      </c>
      <c r="G5251" s="8">
        <f t="shared" si="163"/>
        <v>2.0984375E-2</v>
      </c>
    </row>
    <row r="5252" spans="1:7" x14ac:dyDescent="0.25">
      <c r="A5252" s="8">
        <v>70</v>
      </c>
      <c r="B5252" s="8">
        <v>8</v>
      </c>
      <c r="C5252" s="8">
        <v>72.846024</v>
      </c>
      <c r="D5252" s="8">
        <v>38761.636719000002</v>
      </c>
      <c r="E5252" s="8">
        <v>38784.632812999997</v>
      </c>
      <c r="F5252" s="8">
        <f t="shared" si="162"/>
        <v>22.996093999994628</v>
      </c>
      <c r="G5252" s="8">
        <f t="shared" si="163"/>
        <v>2.2996093999994627E-2</v>
      </c>
    </row>
    <row r="5253" spans="1:7" x14ac:dyDescent="0.25">
      <c r="A5253" s="8">
        <v>70</v>
      </c>
      <c r="B5253" s="8">
        <v>9</v>
      </c>
      <c r="C5253" s="8">
        <v>74.619308000000004</v>
      </c>
      <c r="D5253" s="8">
        <v>38871.007812999997</v>
      </c>
      <c r="E5253" s="8">
        <v>38892.414062999997</v>
      </c>
      <c r="F5253" s="8">
        <f t="shared" si="162"/>
        <v>21.40625</v>
      </c>
      <c r="G5253" s="8">
        <f t="shared" si="163"/>
        <v>2.1406250000000002E-2</v>
      </c>
    </row>
    <row r="5254" spans="1:7" x14ac:dyDescent="0.25">
      <c r="A5254" s="8">
        <v>70</v>
      </c>
      <c r="B5254" s="8">
        <v>10</v>
      </c>
      <c r="C5254" s="8">
        <v>570.91339100000005</v>
      </c>
      <c r="D5254" s="8">
        <v>38980.402344000002</v>
      </c>
      <c r="E5254" s="8">
        <v>38999.308594000002</v>
      </c>
      <c r="F5254" s="8">
        <f t="shared" si="162"/>
        <v>18.90625</v>
      </c>
      <c r="G5254" s="8">
        <f t="shared" si="163"/>
        <v>1.8906249999999999E-2</v>
      </c>
    </row>
    <row r="5255" spans="1:7" x14ac:dyDescent="0.25">
      <c r="A5255" s="8">
        <v>70</v>
      </c>
      <c r="B5255" s="8">
        <v>11</v>
      </c>
      <c r="C5255" s="8">
        <v>1426.304932</v>
      </c>
      <c r="D5255" s="8">
        <v>39574.210937999997</v>
      </c>
      <c r="E5255" s="8">
        <v>39589.664062999997</v>
      </c>
      <c r="F5255" s="8">
        <f t="shared" si="162"/>
        <v>15.453125</v>
      </c>
      <c r="G5255" s="8">
        <f t="shared" si="163"/>
        <v>1.5453125E-2</v>
      </c>
    </row>
    <row r="5256" spans="1:7" x14ac:dyDescent="0.25">
      <c r="A5256" s="8">
        <v>70</v>
      </c>
      <c r="B5256" s="8">
        <v>12</v>
      </c>
      <c r="C5256" s="8">
        <v>4967.3125</v>
      </c>
      <c r="D5256" s="8">
        <v>41028.261719000002</v>
      </c>
      <c r="E5256" s="8">
        <v>41053.703125</v>
      </c>
      <c r="F5256" s="8">
        <f t="shared" si="162"/>
        <v>25.441405999998096</v>
      </c>
      <c r="G5256" s="8">
        <f t="shared" si="163"/>
        <v>2.5441405999998095E-2</v>
      </c>
    </row>
    <row r="5257" spans="1:7" x14ac:dyDescent="0.25">
      <c r="A5257" s="8">
        <v>70</v>
      </c>
      <c r="B5257" s="8">
        <v>13</v>
      </c>
      <c r="C5257" s="8">
        <v>7683.640625</v>
      </c>
      <c r="D5257" s="8">
        <v>46023.203125</v>
      </c>
      <c r="E5257" s="8">
        <v>46034.914062999997</v>
      </c>
      <c r="F5257" s="8">
        <f t="shared" si="162"/>
        <v>11.710937999996531</v>
      </c>
      <c r="G5257" s="8">
        <f t="shared" si="163"/>
        <v>1.1710937999996531E-2</v>
      </c>
    </row>
    <row r="5258" spans="1:7" x14ac:dyDescent="0.25">
      <c r="A5258" s="8">
        <v>70</v>
      </c>
      <c r="B5258" s="8">
        <v>14</v>
      </c>
      <c r="C5258" s="8">
        <v>4223.3276370000003</v>
      </c>
      <c r="D5258" s="8">
        <v>53718.109375</v>
      </c>
      <c r="E5258" s="8">
        <v>53743.164062999997</v>
      </c>
      <c r="F5258" s="8">
        <f t="shared" si="162"/>
        <v>25.054687999996531</v>
      </c>
      <c r="G5258" s="8">
        <f t="shared" si="163"/>
        <v>2.5054687999996533E-2</v>
      </c>
    </row>
    <row r="5259" spans="1:7" x14ac:dyDescent="0.25">
      <c r="A5259" s="8">
        <v>70</v>
      </c>
      <c r="B5259" s="8">
        <v>15</v>
      </c>
      <c r="C5259" s="8">
        <v>1946.194702</v>
      </c>
      <c r="D5259" s="8">
        <v>57976.53125</v>
      </c>
      <c r="E5259" s="8">
        <v>57987.675780999998</v>
      </c>
      <c r="F5259" s="8">
        <f t="shared" ref="F5259:F5322" si="164">E5259-D5259</f>
        <v>11.144530999998096</v>
      </c>
      <c r="G5259" s="8">
        <f t="shared" ref="G5259:G5322" si="165">F5259/1000</f>
        <v>1.1144530999998096E-2</v>
      </c>
    </row>
    <row r="5260" spans="1:7" x14ac:dyDescent="0.25">
      <c r="A5260" s="8">
        <v>70</v>
      </c>
      <c r="B5260" s="8">
        <v>16</v>
      </c>
      <c r="C5260" s="8">
        <v>1190.8911129999999</v>
      </c>
      <c r="D5260" s="8">
        <v>59934.953125</v>
      </c>
      <c r="E5260" s="8">
        <v>59959.324219000002</v>
      </c>
      <c r="F5260" s="8">
        <f t="shared" si="164"/>
        <v>24.371094000001904</v>
      </c>
      <c r="G5260" s="8">
        <f t="shared" si="165"/>
        <v>2.4371094000001904E-2</v>
      </c>
    </row>
    <row r="5261" spans="1:7" x14ac:dyDescent="0.25">
      <c r="A5261" s="8">
        <v>70</v>
      </c>
      <c r="B5261" s="8">
        <v>17</v>
      </c>
      <c r="C5261" s="8">
        <v>286.62893700000001</v>
      </c>
      <c r="D5261" s="8">
        <v>61153.796875</v>
      </c>
      <c r="E5261" s="8">
        <v>61170.535155999998</v>
      </c>
      <c r="F5261" s="8">
        <f t="shared" si="164"/>
        <v>16.738280999998096</v>
      </c>
      <c r="G5261" s="8">
        <f t="shared" si="165"/>
        <v>1.6738280999998096E-2</v>
      </c>
    </row>
    <row r="5262" spans="1:7" x14ac:dyDescent="0.25">
      <c r="A5262" s="8">
        <v>70</v>
      </c>
      <c r="B5262" s="8">
        <v>18</v>
      </c>
      <c r="C5262" s="8">
        <v>182.99311800000001</v>
      </c>
      <c r="D5262" s="8">
        <v>61466.148437999997</v>
      </c>
      <c r="E5262" s="8">
        <v>61477.359375</v>
      </c>
      <c r="F5262" s="8">
        <f t="shared" si="164"/>
        <v>11.210937000003469</v>
      </c>
      <c r="G5262" s="8">
        <f t="shared" si="165"/>
        <v>1.1210937000003468E-2</v>
      </c>
    </row>
    <row r="5263" spans="1:7" x14ac:dyDescent="0.25">
      <c r="A5263" s="8">
        <v>70</v>
      </c>
      <c r="B5263" s="8">
        <v>19</v>
      </c>
      <c r="C5263" s="8">
        <v>428.86090100000001</v>
      </c>
      <c r="D5263" s="8">
        <v>61669.507812999997</v>
      </c>
      <c r="E5263" s="8">
        <v>61686.460937999997</v>
      </c>
      <c r="F5263" s="8">
        <f t="shared" si="164"/>
        <v>16.953125</v>
      </c>
      <c r="G5263" s="8">
        <f t="shared" si="165"/>
        <v>1.6953124999999999E-2</v>
      </c>
    </row>
    <row r="5264" spans="1:7" x14ac:dyDescent="0.25">
      <c r="A5264" s="8">
        <v>70</v>
      </c>
      <c r="B5264" s="8">
        <v>20</v>
      </c>
      <c r="C5264" s="8">
        <v>1371.5170900000001</v>
      </c>
      <c r="D5264" s="8">
        <v>62122.527344000002</v>
      </c>
      <c r="E5264" s="8">
        <v>62142.140625</v>
      </c>
      <c r="F5264" s="8">
        <f t="shared" si="164"/>
        <v>19.613280999998096</v>
      </c>
      <c r="G5264" s="8">
        <f t="shared" si="165"/>
        <v>1.9613280999998095E-2</v>
      </c>
    </row>
    <row r="5265" spans="1:7" x14ac:dyDescent="0.25">
      <c r="A5265" s="8">
        <v>70</v>
      </c>
      <c r="B5265" s="8">
        <v>21</v>
      </c>
      <c r="C5265" s="8">
        <v>2162.4326169999999</v>
      </c>
      <c r="D5265" s="8">
        <v>63524.421875</v>
      </c>
      <c r="E5265" s="8">
        <v>63538.300780999998</v>
      </c>
      <c r="F5265" s="8">
        <f t="shared" si="164"/>
        <v>13.878905999998096</v>
      </c>
      <c r="G5265" s="8">
        <f t="shared" si="165"/>
        <v>1.3878905999998097E-2</v>
      </c>
    </row>
    <row r="5266" spans="1:7" x14ac:dyDescent="0.25">
      <c r="A5266" s="8">
        <v>70</v>
      </c>
      <c r="B5266" s="8">
        <v>22</v>
      </c>
      <c r="C5266" s="8">
        <v>2053.351318</v>
      </c>
      <c r="D5266" s="8">
        <v>65715.460938000004</v>
      </c>
      <c r="E5266" s="8">
        <v>65725.757813000004</v>
      </c>
      <c r="F5266" s="8">
        <f t="shared" si="164"/>
        <v>10.296875</v>
      </c>
      <c r="G5266" s="8">
        <f t="shared" si="165"/>
        <v>1.0296875E-2</v>
      </c>
    </row>
    <row r="5267" spans="1:7" x14ac:dyDescent="0.25">
      <c r="A5267" s="8">
        <v>70</v>
      </c>
      <c r="B5267" s="8">
        <v>23</v>
      </c>
      <c r="C5267" s="8">
        <v>2291.1977539999998</v>
      </c>
      <c r="D5267" s="8">
        <v>67779.632813000004</v>
      </c>
      <c r="E5267" s="8">
        <v>67795.84375</v>
      </c>
      <c r="F5267" s="8">
        <f t="shared" si="164"/>
        <v>16.210936999996193</v>
      </c>
      <c r="G5267" s="8">
        <f t="shared" si="165"/>
        <v>1.6210936999996192E-2</v>
      </c>
    </row>
    <row r="5268" spans="1:7" x14ac:dyDescent="0.25">
      <c r="A5268" s="8">
        <v>70</v>
      </c>
      <c r="B5268" s="8">
        <v>24</v>
      </c>
      <c r="C5268" s="8">
        <v>4450.0253910000001</v>
      </c>
      <c r="D5268" s="8">
        <v>70092.773438000004</v>
      </c>
      <c r="E5268" s="8">
        <v>70102.5625</v>
      </c>
      <c r="F5268" s="8">
        <f t="shared" si="164"/>
        <v>9.7890619999961928</v>
      </c>
      <c r="G5268" s="8">
        <f t="shared" si="165"/>
        <v>9.7890619999961934E-3</v>
      </c>
    </row>
    <row r="5269" spans="1:7" x14ac:dyDescent="0.25">
      <c r="A5269" s="8">
        <v>70</v>
      </c>
      <c r="B5269" s="8">
        <v>25</v>
      </c>
      <c r="C5269" s="8">
        <v>5356.0947269999997</v>
      </c>
      <c r="D5269" s="8">
        <v>74555.117188000004</v>
      </c>
      <c r="E5269" s="8">
        <v>74578.234375</v>
      </c>
      <c r="F5269" s="8">
        <f t="shared" si="164"/>
        <v>23.117186999996193</v>
      </c>
      <c r="G5269" s="8">
        <f t="shared" si="165"/>
        <v>2.3117186999996191E-2</v>
      </c>
    </row>
    <row r="5270" spans="1:7" x14ac:dyDescent="0.25">
      <c r="A5270" s="8">
        <v>70</v>
      </c>
      <c r="B5270" s="8">
        <v>26</v>
      </c>
      <c r="C5270" s="8">
        <v>781.00305200000003</v>
      </c>
      <c r="D5270" s="8">
        <v>79941.484375</v>
      </c>
      <c r="E5270" s="8">
        <v>79950.734375</v>
      </c>
      <c r="F5270" s="8">
        <f t="shared" si="164"/>
        <v>9.25</v>
      </c>
      <c r="G5270" s="8">
        <f t="shared" si="165"/>
        <v>9.2499999999999995E-3</v>
      </c>
    </row>
    <row r="5271" spans="1:7" x14ac:dyDescent="0.25">
      <c r="A5271" s="8">
        <v>70</v>
      </c>
      <c r="B5271" s="8">
        <v>27</v>
      </c>
      <c r="C5271" s="8">
        <v>1654.9708250000001</v>
      </c>
      <c r="D5271" s="8">
        <v>80739.453125</v>
      </c>
      <c r="E5271" s="8">
        <v>80753.703125</v>
      </c>
      <c r="F5271" s="8">
        <f t="shared" si="164"/>
        <v>14.25</v>
      </c>
      <c r="G5271" s="8">
        <f t="shared" si="165"/>
        <v>1.4250000000000001E-2</v>
      </c>
    </row>
    <row r="5272" spans="1:7" x14ac:dyDescent="0.25">
      <c r="A5272" s="8">
        <v>70</v>
      </c>
      <c r="B5272" s="8">
        <v>28</v>
      </c>
      <c r="C5272" s="8">
        <v>603.00048800000002</v>
      </c>
      <c r="D5272" s="8">
        <v>82417.429688000004</v>
      </c>
      <c r="E5272" s="8">
        <v>82431.242188000004</v>
      </c>
      <c r="F5272" s="8">
        <f t="shared" si="164"/>
        <v>13.8125</v>
      </c>
      <c r="G5272" s="8">
        <f t="shared" si="165"/>
        <v>1.38125E-2</v>
      </c>
    </row>
    <row r="5273" spans="1:7" x14ac:dyDescent="0.25">
      <c r="A5273" s="8">
        <v>70</v>
      </c>
      <c r="B5273" s="8">
        <v>29</v>
      </c>
      <c r="C5273" s="8">
        <v>1130.478638</v>
      </c>
      <c r="D5273" s="8">
        <v>83042.4375</v>
      </c>
      <c r="E5273" s="8">
        <v>83053.859375</v>
      </c>
      <c r="F5273" s="8">
        <f t="shared" si="164"/>
        <v>11.421875</v>
      </c>
      <c r="G5273" s="8">
        <f t="shared" si="165"/>
        <v>1.1421875E-2</v>
      </c>
    </row>
    <row r="5274" spans="1:7" x14ac:dyDescent="0.25">
      <c r="A5274" s="8">
        <v>70</v>
      </c>
      <c r="B5274" s="8">
        <v>30</v>
      </c>
      <c r="C5274" s="8">
        <v>186.60820000000001</v>
      </c>
      <c r="D5274" s="8">
        <v>84187.359375</v>
      </c>
      <c r="E5274" s="8">
        <v>84205.953125</v>
      </c>
      <c r="F5274" s="8">
        <f t="shared" si="164"/>
        <v>18.59375</v>
      </c>
      <c r="G5274" s="8">
        <f t="shared" si="165"/>
        <v>1.8593749999999999E-2</v>
      </c>
    </row>
    <row r="5275" spans="1:7" x14ac:dyDescent="0.25">
      <c r="A5275" s="8">
        <v>70</v>
      </c>
      <c r="B5275" s="8">
        <v>31</v>
      </c>
      <c r="C5275" s="8">
        <v>475.84799199999998</v>
      </c>
      <c r="D5275" s="8">
        <v>84407.21875</v>
      </c>
      <c r="E5275" s="8">
        <v>84418.242188000004</v>
      </c>
      <c r="F5275" s="8">
        <f t="shared" si="164"/>
        <v>11.023438000003807</v>
      </c>
      <c r="G5275" s="8">
        <f t="shared" si="165"/>
        <v>1.1023438000003808E-2</v>
      </c>
    </row>
    <row r="5276" spans="1:7" x14ac:dyDescent="0.25">
      <c r="A5276" s="8">
        <v>70</v>
      </c>
      <c r="B5276" s="8">
        <v>32</v>
      </c>
      <c r="C5276" s="8">
        <v>523.96569799999997</v>
      </c>
      <c r="D5276" s="8">
        <v>84907.265625</v>
      </c>
      <c r="E5276" s="8">
        <v>84927.515625</v>
      </c>
      <c r="F5276" s="8">
        <f t="shared" si="164"/>
        <v>20.25</v>
      </c>
      <c r="G5276" s="8">
        <f t="shared" si="165"/>
        <v>2.0250000000000001E-2</v>
      </c>
    </row>
    <row r="5277" spans="1:7" x14ac:dyDescent="0.25">
      <c r="A5277" s="8">
        <v>70</v>
      </c>
      <c r="B5277" s="8">
        <v>33</v>
      </c>
      <c r="C5277" s="8">
        <v>1398.477783</v>
      </c>
      <c r="D5277" s="8">
        <v>85455.554688000004</v>
      </c>
      <c r="E5277" s="8">
        <v>85472.640625</v>
      </c>
      <c r="F5277" s="8">
        <f t="shared" si="164"/>
        <v>17.085936999996193</v>
      </c>
      <c r="G5277" s="8">
        <f t="shared" si="165"/>
        <v>1.7085936999996193E-2</v>
      </c>
    </row>
    <row r="5278" spans="1:7" x14ac:dyDescent="0.25">
      <c r="A5278" s="8">
        <v>70</v>
      </c>
      <c r="B5278" s="8">
        <v>34</v>
      </c>
      <c r="C5278" s="8">
        <v>2639.1369629999999</v>
      </c>
      <c r="D5278" s="8">
        <v>86877.789063000004</v>
      </c>
      <c r="E5278" s="8">
        <v>86893.304688000004</v>
      </c>
      <c r="F5278" s="8">
        <f t="shared" si="164"/>
        <v>15.515625</v>
      </c>
      <c r="G5278" s="8">
        <f t="shared" si="165"/>
        <v>1.5515625E-2</v>
      </c>
    </row>
    <row r="5279" spans="1:7" x14ac:dyDescent="0.25">
      <c r="A5279" s="8">
        <v>70</v>
      </c>
      <c r="B5279" s="8">
        <v>35</v>
      </c>
      <c r="C5279" s="8">
        <v>714.38781700000004</v>
      </c>
      <c r="D5279" s="8">
        <v>89537.414063000004</v>
      </c>
      <c r="E5279" s="8">
        <v>89548.515625</v>
      </c>
      <c r="F5279" s="8">
        <f t="shared" si="164"/>
        <v>11.101561999996193</v>
      </c>
      <c r="G5279" s="8">
        <f t="shared" si="165"/>
        <v>1.1101561999996193E-2</v>
      </c>
    </row>
    <row r="5280" spans="1:7" x14ac:dyDescent="0.25">
      <c r="A5280" s="8">
        <v>70</v>
      </c>
      <c r="B5280" s="8">
        <v>36</v>
      </c>
      <c r="C5280" s="8">
        <v>279.87795999999997</v>
      </c>
      <c r="D5280" s="8">
        <v>90276.664063000004</v>
      </c>
      <c r="E5280" s="8">
        <v>90284.328125</v>
      </c>
      <c r="F5280" s="8">
        <f t="shared" si="164"/>
        <v>7.6640619999961928</v>
      </c>
      <c r="G5280" s="8">
        <f t="shared" si="165"/>
        <v>7.6640619999961924E-3</v>
      </c>
    </row>
    <row r="5281" spans="1:7" x14ac:dyDescent="0.25">
      <c r="A5281" s="8">
        <v>70</v>
      </c>
      <c r="B5281" s="8">
        <v>37</v>
      </c>
      <c r="C5281" s="8">
        <v>1992.9288329999999</v>
      </c>
      <c r="D5281" s="8">
        <v>90573.59375</v>
      </c>
      <c r="E5281" s="8">
        <v>90586.828125</v>
      </c>
      <c r="F5281" s="8">
        <f t="shared" si="164"/>
        <v>13.234375</v>
      </c>
      <c r="G5281" s="8">
        <f t="shared" si="165"/>
        <v>1.3234375E-2</v>
      </c>
    </row>
    <row r="5282" spans="1:7" x14ac:dyDescent="0.25">
      <c r="A5282" s="8">
        <v>70</v>
      </c>
      <c r="B5282" s="8">
        <v>38</v>
      </c>
      <c r="C5282" s="8">
        <v>4350.3217770000001</v>
      </c>
      <c r="D5282" s="8">
        <v>92591.429688000004</v>
      </c>
      <c r="E5282" s="8">
        <v>92622.570313000004</v>
      </c>
      <c r="F5282" s="8">
        <f t="shared" si="164"/>
        <v>31.140625</v>
      </c>
      <c r="G5282" s="8">
        <f t="shared" si="165"/>
        <v>3.1140625000000002E-2</v>
      </c>
    </row>
    <row r="5283" spans="1:7" x14ac:dyDescent="0.25">
      <c r="A5283" s="8">
        <v>70</v>
      </c>
      <c r="B5283" s="8">
        <v>39</v>
      </c>
      <c r="C5283" s="8">
        <v>358.34182700000002</v>
      </c>
      <c r="D5283" s="8">
        <v>96977.992188000004</v>
      </c>
      <c r="E5283" s="8">
        <v>96989.140625</v>
      </c>
      <c r="F5283" s="8">
        <f t="shared" si="164"/>
        <v>11.148436999996193</v>
      </c>
      <c r="G5283" s="8">
        <f t="shared" si="165"/>
        <v>1.1148436999996193E-2</v>
      </c>
    </row>
    <row r="5284" spans="1:7" x14ac:dyDescent="0.25">
      <c r="A5284" s="8">
        <v>70</v>
      </c>
      <c r="B5284" s="8">
        <v>40</v>
      </c>
      <c r="C5284" s="8">
        <v>2844.6120609999998</v>
      </c>
      <c r="D5284" s="8">
        <v>97356.585938000004</v>
      </c>
      <c r="E5284" s="8">
        <v>97375.796875</v>
      </c>
      <c r="F5284" s="8">
        <f t="shared" si="164"/>
        <v>19.210936999996193</v>
      </c>
      <c r="G5284" s="8">
        <f t="shared" si="165"/>
        <v>1.9210936999996191E-2</v>
      </c>
    </row>
    <row r="5285" spans="1:7" x14ac:dyDescent="0.25">
      <c r="A5285" s="8">
        <v>70</v>
      </c>
      <c r="B5285" s="8">
        <v>41</v>
      </c>
      <c r="C5285" s="8">
        <v>1418.9704589999999</v>
      </c>
      <c r="D5285" s="8">
        <v>100229.578125</v>
      </c>
      <c r="E5285" s="8">
        <v>100239.390625</v>
      </c>
      <c r="F5285" s="8">
        <f t="shared" si="164"/>
        <v>9.8125</v>
      </c>
      <c r="G5285" s="8">
        <f t="shared" si="165"/>
        <v>9.8125E-3</v>
      </c>
    </row>
    <row r="5286" spans="1:7" x14ac:dyDescent="0.25">
      <c r="A5286" s="8">
        <v>70</v>
      </c>
      <c r="B5286" s="8">
        <v>42</v>
      </c>
      <c r="C5286" s="8">
        <v>2467.6472170000002</v>
      </c>
      <c r="D5286" s="8">
        <v>101666.851563</v>
      </c>
      <c r="E5286" s="8">
        <v>101674.828125</v>
      </c>
      <c r="F5286" s="8">
        <f t="shared" si="164"/>
        <v>7.9765619999961928</v>
      </c>
      <c r="G5286" s="8">
        <f t="shared" si="165"/>
        <v>7.9765619999961936E-3</v>
      </c>
    </row>
    <row r="5287" spans="1:7" x14ac:dyDescent="0.25">
      <c r="A5287" s="8">
        <v>70</v>
      </c>
      <c r="B5287" s="8">
        <v>43</v>
      </c>
      <c r="C5287" s="8">
        <v>240.32498200000001</v>
      </c>
      <c r="D5287" s="8">
        <v>104143.929688</v>
      </c>
      <c r="E5287" s="8">
        <v>104203.4375</v>
      </c>
      <c r="F5287" s="8">
        <f t="shared" si="164"/>
        <v>59.507811999996193</v>
      </c>
      <c r="G5287" s="8">
        <f t="shared" si="165"/>
        <v>5.9507811999996191E-2</v>
      </c>
    </row>
    <row r="5288" spans="1:7" x14ac:dyDescent="0.25">
      <c r="A5288" s="8">
        <v>70</v>
      </c>
      <c r="B5288" s="8">
        <v>44</v>
      </c>
      <c r="C5288" s="8">
        <v>783.25915499999996</v>
      </c>
      <c r="D5288" s="8">
        <v>104456.28125</v>
      </c>
      <c r="E5288" s="8">
        <v>104471.609375</v>
      </c>
      <c r="F5288" s="8">
        <f t="shared" si="164"/>
        <v>15.328125</v>
      </c>
      <c r="G5288" s="8">
        <f t="shared" si="165"/>
        <v>1.5328125E-2</v>
      </c>
    </row>
    <row r="5289" spans="1:7" x14ac:dyDescent="0.25">
      <c r="A5289" s="8">
        <v>70</v>
      </c>
      <c r="B5289" s="8">
        <v>45</v>
      </c>
      <c r="C5289" s="8">
        <v>1772.7238769999999</v>
      </c>
      <c r="D5289" s="8">
        <v>105269.023438</v>
      </c>
      <c r="E5289" s="8">
        <v>105282.523438</v>
      </c>
      <c r="F5289" s="8">
        <f t="shared" si="164"/>
        <v>13.5</v>
      </c>
      <c r="G5289" s="8">
        <f t="shared" si="165"/>
        <v>1.35E-2</v>
      </c>
    </row>
    <row r="5290" spans="1:7" x14ac:dyDescent="0.25">
      <c r="A5290" s="8">
        <v>70</v>
      </c>
      <c r="B5290" s="8">
        <v>46</v>
      </c>
      <c r="C5290" s="8">
        <v>216.106247</v>
      </c>
      <c r="D5290" s="8">
        <v>107062.867188</v>
      </c>
      <c r="E5290" s="8">
        <v>107074.398438</v>
      </c>
      <c r="F5290" s="8">
        <f t="shared" si="164"/>
        <v>11.53125</v>
      </c>
      <c r="G5290" s="8">
        <f t="shared" si="165"/>
        <v>1.153125E-2</v>
      </c>
    </row>
    <row r="5291" spans="1:7" x14ac:dyDescent="0.25">
      <c r="A5291" s="8">
        <v>70</v>
      </c>
      <c r="B5291" s="8">
        <v>47</v>
      </c>
      <c r="C5291" s="8">
        <v>341.329071</v>
      </c>
      <c r="D5291" s="8">
        <v>107297.882813</v>
      </c>
      <c r="E5291" s="8">
        <v>107315.476563</v>
      </c>
      <c r="F5291" s="8">
        <f t="shared" si="164"/>
        <v>17.59375</v>
      </c>
      <c r="G5291" s="8">
        <f t="shared" si="165"/>
        <v>1.7593749999999998E-2</v>
      </c>
    </row>
    <row r="5292" spans="1:7" x14ac:dyDescent="0.25">
      <c r="A5292" s="8">
        <v>70</v>
      </c>
      <c r="B5292" s="8">
        <v>48</v>
      </c>
      <c r="C5292" s="8">
        <v>325.89614899999998</v>
      </c>
      <c r="D5292" s="8">
        <v>107657.304688</v>
      </c>
      <c r="E5292" s="8">
        <v>107672.210938</v>
      </c>
      <c r="F5292" s="8">
        <f t="shared" si="164"/>
        <v>14.90625</v>
      </c>
      <c r="G5292" s="8">
        <f t="shared" si="165"/>
        <v>1.4906249999999999E-2</v>
      </c>
    </row>
    <row r="5293" spans="1:7" x14ac:dyDescent="0.25">
      <c r="A5293" s="8">
        <v>70</v>
      </c>
      <c r="B5293" s="8">
        <v>49</v>
      </c>
      <c r="C5293" s="8">
        <v>844.59918200000004</v>
      </c>
      <c r="D5293" s="8">
        <v>108001.117188</v>
      </c>
      <c r="E5293" s="8">
        <v>108016.5625</v>
      </c>
      <c r="F5293" s="8">
        <f t="shared" si="164"/>
        <v>15.445311999996193</v>
      </c>
      <c r="G5293" s="8">
        <f t="shared" si="165"/>
        <v>1.5445311999996193E-2</v>
      </c>
    </row>
    <row r="5294" spans="1:7" x14ac:dyDescent="0.25">
      <c r="A5294" s="8">
        <v>70</v>
      </c>
      <c r="B5294" s="8">
        <v>50</v>
      </c>
      <c r="C5294" s="8">
        <v>3255.3400879999999</v>
      </c>
      <c r="D5294" s="8">
        <v>108876.179688</v>
      </c>
      <c r="E5294" s="8">
        <v>108889.03125</v>
      </c>
      <c r="F5294" s="8">
        <f t="shared" si="164"/>
        <v>12.851561999996193</v>
      </c>
      <c r="G5294" s="8">
        <f t="shared" si="165"/>
        <v>1.2851561999996193E-2</v>
      </c>
    </row>
    <row r="5295" spans="1:7" x14ac:dyDescent="0.25">
      <c r="A5295" s="8">
        <v>70</v>
      </c>
      <c r="B5295" s="8">
        <v>51</v>
      </c>
      <c r="C5295" s="8">
        <v>226.19601399999999</v>
      </c>
      <c r="D5295" s="8">
        <v>112147.054688</v>
      </c>
      <c r="E5295" s="8">
        <v>112156.601563</v>
      </c>
      <c r="F5295" s="8">
        <f t="shared" si="164"/>
        <v>9.546875</v>
      </c>
      <c r="G5295" s="8">
        <f t="shared" si="165"/>
        <v>9.5468749999999998E-3</v>
      </c>
    </row>
    <row r="5296" spans="1:7" x14ac:dyDescent="0.25">
      <c r="A5296" s="8">
        <v>70</v>
      </c>
      <c r="B5296" s="8">
        <v>52</v>
      </c>
      <c r="C5296" s="8">
        <v>546.21868900000004</v>
      </c>
      <c r="D5296" s="8">
        <v>112397.03125</v>
      </c>
      <c r="E5296" s="8">
        <v>112411.1875</v>
      </c>
      <c r="F5296" s="8">
        <f t="shared" si="164"/>
        <v>14.15625</v>
      </c>
      <c r="G5296" s="8">
        <f t="shared" si="165"/>
        <v>1.415625E-2</v>
      </c>
    </row>
    <row r="5297" spans="1:7" x14ac:dyDescent="0.25">
      <c r="A5297" s="8">
        <v>70</v>
      </c>
      <c r="B5297" s="8">
        <v>53</v>
      </c>
      <c r="C5297" s="8">
        <v>6609.2065430000002</v>
      </c>
      <c r="D5297" s="8">
        <v>112963.03125</v>
      </c>
      <c r="E5297" s="8">
        <v>112988.882813</v>
      </c>
      <c r="F5297" s="8">
        <f t="shared" si="164"/>
        <v>25.851563000003807</v>
      </c>
      <c r="G5297" s="8">
        <f t="shared" si="165"/>
        <v>2.5851563000003807E-2</v>
      </c>
    </row>
    <row r="5298" spans="1:7" x14ac:dyDescent="0.25">
      <c r="A5298" s="8">
        <v>70</v>
      </c>
      <c r="B5298" s="8">
        <v>54</v>
      </c>
      <c r="C5298" s="8">
        <v>420.48303199999998</v>
      </c>
      <c r="D5298" s="8">
        <v>119611.367188</v>
      </c>
      <c r="E5298" s="8">
        <v>119634.28125</v>
      </c>
      <c r="F5298" s="8">
        <f t="shared" si="164"/>
        <v>22.914061999996193</v>
      </c>
      <c r="G5298" s="8">
        <f t="shared" si="165"/>
        <v>2.2914061999996193E-2</v>
      </c>
    </row>
    <row r="5299" spans="1:7" x14ac:dyDescent="0.25">
      <c r="A5299" s="8">
        <v>70</v>
      </c>
      <c r="B5299" s="8">
        <v>55</v>
      </c>
      <c r="C5299" s="8">
        <v>1519.7423100000001</v>
      </c>
      <c r="D5299" s="8">
        <v>120062.304688</v>
      </c>
      <c r="E5299" s="8">
        <v>120076.617188</v>
      </c>
      <c r="F5299" s="8">
        <f t="shared" si="164"/>
        <v>14.3125</v>
      </c>
      <c r="G5299" s="8">
        <f t="shared" si="165"/>
        <v>1.4312500000000001E-2</v>
      </c>
    </row>
    <row r="5300" spans="1:7" x14ac:dyDescent="0.25">
      <c r="A5300" s="8">
        <v>70</v>
      </c>
      <c r="B5300" s="8">
        <v>56</v>
      </c>
      <c r="C5300" s="8">
        <v>660.762024</v>
      </c>
      <c r="D5300" s="8">
        <v>121611.429688</v>
      </c>
      <c r="E5300" s="8">
        <v>121619.210938</v>
      </c>
      <c r="F5300" s="8">
        <f t="shared" si="164"/>
        <v>7.78125</v>
      </c>
      <c r="G5300" s="8">
        <f t="shared" si="165"/>
        <v>7.78125E-3</v>
      </c>
    </row>
    <row r="5301" spans="1:7" x14ac:dyDescent="0.25">
      <c r="A5301" s="8">
        <v>70</v>
      </c>
      <c r="B5301" s="8">
        <v>57</v>
      </c>
      <c r="C5301" s="8">
        <v>2255.061279</v>
      </c>
      <c r="D5301" s="8">
        <v>122283.507813</v>
      </c>
      <c r="E5301" s="8">
        <v>122314.601563</v>
      </c>
      <c r="F5301" s="8">
        <f t="shared" si="164"/>
        <v>31.09375</v>
      </c>
      <c r="G5301" s="8">
        <f t="shared" si="165"/>
        <v>3.109375E-2</v>
      </c>
    </row>
    <row r="5302" spans="1:7" x14ac:dyDescent="0.25">
      <c r="A5302" s="8">
        <v>70</v>
      </c>
      <c r="B5302" s="8">
        <v>58</v>
      </c>
      <c r="C5302" s="8">
        <v>316.14984099999998</v>
      </c>
      <c r="D5302" s="8">
        <v>124580.25</v>
      </c>
      <c r="E5302" s="8">
        <v>124604</v>
      </c>
      <c r="F5302" s="8">
        <f t="shared" si="164"/>
        <v>23.75</v>
      </c>
      <c r="G5302" s="8">
        <f t="shared" si="165"/>
        <v>2.375E-2</v>
      </c>
    </row>
    <row r="5303" spans="1:7" x14ac:dyDescent="0.25">
      <c r="A5303" s="8">
        <v>70</v>
      </c>
      <c r="B5303" s="8">
        <v>59</v>
      </c>
      <c r="C5303" s="8">
        <v>1514.138794</v>
      </c>
      <c r="D5303" s="8">
        <v>124923.992188</v>
      </c>
      <c r="E5303" s="8">
        <v>124947.359375</v>
      </c>
      <c r="F5303" s="8">
        <f t="shared" si="164"/>
        <v>23.367186999996193</v>
      </c>
      <c r="G5303" s="8">
        <f t="shared" si="165"/>
        <v>2.3367186999996192E-2</v>
      </c>
    </row>
    <row r="5304" spans="1:7" x14ac:dyDescent="0.25">
      <c r="A5304" s="8">
        <v>70</v>
      </c>
      <c r="B5304" s="8">
        <v>60</v>
      </c>
      <c r="C5304" s="8">
        <v>489.28887900000001</v>
      </c>
      <c r="D5304" s="8">
        <v>126471.695313</v>
      </c>
      <c r="E5304" s="8">
        <v>126489.445313</v>
      </c>
      <c r="F5304" s="8">
        <f t="shared" si="164"/>
        <v>17.75</v>
      </c>
      <c r="G5304" s="8">
        <f t="shared" si="165"/>
        <v>1.7749999999999998E-2</v>
      </c>
    </row>
    <row r="5305" spans="1:7" x14ac:dyDescent="0.25">
      <c r="A5305" s="8">
        <v>70</v>
      </c>
      <c r="B5305" s="8">
        <v>61</v>
      </c>
      <c r="C5305" s="8">
        <v>1242.705078</v>
      </c>
      <c r="D5305" s="8">
        <v>126987.359375</v>
      </c>
      <c r="E5305" s="8">
        <v>127002.78125</v>
      </c>
      <c r="F5305" s="8">
        <f t="shared" si="164"/>
        <v>15.421875</v>
      </c>
      <c r="G5305" s="8">
        <f t="shared" si="165"/>
        <v>1.5421875E-2</v>
      </c>
    </row>
    <row r="5306" spans="1:7" x14ac:dyDescent="0.25">
      <c r="A5306" s="8">
        <v>70</v>
      </c>
      <c r="B5306" s="8">
        <v>62</v>
      </c>
      <c r="C5306" s="8">
        <v>3658.961914</v>
      </c>
      <c r="D5306" s="8">
        <v>128254.40625</v>
      </c>
      <c r="E5306" s="8">
        <v>128270.078125</v>
      </c>
      <c r="F5306" s="8">
        <f t="shared" si="164"/>
        <v>15.671875</v>
      </c>
      <c r="G5306" s="8">
        <f t="shared" si="165"/>
        <v>1.5671874999999998E-2</v>
      </c>
    </row>
    <row r="5307" spans="1:7" x14ac:dyDescent="0.25">
      <c r="A5307" s="8">
        <v>70</v>
      </c>
      <c r="B5307" s="8">
        <v>63</v>
      </c>
      <c r="C5307" s="8">
        <v>3119.2822270000001</v>
      </c>
      <c r="D5307" s="8">
        <v>131936.40625</v>
      </c>
      <c r="E5307" s="8">
        <v>131947.8125</v>
      </c>
      <c r="F5307" s="8">
        <f t="shared" si="164"/>
        <v>11.40625</v>
      </c>
      <c r="G5307" s="8">
        <f t="shared" si="165"/>
        <v>1.140625E-2</v>
      </c>
    </row>
    <row r="5308" spans="1:7" x14ac:dyDescent="0.25">
      <c r="A5308" s="8">
        <v>70</v>
      </c>
      <c r="B5308" s="8">
        <v>64</v>
      </c>
      <c r="C5308" s="8">
        <v>5329.6162109999996</v>
      </c>
      <c r="D5308" s="8">
        <v>135069.515625</v>
      </c>
      <c r="E5308" s="8">
        <v>135084.609375</v>
      </c>
      <c r="F5308" s="8">
        <f t="shared" si="164"/>
        <v>15.09375</v>
      </c>
      <c r="G5308" s="8">
        <f t="shared" si="165"/>
        <v>1.509375E-2</v>
      </c>
    </row>
    <row r="5309" spans="1:7" x14ac:dyDescent="0.25">
      <c r="A5309" s="8">
        <v>70</v>
      </c>
      <c r="B5309" s="8">
        <v>65</v>
      </c>
      <c r="C5309" s="8">
        <v>817.41064500000005</v>
      </c>
      <c r="D5309" s="8">
        <v>140420.140625</v>
      </c>
      <c r="E5309" s="8">
        <v>140436.65625</v>
      </c>
      <c r="F5309" s="8">
        <f t="shared" si="164"/>
        <v>16.515625</v>
      </c>
      <c r="G5309" s="8">
        <f t="shared" si="165"/>
        <v>1.6515624999999999E-2</v>
      </c>
    </row>
    <row r="5310" spans="1:7" x14ac:dyDescent="0.25">
      <c r="A5310" s="8">
        <v>70</v>
      </c>
      <c r="B5310" s="8">
        <v>66</v>
      </c>
      <c r="C5310" s="8">
        <v>2661.876221</v>
      </c>
      <c r="D5310" s="8">
        <v>141266.53125</v>
      </c>
      <c r="E5310" s="8">
        <v>141280.609375</v>
      </c>
      <c r="F5310" s="8">
        <f t="shared" si="164"/>
        <v>14.078125</v>
      </c>
      <c r="G5310" s="8">
        <f t="shared" si="165"/>
        <v>1.4078125E-2</v>
      </c>
    </row>
    <row r="5311" spans="1:7" x14ac:dyDescent="0.25">
      <c r="A5311" s="8">
        <v>70</v>
      </c>
      <c r="B5311" s="8">
        <v>67</v>
      </c>
      <c r="C5311" s="8">
        <v>4598.2846680000002</v>
      </c>
      <c r="D5311" s="8">
        <v>143947.421875</v>
      </c>
      <c r="E5311" s="8">
        <v>143965.65625</v>
      </c>
      <c r="F5311" s="8">
        <f t="shared" si="164"/>
        <v>18.234375</v>
      </c>
      <c r="G5311" s="8">
        <f t="shared" si="165"/>
        <v>1.8234375000000001E-2</v>
      </c>
    </row>
    <row r="5312" spans="1:7" x14ac:dyDescent="0.25">
      <c r="A5312" s="8">
        <v>70</v>
      </c>
      <c r="B5312" s="8">
        <v>68</v>
      </c>
      <c r="C5312" s="8">
        <v>396.15319799999997</v>
      </c>
      <c r="D5312" s="8">
        <v>148572.234375</v>
      </c>
      <c r="E5312" s="8">
        <v>148589.28125</v>
      </c>
      <c r="F5312" s="8">
        <f t="shared" si="164"/>
        <v>17.046875</v>
      </c>
      <c r="G5312" s="8">
        <f t="shared" si="165"/>
        <v>1.7046875E-2</v>
      </c>
    </row>
    <row r="5313" spans="1:7" x14ac:dyDescent="0.25">
      <c r="A5313" s="8">
        <v>70</v>
      </c>
      <c r="B5313" s="8">
        <v>69</v>
      </c>
      <c r="C5313" s="8">
        <v>5239.607422</v>
      </c>
      <c r="D5313" s="8">
        <v>148994.171875</v>
      </c>
      <c r="E5313" s="8">
        <v>149014.703125</v>
      </c>
      <c r="F5313" s="8">
        <f t="shared" si="164"/>
        <v>20.53125</v>
      </c>
      <c r="G5313" s="8">
        <f t="shared" si="165"/>
        <v>2.0531250000000001E-2</v>
      </c>
    </row>
    <row r="5314" spans="1:7" x14ac:dyDescent="0.25">
      <c r="A5314" s="8">
        <v>70</v>
      </c>
      <c r="B5314" s="8">
        <v>70</v>
      </c>
      <c r="C5314" s="8">
        <v>2498.0627439999998</v>
      </c>
      <c r="D5314" s="8">
        <v>154265.890625</v>
      </c>
      <c r="E5314" s="8">
        <v>154276.953125</v>
      </c>
      <c r="F5314" s="8">
        <f t="shared" si="164"/>
        <v>11.0625</v>
      </c>
      <c r="G5314" s="8">
        <f t="shared" si="165"/>
        <v>1.1062499999999999E-2</v>
      </c>
    </row>
    <row r="5315" spans="1:7" x14ac:dyDescent="0.25">
      <c r="A5315" s="8">
        <v>70</v>
      </c>
      <c r="B5315" s="8">
        <v>71</v>
      </c>
      <c r="C5315" s="8">
        <v>1005.763428</v>
      </c>
      <c r="D5315" s="8">
        <v>156781.796875</v>
      </c>
      <c r="E5315" s="8">
        <v>156796.203125</v>
      </c>
      <c r="F5315" s="8">
        <f t="shared" si="164"/>
        <v>14.40625</v>
      </c>
      <c r="G5315" s="8">
        <f t="shared" si="165"/>
        <v>1.4406250000000001E-2</v>
      </c>
    </row>
    <row r="5316" spans="1:7" x14ac:dyDescent="0.25">
      <c r="A5316" s="8">
        <v>70</v>
      </c>
      <c r="B5316" s="8">
        <v>72</v>
      </c>
      <c r="C5316" s="8">
        <v>868.95550500000002</v>
      </c>
      <c r="D5316" s="8">
        <v>157813.171875</v>
      </c>
      <c r="E5316" s="8">
        <v>157835.5</v>
      </c>
      <c r="F5316" s="8">
        <f t="shared" si="164"/>
        <v>22.328125</v>
      </c>
      <c r="G5316" s="8">
        <f t="shared" si="165"/>
        <v>2.2328125000000001E-2</v>
      </c>
    </row>
    <row r="5317" spans="1:7" x14ac:dyDescent="0.25">
      <c r="A5317" s="8">
        <v>70</v>
      </c>
      <c r="B5317" s="8">
        <v>73</v>
      </c>
      <c r="C5317" s="8">
        <v>1834.9938959999999</v>
      </c>
      <c r="D5317" s="8">
        <v>158704.640625</v>
      </c>
      <c r="E5317" s="8">
        <v>158721.453125</v>
      </c>
      <c r="F5317" s="8">
        <f t="shared" si="164"/>
        <v>16.8125</v>
      </c>
      <c r="G5317" s="8">
        <f t="shared" si="165"/>
        <v>1.6812500000000001E-2</v>
      </c>
    </row>
    <row r="5318" spans="1:7" x14ac:dyDescent="0.25">
      <c r="A5318" s="8">
        <v>70</v>
      </c>
      <c r="B5318" s="8">
        <v>74</v>
      </c>
      <c r="C5318" s="8">
        <v>1879.3286129999999</v>
      </c>
      <c r="D5318" s="8">
        <v>160564.5</v>
      </c>
      <c r="E5318" s="8">
        <v>160577.25</v>
      </c>
      <c r="F5318" s="8">
        <f t="shared" si="164"/>
        <v>12.75</v>
      </c>
      <c r="G5318" s="8">
        <f t="shared" si="165"/>
        <v>1.2749999999999999E-2</v>
      </c>
    </row>
    <row r="5319" spans="1:7" x14ac:dyDescent="0.25">
      <c r="A5319" s="8">
        <v>70</v>
      </c>
      <c r="B5319" s="8">
        <v>75</v>
      </c>
      <c r="C5319" s="8">
        <v>1340.9729</v>
      </c>
      <c r="D5319" s="8">
        <v>162471.453125</v>
      </c>
      <c r="E5319" s="8">
        <v>162488.6875</v>
      </c>
      <c r="F5319" s="8">
        <f t="shared" si="164"/>
        <v>17.234375</v>
      </c>
      <c r="G5319" s="8">
        <f t="shared" si="165"/>
        <v>1.7234375E-2</v>
      </c>
    </row>
    <row r="5320" spans="1:7" x14ac:dyDescent="0.25">
      <c r="A5320" s="8">
        <v>70</v>
      </c>
      <c r="B5320" s="8">
        <v>76</v>
      </c>
      <c r="C5320" s="8">
        <v>302.18670700000001</v>
      </c>
      <c r="D5320" s="8">
        <v>163830.96875</v>
      </c>
      <c r="E5320" s="8">
        <v>163851.28125</v>
      </c>
      <c r="F5320" s="8">
        <f t="shared" si="164"/>
        <v>20.3125</v>
      </c>
      <c r="G5320" s="8">
        <f t="shared" si="165"/>
        <v>2.0312500000000001E-2</v>
      </c>
    </row>
    <row r="5321" spans="1:7" x14ac:dyDescent="0.25">
      <c r="A5321" s="8">
        <v>70</v>
      </c>
      <c r="B5321" s="8">
        <v>77</v>
      </c>
      <c r="C5321" s="8">
        <v>3192.017578</v>
      </c>
      <c r="D5321" s="8">
        <v>164159.140625</v>
      </c>
      <c r="E5321" s="8">
        <v>164174.859375</v>
      </c>
      <c r="F5321" s="8">
        <f t="shared" si="164"/>
        <v>15.71875</v>
      </c>
      <c r="G5321" s="8">
        <f t="shared" si="165"/>
        <v>1.571875E-2</v>
      </c>
    </row>
    <row r="5322" spans="1:7" x14ac:dyDescent="0.25">
      <c r="A5322" s="8">
        <v>70</v>
      </c>
      <c r="B5322" s="8">
        <v>78</v>
      </c>
      <c r="C5322" s="8">
        <v>96.149520999999993</v>
      </c>
      <c r="D5322" s="8">
        <v>167369.203125</v>
      </c>
      <c r="E5322" s="8">
        <v>167383.3125</v>
      </c>
      <c r="F5322" s="8">
        <f t="shared" si="164"/>
        <v>14.109375</v>
      </c>
      <c r="G5322" s="8">
        <f t="shared" si="165"/>
        <v>1.4109375E-2</v>
      </c>
    </row>
    <row r="5323" spans="1:7" x14ac:dyDescent="0.25">
      <c r="A5323" s="8">
        <v>70</v>
      </c>
      <c r="B5323" s="8">
        <v>79</v>
      </c>
      <c r="C5323" s="8">
        <v>6658.0102539999998</v>
      </c>
      <c r="D5323" s="8">
        <v>167494.21875</v>
      </c>
      <c r="E5323" s="8">
        <v>167505.359375</v>
      </c>
      <c r="F5323" s="8">
        <f t="shared" ref="F5323:F5386" si="166">E5323-D5323</f>
        <v>11.140625</v>
      </c>
      <c r="G5323" s="8">
        <f t="shared" ref="G5323:G5386" si="167">F5323/1000</f>
        <v>1.1140624999999999E-2</v>
      </c>
    </row>
    <row r="5324" spans="1:7" x14ac:dyDescent="0.25">
      <c r="A5324" s="8">
        <v>71</v>
      </c>
      <c r="B5324" s="8">
        <v>0</v>
      </c>
      <c r="C5324" s="8">
        <v>6800.9916990000002</v>
      </c>
      <c r="D5324" s="8">
        <v>21609.970702999999</v>
      </c>
      <c r="E5324" s="8">
        <v>21620.845702999999</v>
      </c>
      <c r="F5324" s="8">
        <f t="shared" si="166"/>
        <v>10.875</v>
      </c>
      <c r="G5324" s="8">
        <f t="shared" si="167"/>
        <v>1.0874999999999999E-2</v>
      </c>
    </row>
    <row r="5325" spans="1:7" x14ac:dyDescent="0.25">
      <c r="A5325" s="8">
        <v>71</v>
      </c>
      <c r="B5325" s="8">
        <v>1</v>
      </c>
      <c r="C5325" s="8">
        <v>193.11831699999999</v>
      </c>
      <c r="D5325" s="8">
        <v>28433.90625</v>
      </c>
      <c r="E5325" s="8">
        <v>28445.259765999999</v>
      </c>
      <c r="F5325" s="8">
        <f t="shared" si="166"/>
        <v>11.353515999999217</v>
      </c>
      <c r="G5325" s="8">
        <f t="shared" si="167"/>
        <v>1.1353515999999217E-2</v>
      </c>
    </row>
    <row r="5326" spans="1:7" x14ac:dyDescent="0.25">
      <c r="A5326" s="8">
        <v>71</v>
      </c>
      <c r="B5326" s="8">
        <v>2</v>
      </c>
      <c r="C5326" s="8">
        <v>441.91256700000002</v>
      </c>
      <c r="D5326" s="8">
        <v>28652.677734000001</v>
      </c>
      <c r="E5326" s="8">
        <v>28660.367188</v>
      </c>
      <c r="F5326" s="8">
        <f t="shared" si="166"/>
        <v>7.6894539999993867</v>
      </c>
      <c r="G5326" s="8">
        <f t="shared" si="167"/>
        <v>7.6894539999993869E-3</v>
      </c>
    </row>
    <row r="5327" spans="1:7" x14ac:dyDescent="0.25">
      <c r="A5327" s="8">
        <v>71</v>
      </c>
      <c r="B5327" s="8">
        <v>3</v>
      </c>
      <c r="C5327" s="8">
        <v>804.40997300000004</v>
      </c>
      <c r="D5327" s="8">
        <v>29105.6875</v>
      </c>
      <c r="E5327" s="8">
        <v>29143.767577999999</v>
      </c>
      <c r="F5327" s="8">
        <f t="shared" si="166"/>
        <v>38.080077999999048</v>
      </c>
      <c r="G5327" s="8">
        <f t="shared" si="167"/>
        <v>3.8080077999999046E-2</v>
      </c>
    </row>
    <row r="5328" spans="1:7" x14ac:dyDescent="0.25">
      <c r="A5328" s="8">
        <v>71</v>
      </c>
      <c r="B5328" s="8">
        <v>4</v>
      </c>
      <c r="C5328" s="8">
        <v>959.47479199999998</v>
      </c>
      <c r="D5328" s="8">
        <v>29949.699218999998</v>
      </c>
      <c r="E5328" s="8">
        <v>29957.529297000001</v>
      </c>
      <c r="F5328" s="8">
        <f t="shared" si="166"/>
        <v>7.8300780000026862</v>
      </c>
      <c r="G5328" s="8">
        <f t="shared" si="167"/>
        <v>7.8300780000026861E-3</v>
      </c>
    </row>
    <row r="5329" spans="1:7" x14ac:dyDescent="0.25">
      <c r="A5329" s="8">
        <v>71</v>
      </c>
      <c r="B5329" s="8">
        <v>5</v>
      </c>
      <c r="C5329" s="8">
        <v>7440.1875</v>
      </c>
      <c r="D5329" s="8">
        <v>30923.269531000002</v>
      </c>
      <c r="E5329" s="8">
        <v>30935.523438</v>
      </c>
      <c r="F5329" s="8">
        <f t="shared" si="166"/>
        <v>12.253906999998435</v>
      </c>
      <c r="G5329" s="8">
        <f t="shared" si="167"/>
        <v>1.2253906999998435E-2</v>
      </c>
    </row>
    <row r="5330" spans="1:7" x14ac:dyDescent="0.25">
      <c r="A5330" s="8">
        <v>71</v>
      </c>
      <c r="B5330" s="8">
        <v>6</v>
      </c>
      <c r="C5330" s="8">
        <v>415.593323</v>
      </c>
      <c r="D5330" s="8">
        <v>38386.230469000002</v>
      </c>
      <c r="E5330" s="8">
        <v>38398.902344000002</v>
      </c>
      <c r="F5330" s="8">
        <f t="shared" si="166"/>
        <v>12.671875</v>
      </c>
      <c r="G5330" s="8">
        <f t="shared" si="167"/>
        <v>1.2671875000000001E-2</v>
      </c>
    </row>
    <row r="5331" spans="1:7" x14ac:dyDescent="0.25">
      <c r="A5331" s="8">
        <v>71</v>
      </c>
      <c r="B5331" s="8">
        <v>7</v>
      </c>
      <c r="C5331" s="8">
        <v>946.89184599999999</v>
      </c>
      <c r="D5331" s="8">
        <v>38824.164062999997</v>
      </c>
      <c r="E5331" s="8">
        <v>38833.351562999997</v>
      </c>
      <c r="F5331" s="8">
        <f t="shared" si="166"/>
        <v>9.1875</v>
      </c>
      <c r="G5331" s="8">
        <f t="shared" si="167"/>
        <v>9.1874999999999995E-3</v>
      </c>
    </row>
    <row r="5332" spans="1:7" x14ac:dyDescent="0.25">
      <c r="A5332" s="8">
        <v>71</v>
      </c>
      <c r="B5332" s="8">
        <v>8</v>
      </c>
      <c r="C5332" s="8">
        <v>1002.133606</v>
      </c>
      <c r="D5332" s="8">
        <v>39793.03125</v>
      </c>
      <c r="E5332" s="8">
        <v>39805.207030999998</v>
      </c>
      <c r="F5332" s="8">
        <f t="shared" si="166"/>
        <v>12.175780999998096</v>
      </c>
      <c r="G5332" s="8">
        <f t="shared" si="167"/>
        <v>1.2175780999998097E-2</v>
      </c>
    </row>
    <row r="5333" spans="1:7" x14ac:dyDescent="0.25">
      <c r="A5333" s="8">
        <v>71</v>
      </c>
      <c r="B5333" s="8">
        <v>9</v>
      </c>
      <c r="C5333" s="8">
        <v>4680.2329099999997</v>
      </c>
      <c r="D5333" s="8">
        <v>40809.441405999998</v>
      </c>
      <c r="E5333" s="8">
        <v>40829.164062999997</v>
      </c>
      <c r="F5333" s="8">
        <f t="shared" si="166"/>
        <v>19.722656999998435</v>
      </c>
      <c r="G5333" s="8">
        <f t="shared" si="167"/>
        <v>1.9722656999998436E-2</v>
      </c>
    </row>
    <row r="5334" spans="1:7" x14ac:dyDescent="0.25">
      <c r="A5334" s="8">
        <v>71</v>
      </c>
      <c r="B5334" s="8">
        <v>10</v>
      </c>
      <c r="C5334" s="8">
        <v>556.51141399999995</v>
      </c>
      <c r="D5334" s="8">
        <v>45521.949219000002</v>
      </c>
      <c r="E5334" s="8">
        <v>45534.929687999997</v>
      </c>
      <c r="F5334" s="8">
        <f t="shared" si="166"/>
        <v>12.980468999994628</v>
      </c>
      <c r="G5334" s="8">
        <f t="shared" si="167"/>
        <v>1.2980468999994627E-2</v>
      </c>
    </row>
    <row r="5335" spans="1:7" x14ac:dyDescent="0.25">
      <c r="A5335" s="8">
        <v>71</v>
      </c>
      <c r="B5335" s="8">
        <v>11</v>
      </c>
      <c r="C5335" s="8">
        <v>1282.871582</v>
      </c>
      <c r="D5335" s="8">
        <v>46101.339844000002</v>
      </c>
      <c r="E5335" s="8">
        <v>46124.667969000002</v>
      </c>
      <c r="F5335" s="8">
        <f t="shared" si="166"/>
        <v>23.328125</v>
      </c>
      <c r="G5335" s="8">
        <f t="shared" si="167"/>
        <v>2.3328125000000002E-2</v>
      </c>
    </row>
    <row r="5336" spans="1:7" x14ac:dyDescent="0.25">
      <c r="A5336" s="8">
        <v>71</v>
      </c>
      <c r="B5336" s="8">
        <v>12</v>
      </c>
      <c r="C5336" s="8">
        <v>7902.9145509999998</v>
      </c>
      <c r="D5336" s="8">
        <v>47407.171875</v>
      </c>
      <c r="E5336" s="8">
        <v>47416.253905999998</v>
      </c>
      <c r="F5336" s="8">
        <f t="shared" si="166"/>
        <v>9.0820309999980964</v>
      </c>
      <c r="G5336" s="8">
        <f t="shared" si="167"/>
        <v>9.0820309999980961E-3</v>
      </c>
    </row>
    <row r="5337" spans="1:7" x14ac:dyDescent="0.25">
      <c r="A5337" s="8">
        <v>71</v>
      </c>
      <c r="B5337" s="8">
        <v>13</v>
      </c>
      <c r="C5337" s="8">
        <v>1511.7977289999999</v>
      </c>
      <c r="D5337" s="8">
        <v>55331.746094000002</v>
      </c>
      <c r="E5337" s="8">
        <v>55359.441405999998</v>
      </c>
      <c r="F5337" s="8">
        <f t="shared" si="166"/>
        <v>27.695311999996193</v>
      </c>
      <c r="G5337" s="8">
        <f t="shared" si="167"/>
        <v>2.7695311999996194E-2</v>
      </c>
    </row>
    <row r="5338" spans="1:7" x14ac:dyDescent="0.25">
      <c r="A5338" s="8">
        <v>71</v>
      </c>
      <c r="B5338" s="8">
        <v>14</v>
      </c>
      <c r="C5338" s="8">
        <v>352.36364700000001</v>
      </c>
      <c r="D5338" s="8">
        <v>56879.433594000002</v>
      </c>
      <c r="E5338" s="8">
        <v>56897.445312999997</v>
      </c>
      <c r="F5338" s="8">
        <f t="shared" si="166"/>
        <v>18.011718999994628</v>
      </c>
      <c r="G5338" s="8">
        <f t="shared" si="167"/>
        <v>1.8011718999994628E-2</v>
      </c>
    </row>
    <row r="5339" spans="1:7" x14ac:dyDescent="0.25">
      <c r="A5339" s="8">
        <v>71</v>
      </c>
      <c r="B5339" s="8">
        <v>15</v>
      </c>
      <c r="C5339" s="8">
        <v>1174.352905</v>
      </c>
      <c r="D5339" s="8">
        <v>57254.53125</v>
      </c>
      <c r="E5339" s="8">
        <v>57288.320312999997</v>
      </c>
      <c r="F5339" s="8">
        <f t="shared" si="166"/>
        <v>33.789062999996531</v>
      </c>
      <c r="G5339" s="8">
        <f t="shared" si="167"/>
        <v>3.3789062999996532E-2</v>
      </c>
    </row>
    <row r="5340" spans="1:7" x14ac:dyDescent="0.25">
      <c r="A5340" s="8">
        <v>71</v>
      </c>
      <c r="B5340" s="8">
        <v>16</v>
      </c>
      <c r="C5340" s="8">
        <v>1469.2307129999999</v>
      </c>
      <c r="D5340" s="8">
        <v>58462.808594000002</v>
      </c>
      <c r="E5340" s="8">
        <v>58477.878905999998</v>
      </c>
      <c r="F5340" s="8">
        <f t="shared" si="166"/>
        <v>15.070311999996193</v>
      </c>
      <c r="G5340" s="8">
        <f t="shared" si="167"/>
        <v>1.5070311999996193E-2</v>
      </c>
    </row>
    <row r="5341" spans="1:7" x14ac:dyDescent="0.25">
      <c r="A5341" s="8">
        <v>71</v>
      </c>
      <c r="B5341" s="8">
        <v>17</v>
      </c>
      <c r="C5341" s="8">
        <v>2186.6928710000002</v>
      </c>
      <c r="D5341" s="8">
        <v>59950.582030999998</v>
      </c>
      <c r="E5341" s="8">
        <v>59978.757812999997</v>
      </c>
      <c r="F5341" s="8">
        <f t="shared" si="166"/>
        <v>28.175781999998435</v>
      </c>
      <c r="G5341" s="8">
        <f t="shared" si="167"/>
        <v>2.8175781999998435E-2</v>
      </c>
    </row>
    <row r="5342" spans="1:7" x14ac:dyDescent="0.25">
      <c r="A5342" s="8">
        <v>71</v>
      </c>
      <c r="B5342" s="8">
        <v>18</v>
      </c>
      <c r="C5342" s="8">
        <v>388.207336</v>
      </c>
      <c r="D5342" s="8">
        <v>62169.53125</v>
      </c>
      <c r="E5342" s="8">
        <v>62181.144530999998</v>
      </c>
      <c r="F5342" s="8">
        <f t="shared" si="166"/>
        <v>11.613280999998096</v>
      </c>
      <c r="G5342" s="8">
        <f t="shared" si="167"/>
        <v>1.1613280999998097E-2</v>
      </c>
    </row>
    <row r="5343" spans="1:7" x14ac:dyDescent="0.25">
      <c r="A5343" s="8">
        <v>71</v>
      </c>
      <c r="B5343" s="8">
        <v>19</v>
      </c>
      <c r="C5343" s="8">
        <v>235.71868900000001</v>
      </c>
      <c r="D5343" s="8">
        <v>62579.191405999998</v>
      </c>
      <c r="E5343" s="8">
        <v>62586.832030999998</v>
      </c>
      <c r="F5343" s="8">
        <f t="shared" si="166"/>
        <v>7.640625</v>
      </c>
      <c r="G5343" s="8">
        <f t="shared" si="167"/>
        <v>7.6406249999999998E-3</v>
      </c>
    </row>
    <row r="5344" spans="1:7" x14ac:dyDescent="0.25">
      <c r="A5344" s="8">
        <v>71</v>
      </c>
      <c r="B5344" s="8">
        <v>20</v>
      </c>
      <c r="C5344" s="8">
        <v>1320.315063</v>
      </c>
      <c r="D5344" s="8">
        <v>62829.128905999998</v>
      </c>
      <c r="E5344" s="8">
        <v>62838.132812999997</v>
      </c>
      <c r="F5344" s="8">
        <f t="shared" si="166"/>
        <v>9.0039069999984349</v>
      </c>
      <c r="G5344" s="8">
        <f t="shared" si="167"/>
        <v>9.0039069999984355E-3</v>
      </c>
    </row>
    <row r="5345" spans="1:7" x14ac:dyDescent="0.25">
      <c r="A5345" s="8">
        <v>71</v>
      </c>
      <c r="B5345" s="8">
        <v>21</v>
      </c>
      <c r="C5345" s="8">
        <v>1757.381226</v>
      </c>
      <c r="D5345" s="8">
        <v>64167.652344000002</v>
      </c>
      <c r="E5345" s="8">
        <v>64211.621094000002</v>
      </c>
      <c r="F5345" s="8">
        <f t="shared" si="166"/>
        <v>43.96875</v>
      </c>
      <c r="G5345" s="8">
        <f t="shared" si="167"/>
        <v>4.3968750000000001E-2</v>
      </c>
    </row>
    <row r="5346" spans="1:7" x14ac:dyDescent="0.25">
      <c r="A5346" s="8">
        <v>71</v>
      </c>
      <c r="B5346" s="8">
        <v>22</v>
      </c>
      <c r="C5346" s="8">
        <v>4379.5502930000002</v>
      </c>
      <c r="D5346" s="8">
        <v>65981.03125</v>
      </c>
      <c r="E5346" s="8">
        <v>65998.21875</v>
      </c>
      <c r="F5346" s="8">
        <f t="shared" si="166"/>
        <v>17.1875</v>
      </c>
      <c r="G5346" s="8">
        <f t="shared" si="167"/>
        <v>1.7187500000000001E-2</v>
      </c>
    </row>
    <row r="5347" spans="1:7" x14ac:dyDescent="0.25">
      <c r="A5347" s="8">
        <v>71</v>
      </c>
      <c r="B5347" s="8">
        <v>23</v>
      </c>
      <c r="C5347" s="8">
        <v>4146.1669920000004</v>
      </c>
      <c r="D5347" s="8">
        <v>70382.515625</v>
      </c>
      <c r="E5347" s="8">
        <v>70390.484375</v>
      </c>
      <c r="F5347" s="8">
        <f t="shared" si="166"/>
        <v>7.96875</v>
      </c>
      <c r="G5347" s="8">
        <f t="shared" si="167"/>
        <v>7.9687500000000001E-3</v>
      </c>
    </row>
    <row r="5348" spans="1:7" x14ac:dyDescent="0.25">
      <c r="A5348" s="8">
        <v>71</v>
      </c>
      <c r="B5348" s="8">
        <v>24</v>
      </c>
      <c r="C5348" s="8">
        <v>1684.3676760000001</v>
      </c>
      <c r="D5348" s="8">
        <v>74539.359375</v>
      </c>
      <c r="E5348" s="8">
        <v>74569.414063000004</v>
      </c>
      <c r="F5348" s="8">
        <f t="shared" si="166"/>
        <v>30.054688000003807</v>
      </c>
      <c r="G5348" s="8">
        <f t="shared" si="167"/>
        <v>3.0054688000003806E-2</v>
      </c>
    </row>
    <row r="5349" spans="1:7" x14ac:dyDescent="0.25">
      <c r="A5349" s="8">
        <v>71</v>
      </c>
      <c r="B5349" s="8">
        <v>25</v>
      </c>
      <c r="C5349" s="8">
        <v>11467.475586</v>
      </c>
      <c r="D5349" s="8">
        <v>76257.015625</v>
      </c>
      <c r="E5349" s="8">
        <v>76283.390625</v>
      </c>
      <c r="F5349" s="8">
        <f t="shared" si="166"/>
        <v>26.375</v>
      </c>
      <c r="G5349" s="8">
        <f t="shared" si="167"/>
        <v>2.6374999999999999E-2</v>
      </c>
    </row>
    <row r="5350" spans="1:7" x14ac:dyDescent="0.25">
      <c r="A5350" s="8">
        <v>71</v>
      </c>
      <c r="B5350" s="8">
        <v>26</v>
      </c>
      <c r="C5350" s="8">
        <v>593.61578399999996</v>
      </c>
      <c r="D5350" s="8">
        <v>87756.03125</v>
      </c>
      <c r="E5350" s="8">
        <v>87763.679688000004</v>
      </c>
      <c r="F5350" s="8">
        <f t="shared" si="166"/>
        <v>7.6484380000038072</v>
      </c>
      <c r="G5350" s="8">
        <f t="shared" si="167"/>
        <v>7.6484380000038073E-3</v>
      </c>
    </row>
    <row r="5351" spans="1:7" x14ac:dyDescent="0.25">
      <c r="A5351" s="8">
        <v>71</v>
      </c>
      <c r="B5351" s="8">
        <v>27</v>
      </c>
      <c r="C5351" s="8">
        <v>226.401062</v>
      </c>
      <c r="D5351" s="8">
        <v>88365.46875</v>
      </c>
      <c r="E5351" s="8">
        <v>88390.4375</v>
      </c>
      <c r="F5351" s="8">
        <f t="shared" si="166"/>
        <v>24.96875</v>
      </c>
      <c r="G5351" s="8">
        <f t="shared" si="167"/>
        <v>2.4968750000000001E-2</v>
      </c>
    </row>
    <row r="5352" spans="1:7" x14ac:dyDescent="0.25">
      <c r="A5352" s="8">
        <v>71</v>
      </c>
      <c r="B5352" s="8">
        <v>28</v>
      </c>
      <c r="C5352" s="8">
        <v>989.28021200000001</v>
      </c>
      <c r="D5352" s="8">
        <v>88631.117188000004</v>
      </c>
      <c r="E5352" s="8">
        <v>88642.539063000004</v>
      </c>
      <c r="F5352" s="8">
        <f t="shared" si="166"/>
        <v>11.421875</v>
      </c>
      <c r="G5352" s="8">
        <f t="shared" si="167"/>
        <v>1.1421875E-2</v>
      </c>
    </row>
    <row r="5353" spans="1:7" x14ac:dyDescent="0.25">
      <c r="A5353" s="8">
        <v>71</v>
      </c>
      <c r="B5353" s="8">
        <v>29</v>
      </c>
      <c r="C5353" s="8">
        <v>904.13586399999997</v>
      </c>
      <c r="D5353" s="8">
        <v>89646.875</v>
      </c>
      <c r="E5353" s="8">
        <v>89667.734375</v>
      </c>
      <c r="F5353" s="8">
        <f t="shared" si="166"/>
        <v>20.859375</v>
      </c>
      <c r="G5353" s="8">
        <f t="shared" si="167"/>
        <v>2.0859374999999999E-2</v>
      </c>
    </row>
    <row r="5354" spans="1:7" x14ac:dyDescent="0.25">
      <c r="A5354" s="8">
        <v>71</v>
      </c>
      <c r="B5354" s="8">
        <v>30</v>
      </c>
      <c r="C5354" s="8">
        <v>1386.721558</v>
      </c>
      <c r="D5354" s="8">
        <v>90573.609375</v>
      </c>
      <c r="E5354" s="8">
        <v>90593.757813000004</v>
      </c>
      <c r="F5354" s="8">
        <f t="shared" si="166"/>
        <v>20.148438000003807</v>
      </c>
      <c r="G5354" s="8">
        <f t="shared" si="167"/>
        <v>2.0148438000003807E-2</v>
      </c>
    </row>
    <row r="5355" spans="1:7" x14ac:dyDescent="0.25">
      <c r="A5355" s="8">
        <v>71</v>
      </c>
      <c r="B5355" s="8">
        <v>31</v>
      </c>
      <c r="C5355" s="8">
        <v>3700.4621579999998</v>
      </c>
      <c r="D5355" s="8">
        <v>91980.007813000004</v>
      </c>
      <c r="E5355" s="8">
        <v>91993.5</v>
      </c>
      <c r="F5355" s="8">
        <f t="shared" si="166"/>
        <v>13.492186999996193</v>
      </c>
      <c r="G5355" s="8">
        <f t="shared" si="167"/>
        <v>1.3492186999996193E-2</v>
      </c>
    </row>
    <row r="5356" spans="1:7" x14ac:dyDescent="0.25">
      <c r="A5356" s="8">
        <v>71</v>
      </c>
      <c r="B5356" s="8">
        <v>32</v>
      </c>
      <c r="C5356" s="8">
        <v>690.71179199999995</v>
      </c>
      <c r="D5356" s="8">
        <v>95694</v>
      </c>
      <c r="E5356" s="8">
        <v>95713.320313000004</v>
      </c>
      <c r="F5356" s="8">
        <f t="shared" si="166"/>
        <v>19.320313000003807</v>
      </c>
      <c r="G5356" s="8">
        <f t="shared" si="167"/>
        <v>1.9320313000003808E-2</v>
      </c>
    </row>
    <row r="5357" spans="1:7" x14ac:dyDescent="0.25">
      <c r="A5357" s="8">
        <v>71</v>
      </c>
      <c r="B5357" s="8">
        <v>33</v>
      </c>
      <c r="C5357" s="8">
        <v>3359.9724120000001</v>
      </c>
      <c r="D5357" s="8">
        <v>96412.835938000004</v>
      </c>
      <c r="E5357" s="8">
        <v>96423.6875</v>
      </c>
      <c r="F5357" s="8">
        <f t="shared" si="166"/>
        <v>10.851561999996193</v>
      </c>
      <c r="G5357" s="8">
        <f t="shared" si="167"/>
        <v>1.0851561999996193E-2</v>
      </c>
    </row>
    <row r="5358" spans="1:7" x14ac:dyDescent="0.25">
      <c r="A5358" s="8">
        <v>71</v>
      </c>
      <c r="B5358" s="8">
        <v>34</v>
      </c>
      <c r="C5358" s="8">
        <v>541.09210199999995</v>
      </c>
      <c r="D5358" s="8">
        <v>99791.960938000004</v>
      </c>
      <c r="E5358" s="8">
        <v>99814.617188000004</v>
      </c>
      <c r="F5358" s="8">
        <f t="shared" si="166"/>
        <v>22.65625</v>
      </c>
      <c r="G5358" s="8">
        <f t="shared" si="167"/>
        <v>2.2656249999999999E-2</v>
      </c>
    </row>
    <row r="5359" spans="1:7" x14ac:dyDescent="0.25">
      <c r="A5359" s="8">
        <v>71</v>
      </c>
      <c r="B5359" s="8">
        <v>35</v>
      </c>
      <c r="C5359" s="8">
        <v>2501.6843260000001</v>
      </c>
      <c r="D5359" s="8">
        <v>100370.15625</v>
      </c>
      <c r="E5359" s="8">
        <v>100389.109375</v>
      </c>
      <c r="F5359" s="8">
        <f t="shared" si="166"/>
        <v>18.953125</v>
      </c>
      <c r="G5359" s="8">
        <f t="shared" si="167"/>
        <v>1.8953125000000001E-2</v>
      </c>
    </row>
    <row r="5360" spans="1:7" x14ac:dyDescent="0.25">
      <c r="A5360" s="8">
        <v>71</v>
      </c>
      <c r="B5360" s="8">
        <v>36</v>
      </c>
      <c r="C5360" s="8">
        <v>1049.947876</v>
      </c>
      <c r="D5360" s="8">
        <v>102898.898438</v>
      </c>
      <c r="E5360" s="8">
        <v>102945</v>
      </c>
      <c r="F5360" s="8">
        <f t="shared" si="166"/>
        <v>46.101561999996193</v>
      </c>
      <c r="G5360" s="8">
        <f t="shared" si="167"/>
        <v>4.6101561999996196E-2</v>
      </c>
    </row>
    <row r="5361" spans="1:7" x14ac:dyDescent="0.25">
      <c r="A5361" s="8">
        <v>71</v>
      </c>
      <c r="B5361" s="8">
        <v>37</v>
      </c>
      <c r="C5361" s="8">
        <v>870.46423300000004</v>
      </c>
      <c r="D5361" s="8">
        <v>104003.351563</v>
      </c>
      <c r="E5361" s="8">
        <v>104013</v>
      </c>
      <c r="F5361" s="8">
        <f t="shared" si="166"/>
        <v>9.6484369999961928</v>
      </c>
      <c r="G5361" s="8">
        <f t="shared" si="167"/>
        <v>9.6484369999961933E-3</v>
      </c>
    </row>
    <row r="5362" spans="1:7" x14ac:dyDescent="0.25">
      <c r="A5362" s="8">
        <v>71</v>
      </c>
      <c r="B5362" s="8">
        <v>38</v>
      </c>
      <c r="C5362" s="8">
        <v>2583.9501949999999</v>
      </c>
      <c r="D5362" s="8">
        <v>104894.0625</v>
      </c>
      <c r="E5362" s="8">
        <v>104915.390625</v>
      </c>
      <c r="F5362" s="8">
        <f t="shared" si="166"/>
        <v>21.328125</v>
      </c>
      <c r="G5362" s="8">
        <f t="shared" si="167"/>
        <v>2.1328125E-2</v>
      </c>
    </row>
    <row r="5363" spans="1:7" x14ac:dyDescent="0.25">
      <c r="A5363" s="8">
        <v>71</v>
      </c>
      <c r="B5363" s="8">
        <v>39</v>
      </c>
      <c r="C5363" s="8">
        <v>1916.5360109999999</v>
      </c>
      <c r="D5363" s="8">
        <v>107501.070313</v>
      </c>
      <c r="E5363" s="8">
        <v>107514.734375</v>
      </c>
      <c r="F5363" s="8">
        <f t="shared" si="166"/>
        <v>13.664061999996193</v>
      </c>
      <c r="G5363" s="8">
        <f t="shared" si="167"/>
        <v>1.3664061999996193E-2</v>
      </c>
    </row>
    <row r="5364" spans="1:7" x14ac:dyDescent="0.25">
      <c r="A5364" s="8">
        <v>71</v>
      </c>
      <c r="B5364" s="8">
        <v>40</v>
      </c>
      <c r="C5364" s="8">
        <v>1559.146606</v>
      </c>
      <c r="D5364" s="8">
        <v>109438.796875</v>
      </c>
      <c r="E5364" s="8">
        <v>109454.453125</v>
      </c>
      <c r="F5364" s="8">
        <f t="shared" si="166"/>
        <v>15.65625</v>
      </c>
      <c r="G5364" s="8">
        <f t="shared" si="167"/>
        <v>1.565625E-2</v>
      </c>
    </row>
    <row r="5365" spans="1:7" x14ac:dyDescent="0.25">
      <c r="A5365" s="8">
        <v>71</v>
      </c>
      <c r="B5365" s="8">
        <v>41</v>
      </c>
      <c r="C5365" s="8">
        <v>1835.146606</v>
      </c>
      <c r="D5365" s="8">
        <v>111017.789063</v>
      </c>
      <c r="E5365" s="8">
        <v>111034.273438</v>
      </c>
      <c r="F5365" s="8">
        <f t="shared" si="166"/>
        <v>16.484375</v>
      </c>
      <c r="G5365" s="8">
        <f t="shared" si="167"/>
        <v>1.6484374999999999E-2</v>
      </c>
    </row>
    <row r="5366" spans="1:7" x14ac:dyDescent="0.25">
      <c r="A5366" s="8">
        <v>71</v>
      </c>
      <c r="B5366" s="8">
        <v>42</v>
      </c>
      <c r="C5366" s="8">
        <v>1523.3995359999999</v>
      </c>
      <c r="D5366" s="8">
        <v>112884.867188</v>
      </c>
      <c r="E5366" s="8">
        <v>112908.28125</v>
      </c>
      <c r="F5366" s="8">
        <f t="shared" si="166"/>
        <v>23.414061999996193</v>
      </c>
      <c r="G5366" s="8">
        <f t="shared" si="167"/>
        <v>2.3414061999996193E-2</v>
      </c>
    </row>
    <row r="5367" spans="1:7" x14ac:dyDescent="0.25">
      <c r="A5367" s="8">
        <v>71</v>
      </c>
      <c r="B5367" s="8">
        <v>43</v>
      </c>
      <c r="C5367" s="8">
        <v>145.227386</v>
      </c>
      <c r="D5367" s="8">
        <v>114440.773438</v>
      </c>
      <c r="E5367" s="8">
        <v>114461.304688</v>
      </c>
      <c r="F5367" s="8">
        <f t="shared" si="166"/>
        <v>20.53125</v>
      </c>
      <c r="G5367" s="8">
        <f t="shared" si="167"/>
        <v>2.0531250000000001E-2</v>
      </c>
    </row>
    <row r="5368" spans="1:7" x14ac:dyDescent="0.25">
      <c r="A5368" s="8">
        <v>71</v>
      </c>
      <c r="B5368" s="8">
        <v>44</v>
      </c>
      <c r="C5368" s="8">
        <v>6502.3857420000004</v>
      </c>
      <c r="D5368" s="8">
        <v>114612.65625</v>
      </c>
      <c r="E5368" s="8">
        <v>114626.601563</v>
      </c>
      <c r="F5368" s="8">
        <f t="shared" si="166"/>
        <v>13.945313000003807</v>
      </c>
      <c r="G5368" s="8">
        <f t="shared" si="167"/>
        <v>1.3945313000003807E-2</v>
      </c>
    </row>
    <row r="5369" spans="1:7" x14ac:dyDescent="0.25">
      <c r="A5369" s="8">
        <v>71</v>
      </c>
      <c r="B5369" s="8">
        <v>45</v>
      </c>
      <c r="C5369" s="8">
        <v>2875.4741210000002</v>
      </c>
      <c r="D5369" s="8">
        <v>121142.632813</v>
      </c>
      <c r="E5369" s="8">
        <v>121160.390625</v>
      </c>
      <c r="F5369" s="8">
        <f t="shared" si="166"/>
        <v>17.757811999996193</v>
      </c>
      <c r="G5369" s="8">
        <f t="shared" si="167"/>
        <v>1.7757811999996192E-2</v>
      </c>
    </row>
    <row r="5370" spans="1:7" x14ac:dyDescent="0.25">
      <c r="A5370" s="8">
        <v>71</v>
      </c>
      <c r="B5370" s="8">
        <v>46</v>
      </c>
      <c r="C5370" s="8">
        <v>1351.3823239999999</v>
      </c>
      <c r="D5370" s="8">
        <v>124048.914063</v>
      </c>
      <c r="E5370" s="8">
        <v>124082.109375</v>
      </c>
      <c r="F5370" s="8">
        <f t="shared" si="166"/>
        <v>33.195311999996193</v>
      </c>
      <c r="G5370" s="8">
        <f t="shared" si="167"/>
        <v>3.3195311999996195E-2</v>
      </c>
    </row>
    <row r="5371" spans="1:7" x14ac:dyDescent="0.25">
      <c r="A5371" s="8">
        <v>71</v>
      </c>
      <c r="B5371" s="8">
        <v>47</v>
      </c>
      <c r="C5371" s="8">
        <v>2667.891357</v>
      </c>
      <c r="D5371" s="8">
        <v>125439.742188</v>
      </c>
      <c r="E5371" s="8">
        <v>125458.46875</v>
      </c>
      <c r="F5371" s="8">
        <f t="shared" si="166"/>
        <v>18.726561999996193</v>
      </c>
      <c r="G5371" s="8">
        <f t="shared" si="167"/>
        <v>1.8726561999996193E-2</v>
      </c>
    </row>
    <row r="5372" spans="1:7" x14ac:dyDescent="0.25">
      <c r="A5372" s="8">
        <v>71</v>
      </c>
      <c r="B5372" s="8">
        <v>48</v>
      </c>
      <c r="C5372" s="8">
        <v>2550.461914</v>
      </c>
      <c r="D5372" s="8">
        <v>128128.085938</v>
      </c>
      <c r="E5372" s="8">
        <v>128146.265625</v>
      </c>
      <c r="F5372" s="8">
        <f t="shared" si="166"/>
        <v>18.179686999996193</v>
      </c>
      <c r="G5372" s="8">
        <f t="shared" si="167"/>
        <v>1.8179686999996194E-2</v>
      </c>
    </row>
    <row r="5373" spans="1:7" x14ac:dyDescent="0.25">
      <c r="A5373" s="8">
        <v>71</v>
      </c>
      <c r="B5373" s="8">
        <v>49</v>
      </c>
      <c r="C5373" s="8">
        <v>135.47178600000001</v>
      </c>
      <c r="D5373" s="8">
        <v>130707.765625</v>
      </c>
      <c r="E5373" s="8">
        <v>130731.046875</v>
      </c>
      <c r="F5373" s="8">
        <f t="shared" si="166"/>
        <v>23.28125</v>
      </c>
      <c r="G5373" s="8">
        <f t="shared" si="167"/>
        <v>2.328125E-2</v>
      </c>
    </row>
    <row r="5374" spans="1:7" x14ac:dyDescent="0.25">
      <c r="A5374" s="8">
        <v>71</v>
      </c>
      <c r="B5374" s="8">
        <v>50</v>
      </c>
      <c r="C5374" s="8">
        <v>620.98699999999997</v>
      </c>
      <c r="D5374" s="8">
        <v>130879.648438</v>
      </c>
      <c r="E5374" s="8">
        <v>130887.523438</v>
      </c>
      <c r="F5374" s="8">
        <f t="shared" si="166"/>
        <v>7.875</v>
      </c>
      <c r="G5374" s="8">
        <f t="shared" si="167"/>
        <v>7.8750000000000001E-3</v>
      </c>
    </row>
    <row r="5375" spans="1:7" x14ac:dyDescent="0.25">
      <c r="A5375" s="8">
        <v>71</v>
      </c>
      <c r="B5375" s="8">
        <v>51</v>
      </c>
      <c r="C5375" s="8">
        <v>149.563919</v>
      </c>
      <c r="D5375" s="8">
        <v>131514.4375</v>
      </c>
      <c r="E5375" s="8">
        <v>131524.640625</v>
      </c>
      <c r="F5375" s="8">
        <f t="shared" si="166"/>
        <v>10.203125</v>
      </c>
      <c r="G5375" s="8">
        <f t="shared" si="167"/>
        <v>1.0203125E-2</v>
      </c>
    </row>
    <row r="5376" spans="1:7" x14ac:dyDescent="0.25">
      <c r="A5376" s="8">
        <v>71</v>
      </c>
      <c r="B5376" s="8">
        <v>52</v>
      </c>
      <c r="C5376" s="8">
        <v>1713.627808</v>
      </c>
      <c r="D5376" s="8">
        <v>131686.21875</v>
      </c>
      <c r="E5376" s="8">
        <v>131699.46875</v>
      </c>
      <c r="F5376" s="8">
        <f t="shared" si="166"/>
        <v>13.25</v>
      </c>
      <c r="G5376" s="8">
        <f t="shared" si="167"/>
        <v>1.325E-2</v>
      </c>
    </row>
    <row r="5377" spans="1:7" x14ac:dyDescent="0.25">
      <c r="A5377" s="8">
        <v>71</v>
      </c>
      <c r="B5377" s="8">
        <v>53</v>
      </c>
      <c r="C5377" s="8">
        <v>917.03106700000001</v>
      </c>
      <c r="D5377" s="8">
        <v>133425.546875</v>
      </c>
      <c r="E5377" s="8">
        <v>133444.453125</v>
      </c>
      <c r="F5377" s="8">
        <f t="shared" si="166"/>
        <v>18.90625</v>
      </c>
      <c r="G5377" s="8">
        <f t="shared" si="167"/>
        <v>1.8906249999999999E-2</v>
      </c>
    </row>
    <row r="5378" spans="1:7" x14ac:dyDescent="0.25">
      <c r="A5378" s="8">
        <v>71</v>
      </c>
      <c r="B5378" s="8">
        <v>54</v>
      </c>
      <c r="C5378" s="8">
        <v>1041.7105710000001</v>
      </c>
      <c r="D5378" s="8">
        <v>134363.171875</v>
      </c>
      <c r="E5378" s="8">
        <v>134387.53125</v>
      </c>
      <c r="F5378" s="8">
        <f t="shared" si="166"/>
        <v>24.359375</v>
      </c>
      <c r="G5378" s="8">
        <f t="shared" si="167"/>
        <v>2.4359374999999999E-2</v>
      </c>
    </row>
    <row r="5379" spans="1:7" x14ac:dyDescent="0.25">
      <c r="A5379" s="8">
        <v>71</v>
      </c>
      <c r="B5379" s="8">
        <v>55</v>
      </c>
      <c r="C5379" s="8">
        <v>1724.4406739999999</v>
      </c>
      <c r="D5379" s="8">
        <v>135428.9375</v>
      </c>
      <c r="E5379" s="8">
        <v>135443.1875</v>
      </c>
      <c r="F5379" s="8">
        <f t="shared" si="166"/>
        <v>14.25</v>
      </c>
      <c r="G5379" s="8">
        <f t="shared" si="167"/>
        <v>1.4250000000000001E-2</v>
      </c>
    </row>
    <row r="5380" spans="1:7" x14ac:dyDescent="0.25">
      <c r="A5380" s="8">
        <v>71</v>
      </c>
      <c r="B5380" s="8">
        <v>56</v>
      </c>
      <c r="C5380" s="8">
        <v>228.24737500000001</v>
      </c>
      <c r="D5380" s="8">
        <v>137171.765625</v>
      </c>
      <c r="E5380" s="8">
        <v>137196.1875</v>
      </c>
      <c r="F5380" s="8">
        <f t="shared" si="166"/>
        <v>24.421875</v>
      </c>
      <c r="G5380" s="8">
        <f t="shared" si="167"/>
        <v>2.4421874999999999E-2</v>
      </c>
    </row>
    <row r="5381" spans="1:7" x14ac:dyDescent="0.25">
      <c r="A5381" s="8">
        <v>71</v>
      </c>
      <c r="B5381" s="8">
        <v>57</v>
      </c>
      <c r="C5381" s="8">
        <v>365.51010100000002</v>
      </c>
      <c r="D5381" s="8">
        <v>137437.4375</v>
      </c>
      <c r="E5381" s="8">
        <v>137447.828125</v>
      </c>
      <c r="F5381" s="8">
        <f t="shared" si="166"/>
        <v>10.390625</v>
      </c>
      <c r="G5381" s="8">
        <f t="shared" si="167"/>
        <v>1.0390625000000001E-2</v>
      </c>
    </row>
    <row r="5382" spans="1:7" x14ac:dyDescent="0.25">
      <c r="A5382" s="8">
        <v>71</v>
      </c>
      <c r="B5382" s="8">
        <v>58</v>
      </c>
      <c r="C5382" s="8">
        <v>407.270691</v>
      </c>
      <c r="D5382" s="8">
        <v>137828.0625</v>
      </c>
      <c r="E5382" s="8">
        <v>137841.125</v>
      </c>
      <c r="F5382" s="8">
        <f t="shared" si="166"/>
        <v>13.0625</v>
      </c>
      <c r="G5382" s="8">
        <f t="shared" si="167"/>
        <v>1.3062499999999999E-2</v>
      </c>
    </row>
    <row r="5383" spans="1:7" x14ac:dyDescent="0.25">
      <c r="A5383" s="8">
        <v>71</v>
      </c>
      <c r="B5383" s="8">
        <v>59</v>
      </c>
      <c r="C5383" s="8">
        <v>1930.268677</v>
      </c>
      <c r="D5383" s="8">
        <v>138249.984375</v>
      </c>
      <c r="E5383" s="8">
        <v>138264.515625</v>
      </c>
      <c r="F5383" s="8">
        <f t="shared" si="166"/>
        <v>14.53125</v>
      </c>
      <c r="G5383" s="8">
        <f t="shared" si="167"/>
        <v>1.4531250000000001E-2</v>
      </c>
    </row>
    <row r="5384" spans="1:7" x14ac:dyDescent="0.25">
      <c r="A5384" s="8">
        <v>71</v>
      </c>
      <c r="B5384" s="8">
        <v>60</v>
      </c>
      <c r="C5384" s="8">
        <v>308.51498400000003</v>
      </c>
      <c r="D5384" s="8">
        <v>140209.75</v>
      </c>
      <c r="E5384" s="8">
        <v>140220.78125</v>
      </c>
      <c r="F5384" s="8">
        <f t="shared" si="166"/>
        <v>11.03125</v>
      </c>
      <c r="G5384" s="8">
        <f t="shared" si="167"/>
        <v>1.1031249999999999E-2</v>
      </c>
    </row>
    <row r="5385" spans="1:7" x14ac:dyDescent="0.25">
      <c r="A5385" s="8">
        <v>71</v>
      </c>
      <c r="B5385" s="8">
        <v>61</v>
      </c>
      <c r="C5385" s="8">
        <v>2570.6640630000002</v>
      </c>
      <c r="D5385" s="8">
        <v>140529.765625</v>
      </c>
      <c r="E5385" s="8">
        <v>140549.4375</v>
      </c>
      <c r="F5385" s="8">
        <f t="shared" si="166"/>
        <v>19.671875</v>
      </c>
      <c r="G5385" s="8">
        <f t="shared" si="167"/>
        <v>1.9671874999999998E-2</v>
      </c>
    </row>
    <row r="5386" spans="1:7" x14ac:dyDescent="0.25">
      <c r="A5386" s="8">
        <v>71</v>
      </c>
      <c r="B5386" s="8">
        <v>62</v>
      </c>
      <c r="C5386" s="8">
        <v>241.770905</v>
      </c>
      <c r="D5386" s="8">
        <v>143124.453125</v>
      </c>
      <c r="E5386" s="8">
        <v>143132.015625</v>
      </c>
      <c r="F5386" s="8">
        <f t="shared" si="166"/>
        <v>7.5625</v>
      </c>
      <c r="G5386" s="8">
        <f t="shared" si="167"/>
        <v>7.5624999999999998E-3</v>
      </c>
    </row>
    <row r="5387" spans="1:7" x14ac:dyDescent="0.25">
      <c r="A5387" s="8">
        <v>71</v>
      </c>
      <c r="B5387" s="8">
        <v>63</v>
      </c>
      <c r="C5387" s="8">
        <v>662.12133800000004</v>
      </c>
      <c r="D5387" s="8">
        <v>143374.703125</v>
      </c>
      <c r="E5387" s="8">
        <v>143383.859375</v>
      </c>
      <c r="F5387" s="8">
        <f t="shared" ref="F5387:F5450" si="168">E5387-D5387</f>
        <v>9.15625</v>
      </c>
      <c r="G5387" s="8">
        <f t="shared" ref="G5387:G5450" si="169">F5387/1000</f>
        <v>9.1562499999999995E-3</v>
      </c>
    </row>
    <row r="5388" spans="1:7" x14ac:dyDescent="0.25">
      <c r="A5388" s="8">
        <v>71</v>
      </c>
      <c r="B5388" s="8">
        <v>64</v>
      </c>
      <c r="C5388" s="8">
        <v>113.96854399999999</v>
      </c>
      <c r="D5388" s="8">
        <v>144056.8125</v>
      </c>
      <c r="E5388" s="8">
        <v>144073.84375</v>
      </c>
      <c r="F5388" s="8">
        <f t="shared" si="168"/>
        <v>17.03125</v>
      </c>
      <c r="G5388" s="8">
        <f t="shared" si="169"/>
        <v>1.7031250000000001E-2</v>
      </c>
    </row>
    <row r="5389" spans="1:7" x14ac:dyDescent="0.25">
      <c r="A5389" s="8">
        <v>71</v>
      </c>
      <c r="B5389" s="8">
        <v>65</v>
      </c>
      <c r="C5389" s="8">
        <v>1452.5048830000001</v>
      </c>
      <c r="D5389" s="8">
        <v>144197.4375</v>
      </c>
      <c r="E5389" s="8">
        <v>144219.53125</v>
      </c>
      <c r="F5389" s="8">
        <f t="shared" si="168"/>
        <v>22.09375</v>
      </c>
      <c r="G5389" s="8">
        <f t="shared" si="169"/>
        <v>2.2093749999999999E-2</v>
      </c>
    </row>
    <row r="5390" spans="1:7" x14ac:dyDescent="0.25">
      <c r="A5390" s="8">
        <v>71</v>
      </c>
      <c r="B5390" s="8">
        <v>66</v>
      </c>
      <c r="C5390" s="8">
        <v>1187.57251</v>
      </c>
      <c r="D5390" s="8">
        <v>145677.78125</v>
      </c>
      <c r="E5390" s="8">
        <v>145700.0625</v>
      </c>
      <c r="F5390" s="8">
        <f t="shared" si="168"/>
        <v>22.28125</v>
      </c>
      <c r="G5390" s="8">
        <f t="shared" si="169"/>
        <v>2.2281249999999999E-2</v>
      </c>
    </row>
    <row r="5391" spans="1:7" x14ac:dyDescent="0.25">
      <c r="A5391" s="8">
        <v>71</v>
      </c>
      <c r="B5391" s="8">
        <v>67</v>
      </c>
      <c r="C5391" s="8">
        <v>535.101135</v>
      </c>
      <c r="D5391" s="8">
        <v>146896.65625</v>
      </c>
      <c r="E5391" s="8">
        <v>146904.5</v>
      </c>
      <c r="F5391" s="8">
        <f t="shared" si="168"/>
        <v>7.84375</v>
      </c>
      <c r="G5391" s="8">
        <f t="shared" si="169"/>
        <v>7.84375E-3</v>
      </c>
    </row>
    <row r="5392" spans="1:7" x14ac:dyDescent="0.25">
      <c r="A5392" s="8">
        <v>71</v>
      </c>
      <c r="B5392" s="8">
        <v>68</v>
      </c>
      <c r="C5392" s="8">
        <v>118.302513</v>
      </c>
      <c r="D5392" s="8">
        <v>147443.625</v>
      </c>
      <c r="E5392" s="8">
        <v>147454.625</v>
      </c>
      <c r="F5392" s="8">
        <f t="shared" si="168"/>
        <v>11</v>
      </c>
      <c r="G5392" s="8">
        <f t="shared" si="169"/>
        <v>1.0999999999999999E-2</v>
      </c>
    </row>
    <row r="5393" spans="1:7" x14ac:dyDescent="0.25">
      <c r="A5393" s="8">
        <v>71</v>
      </c>
      <c r="B5393" s="8">
        <v>69</v>
      </c>
      <c r="C5393" s="8">
        <v>2803.5285640000002</v>
      </c>
      <c r="D5393" s="8">
        <v>147584.25</v>
      </c>
      <c r="E5393" s="8">
        <v>147606.9375</v>
      </c>
      <c r="F5393" s="8">
        <f t="shared" si="168"/>
        <v>22.6875</v>
      </c>
      <c r="G5393" s="8">
        <f t="shared" si="169"/>
        <v>2.2687499999999999E-2</v>
      </c>
    </row>
    <row r="5394" spans="1:7" x14ac:dyDescent="0.25">
      <c r="A5394" s="8">
        <v>71</v>
      </c>
      <c r="B5394" s="8">
        <v>70</v>
      </c>
      <c r="C5394" s="8">
        <v>1491.1083980000001</v>
      </c>
      <c r="D5394" s="8">
        <v>150420.78125</v>
      </c>
      <c r="E5394" s="8">
        <v>150480.71875</v>
      </c>
      <c r="F5394" s="8">
        <f t="shared" si="168"/>
        <v>59.9375</v>
      </c>
      <c r="G5394" s="8">
        <f t="shared" si="169"/>
        <v>5.9937499999999998E-2</v>
      </c>
    </row>
    <row r="5395" spans="1:7" x14ac:dyDescent="0.25">
      <c r="A5395" s="8">
        <v>71</v>
      </c>
      <c r="B5395" s="8">
        <v>71</v>
      </c>
      <c r="C5395" s="8">
        <v>136.51705899999999</v>
      </c>
      <c r="D5395" s="8">
        <v>151983.453125</v>
      </c>
      <c r="E5395" s="8">
        <v>152008.828125</v>
      </c>
      <c r="F5395" s="8">
        <f t="shared" si="168"/>
        <v>25.375</v>
      </c>
      <c r="G5395" s="8">
        <f t="shared" si="169"/>
        <v>2.5375000000000002E-2</v>
      </c>
    </row>
    <row r="5396" spans="1:7" x14ac:dyDescent="0.25">
      <c r="A5396" s="8">
        <v>71</v>
      </c>
      <c r="B5396" s="8">
        <v>72</v>
      </c>
      <c r="C5396" s="8">
        <v>131.88267500000001</v>
      </c>
      <c r="D5396" s="8">
        <v>152155.296875</v>
      </c>
      <c r="E5396" s="8">
        <v>152173.0625</v>
      </c>
      <c r="F5396" s="8">
        <f t="shared" si="168"/>
        <v>17.765625</v>
      </c>
      <c r="G5396" s="8">
        <f t="shared" si="169"/>
        <v>1.7765625E-2</v>
      </c>
    </row>
    <row r="5397" spans="1:7" x14ac:dyDescent="0.25">
      <c r="A5397" s="8">
        <v>71</v>
      </c>
      <c r="B5397" s="8">
        <v>73</v>
      </c>
      <c r="C5397" s="8">
        <v>335.32925399999999</v>
      </c>
      <c r="D5397" s="8">
        <v>152312.609375</v>
      </c>
      <c r="E5397" s="8">
        <v>152327.40625</v>
      </c>
      <c r="F5397" s="8">
        <f t="shared" si="168"/>
        <v>14.796875</v>
      </c>
      <c r="G5397" s="8">
        <f t="shared" si="169"/>
        <v>1.4796874999999999E-2</v>
      </c>
    </row>
    <row r="5398" spans="1:7" x14ac:dyDescent="0.25">
      <c r="A5398" s="8">
        <v>71</v>
      </c>
      <c r="B5398" s="8">
        <v>74</v>
      </c>
      <c r="C5398" s="8">
        <v>727.69256600000006</v>
      </c>
      <c r="D5398" s="8">
        <v>152671.96875</v>
      </c>
      <c r="E5398" s="8">
        <v>152693.125</v>
      </c>
      <c r="F5398" s="8">
        <f t="shared" si="168"/>
        <v>21.15625</v>
      </c>
      <c r="G5398" s="8">
        <f t="shared" si="169"/>
        <v>2.1156250000000001E-2</v>
      </c>
    </row>
    <row r="5399" spans="1:7" x14ac:dyDescent="0.25">
      <c r="A5399" s="8">
        <v>71</v>
      </c>
      <c r="B5399" s="8">
        <v>75</v>
      </c>
      <c r="C5399" s="8">
        <v>130.90486100000001</v>
      </c>
      <c r="D5399" s="8">
        <v>153422</v>
      </c>
      <c r="E5399" s="8">
        <v>153439.3125</v>
      </c>
      <c r="F5399" s="8">
        <f t="shared" si="168"/>
        <v>17.3125</v>
      </c>
      <c r="G5399" s="8">
        <f t="shared" si="169"/>
        <v>1.7312500000000001E-2</v>
      </c>
    </row>
    <row r="5400" spans="1:7" x14ac:dyDescent="0.25">
      <c r="A5400" s="8">
        <v>71</v>
      </c>
      <c r="B5400" s="8">
        <v>76</v>
      </c>
      <c r="C5400" s="8">
        <v>512.81311000000005</v>
      </c>
      <c r="D5400" s="8">
        <v>153578.34375</v>
      </c>
      <c r="E5400" s="8">
        <v>153593.1875</v>
      </c>
      <c r="F5400" s="8">
        <f t="shared" si="168"/>
        <v>14.84375</v>
      </c>
      <c r="G5400" s="8">
        <f t="shared" si="169"/>
        <v>1.4843749999999999E-2</v>
      </c>
    </row>
    <row r="5401" spans="1:7" x14ac:dyDescent="0.25">
      <c r="A5401" s="8">
        <v>71</v>
      </c>
      <c r="B5401" s="8">
        <v>77</v>
      </c>
      <c r="C5401" s="8">
        <v>2528.7321780000002</v>
      </c>
      <c r="D5401" s="8">
        <v>154109.65625</v>
      </c>
      <c r="E5401" s="8">
        <v>154134.53125</v>
      </c>
      <c r="F5401" s="8">
        <f t="shared" si="168"/>
        <v>24.875</v>
      </c>
      <c r="G5401" s="8">
        <f t="shared" si="169"/>
        <v>2.4875000000000001E-2</v>
      </c>
    </row>
    <row r="5402" spans="1:7" x14ac:dyDescent="0.25">
      <c r="A5402" s="8">
        <v>71</v>
      </c>
      <c r="B5402" s="8">
        <v>78</v>
      </c>
      <c r="C5402" s="8">
        <v>5140.6704099999997</v>
      </c>
      <c r="D5402" s="8">
        <v>156672.421875</v>
      </c>
      <c r="E5402" s="8">
        <v>156689.34375</v>
      </c>
      <c r="F5402" s="8">
        <f t="shared" si="168"/>
        <v>16.921875</v>
      </c>
      <c r="G5402" s="8">
        <f t="shared" si="169"/>
        <v>1.6921874999999999E-2</v>
      </c>
    </row>
    <row r="5403" spans="1:7" x14ac:dyDescent="0.25">
      <c r="A5403" s="8">
        <v>71</v>
      </c>
      <c r="B5403" s="8">
        <v>79</v>
      </c>
      <c r="C5403" s="8">
        <v>4742.6674800000001</v>
      </c>
      <c r="D5403" s="8">
        <v>161830.203125</v>
      </c>
      <c r="E5403" s="8">
        <v>161845.046875</v>
      </c>
      <c r="F5403" s="8">
        <f t="shared" si="168"/>
        <v>14.84375</v>
      </c>
      <c r="G5403" s="8">
        <f t="shared" si="169"/>
        <v>1.4843749999999999E-2</v>
      </c>
    </row>
    <row r="5404" spans="1:7" x14ac:dyDescent="0.25">
      <c r="A5404" s="8">
        <v>71</v>
      </c>
      <c r="B5404" s="8">
        <v>80</v>
      </c>
      <c r="C5404" s="8">
        <v>2628.204346</v>
      </c>
      <c r="D5404" s="8">
        <v>166598.9375</v>
      </c>
      <c r="E5404" s="8">
        <v>166620.40625</v>
      </c>
      <c r="F5404" s="8">
        <f t="shared" si="168"/>
        <v>21.46875</v>
      </c>
      <c r="G5404" s="8">
        <f t="shared" si="169"/>
        <v>2.1468750000000002E-2</v>
      </c>
    </row>
    <row r="5405" spans="1:7" x14ac:dyDescent="0.25">
      <c r="A5405" s="8">
        <v>71</v>
      </c>
      <c r="B5405" s="8">
        <v>81</v>
      </c>
      <c r="C5405" s="8">
        <v>2440.9941410000001</v>
      </c>
      <c r="D5405" s="8">
        <v>169251.609375</v>
      </c>
      <c r="E5405" s="8">
        <v>169280.03125</v>
      </c>
      <c r="F5405" s="8">
        <f t="shared" si="168"/>
        <v>28.421875</v>
      </c>
      <c r="G5405" s="8">
        <f t="shared" si="169"/>
        <v>2.8421874999999999E-2</v>
      </c>
    </row>
    <row r="5406" spans="1:7" x14ac:dyDescent="0.25">
      <c r="A5406" s="8">
        <v>72</v>
      </c>
      <c r="B5406" s="8">
        <v>0</v>
      </c>
      <c r="C5406" s="8">
        <v>2370.6757809999999</v>
      </c>
      <c r="D5406" s="8">
        <v>20182.015625</v>
      </c>
      <c r="E5406" s="8">
        <v>20200.603515999999</v>
      </c>
      <c r="F5406" s="8">
        <f t="shared" si="168"/>
        <v>18.587890999999217</v>
      </c>
      <c r="G5406" s="8">
        <f t="shared" si="169"/>
        <v>1.8587890999999218E-2</v>
      </c>
    </row>
    <row r="5407" spans="1:7" x14ac:dyDescent="0.25">
      <c r="A5407" s="8">
        <v>72</v>
      </c>
      <c r="B5407" s="8">
        <v>1</v>
      </c>
      <c r="C5407" s="8">
        <v>1462.8786620000001</v>
      </c>
      <c r="D5407" s="8">
        <v>22578.814452999999</v>
      </c>
      <c r="E5407" s="8">
        <v>22598.085938</v>
      </c>
      <c r="F5407" s="8">
        <f t="shared" si="168"/>
        <v>19.271485000001121</v>
      </c>
      <c r="G5407" s="8">
        <f t="shared" si="169"/>
        <v>1.9271485000001122E-2</v>
      </c>
    </row>
    <row r="5408" spans="1:7" x14ac:dyDescent="0.25">
      <c r="A5408" s="8">
        <v>72</v>
      </c>
      <c r="B5408" s="8">
        <v>2</v>
      </c>
      <c r="C5408" s="8">
        <v>974.12323000000004</v>
      </c>
      <c r="D5408" s="8">
        <v>24068.572265999999</v>
      </c>
      <c r="E5408" s="8">
        <v>24088.205077999999</v>
      </c>
      <c r="F5408" s="8">
        <f t="shared" si="168"/>
        <v>19.632811999999831</v>
      </c>
      <c r="G5408" s="8">
        <f t="shared" si="169"/>
        <v>1.9632811999999829E-2</v>
      </c>
    </row>
    <row r="5409" spans="1:7" x14ac:dyDescent="0.25">
      <c r="A5409" s="8">
        <v>72</v>
      </c>
      <c r="B5409" s="8">
        <v>3</v>
      </c>
      <c r="C5409" s="8">
        <v>7332.3183589999999</v>
      </c>
      <c r="D5409" s="8">
        <v>25068.732422000001</v>
      </c>
      <c r="E5409" s="8">
        <v>25076.476563</v>
      </c>
      <c r="F5409" s="8">
        <f t="shared" si="168"/>
        <v>7.7441409999992175</v>
      </c>
      <c r="G5409" s="8">
        <f t="shared" si="169"/>
        <v>7.7441409999992172E-3</v>
      </c>
    </row>
    <row r="5410" spans="1:7" x14ac:dyDescent="0.25">
      <c r="A5410" s="8">
        <v>72</v>
      </c>
      <c r="B5410" s="8">
        <v>4</v>
      </c>
      <c r="C5410" s="8">
        <v>1434.9167480000001</v>
      </c>
      <c r="D5410" s="8">
        <v>32410.671875</v>
      </c>
      <c r="E5410" s="8">
        <v>32427.882813</v>
      </c>
      <c r="F5410" s="8">
        <f t="shared" si="168"/>
        <v>17.210938000000169</v>
      </c>
      <c r="G5410" s="8">
        <f t="shared" si="169"/>
        <v>1.7210938000000169E-2</v>
      </c>
    </row>
    <row r="5411" spans="1:7" x14ac:dyDescent="0.25">
      <c r="A5411" s="8">
        <v>72</v>
      </c>
      <c r="B5411" s="8">
        <v>5</v>
      </c>
      <c r="C5411" s="8">
        <v>4114.3969729999999</v>
      </c>
      <c r="D5411" s="8">
        <v>33868.714844000002</v>
      </c>
      <c r="E5411" s="8">
        <v>33895.320312999997</v>
      </c>
      <c r="F5411" s="8">
        <f t="shared" si="168"/>
        <v>26.605468999994628</v>
      </c>
      <c r="G5411" s="8">
        <f t="shared" si="169"/>
        <v>2.6605468999994629E-2</v>
      </c>
    </row>
    <row r="5412" spans="1:7" x14ac:dyDescent="0.25">
      <c r="A5412" s="8">
        <v>72</v>
      </c>
      <c r="B5412" s="8">
        <v>6</v>
      </c>
      <c r="C5412" s="8">
        <v>2523.767578</v>
      </c>
      <c r="D5412" s="8">
        <v>38011.261719000002</v>
      </c>
      <c r="E5412" s="8">
        <v>38030.394530999998</v>
      </c>
      <c r="F5412" s="8">
        <f t="shared" si="168"/>
        <v>19.132811999996193</v>
      </c>
      <c r="G5412" s="8">
        <f t="shared" si="169"/>
        <v>1.9132811999996193E-2</v>
      </c>
    </row>
    <row r="5413" spans="1:7" x14ac:dyDescent="0.25">
      <c r="A5413" s="8">
        <v>72</v>
      </c>
      <c r="B5413" s="8">
        <v>7</v>
      </c>
      <c r="C5413" s="8">
        <v>938.57959000000005</v>
      </c>
      <c r="D5413" s="8">
        <v>40559.433594000002</v>
      </c>
      <c r="E5413" s="8">
        <v>40577.417969000002</v>
      </c>
      <c r="F5413" s="8">
        <f t="shared" si="168"/>
        <v>17.984375</v>
      </c>
      <c r="G5413" s="8">
        <f t="shared" si="169"/>
        <v>1.7984375E-2</v>
      </c>
    </row>
    <row r="5414" spans="1:7" x14ac:dyDescent="0.25">
      <c r="A5414" s="8">
        <v>72</v>
      </c>
      <c r="B5414" s="8">
        <v>8</v>
      </c>
      <c r="C5414" s="8">
        <v>1104.9692379999999</v>
      </c>
      <c r="D5414" s="8">
        <v>41528.300780999998</v>
      </c>
      <c r="E5414" s="8">
        <v>41553.425780999998</v>
      </c>
      <c r="F5414" s="8">
        <f t="shared" si="168"/>
        <v>25.125</v>
      </c>
      <c r="G5414" s="8">
        <f t="shared" si="169"/>
        <v>2.5125000000000001E-2</v>
      </c>
    </row>
    <row r="5415" spans="1:7" x14ac:dyDescent="0.25">
      <c r="A5415" s="8">
        <v>72</v>
      </c>
      <c r="B5415" s="8">
        <v>9</v>
      </c>
      <c r="C5415" s="8">
        <v>4842.5375979999999</v>
      </c>
      <c r="D5415" s="8">
        <v>42657.707030999998</v>
      </c>
      <c r="E5415" s="8">
        <v>42671.539062999997</v>
      </c>
      <c r="F5415" s="8">
        <f t="shared" si="168"/>
        <v>13.832031999998435</v>
      </c>
      <c r="G5415" s="8">
        <f t="shared" si="169"/>
        <v>1.3832031999998435E-2</v>
      </c>
    </row>
    <row r="5416" spans="1:7" x14ac:dyDescent="0.25">
      <c r="A5416" s="8">
        <v>72</v>
      </c>
      <c r="B5416" s="8">
        <v>10</v>
      </c>
      <c r="C5416" s="8">
        <v>5177.7080079999996</v>
      </c>
      <c r="D5416" s="8">
        <v>47516.621094000002</v>
      </c>
      <c r="E5416" s="8">
        <v>47534.457030999998</v>
      </c>
      <c r="F5416" s="8">
        <f t="shared" si="168"/>
        <v>17.835936999996193</v>
      </c>
      <c r="G5416" s="8">
        <f t="shared" si="169"/>
        <v>1.7835936999996194E-2</v>
      </c>
    </row>
    <row r="5417" spans="1:7" x14ac:dyDescent="0.25">
      <c r="A5417" s="8">
        <v>72</v>
      </c>
      <c r="B5417" s="8">
        <v>11</v>
      </c>
      <c r="C5417" s="8">
        <v>3348.217529</v>
      </c>
      <c r="D5417" s="8">
        <v>52717.167969000002</v>
      </c>
      <c r="E5417" s="8">
        <v>52731.511719000002</v>
      </c>
      <c r="F5417" s="8">
        <f t="shared" si="168"/>
        <v>14.34375</v>
      </c>
      <c r="G5417" s="8">
        <f t="shared" si="169"/>
        <v>1.4343750000000001E-2</v>
      </c>
    </row>
    <row r="5418" spans="1:7" x14ac:dyDescent="0.25">
      <c r="A5418" s="8">
        <v>72</v>
      </c>
      <c r="B5418" s="8">
        <v>12</v>
      </c>
      <c r="C5418" s="8">
        <v>3355.0661620000001</v>
      </c>
      <c r="D5418" s="8">
        <v>56081.835937999997</v>
      </c>
      <c r="E5418" s="8">
        <v>56102.183594000002</v>
      </c>
      <c r="F5418" s="8">
        <f t="shared" si="168"/>
        <v>20.347656000005372</v>
      </c>
      <c r="G5418" s="8">
        <f t="shared" si="169"/>
        <v>2.0347656000005373E-2</v>
      </c>
    </row>
    <row r="5419" spans="1:7" x14ac:dyDescent="0.25">
      <c r="A5419" s="8">
        <v>72</v>
      </c>
      <c r="B5419" s="8">
        <v>13</v>
      </c>
      <c r="C5419" s="8">
        <v>7128.2910160000001</v>
      </c>
      <c r="D5419" s="8">
        <v>59466.101562999997</v>
      </c>
      <c r="E5419" s="8">
        <v>59477.449219000002</v>
      </c>
      <c r="F5419" s="8">
        <f t="shared" si="168"/>
        <v>11.347656000005372</v>
      </c>
      <c r="G5419" s="8">
        <f t="shared" si="169"/>
        <v>1.1347656000005372E-2</v>
      </c>
    </row>
    <row r="5420" spans="1:7" x14ac:dyDescent="0.25">
      <c r="A5420" s="8">
        <v>72</v>
      </c>
      <c r="B5420" s="8">
        <v>14</v>
      </c>
      <c r="C5420" s="8">
        <v>128.169861</v>
      </c>
      <c r="D5420" s="8">
        <v>66606.148438000004</v>
      </c>
      <c r="E5420" s="8">
        <v>66614.03125</v>
      </c>
      <c r="F5420" s="8">
        <f t="shared" si="168"/>
        <v>7.8828119999961928</v>
      </c>
      <c r="G5420" s="8">
        <f t="shared" si="169"/>
        <v>7.8828119999961935E-3</v>
      </c>
    </row>
    <row r="5421" spans="1:7" x14ac:dyDescent="0.25">
      <c r="A5421" s="8">
        <v>72</v>
      </c>
      <c r="B5421" s="8">
        <v>15</v>
      </c>
      <c r="C5421" s="8">
        <v>1198.6560059999999</v>
      </c>
      <c r="D5421" s="8">
        <v>66746.78125</v>
      </c>
      <c r="E5421" s="8">
        <v>66758.8125</v>
      </c>
      <c r="F5421" s="8">
        <f t="shared" si="168"/>
        <v>12.03125</v>
      </c>
      <c r="G5421" s="8">
        <f t="shared" si="169"/>
        <v>1.203125E-2</v>
      </c>
    </row>
    <row r="5422" spans="1:7" x14ac:dyDescent="0.25">
      <c r="A5422" s="8">
        <v>72</v>
      </c>
      <c r="B5422" s="8">
        <v>16</v>
      </c>
      <c r="C5422" s="8">
        <v>2624.5732419999999</v>
      </c>
      <c r="D5422" s="8">
        <v>67966.953125</v>
      </c>
      <c r="E5422" s="8">
        <v>67982.492188000004</v>
      </c>
      <c r="F5422" s="8">
        <f t="shared" si="168"/>
        <v>15.539063000003807</v>
      </c>
      <c r="G5422" s="8">
        <f t="shared" si="169"/>
        <v>1.5539063000003807E-2</v>
      </c>
    </row>
    <row r="5423" spans="1:7" x14ac:dyDescent="0.25">
      <c r="A5423" s="8">
        <v>72</v>
      </c>
      <c r="B5423" s="8">
        <v>17</v>
      </c>
      <c r="C5423" s="8">
        <v>2972.1035160000001</v>
      </c>
      <c r="D5423" s="8">
        <v>70616.882813000004</v>
      </c>
      <c r="E5423" s="8">
        <v>70634.265625</v>
      </c>
      <c r="F5423" s="8">
        <f t="shared" si="168"/>
        <v>17.382811999996193</v>
      </c>
      <c r="G5423" s="8">
        <f t="shared" si="169"/>
        <v>1.7382811999996192E-2</v>
      </c>
    </row>
    <row r="5424" spans="1:7" x14ac:dyDescent="0.25">
      <c r="A5424" s="8">
        <v>72</v>
      </c>
      <c r="B5424" s="8">
        <v>18</v>
      </c>
      <c r="C5424" s="8">
        <v>3579.1899410000001</v>
      </c>
      <c r="D5424" s="8">
        <v>73607.539063000004</v>
      </c>
      <c r="E5424" s="8">
        <v>73634.101563000004</v>
      </c>
      <c r="F5424" s="8">
        <f t="shared" si="168"/>
        <v>26.5625</v>
      </c>
      <c r="G5424" s="8">
        <f t="shared" si="169"/>
        <v>2.6562499999999999E-2</v>
      </c>
    </row>
    <row r="5425" spans="1:7" x14ac:dyDescent="0.25">
      <c r="A5425" s="8">
        <v>72</v>
      </c>
      <c r="B5425" s="8">
        <v>19</v>
      </c>
      <c r="C5425" s="8">
        <v>170.79042100000001</v>
      </c>
      <c r="D5425" s="8">
        <v>77225.75</v>
      </c>
      <c r="E5425" s="8">
        <v>77245.78125</v>
      </c>
      <c r="F5425" s="8">
        <f t="shared" si="168"/>
        <v>20.03125</v>
      </c>
      <c r="G5425" s="8">
        <f t="shared" si="169"/>
        <v>2.003125E-2</v>
      </c>
    </row>
    <row r="5426" spans="1:7" x14ac:dyDescent="0.25">
      <c r="A5426" s="8">
        <v>72</v>
      </c>
      <c r="B5426" s="8">
        <v>20</v>
      </c>
      <c r="C5426" s="8">
        <v>1749.7536620000001</v>
      </c>
      <c r="D5426" s="8">
        <v>77428.960938000004</v>
      </c>
      <c r="E5426" s="8">
        <v>77444.101563000004</v>
      </c>
      <c r="F5426" s="8">
        <f t="shared" si="168"/>
        <v>15.140625</v>
      </c>
      <c r="G5426" s="8">
        <f t="shared" si="169"/>
        <v>1.5140625E-2</v>
      </c>
    </row>
    <row r="5427" spans="1:7" x14ac:dyDescent="0.25">
      <c r="A5427" s="8">
        <v>72</v>
      </c>
      <c r="B5427" s="8">
        <v>21</v>
      </c>
      <c r="C5427" s="8">
        <v>580.92627000000005</v>
      </c>
      <c r="D5427" s="8">
        <v>79201.023438000004</v>
      </c>
      <c r="E5427" s="8">
        <v>79208.632813000004</v>
      </c>
      <c r="F5427" s="8">
        <f t="shared" si="168"/>
        <v>7.609375</v>
      </c>
      <c r="G5427" s="8">
        <f t="shared" si="169"/>
        <v>7.6093749999999998E-3</v>
      </c>
    </row>
    <row r="5428" spans="1:7" x14ac:dyDescent="0.25">
      <c r="A5428" s="8">
        <v>72</v>
      </c>
      <c r="B5428" s="8">
        <v>22</v>
      </c>
      <c r="C5428" s="8">
        <v>1298.8165280000001</v>
      </c>
      <c r="D5428" s="8">
        <v>79800.984375</v>
      </c>
      <c r="E5428" s="8">
        <v>79827.328125</v>
      </c>
      <c r="F5428" s="8">
        <f t="shared" si="168"/>
        <v>26.34375</v>
      </c>
      <c r="G5428" s="8">
        <f t="shared" si="169"/>
        <v>2.6343749999999999E-2</v>
      </c>
    </row>
    <row r="5429" spans="1:7" x14ac:dyDescent="0.25">
      <c r="A5429" s="8">
        <v>72</v>
      </c>
      <c r="B5429" s="8">
        <v>23</v>
      </c>
      <c r="C5429" s="8">
        <v>866.78894000000003</v>
      </c>
      <c r="D5429" s="8">
        <v>81130.078125</v>
      </c>
      <c r="E5429" s="8">
        <v>81155.125</v>
      </c>
      <c r="F5429" s="8">
        <f t="shared" si="168"/>
        <v>25.046875</v>
      </c>
      <c r="G5429" s="8">
        <f t="shared" si="169"/>
        <v>2.5046875E-2</v>
      </c>
    </row>
    <row r="5430" spans="1:7" x14ac:dyDescent="0.25">
      <c r="A5430" s="8">
        <v>72</v>
      </c>
      <c r="B5430" s="8">
        <v>24</v>
      </c>
      <c r="C5430" s="8">
        <v>3563.9003910000001</v>
      </c>
      <c r="D5430" s="8">
        <v>82025.59375</v>
      </c>
      <c r="E5430" s="8">
        <v>82048.890625</v>
      </c>
      <c r="F5430" s="8">
        <f t="shared" si="168"/>
        <v>23.296875</v>
      </c>
      <c r="G5430" s="8">
        <f t="shared" si="169"/>
        <v>2.3296875000000002E-2</v>
      </c>
    </row>
    <row r="5431" spans="1:7" x14ac:dyDescent="0.25">
      <c r="A5431" s="8">
        <v>72</v>
      </c>
      <c r="B5431" s="8">
        <v>25</v>
      </c>
      <c r="C5431" s="8">
        <v>777.66851799999995</v>
      </c>
      <c r="D5431" s="8">
        <v>85627.421875</v>
      </c>
      <c r="E5431" s="8">
        <v>85639.148438000004</v>
      </c>
      <c r="F5431" s="8">
        <f t="shared" si="168"/>
        <v>11.726563000003807</v>
      </c>
      <c r="G5431" s="8">
        <f t="shared" si="169"/>
        <v>1.1726563000003807E-2</v>
      </c>
    </row>
    <row r="5432" spans="1:7" x14ac:dyDescent="0.25">
      <c r="A5432" s="8">
        <v>72</v>
      </c>
      <c r="B5432" s="8">
        <v>26</v>
      </c>
      <c r="C5432" s="8">
        <v>3782.8989259999998</v>
      </c>
      <c r="D5432" s="8">
        <v>86424.695313000004</v>
      </c>
      <c r="E5432" s="8">
        <v>86441.859375</v>
      </c>
      <c r="F5432" s="8">
        <f t="shared" si="168"/>
        <v>17.164061999996193</v>
      </c>
      <c r="G5432" s="8">
        <f t="shared" si="169"/>
        <v>1.7164061999996191E-2</v>
      </c>
    </row>
    <row r="5433" spans="1:7" x14ac:dyDescent="0.25">
      <c r="A5433" s="8">
        <v>72</v>
      </c>
      <c r="B5433" s="8">
        <v>27</v>
      </c>
      <c r="C5433" s="8">
        <v>1035.4525149999999</v>
      </c>
      <c r="D5433" s="8">
        <v>90229.570313000004</v>
      </c>
      <c r="E5433" s="8">
        <v>90250.515625</v>
      </c>
      <c r="F5433" s="8">
        <f t="shared" si="168"/>
        <v>20.945311999996193</v>
      </c>
      <c r="G5433" s="8">
        <f t="shared" si="169"/>
        <v>2.0945311999996191E-2</v>
      </c>
    </row>
    <row r="5434" spans="1:7" x14ac:dyDescent="0.25">
      <c r="A5434" s="8">
        <v>72</v>
      </c>
      <c r="B5434" s="8">
        <v>28</v>
      </c>
      <c r="C5434" s="8">
        <v>1150.2332759999999</v>
      </c>
      <c r="D5434" s="8">
        <v>91292.421875</v>
      </c>
      <c r="E5434" s="8">
        <v>91304.03125</v>
      </c>
      <c r="F5434" s="8">
        <f t="shared" si="168"/>
        <v>11.609375</v>
      </c>
      <c r="G5434" s="8">
        <f t="shared" si="169"/>
        <v>1.1609375E-2</v>
      </c>
    </row>
    <row r="5435" spans="1:7" x14ac:dyDescent="0.25">
      <c r="A5435" s="8">
        <v>72</v>
      </c>
      <c r="B5435" s="8">
        <v>29</v>
      </c>
      <c r="C5435" s="8">
        <v>1107.72876</v>
      </c>
      <c r="D5435" s="8">
        <v>92464.40625</v>
      </c>
      <c r="E5435" s="8">
        <v>92472.804688000004</v>
      </c>
      <c r="F5435" s="8">
        <f t="shared" si="168"/>
        <v>8.3984380000038072</v>
      </c>
      <c r="G5435" s="8">
        <f t="shared" si="169"/>
        <v>8.3984380000038071E-3</v>
      </c>
    </row>
    <row r="5436" spans="1:7" x14ac:dyDescent="0.25">
      <c r="A5436" s="8">
        <v>72</v>
      </c>
      <c r="B5436" s="8">
        <v>30</v>
      </c>
      <c r="C5436" s="8">
        <v>330.42715500000003</v>
      </c>
      <c r="D5436" s="8">
        <v>93591.960938000004</v>
      </c>
      <c r="E5436" s="8">
        <v>93603.804688000004</v>
      </c>
      <c r="F5436" s="8">
        <f t="shared" si="168"/>
        <v>11.84375</v>
      </c>
      <c r="G5436" s="8">
        <f t="shared" si="169"/>
        <v>1.184375E-2</v>
      </c>
    </row>
    <row r="5437" spans="1:7" x14ac:dyDescent="0.25">
      <c r="A5437" s="8">
        <v>72</v>
      </c>
      <c r="B5437" s="8">
        <v>31</v>
      </c>
      <c r="C5437" s="8">
        <v>1544.9560550000001</v>
      </c>
      <c r="D5437" s="8">
        <v>93935.695313000004</v>
      </c>
      <c r="E5437" s="8">
        <v>93953.085938000004</v>
      </c>
      <c r="F5437" s="8">
        <f t="shared" si="168"/>
        <v>17.390625</v>
      </c>
      <c r="G5437" s="8">
        <f t="shared" si="169"/>
        <v>1.7390625E-2</v>
      </c>
    </row>
    <row r="5438" spans="1:7" x14ac:dyDescent="0.25">
      <c r="A5438" s="8">
        <v>72</v>
      </c>
      <c r="B5438" s="8">
        <v>32</v>
      </c>
      <c r="C5438" s="8">
        <v>608.53668200000004</v>
      </c>
      <c r="D5438" s="8">
        <v>95506.445313000004</v>
      </c>
      <c r="E5438" s="8">
        <v>95518.078125</v>
      </c>
      <c r="F5438" s="8">
        <f t="shared" si="168"/>
        <v>11.632811999996193</v>
      </c>
      <c r="G5438" s="8">
        <f t="shared" si="169"/>
        <v>1.1632811999996193E-2</v>
      </c>
    </row>
    <row r="5439" spans="1:7" x14ac:dyDescent="0.25">
      <c r="A5439" s="8">
        <v>72</v>
      </c>
      <c r="B5439" s="8">
        <v>33</v>
      </c>
      <c r="C5439" s="8">
        <v>438.71758999999997</v>
      </c>
      <c r="D5439" s="8">
        <v>96131.515625</v>
      </c>
      <c r="E5439" s="8">
        <v>96141.539063000004</v>
      </c>
      <c r="F5439" s="8">
        <f t="shared" si="168"/>
        <v>10.023438000003807</v>
      </c>
      <c r="G5439" s="8">
        <f t="shared" si="169"/>
        <v>1.0023438000003807E-2</v>
      </c>
    </row>
    <row r="5440" spans="1:7" x14ac:dyDescent="0.25">
      <c r="A5440" s="8">
        <v>72</v>
      </c>
      <c r="B5440" s="8">
        <v>34</v>
      </c>
      <c r="C5440" s="8">
        <v>753.32495100000006</v>
      </c>
      <c r="D5440" s="8">
        <v>96585.359375</v>
      </c>
      <c r="E5440" s="8">
        <v>96602.695313000004</v>
      </c>
      <c r="F5440" s="8">
        <f t="shared" si="168"/>
        <v>17.335938000003807</v>
      </c>
      <c r="G5440" s="8">
        <f t="shared" si="169"/>
        <v>1.7335938000003808E-2</v>
      </c>
    </row>
    <row r="5441" spans="1:7" x14ac:dyDescent="0.25">
      <c r="A5441" s="8">
        <v>72</v>
      </c>
      <c r="B5441" s="8">
        <v>35</v>
      </c>
      <c r="C5441" s="8">
        <v>7227.7041019999997</v>
      </c>
      <c r="D5441" s="8">
        <v>97356.554688000004</v>
      </c>
      <c r="E5441" s="8">
        <v>97375.632813000004</v>
      </c>
      <c r="F5441" s="8">
        <f t="shared" si="168"/>
        <v>19.078125</v>
      </c>
      <c r="G5441" s="8">
        <f t="shared" si="169"/>
        <v>1.9078125000000001E-2</v>
      </c>
    </row>
    <row r="5442" spans="1:7" x14ac:dyDescent="0.25">
      <c r="A5442" s="8">
        <v>72</v>
      </c>
      <c r="B5442" s="8">
        <v>36</v>
      </c>
      <c r="C5442" s="8">
        <v>325.46517899999998</v>
      </c>
      <c r="D5442" s="8">
        <v>104612.789063</v>
      </c>
      <c r="E5442" s="8">
        <v>104623.492188</v>
      </c>
      <c r="F5442" s="8">
        <f t="shared" si="168"/>
        <v>10.703125</v>
      </c>
      <c r="G5442" s="8">
        <f t="shared" si="169"/>
        <v>1.0703125000000001E-2</v>
      </c>
    </row>
    <row r="5443" spans="1:7" x14ac:dyDescent="0.25">
      <c r="A5443" s="8">
        <v>72</v>
      </c>
      <c r="B5443" s="8">
        <v>37</v>
      </c>
      <c r="C5443" s="8">
        <v>215.83427399999999</v>
      </c>
      <c r="D5443" s="8">
        <v>104956.539063</v>
      </c>
      <c r="E5443" s="8">
        <v>104976.773438</v>
      </c>
      <c r="F5443" s="8">
        <f t="shared" si="168"/>
        <v>20.234375</v>
      </c>
      <c r="G5443" s="8">
        <f t="shared" si="169"/>
        <v>2.0234374999999999E-2</v>
      </c>
    </row>
    <row r="5444" spans="1:7" x14ac:dyDescent="0.25">
      <c r="A5444" s="8">
        <v>72</v>
      </c>
      <c r="B5444" s="8">
        <v>38</v>
      </c>
      <c r="C5444" s="8">
        <v>1202.9951169999999</v>
      </c>
      <c r="D5444" s="8">
        <v>105206.585938</v>
      </c>
      <c r="E5444" s="8">
        <v>105227.265625</v>
      </c>
      <c r="F5444" s="8">
        <f t="shared" si="168"/>
        <v>20.679686999996193</v>
      </c>
      <c r="G5444" s="8">
        <f t="shared" si="169"/>
        <v>2.0679686999996193E-2</v>
      </c>
    </row>
    <row r="5445" spans="1:7" x14ac:dyDescent="0.25">
      <c r="A5445" s="8">
        <v>72</v>
      </c>
      <c r="B5445" s="8">
        <v>39</v>
      </c>
      <c r="C5445" s="8">
        <v>755.55004899999994</v>
      </c>
      <c r="D5445" s="8">
        <v>106437.851563</v>
      </c>
      <c r="E5445" s="8">
        <v>106451.90625</v>
      </c>
      <c r="F5445" s="8">
        <f t="shared" si="168"/>
        <v>14.054686999996193</v>
      </c>
      <c r="G5445" s="8">
        <f t="shared" si="169"/>
        <v>1.4054686999996192E-2</v>
      </c>
    </row>
    <row r="5446" spans="1:7" x14ac:dyDescent="0.25">
      <c r="A5446" s="8">
        <v>72</v>
      </c>
      <c r="B5446" s="8">
        <v>40</v>
      </c>
      <c r="C5446" s="8">
        <v>4649.419922</v>
      </c>
      <c r="D5446" s="8">
        <v>107219.164063</v>
      </c>
      <c r="E5446" s="8">
        <v>107236.304688</v>
      </c>
      <c r="F5446" s="8">
        <f t="shared" si="168"/>
        <v>17.140625</v>
      </c>
      <c r="G5446" s="8">
        <f t="shared" si="169"/>
        <v>1.7140625E-2</v>
      </c>
    </row>
    <row r="5447" spans="1:7" x14ac:dyDescent="0.25">
      <c r="A5447" s="8">
        <v>72</v>
      </c>
      <c r="B5447" s="8">
        <v>41</v>
      </c>
      <c r="C5447" s="8">
        <v>960.16522199999997</v>
      </c>
      <c r="D5447" s="8">
        <v>111895.492188</v>
      </c>
      <c r="E5447" s="8">
        <v>111907.757813</v>
      </c>
      <c r="F5447" s="8">
        <f t="shared" si="168"/>
        <v>12.265625</v>
      </c>
      <c r="G5447" s="8">
        <f t="shared" si="169"/>
        <v>1.2265625E-2</v>
      </c>
    </row>
    <row r="5448" spans="1:7" x14ac:dyDescent="0.25">
      <c r="A5448" s="8">
        <v>72</v>
      </c>
      <c r="B5448" s="8">
        <v>42</v>
      </c>
      <c r="C5448" s="8">
        <v>1070.377808</v>
      </c>
      <c r="D5448" s="8">
        <v>112869.226563</v>
      </c>
      <c r="E5448" s="8">
        <v>112896.007813</v>
      </c>
      <c r="F5448" s="8">
        <f t="shared" si="168"/>
        <v>26.78125</v>
      </c>
      <c r="G5448" s="8">
        <f t="shared" si="169"/>
        <v>2.678125E-2</v>
      </c>
    </row>
    <row r="5449" spans="1:7" x14ac:dyDescent="0.25">
      <c r="A5449" s="8">
        <v>72</v>
      </c>
      <c r="B5449" s="8">
        <v>43</v>
      </c>
      <c r="C5449" s="8">
        <v>3388.3371579999998</v>
      </c>
      <c r="D5449" s="8">
        <v>113971.898438</v>
      </c>
      <c r="E5449" s="8">
        <v>113989.4375</v>
      </c>
      <c r="F5449" s="8">
        <f t="shared" si="168"/>
        <v>17.539061999996193</v>
      </c>
      <c r="G5449" s="8">
        <f t="shared" si="169"/>
        <v>1.7539061999996192E-2</v>
      </c>
    </row>
    <row r="5450" spans="1:7" x14ac:dyDescent="0.25">
      <c r="A5450" s="8">
        <v>72</v>
      </c>
      <c r="B5450" s="8">
        <v>44</v>
      </c>
      <c r="C5450" s="8">
        <v>4067.203125</v>
      </c>
      <c r="D5450" s="8">
        <v>117379.351563</v>
      </c>
      <c r="E5450" s="8">
        <v>117401.453125</v>
      </c>
      <c r="F5450" s="8">
        <f t="shared" si="168"/>
        <v>22.101561999996193</v>
      </c>
      <c r="G5450" s="8">
        <f t="shared" si="169"/>
        <v>2.2101561999996192E-2</v>
      </c>
    </row>
    <row r="5451" spans="1:7" x14ac:dyDescent="0.25">
      <c r="A5451" s="8">
        <v>72</v>
      </c>
      <c r="B5451" s="8">
        <v>45</v>
      </c>
      <c r="C5451" s="8">
        <v>322.73770100000002</v>
      </c>
      <c r="D5451" s="8">
        <v>121470.757813</v>
      </c>
      <c r="E5451" s="8">
        <v>121487.921875</v>
      </c>
      <c r="F5451" s="8">
        <f t="shared" ref="F5451:F5514" si="170">E5451-D5451</f>
        <v>17.164061999996193</v>
      </c>
      <c r="G5451" s="8">
        <f t="shared" ref="G5451:G5514" si="171">F5451/1000</f>
        <v>1.7164061999996191E-2</v>
      </c>
    </row>
    <row r="5452" spans="1:7" x14ac:dyDescent="0.25">
      <c r="A5452" s="8">
        <v>72</v>
      </c>
      <c r="B5452" s="8">
        <v>46</v>
      </c>
      <c r="C5452" s="8">
        <v>3840.3623050000001</v>
      </c>
      <c r="D5452" s="8">
        <v>121814.554688</v>
      </c>
      <c r="E5452" s="8">
        <v>121840.703125</v>
      </c>
      <c r="F5452" s="8">
        <f t="shared" si="170"/>
        <v>26.148436999996193</v>
      </c>
      <c r="G5452" s="8">
        <f t="shared" si="171"/>
        <v>2.6148436999996194E-2</v>
      </c>
    </row>
    <row r="5453" spans="1:7" x14ac:dyDescent="0.25">
      <c r="A5453" s="8">
        <v>72</v>
      </c>
      <c r="B5453" s="8">
        <v>47</v>
      </c>
      <c r="C5453" s="8">
        <v>57.962550999999998</v>
      </c>
      <c r="D5453" s="8">
        <v>125689.742188</v>
      </c>
      <c r="E5453" s="8">
        <v>125699.03125</v>
      </c>
      <c r="F5453" s="8">
        <f t="shared" si="170"/>
        <v>9.2890619999961928</v>
      </c>
      <c r="G5453" s="8">
        <f t="shared" si="171"/>
        <v>9.289061999996193E-3</v>
      </c>
    </row>
    <row r="5454" spans="1:7" x14ac:dyDescent="0.25">
      <c r="A5454" s="8">
        <v>72</v>
      </c>
      <c r="B5454" s="8">
        <v>48</v>
      </c>
      <c r="C5454" s="8">
        <v>946.20605499999999</v>
      </c>
      <c r="D5454" s="8">
        <v>125768.375</v>
      </c>
      <c r="E5454" s="8">
        <v>125789.5</v>
      </c>
      <c r="F5454" s="8">
        <f t="shared" si="170"/>
        <v>21.125</v>
      </c>
      <c r="G5454" s="8">
        <f t="shared" si="171"/>
        <v>2.1125000000000001E-2</v>
      </c>
    </row>
    <row r="5455" spans="1:7" x14ac:dyDescent="0.25">
      <c r="A5455" s="8">
        <v>72</v>
      </c>
      <c r="B5455" s="8">
        <v>49</v>
      </c>
      <c r="C5455" s="8">
        <v>10158.114258</v>
      </c>
      <c r="D5455" s="8">
        <v>126737.382813</v>
      </c>
      <c r="E5455" s="8">
        <v>126758.695313</v>
      </c>
      <c r="F5455" s="8">
        <f t="shared" si="170"/>
        <v>21.3125</v>
      </c>
      <c r="G5455" s="8">
        <f t="shared" si="171"/>
        <v>2.1312500000000002E-2</v>
      </c>
    </row>
    <row r="5456" spans="1:7" x14ac:dyDescent="0.25">
      <c r="A5456" s="8">
        <v>72</v>
      </c>
      <c r="B5456" s="8">
        <v>50</v>
      </c>
      <c r="C5456" s="8">
        <v>3285.0864259999998</v>
      </c>
      <c r="D5456" s="8">
        <v>136919.1875</v>
      </c>
      <c r="E5456" s="8">
        <v>136943.375</v>
      </c>
      <c r="F5456" s="8">
        <f t="shared" si="170"/>
        <v>24.1875</v>
      </c>
      <c r="G5456" s="8">
        <f t="shared" si="171"/>
        <v>2.4187500000000001E-2</v>
      </c>
    </row>
    <row r="5457" spans="1:7" x14ac:dyDescent="0.25">
      <c r="A5457" s="8">
        <v>72</v>
      </c>
      <c r="B5457" s="8">
        <v>51</v>
      </c>
      <c r="C5457" s="8">
        <v>5374.8408200000003</v>
      </c>
      <c r="D5457" s="8">
        <v>140240.984375</v>
      </c>
      <c r="E5457" s="8">
        <v>140262.046875</v>
      </c>
      <c r="F5457" s="8">
        <f t="shared" si="170"/>
        <v>21.0625</v>
      </c>
      <c r="G5457" s="8">
        <f t="shared" si="171"/>
        <v>2.1062500000000001E-2</v>
      </c>
    </row>
    <row r="5458" spans="1:7" x14ac:dyDescent="0.25">
      <c r="A5458" s="8">
        <v>72</v>
      </c>
      <c r="B5458" s="8">
        <v>52</v>
      </c>
      <c r="C5458" s="8">
        <v>2441.8215329999998</v>
      </c>
      <c r="D5458" s="8">
        <v>145646.484375</v>
      </c>
      <c r="E5458" s="8">
        <v>145667.625</v>
      </c>
      <c r="F5458" s="8">
        <f t="shared" si="170"/>
        <v>21.140625</v>
      </c>
      <c r="G5458" s="8">
        <f t="shared" si="171"/>
        <v>2.1140625E-2</v>
      </c>
    </row>
    <row r="5459" spans="1:7" x14ac:dyDescent="0.25">
      <c r="A5459" s="8">
        <v>72</v>
      </c>
      <c r="B5459" s="8">
        <v>53</v>
      </c>
      <c r="C5459" s="8">
        <v>4967.3125</v>
      </c>
      <c r="D5459" s="8">
        <v>148118.265625</v>
      </c>
      <c r="E5459" s="8">
        <v>148136.65625</v>
      </c>
      <c r="F5459" s="8">
        <f t="shared" si="170"/>
        <v>18.390625</v>
      </c>
      <c r="G5459" s="8">
        <f t="shared" si="171"/>
        <v>1.8390625000000001E-2</v>
      </c>
    </row>
    <row r="5460" spans="1:7" x14ac:dyDescent="0.25">
      <c r="A5460" s="8">
        <v>72</v>
      </c>
      <c r="B5460" s="8">
        <v>54</v>
      </c>
      <c r="C5460" s="8">
        <v>581.90570100000002</v>
      </c>
      <c r="D5460" s="8">
        <v>153109.546875</v>
      </c>
      <c r="E5460" s="8">
        <v>153122.21875</v>
      </c>
      <c r="F5460" s="8">
        <f t="shared" si="170"/>
        <v>12.671875</v>
      </c>
      <c r="G5460" s="8">
        <f t="shared" si="171"/>
        <v>1.2671875000000001E-2</v>
      </c>
    </row>
    <row r="5461" spans="1:7" x14ac:dyDescent="0.25">
      <c r="A5461" s="8">
        <v>72</v>
      </c>
      <c r="B5461" s="8">
        <v>55</v>
      </c>
      <c r="C5461" s="8">
        <v>312.07904100000002</v>
      </c>
      <c r="D5461" s="8">
        <v>153719.015625</v>
      </c>
      <c r="E5461" s="8">
        <v>153740.84375</v>
      </c>
      <c r="F5461" s="8">
        <f t="shared" si="170"/>
        <v>21.828125</v>
      </c>
      <c r="G5461" s="8">
        <f t="shared" si="171"/>
        <v>2.1828125E-2</v>
      </c>
    </row>
    <row r="5462" spans="1:7" x14ac:dyDescent="0.25">
      <c r="A5462" s="8">
        <v>72</v>
      </c>
      <c r="B5462" s="8">
        <v>56</v>
      </c>
      <c r="C5462" s="8">
        <v>3618.6782229999999</v>
      </c>
      <c r="D5462" s="8">
        <v>154062.8125</v>
      </c>
      <c r="E5462" s="8">
        <v>154082.90625</v>
      </c>
      <c r="F5462" s="8">
        <f t="shared" si="170"/>
        <v>20.09375</v>
      </c>
      <c r="G5462" s="8">
        <f t="shared" si="171"/>
        <v>2.009375E-2</v>
      </c>
    </row>
    <row r="5463" spans="1:7" x14ac:dyDescent="0.25">
      <c r="A5463" s="8">
        <v>72</v>
      </c>
      <c r="B5463" s="8">
        <v>57</v>
      </c>
      <c r="C5463" s="8">
        <v>6283.171875</v>
      </c>
      <c r="D5463" s="8">
        <v>157703.75</v>
      </c>
      <c r="E5463" s="8">
        <v>157719.421875</v>
      </c>
      <c r="F5463" s="8">
        <f t="shared" si="170"/>
        <v>15.671875</v>
      </c>
      <c r="G5463" s="8">
        <f t="shared" si="171"/>
        <v>1.5671874999999998E-2</v>
      </c>
    </row>
    <row r="5464" spans="1:7" x14ac:dyDescent="0.25">
      <c r="A5464" s="8">
        <v>72</v>
      </c>
      <c r="B5464" s="8">
        <v>58</v>
      </c>
      <c r="C5464" s="8">
        <v>1882.1420900000001</v>
      </c>
      <c r="D5464" s="8">
        <v>164002.8125</v>
      </c>
      <c r="E5464" s="8">
        <v>164019.515625</v>
      </c>
      <c r="F5464" s="8">
        <f t="shared" si="170"/>
        <v>16.703125</v>
      </c>
      <c r="G5464" s="8">
        <f t="shared" si="171"/>
        <v>1.6703124999999999E-2</v>
      </c>
    </row>
    <row r="5465" spans="1:7" x14ac:dyDescent="0.25">
      <c r="A5465" s="8">
        <v>72</v>
      </c>
      <c r="B5465" s="8">
        <v>59</v>
      </c>
      <c r="C5465" s="8">
        <v>715.17309599999999</v>
      </c>
      <c r="D5465" s="8">
        <v>165905.421875</v>
      </c>
      <c r="E5465" s="8">
        <v>165919.453125</v>
      </c>
      <c r="F5465" s="8">
        <f t="shared" si="170"/>
        <v>14.03125</v>
      </c>
      <c r="G5465" s="8">
        <f t="shared" si="171"/>
        <v>1.403125E-2</v>
      </c>
    </row>
    <row r="5466" spans="1:7" x14ac:dyDescent="0.25">
      <c r="A5466" s="8">
        <v>72</v>
      </c>
      <c r="B5466" s="8">
        <v>60</v>
      </c>
      <c r="C5466" s="8">
        <v>2386.9174800000001</v>
      </c>
      <c r="D5466" s="8">
        <v>166645.765625</v>
      </c>
      <c r="E5466" s="8">
        <v>166667.625</v>
      </c>
      <c r="F5466" s="8">
        <f t="shared" si="170"/>
        <v>21.859375</v>
      </c>
      <c r="G5466" s="8">
        <f t="shared" si="171"/>
        <v>2.1859375E-2</v>
      </c>
    </row>
    <row r="5467" spans="1:7" x14ac:dyDescent="0.25">
      <c r="A5467" s="8">
        <v>72</v>
      </c>
      <c r="B5467" s="8">
        <v>61</v>
      </c>
      <c r="C5467" s="8">
        <v>851.314392</v>
      </c>
      <c r="D5467" s="8">
        <v>169064.046875</v>
      </c>
      <c r="E5467" s="8">
        <v>169088.34375</v>
      </c>
      <c r="F5467" s="8">
        <f t="shared" si="170"/>
        <v>24.296875</v>
      </c>
      <c r="G5467" s="8">
        <f t="shared" si="171"/>
        <v>2.4296874999999999E-2</v>
      </c>
    </row>
    <row r="5468" spans="1:7" x14ac:dyDescent="0.25">
      <c r="A5468" s="8">
        <v>72</v>
      </c>
      <c r="B5468" s="8">
        <v>62</v>
      </c>
      <c r="C5468" s="8">
        <v>2088.4189449999999</v>
      </c>
      <c r="D5468" s="8">
        <v>169954.765625</v>
      </c>
      <c r="E5468" s="8">
        <v>169970.09375</v>
      </c>
      <c r="F5468" s="8">
        <f t="shared" si="170"/>
        <v>15.328125</v>
      </c>
      <c r="G5468" s="8">
        <f t="shared" si="171"/>
        <v>1.5328125E-2</v>
      </c>
    </row>
    <row r="5469" spans="1:7" x14ac:dyDescent="0.25">
      <c r="A5469" s="8">
        <v>73</v>
      </c>
      <c r="B5469" s="8">
        <v>0</v>
      </c>
      <c r="C5469" s="8">
        <v>988.87994400000002</v>
      </c>
      <c r="D5469" s="8">
        <v>21828.771484000001</v>
      </c>
      <c r="E5469" s="8">
        <v>21848.359375</v>
      </c>
      <c r="F5469" s="8">
        <f t="shared" si="170"/>
        <v>19.587890999999217</v>
      </c>
      <c r="G5469" s="8">
        <f t="shared" si="171"/>
        <v>1.9587890999999219E-2</v>
      </c>
    </row>
    <row r="5470" spans="1:7" x14ac:dyDescent="0.25">
      <c r="A5470" s="8">
        <v>73</v>
      </c>
      <c r="B5470" s="8">
        <v>1</v>
      </c>
      <c r="C5470" s="8">
        <v>7229.9702150000003</v>
      </c>
      <c r="D5470" s="8">
        <v>22844.515625</v>
      </c>
      <c r="E5470" s="8">
        <v>22858.677734000001</v>
      </c>
      <c r="F5470" s="8">
        <f t="shared" si="170"/>
        <v>14.162109000000783</v>
      </c>
      <c r="G5470" s="8">
        <f t="shared" si="171"/>
        <v>1.4162109000000783E-2</v>
      </c>
    </row>
    <row r="5471" spans="1:7" x14ac:dyDescent="0.25">
      <c r="A5471" s="8">
        <v>73</v>
      </c>
      <c r="B5471" s="8">
        <v>2</v>
      </c>
      <c r="C5471" s="8">
        <v>3620.5427249999998</v>
      </c>
      <c r="D5471" s="8">
        <v>30090.34375</v>
      </c>
      <c r="E5471" s="8">
        <v>30107.626952999999</v>
      </c>
      <c r="F5471" s="8">
        <f t="shared" si="170"/>
        <v>17.283202999999048</v>
      </c>
      <c r="G5471" s="8">
        <f t="shared" si="171"/>
        <v>1.728320299999905E-2</v>
      </c>
    </row>
    <row r="5472" spans="1:7" x14ac:dyDescent="0.25">
      <c r="A5472" s="8">
        <v>73</v>
      </c>
      <c r="B5472" s="8">
        <v>3</v>
      </c>
      <c r="C5472" s="8">
        <v>915.294128</v>
      </c>
      <c r="D5472" s="8">
        <v>33728.1875</v>
      </c>
      <c r="E5472" s="8">
        <v>33745.0625</v>
      </c>
      <c r="F5472" s="8">
        <f t="shared" si="170"/>
        <v>16.875</v>
      </c>
      <c r="G5472" s="8">
        <f t="shared" si="171"/>
        <v>1.6875000000000001E-2</v>
      </c>
    </row>
    <row r="5473" spans="1:7" x14ac:dyDescent="0.25">
      <c r="A5473" s="8">
        <v>73</v>
      </c>
      <c r="B5473" s="8">
        <v>4</v>
      </c>
      <c r="C5473" s="8">
        <v>80.774367999999996</v>
      </c>
      <c r="D5473" s="8">
        <v>34670.429687999997</v>
      </c>
      <c r="E5473" s="8">
        <v>34698.269530999998</v>
      </c>
      <c r="F5473" s="8">
        <f t="shared" si="170"/>
        <v>27.839843000001565</v>
      </c>
      <c r="G5473" s="8">
        <f t="shared" si="171"/>
        <v>2.7839843000001564E-2</v>
      </c>
    </row>
    <row r="5474" spans="1:7" x14ac:dyDescent="0.25">
      <c r="A5474" s="8">
        <v>73</v>
      </c>
      <c r="B5474" s="8">
        <v>5</v>
      </c>
      <c r="C5474" s="8">
        <v>3734.530518</v>
      </c>
      <c r="D5474" s="8">
        <v>34780.085937999997</v>
      </c>
      <c r="E5474" s="8">
        <v>34799.597655999998</v>
      </c>
      <c r="F5474" s="8">
        <f t="shared" si="170"/>
        <v>19.511718000001565</v>
      </c>
      <c r="G5474" s="8">
        <f t="shared" si="171"/>
        <v>1.9511718000001566E-2</v>
      </c>
    </row>
    <row r="5475" spans="1:7" x14ac:dyDescent="0.25">
      <c r="A5475" s="8">
        <v>73</v>
      </c>
      <c r="B5475" s="8">
        <v>6</v>
      </c>
      <c r="C5475" s="8">
        <v>1863.1492920000001</v>
      </c>
      <c r="D5475" s="8">
        <v>38542.535155999998</v>
      </c>
      <c r="E5475" s="8">
        <v>38564.414062999997</v>
      </c>
      <c r="F5475" s="8">
        <f t="shared" si="170"/>
        <v>21.878906999998435</v>
      </c>
      <c r="G5475" s="8">
        <f t="shared" si="171"/>
        <v>2.1878906999998435E-2</v>
      </c>
    </row>
    <row r="5476" spans="1:7" x14ac:dyDescent="0.25">
      <c r="A5476" s="8">
        <v>73</v>
      </c>
      <c r="B5476" s="8">
        <v>7</v>
      </c>
      <c r="C5476" s="8">
        <v>858.14605700000004</v>
      </c>
      <c r="D5476" s="8">
        <v>40433.566405999998</v>
      </c>
      <c r="E5476" s="8">
        <v>40450.140625</v>
      </c>
      <c r="F5476" s="8">
        <f t="shared" si="170"/>
        <v>16.574219000001904</v>
      </c>
      <c r="G5476" s="8">
        <f t="shared" si="171"/>
        <v>1.6574219000001902E-2</v>
      </c>
    </row>
    <row r="5477" spans="1:7" x14ac:dyDescent="0.25">
      <c r="A5477" s="8">
        <v>73</v>
      </c>
      <c r="B5477" s="8">
        <v>8</v>
      </c>
      <c r="C5477" s="8">
        <v>4065.804443</v>
      </c>
      <c r="D5477" s="8">
        <v>41309.589844000002</v>
      </c>
      <c r="E5477" s="8">
        <v>41316.832030999998</v>
      </c>
      <c r="F5477" s="8">
        <f t="shared" si="170"/>
        <v>7.2421869999961928</v>
      </c>
      <c r="G5477" s="8">
        <f t="shared" si="171"/>
        <v>7.2421869999961929E-3</v>
      </c>
    </row>
    <row r="5478" spans="1:7" x14ac:dyDescent="0.25">
      <c r="A5478" s="8">
        <v>73</v>
      </c>
      <c r="B5478" s="8">
        <v>9</v>
      </c>
      <c r="C5478" s="8">
        <v>198.70571899999999</v>
      </c>
      <c r="D5478" s="8">
        <v>45396.96875</v>
      </c>
      <c r="E5478" s="8">
        <v>45411.476562999997</v>
      </c>
      <c r="F5478" s="8">
        <f t="shared" si="170"/>
        <v>14.507812999996531</v>
      </c>
      <c r="G5478" s="8">
        <f t="shared" si="171"/>
        <v>1.4507812999996532E-2</v>
      </c>
    </row>
    <row r="5479" spans="1:7" x14ac:dyDescent="0.25">
      <c r="A5479" s="8">
        <v>73</v>
      </c>
      <c r="B5479" s="8">
        <v>10</v>
      </c>
      <c r="C5479" s="8">
        <v>1250.104004</v>
      </c>
      <c r="D5479" s="8">
        <v>45615.640625</v>
      </c>
      <c r="E5479" s="8">
        <v>45628.539062999997</v>
      </c>
      <c r="F5479" s="8">
        <f t="shared" si="170"/>
        <v>12.898437999996531</v>
      </c>
      <c r="G5479" s="8">
        <f t="shared" si="171"/>
        <v>1.289843799999653E-2</v>
      </c>
    </row>
    <row r="5480" spans="1:7" x14ac:dyDescent="0.25">
      <c r="A5480" s="8">
        <v>73</v>
      </c>
      <c r="B5480" s="8">
        <v>11</v>
      </c>
      <c r="C5480" s="8">
        <v>1383.1839600000001</v>
      </c>
      <c r="D5480" s="8">
        <v>46891.367187999997</v>
      </c>
      <c r="E5480" s="8">
        <v>46918.972655999998</v>
      </c>
      <c r="F5480" s="8">
        <f t="shared" si="170"/>
        <v>27.605468000001565</v>
      </c>
      <c r="G5480" s="8">
        <f t="shared" si="171"/>
        <v>2.7605468000001566E-2</v>
      </c>
    </row>
    <row r="5481" spans="1:7" x14ac:dyDescent="0.25">
      <c r="A5481" s="8">
        <v>73</v>
      </c>
      <c r="B5481" s="8">
        <v>12</v>
      </c>
      <c r="C5481" s="8">
        <v>1852.178467</v>
      </c>
      <c r="D5481" s="8">
        <v>48314.378905999998</v>
      </c>
      <c r="E5481" s="8">
        <v>48334.632812999997</v>
      </c>
      <c r="F5481" s="8">
        <f t="shared" si="170"/>
        <v>20.253906999998435</v>
      </c>
      <c r="G5481" s="8">
        <f t="shared" si="171"/>
        <v>2.0253906999998433E-2</v>
      </c>
    </row>
    <row r="5482" spans="1:7" x14ac:dyDescent="0.25">
      <c r="A5482" s="8">
        <v>73</v>
      </c>
      <c r="B5482" s="8">
        <v>13</v>
      </c>
      <c r="C5482" s="8">
        <v>540.372253</v>
      </c>
      <c r="D5482" s="8">
        <v>50190.332030999998</v>
      </c>
      <c r="E5482" s="8">
        <v>50201.359375</v>
      </c>
      <c r="F5482" s="8">
        <f t="shared" si="170"/>
        <v>11.027344000001904</v>
      </c>
      <c r="G5482" s="8">
        <f t="shared" si="171"/>
        <v>1.1027344000001904E-2</v>
      </c>
    </row>
    <row r="5483" spans="1:7" x14ac:dyDescent="0.25">
      <c r="A5483" s="8">
        <v>73</v>
      </c>
      <c r="B5483" s="8">
        <v>14</v>
      </c>
      <c r="C5483" s="8">
        <v>671.321594</v>
      </c>
      <c r="D5483" s="8">
        <v>50752.894530999998</v>
      </c>
      <c r="E5483" s="8">
        <v>50773.828125</v>
      </c>
      <c r="F5483" s="8">
        <f t="shared" si="170"/>
        <v>20.933594000001904</v>
      </c>
      <c r="G5483" s="8">
        <f t="shared" si="171"/>
        <v>2.0933594000001905E-2</v>
      </c>
    </row>
    <row r="5484" spans="1:7" x14ac:dyDescent="0.25">
      <c r="A5484" s="8">
        <v>73</v>
      </c>
      <c r="B5484" s="8">
        <v>15</v>
      </c>
      <c r="C5484" s="8">
        <v>1146.2232670000001</v>
      </c>
      <c r="D5484" s="8">
        <v>51459.730469000002</v>
      </c>
      <c r="E5484" s="8">
        <v>51476.996094000002</v>
      </c>
      <c r="F5484" s="8">
        <f t="shared" si="170"/>
        <v>17.265625</v>
      </c>
      <c r="G5484" s="8">
        <f t="shared" si="171"/>
        <v>1.7265625E-2</v>
      </c>
    </row>
    <row r="5485" spans="1:7" x14ac:dyDescent="0.25">
      <c r="A5485" s="8">
        <v>73</v>
      </c>
      <c r="B5485" s="8">
        <v>16</v>
      </c>
      <c r="C5485" s="8">
        <v>403.38385</v>
      </c>
      <c r="D5485" s="8">
        <v>52623.382812999997</v>
      </c>
      <c r="E5485" s="8">
        <v>52636.714844000002</v>
      </c>
      <c r="F5485" s="8">
        <f t="shared" si="170"/>
        <v>13.332031000005372</v>
      </c>
      <c r="G5485" s="8">
        <f t="shared" si="171"/>
        <v>1.3332031000005372E-2</v>
      </c>
    </row>
    <row r="5486" spans="1:7" x14ac:dyDescent="0.25">
      <c r="A5486" s="8">
        <v>73</v>
      </c>
      <c r="B5486" s="8">
        <v>17</v>
      </c>
      <c r="C5486" s="8">
        <v>1730.5214840000001</v>
      </c>
      <c r="D5486" s="8">
        <v>53045.296875</v>
      </c>
      <c r="E5486" s="8">
        <v>53053.859375</v>
      </c>
      <c r="F5486" s="8">
        <f t="shared" si="170"/>
        <v>8.5625</v>
      </c>
      <c r="G5486" s="8">
        <f t="shared" si="171"/>
        <v>8.5625000000000007E-3</v>
      </c>
    </row>
    <row r="5487" spans="1:7" x14ac:dyDescent="0.25">
      <c r="A5487" s="8">
        <v>73</v>
      </c>
      <c r="B5487" s="8">
        <v>18</v>
      </c>
      <c r="C5487" s="8">
        <v>651.77929700000004</v>
      </c>
      <c r="D5487" s="8">
        <v>54784.746094000002</v>
      </c>
      <c r="E5487" s="8">
        <v>54803.417969000002</v>
      </c>
      <c r="F5487" s="8">
        <f t="shared" si="170"/>
        <v>18.671875</v>
      </c>
      <c r="G5487" s="8">
        <f t="shared" si="171"/>
        <v>1.8671875000000001E-2</v>
      </c>
    </row>
    <row r="5488" spans="1:7" x14ac:dyDescent="0.25">
      <c r="A5488" s="8">
        <v>73</v>
      </c>
      <c r="B5488" s="8">
        <v>19</v>
      </c>
      <c r="C5488" s="8">
        <v>1988.4698490000001</v>
      </c>
      <c r="D5488" s="8">
        <v>55456.710937999997</v>
      </c>
      <c r="E5488" s="8">
        <v>55464.011719000002</v>
      </c>
      <c r="F5488" s="8">
        <f t="shared" si="170"/>
        <v>7.3007810000053723</v>
      </c>
      <c r="G5488" s="8">
        <f t="shared" si="171"/>
        <v>7.3007810000053725E-3</v>
      </c>
    </row>
    <row r="5489" spans="1:7" x14ac:dyDescent="0.25">
      <c r="A5489" s="8">
        <v>73</v>
      </c>
      <c r="B5489" s="8">
        <v>20</v>
      </c>
      <c r="C5489" s="8">
        <v>975.71343999999999</v>
      </c>
      <c r="D5489" s="8">
        <v>57457.648437999997</v>
      </c>
      <c r="E5489" s="8">
        <v>57474.339844000002</v>
      </c>
      <c r="F5489" s="8">
        <f t="shared" si="170"/>
        <v>16.691406000005372</v>
      </c>
      <c r="G5489" s="8">
        <f t="shared" si="171"/>
        <v>1.6691406000005373E-2</v>
      </c>
    </row>
    <row r="5490" spans="1:7" x14ac:dyDescent="0.25">
      <c r="A5490" s="8">
        <v>73</v>
      </c>
      <c r="B5490" s="8">
        <v>21</v>
      </c>
      <c r="C5490" s="8">
        <v>2453.0273440000001</v>
      </c>
      <c r="D5490" s="8">
        <v>58462.808594000002</v>
      </c>
      <c r="E5490" s="8">
        <v>58490.25</v>
      </c>
      <c r="F5490" s="8">
        <f t="shared" si="170"/>
        <v>27.441405999998096</v>
      </c>
      <c r="G5490" s="8">
        <f t="shared" si="171"/>
        <v>2.7441405999998097E-2</v>
      </c>
    </row>
    <row r="5491" spans="1:7" x14ac:dyDescent="0.25">
      <c r="A5491" s="8">
        <v>73</v>
      </c>
      <c r="B5491" s="8">
        <v>22</v>
      </c>
      <c r="C5491" s="8">
        <v>1043.45813</v>
      </c>
      <c r="D5491" s="8">
        <v>60950.667969000002</v>
      </c>
      <c r="E5491" s="8">
        <v>60962.984375</v>
      </c>
      <c r="F5491" s="8">
        <f t="shared" si="170"/>
        <v>12.316405999998096</v>
      </c>
      <c r="G5491" s="8">
        <f t="shared" si="171"/>
        <v>1.2316405999998097E-2</v>
      </c>
    </row>
    <row r="5492" spans="1:7" x14ac:dyDescent="0.25">
      <c r="A5492" s="8">
        <v>73</v>
      </c>
      <c r="B5492" s="8">
        <v>23</v>
      </c>
      <c r="C5492" s="8">
        <v>1541.259155</v>
      </c>
      <c r="D5492" s="8">
        <v>62013.253905999998</v>
      </c>
      <c r="E5492" s="8">
        <v>62030.503905999998</v>
      </c>
      <c r="F5492" s="8">
        <f t="shared" si="170"/>
        <v>17.25</v>
      </c>
      <c r="G5492" s="8">
        <f t="shared" si="171"/>
        <v>1.7250000000000001E-2</v>
      </c>
    </row>
    <row r="5493" spans="1:7" x14ac:dyDescent="0.25">
      <c r="A5493" s="8">
        <v>73</v>
      </c>
      <c r="B5493" s="8">
        <v>24</v>
      </c>
      <c r="C5493" s="8">
        <v>736.49432400000001</v>
      </c>
      <c r="D5493" s="8">
        <v>63586.867187999997</v>
      </c>
      <c r="E5493" s="8">
        <v>63605.914062999997</v>
      </c>
      <c r="F5493" s="8">
        <f t="shared" si="170"/>
        <v>19.046875</v>
      </c>
      <c r="G5493" s="8">
        <f t="shared" si="171"/>
        <v>1.9046875000000001E-2</v>
      </c>
    </row>
    <row r="5494" spans="1:7" x14ac:dyDescent="0.25">
      <c r="A5494" s="8">
        <v>73</v>
      </c>
      <c r="B5494" s="8">
        <v>25</v>
      </c>
      <c r="C5494" s="8">
        <v>1175.8907469999999</v>
      </c>
      <c r="D5494" s="8">
        <v>64355.925780999998</v>
      </c>
      <c r="E5494" s="8">
        <v>64376.410155999998</v>
      </c>
      <c r="F5494" s="8">
        <f t="shared" si="170"/>
        <v>20.484375</v>
      </c>
      <c r="G5494" s="8">
        <f t="shared" si="171"/>
        <v>2.0484374999999999E-2</v>
      </c>
    </row>
    <row r="5495" spans="1:7" x14ac:dyDescent="0.25">
      <c r="A5495" s="8">
        <v>73</v>
      </c>
      <c r="B5495" s="8">
        <v>26</v>
      </c>
      <c r="C5495" s="8">
        <v>938.774719</v>
      </c>
      <c r="D5495" s="8">
        <v>65559.15625</v>
      </c>
      <c r="E5495" s="8">
        <v>65584.625</v>
      </c>
      <c r="F5495" s="8">
        <f t="shared" si="170"/>
        <v>25.46875</v>
      </c>
      <c r="G5495" s="8">
        <f t="shared" si="171"/>
        <v>2.5468749999999998E-2</v>
      </c>
    </row>
    <row r="5496" spans="1:7" x14ac:dyDescent="0.25">
      <c r="A5496" s="8">
        <v>73</v>
      </c>
      <c r="B5496" s="8">
        <v>27</v>
      </c>
      <c r="C5496" s="8">
        <v>15.502295999999999</v>
      </c>
      <c r="D5496" s="8">
        <v>66528.015625</v>
      </c>
      <c r="E5496" s="8">
        <v>66553.320313000004</v>
      </c>
      <c r="F5496" s="8">
        <f t="shared" si="170"/>
        <v>25.304688000003807</v>
      </c>
      <c r="G5496" s="8">
        <f t="shared" si="171"/>
        <v>2.5304688000003808E-2</v>
      </c>
    </row>
    <row r="5497" spans="1:7" x14ac:dyDescent="0.25">
      <c r="A5497" s="8">
        <v>73</v>
      </c>
      <c r="B5497" s="8">
        <v>28</v>
      </c>
      <c r="C5497" s="8">
        <v>25.244821999999999</v>
      </c>
      <c r="D5497" s="8">
        <v>66574.71875</v>
      </c>
      <c r="E5497" s="8">
        <v>66581.796875</v>
      </c>
      <c r="F5497" s="8">
        <f t="shared" si="170"/>
        <v>7.078125</v>
      </c>
      <c r="G5497" s="8">
        <f t="shared" si="171"/>
        <v>7.0781250000000002E-3</v>
      </c>
    </row>
    <row r="5498" spans="1:7" x14ac:dyDescent="0.25">
      <c r="A5498" s="8">
        <v>73</v>
      </c>
      <c r="B5498" s="8">
        <v>29</v>
      </c>
      <c r="C5498" s="8">
        <v>609.36419699999999</v>
      </c>
      <c r="D5498" s="8">
        <v>66621.828125</v>
      </c>
      <c r="E5498" s="8">
        <v>66632.828125</v>
      </c>
      <c r="F5498" s="8">
        <f t="shared" si="170"/>
        <v>11</v>
      </c>
      <c r="G5498" s="8">
        <f t="shared" si="171"/>
        <v>1.0999999999999999E-2</v>
      </c>
    </row>
    <row r="5499" spans="1:7" x14ac:dyDescent="0.25">
      <c r="A5499" s="8">
        <v>73</v>
      </c>
      <c r="B5499" s="8">
        <v>30</v>
      </c>
      <c r="C5499" s="8">
        <v>678.42083700000001</v>
      </c>
      <c r="D5499" s="8">
        <v>67247.546875</v>
      </c>
      <c r="E5499" s="8">
        <v>67262.164063000004</v>
      </c>
      <c r="F5499" s="8">
        <f t="shared" si="170"/>
        <v>14.617188000003807</v>
      </c>
      <c r="G5499" s="8">
        <f t="shared" si="171"/>
        <v>1.4617188000003807E-2</v>
      </c>
    </row>
    <row r="5500" spans="1:7" x14ac:dyDescent="0.25">
      <c r="A5500" s="8">
        <v>73</v>
      </c>
      <c r="B5500" s="8">
        <v>31</v>
      </c>
      <c r="C5500" s="8">
        <v>2280.2883299999999</v>
      </c>
      <c r="D5500" s="8">
        <v>67951.554688000004</v>
      </c>
      <c r="E5500" s="8">
        <v>67974.875</v>
      </c>
      <c r="F5500" s="8">
        <f t="shared" si="170"/>
        <v>23.320311999996193</v>
      </c>
      <c r="G5500" s="8">
        <f t="shared" si="171"/>
        <v>2.3320311999996193E-2</v>
      </c>
    </row>
    <row r="5501" spans="1:7" x14ac:dyDescent="0.25">
      <c r="A5501" s="8">
        <v>73</v>
      </c>
      <c r="B5501" s="8">
        <v>32</v>
      </c>
      <c r="C5501" s="8">
        <v>494.98764</v>
      </c>
      <c r="D5501" s="8">
        <v>70264.617188000004</v>
      </c>
      <c r="E5501" s="8">
        <v>70278.03125</v>
      </c>
      <c r="F5501" s="8">
        <f t="shared" si="170"/>
        <v>13.414061999996193</v>
      </c>
      <c r="G5501" s="8">
        <f t="shared" si="171"/>
        <v>1.3414061999996193E-2</v>
      </c>
    </row>
    <row r="5502" spans="1:7" x14ac:dyDescent="0.25">
      <c r="A5502" s="8">
        <v>73</v>
      </c>
      <c r="B5502" s="8">
        <v>33</v>
      </c>
      <c r="C5502" s="8">
        <v>1798.8095699999999</v>
      </c>
      <c r="D5502" s="8">
        <v>70773.203125</v>
      </c>
      <c r="E5502" s="8">
        <v>70783.789063000004</v>
      </c>
      <c r="F5502" s="8">
        <f t="shared" si="170"/>
        <v>10.585938000003807</v>
      </c>
      <c r="G5502" s="8">
        <f t="shared" si="171"/>
        <v>1.0585938000003807E-2</v>
      </c>
    </row>
    <row r="5503" spans="1:7" x14ac:dyDescent="0.25">
      <c r="A5503" s="8">
        <v>73</v>
      </c>
      <c r="B5503" s="8">
        <v>34</v>
      </c>
      <c r="C5503" s="8">
        <v>1711.903198</v>
      </c>
      <c r="D5503" s="8">
        <v>72591.6875</v>
      </c>
      <c r="E5503" s="8">
        <v>72614.421875</v>
      </c>
      <c r="F5503" s="8">
        <f t="shared" si="170"/>
        <v>22.734375</v>
      </c>
      <c r="G5503" s="8">
        <f t="shared" si="171"/>
        <v>2.2734375000000001E-2</v>
      </c>
    </row>
    <row r="5504" spans="1:7" x14ac:dyDescent="0.25">
      <c r="A5504" s="8">
        <v>73</v>
      </c>
      <c r="B5504" s="8">
        <v>35</v>
      </c>
      <c r="C5504" s="8">
        <v>1774.205322</v>
      </c>
      <c r="D5504" s="8">
        <v>74328.28125</v>
      </c>
      <c r="E5504" s="8">
        <v>74338.226563000004</v>
      </c>
      <c r="F5504" s="8">
        <f t="shared" si="170"/>
        <v>9.9453130000038072</v>
      </c>
      <c r="G5504" s="8">
        <f t="shared" si="171"/>
        <v>9.9453130000038067E-3</v>
      </c>
    </row>
    <row r="5505" spans="1:7" x14ac:dyDescent="0.25">
      <c r="A5505" s="8">
        <v>73</v>
      </c>
      <c r="B5505" s="8">
        <v>36</v>
      </c>
      <c r="C5505" s="8">
        <v>900.68573000000004</v>
      </c>
      <c r="D5505" s="8">
        <v>76116.375</v>
      </c>
      <c r="E5505" s="8">
        <v>76127.953125</v>
      </c>
      <c r="F5505" s="8">
        <f t="shared" si="170"/>
        <v>11.578125</v>
      </c>
      <c r="G5505" s="8">
        <f t="shared" si="171"/>
        <v>1.1578125E-2</v>
      </c>
    </row>
    <row r="5506" spans="1:7" x14ac:dyDescent="0.25">
      <c r="A5506" s="8">
        <v>73</v>
      </c>
      <c r="B5506" s="8">
        <v>37</v>
      </c>
      <c r="C5506" s="8">
        <v>58.276730000000001</v>
      </c>
      <c r="D5506" s="8">
        <v>77038.320313000004</v>
      </c>
      <c r="E5506" s="8">
        <v>77048.976563000004</v>
      </c>
      <c r="F5506" s="8">
        <f t="shared" si="170"/>
        <v>10.65625</v>
      </c>
      <c r="G5506" s="8">
        <f t="shared" si="171"/>
        <v>1.0656250000000001E-2</v>
      </c>
    </row>
    <row r="5507" spans="1:7" x14ac:dyDescent="0.25">
      <c r="A5507" s="8">
        <v>73</v>
      </c>
      <c r="B5507" s="8">
        <v>38</v>
      </c>
      <c r="C5507" s="8">
        <v>632.84503199999995</v>
      </c>
      <c r="D5507" s="8">
        <v>77116.507813000004</v>
      </c>
      <c r="E5507" s="8">
        <v>77139.898438000004</v>
      </c>
      <c r="F5507" s="8">
        <f t="shared" si="170"/>
        <v>23.390625</v>
      </c>
      <c r="G5507" s="8">
        <f t="shared" si="171"/>
        <v>2.3390625000000002E-2</v>
      </c>
    </row>
    <row r="5508" spans="1:7" x14ac:dyDescent="0.25">
      <c r="A5508" s="8">
        <v>73</v>
      </c>
      <c r="B5508" s="8">
        <v>39</v>
      </c>
      <c r="C5508" s="8">
        <v>2358.5310060000002</v>
      </c>
      <c r="D5508" s="8">
        <v>77773.3125</v>
      </c>
      <c r="E5508" s="8">
        <v>77781.039063000004</v>
      </c>
      <c r="F5508" s="8">
        <f t="shared" si="170"/>
        <v>7.7265630000038072</v>
      </c>
      <c r="G5508" s="8">
        <f t="shared" si="171"/>
        <v>7.7265630000038074E-3</v>
      </c>
    </row>
    <row r="5509" spans="1:7" x14ac:dyDescent="0.25">
      <c r="A5509" s="8">
        <v>73</v>
      </c>
      <c r="B5509" s="8">
        <v>40</v>
      </c>
      <c r="C5509" s="8">
        <v>4044.4780270000001</v>
      </c>
      <c r="D5509" s="8">
        <v>80144.828125</v>
      </c>
      <c r="E5509" s="8">
        <v>80162.6875</v>
      </c>
      <c r="F5509" s="8">
        <f t="shared" si="170"/>
        <v>17.859375</v>
      </c>
      <c r="G5509" s="8">
        <f t="shared" si="171"/>
        <v>1.7859375E-2</v>
      </c>
    </row>
    <row r="5510" spans="1:7" x14ac:dyDescent="0.25">
      <c r="A5510" s="8">
        <v>73</v>
      </c>
      <c r="B5510" s="8">
        <v>41</v>
      </c>
      <c r="C5510" s="8">
        <v>4079.8364259999998</v>
      </c>
      <c r="D5510" s="8">
        <v>84218.585938000004</v>
      </c>
      <c r="E5510" s="8">
        <v>84236.75</v>
      </c>
      <c r="F5510" s="8">
        <f t="shared" si="170"/>
        <v>18.164061999996193</v>
      </c>
      <c r="G5510" s="8">
        <f t="shared" si="171"/>
        <v>1.8164061999996192E-2</v>
      </c>
    </row>
    <row r="5511" spans="1:7" x14ac:dyDescent="0.25">
      <c r="A5511" s="8">
        <v>73</v>
      </c>
      <c r="B5511" s="8">
        <v>42</v>
      </c>
      <c r="C5511" s="8">
        <v>567.58697500000005</v>
      </c>
      <c r="D5511" s="8">
        <v>88318.632813000004</v>
      </c>
      <c r="E5511" s="8">
        <v>88334.3125</v>
      </c>
      <c r="F5511" s="8">
        <f t="shared" si="170"/>
        <v>15.679686999996193</v>
      </c>
      <c r="G5511" s="8">
        <f t="shared" si="171"/>
        <v>1.5679686999996192E-2</v>
      </c>
    </row>
    <row r="5512" spans="1:7" x14ac:dyDescent="0.25">
      <c r="A5512" s="8">
        <v>73</v>
      </c>
      <c r="B5512" s="8">
        <v>43</v>
      </c>
      <c r="C5512" s="8">
        <v>1648.8367920000001</v>
      </c>
      <c r="D5512" s="8">
        <v>88912.398438000004</v>
      </c>
      <c r="E5512" s="8">
        <v>88935.8125</v>
      </c>
      <c r="F5512" s="8">
        <f t="shared" si="170"/>
        <v>23.414061999996193</v>
      </c>
      <c r="G5512" s="8">
        <f t="shared" si="171"/>
        <v>2.3414061999996193E-2</v>
      </c>
    </row>
    <row r="5513" spans="1:7" x14ac:dyDescent="0.25">
      <c r="A5513" s="8">
        <v>73</v>
      </c>
      <c r="B5513" s="8">
        <v>44</v>
      </c>
      <c r="C5513" s="8">
        <v>8566.9902340000008</v>
      </c>
      <c r="D5513" s="8">
        <v>90589.171875</v>
      </c>
      <c r="E5513" s="8">
        <v>90599.726563000004</v>
      </c>
      <c r="F5513" s="8">
        <f t="shared" si="170"/>
        <v>10.554688000003807</v>
      </c>
      <c r="G5513" s="8">
        <f t="shared" si="171"/>
        <v>1.0554688000003807E-2</v>
      </c>
    </row>
    <row r="5514" spans="1:7" x14ac:dyDescent="0.25">
      <c r="A5514" s="8">
        <v>73</v>
      </c>
      <c r="B5514" s="8">
        <v>45</v>
      </c>
      <c r="C5514" s="8">
        <v>9575.4111329999996</v>
      </c>
      <c r="D5514" s="8">
        <v>99175.96875</v>
      </c>
      <c r="E5514" s="8">
        <v>99203.726563000004</v>
      </c>
      <c r="F5514" s="8">
        <f t="shared" si="170"/>
        <v>27.757813000003807</v>
      </c>
      <c r="G5514" s="8">
        <f t="shared" si="171"/>
        <v>2.7757813000003809E-2</v>
      </c>
    </row>
    <row r="5515" spans="1:7" x14ac:dyDescent="0.25">
      <c r="A5515" s="8">
        <v>73</v>
      </c>
      <c r="B5515" s="8">
        <v>46</v>
      </c>
      <c r="C5515" s="8">
        <v>1334.895874</v>
      </c>
      <c r="D5515" s="8">
        <v>108782.53125</v>
      </c>
      <c r="E5515" s="8">
        <v>108805.171875</v>
      </c>
      <c r="F5515" s="8">
        <f t="shared" ref="F5515:F5578" si="172">E5515-D5515</f>
        <v>22.640625</v>
      </c>
      <c r="G5515" s="8">
        <f t="shared" ref="G5515:G5578" si="173">F5515/1000</f>
        <v>2.2640625000000001E-2</v>
      </c>
    </row>
    <row r="5516" spans="1:7" x14ac:dyDescent="0.25">
      <c r="A5516" s="8">
        <v>73</v>
      </c>
      <c r="B5516" s="8">
        <v>47</v>
      </c>
      <c r="C5516" s="8">
        <v>4941.8710940000001</v>
      </c>
      <c r="D5516" s="8">
        <v>110142.546875</v>
      </c>
      <c r="E5516" s="8">
        <v>110164.15625</v>
      </c>
      <c r="F5516" s="8">
        <f t="shared" si="172"/>
        <v>21.609375</v>
      </c>
      <c r="G5516" s="8">
        <f t="shared" si="173"/>
        <v>2.1609375E-2</v>
      </c>
    </row>
    <row r="5517" spans="1:7" x14ac:dyDescent="0.25">
      <c r="A5517" s="8">
        <v>73</v>
      </c>
      <c r="B5517" s="8">
        <v>48</v>
      </c>
      <c r="C5517" s="8">
        <v>76.457465999999997</v>
      </c>
      <c r="D5517" s="8">
        <v>115114.335938</v>
      </c>
      <c r="E5517" s="8">
        <v>115128.335938</v>
      </c>
      <c r="F5517" s="8">
        <f t="shared" si="172"/>
        <v>14</v>
      </c>
      <c r="G5517" s="8">
        <f t="shared" si="173"/>
        <v>1.4E-2</v>
      </c>
    </row>
    <row r="5518" spans="1:7" x14ac:dyDescent="0.25">
      <c r="A5518" s="8">
        <v>73</v>
      </c>
      <c r="B5518" s="8">
        <v>49</v>
      </c>
      <c r="C5518" s="8">
        <v>1370.669067</v>
      </c>
      <c r="D5518" s="8">
        <v>115207.976563</v>
      </c>
      <c r="E5518" s="8">
        <v>115219.53125</v>
      </c>
      <c r="F5518" s="8">
        <f t="shared" si="172"/>
        <v>11.554686999996193</v>
      </c>
      <c r="G5518" s="8">
        <f t="shared" si="173"/>
        <v>1.1554686999996193E-2</v>
      </c>
    </row>
    <row r="5519" spans="1:7" x14ac:dyDescent="0.25">
      <c r="A5519" s="8">
        <v>73</v>
      </c>
      <c r="B5519" s="8">
        <v>50</v>
      </c>
      <c r="C5519" s="8">
        <v>8.1344340000000006</v>
      </c>
      <c r="D5519" s="8">
        <v>116598.851563</v>
      </c>
      <c r="E5519" s="8">
        <v>116614.070313</v>
      </c>
      <c r="F5519" s="8">
        <f t="shared" si="172"/>
        <v>15.21875</v>
      </c>
      <c r="G5519" s="8">
        <f t="shared" si="173"/>
        <v>1.521875E-2</v>
      </c>
    </row>
    <row r="5520" spans="1:7" x14ac:dyDescent="0.25">
      <c r="A5520" s="8">
        <v>73</v>
      </c>
      <c r="B5520" s="8">
        <v>51</v>
      </c>
      <c r="C5520" s="8">
        <v>589.67755099999999</v>
      </c>
      <c r="D5520" s="8">
        <v>116630.132813</v>
      </c>
      <c r="E5520" s="8">
        <v>116680.679688</v>
      </c>
      <c r="F5520" s="8">
        <f t="shared" si="172"/>
        <v>50.546875</v>
      </c>
      <c r="G5520" s="8">
        <f t="shared" si="173"/>
        <v>5.0546874999999998E-2</v>
      </c>
    </row>
    <row r="5521" spans="1:7" x14ac:dyDescent="0.25">
      <c r="A5521" s="8">
        <v>73</v>
      </c>
      <c r="B5521" s="8">
        <v>52</v>
      </c>
      <c r="C5521" s="8">
        <v>1011.828064</v>
      </c>
      <c r="D5521" s="8">
        <v>117285.59375</v>
      </c>
      <c r="E5521" s="8">
        <v>117298.59375</v>
      </c>
      <c r="F5521" s="8">
        <f t="shared" si="172"/>
        <v>13</v>
      </c>
      <c r="G5521" s="8">
        <f t="shared" si="173"/>
        <v>1.2999999999999999E-2</v>
      </c>
    </row>
    <row r="5522" spans="1:7" x14ac:dyDescent="0.25">
      <c r="A5522" s="8">
        <v>73</v>
      </c>
      <c r="B5522" s="8">
        <v>53</v>
      </c>
      <c r="C5522" s="8">
        <v>259.96887199999998</v>
      </c>
      <c r="D5522" s="8">
        <v>118322.492188</v>
      </c>
      <c r="E5522" s="8">
        <v>118338.703125</v>
      </c>
      <c r="F5522" s="8">
        <f t="shared" si="172"/>
        <v>16.210936999996193</v>
      </c>
      <c r="G5522" s="8">
        <f t="shared" si="173"/>
        <v>1.6210936999996192E-2</v>
      </c>
    </row>
    <row r="5523" spans="1:7" x14ac:dyDescent="0.25">
      <c r="A5523" s="8">
        <v>73</v>
      </c>
      <c r="B5523" s="8">
        <v>54</v>
      </c>
      <c r="C5523" s="8">
        <v>1339.6606449999999</v>
      </c>
      <c r="D5523" s="8">
        <v>118603.84375</v>
      </c>
      <c r="E5523" s="8">
        <v>118623.367188</v>
      </c>
      <c r="F5523" s="8">
        <f t="shared" si="172"/>
        <v>19.523438000003807</v>
      </c>
      <c r="G5523" s="8">
        <f t="shared" si="173"/>
        <v>1.9523438000003807E-2</v>
      </c>
    </row>
    <row r="5524" spans="1:7" x14ac:dyDescent="0.25">
      <c r="A5524" s="8">
        <v>73</v>
      </c>
      <c r="B5524" s="8">
        <v>55</v>
      </c>
      <c r="C5524" s="8">
        <v>697.62078899999995</v>
      </c>
      <c r="D5524" s="8">
        <v>119968.5</v>
      </c>
      <c r="E5524" s="8">
        <v>119977.296875</v>
      </c>
      <c r="F5524" s="8">
        <f t="shared" si="172"/>
        <v>8.796875</v>
      </c>
      <c r="G5524" s="8">
        <f t="shared" si="173"/>
        <v>8.7968749999999991E-3</v>
      </c>
    </row>
    <row r="5525" spans="1:7" x14ac:dyDescent="0.25">
      <c r="A5525" s="8">
        <v>73</v>
      </c>
      <c r="B5525" s="8">
        <v>56</v>
      </c>
      <c r="C5525" s="8">
        <v>159.38867200000001</v>
      </c>
      <c r="D5525" s="8">
        <v>120687.320313</v>
      </c>
      <c r="E5525" s="8">
        <v>120707.492188</v>
      </c>
      <c r="F5525" s="8">
        <f t="shared" si="172"/>
        <v>20.171875</v>
      </c>
      <c r="G5525" s="8">
        <f t="shared" si="173"/>
        <v>2.0171874999999999E-2</v>
      </c>
    </row>
    <row r="5526" spans="1:7" x14ac:dyDescent="0.25">
      <c r="A5526" s="8">
        <v>73</v>
      </c>
      <c r="B5526" s="8">
        <v>57</v>
      </c>
      <c r="C5526" s="8">
        <v>4205.2553710000002</v>
      </c>
      <c r="D5526" s="8">
        <v>120876.96875</v>
      </c>
      <c r="E5526" s="8">
        <v>120891.75</v>
      </c>
      <c r="F5526" s="8">
        <f t="shared" si="172"/>
        <v>14.78125</v>
      </c>
      <c r="G5526" s="8">
        <f t="shared" si="173"/>
        <v>1.4781249999999999E-2</v>
      </c>
    </row>
    <row r="5527" spans="1:7" x14ac:dyDescent="0.25">
      <c r="A5527" s="8">
        <v>73</v>
      </c>
      <c r="B5527" s="8">
        <v>58</v>
      </c>
      <c r="C5527" s="8">
        <v>656.35040300000003</v>
      </c>
      <c r="D5527" s="8">
        <v>125111.507813</v>
      </c>
      <c r="E5527" s="8">
        <v>125128.1875</v>
      </c>
      <c r="F5527" s="8">
        <f t="shared" si="172"/>
        <v>16.679686999996193</v>
      </c>
      <c r="G5527" s="8">
        <f t="shared" si="173"/>
        <v>1.6679686999996193E-2</v>
      </c>
    </row>
    <row r="5528" spans="1:7" x14ac:dyDescent="0.25">
      <c r="A5528" s="8">
        <v>73</v>
      </c>
      <c r="B5528" s="8">
        <v>59</v>
      </c>
      <c r="C5528" s="8">
        <v>1060.2923579999999</v>
      </c>
      <c r="D5528" s="8">
        <v>125799.570313</v>
      </c>
      <c r="E5528" s="8">
        <v>125815.609375</v>
      </c>
      <c r="F5528" s="8">
        <f t="shared" si="172"/>
        <v>16.039061999996193</v>
      </c>
      <c r="G5528" s="8">
        <f t="shared" si="173"/>
        <v>1.6039061999996194E-2</v>
      </c>
    </row>
    <row r="5529" spans="1:7" x14ac:dyDescent="0.25">
      <c r="A5529" s="8">
        <v>73</v>
      </c>
      <c r="B5529" s="8">
        <v>60</v>
      </c>
      <c r="C5529" s="8">
        <v>550.55450399999995</v>
      </c>
      <c r="D5529" s="8">
        <v>126877.773438</v>
      </c>
      <c r="E5529" s="8">
        <v>126888.476563</v>
      </c>
      <c r="F5529" s="8">
        <f t="shared" si="172"/>
        <v>10.703125</v>
      </c>
      <c r="G5529" s="8">
        <f t="shared" si="173"/>
        <v>1.0703125000000001E-2</v>
      </c>
    </row>
    <row r="5530" spans="1:7" x14ac:dyDescent="0.25">
      <c r="A5530" s="8">
        <v>73</v>
      </c>
      <c r="B5530" s="8">
        <v>61</v>
      </c>
      <c r="C5530" s="8">
        <v>4077.4902339999999</v>
      </c>
      <c r="D5530" s="8">
        <v>127440.59375</v>
      </c>
      <c r="E5530" s="8">
        <v>127451.117188</v>
      </c>
      <c r="F5530" s="8">
        <f t="shared" si="172"/>
        <v>10.523438000003807</v>
      </c>
      <c r="G5530" s="8">
        <f t="shared" si="173"/>
        <v>1.0523438000003807E-2</v>
      </c>
    </row>
    <row r="5531" spans="1:7" x14ac:dyDescent="0.25">
      <c r="A5531" s="8">
        <v>73</v>
      </c>
      <c r="B5531" s="8">
        <v>62</v>
      </c>
      <c r="C5531" s="8">
        <v>2885.781982</v>
      </c>
      <c r="D5531" s="8">
        <v>131530.109375</v>
      </c>
      <c r="E5531" s="8">
        <v>131555.515625</v>
      </c>
      <c r="F5531" s="8">
        <f t="shared" si="172"/>
        <v>25.40625</v>
      </c>
      <c r="G5531" s="8">
        <f t="shared" si="173"/>
        <v>2.5406249999999998E-2</v>
      </c>
    </row>
    <row r="5532" spans="1:7" x14ac:dyDescent="0.25">
      <c r="A5532" s="8">
        <v>73</v>
      </c>
      <c r="B5532" s="8">
        <v>63</v>
      </c>
      <c r="C5532" s="8">
        <v>3710.1926269999999</v>
      </c>
      <c r="D5532" s="8">
        <v>134441.3125</v>
      </c>
      <c r="E5532" s="8">
        <v>134454.609375</v>
      </c>
      <c r="F5532" s="8">
        <f t="shared" si="172"/>
        <v>13.296875</v>
      </c>
      <c r="G5532" s="8">
        <f t="shared" si="173"/>
        <v>1.3296875E-2</v>
      </c>
    </row>
    <row r="5533" spans="1:7" x14ac:dyDescent="0.25">
      <c r="A5533" s="8">
        <v>73</v>
      </c>
      <c r="B5533" s="8">
        <v>64</v>
      </c>
      <c r="C5533" s="8">
        <v>1391.734009</v>
      </c>
      <c r="D5533" s="8">
        <v>138171.828125</v>
      </c>
      <c r="E5533" s="8">
        <v>138185.234375</v>
      </c>
      <c r="F5533" s="8">
        <f t="shared" si="172"/>
        <v>13.40625</v>
      </c>
      <c r="G5533" s="8">
        <f t="shared" si="173"/>
        <v>1.340625E-2</v>
      </c>
    </row>
    <row r="5534" spans="1:7" x14ac:dyDescent="0.25">
      <c r="A5534" s="8">
        <v>73</v>
      </c>
      <c r="B5534" s="8">
        <v>65</v>
      </c>
      <c r="C5534" s="8">
        <v>3121.0253910000001</v>
      </c>
      <c r="D5534" s="8">
        <v>139584.671875</v>
      </c>
      <c r="E5534" s="8">
        <v>139665.40625</v>
      </c>
      <c r="F5534" s="8">
        <f t="shared" si="172"/>
        <v>80.734375</v>
      </c>
      <c r="G5534" s="8">
        <f t="shared" si="173"/>
        <v>8.0734374999999997E-2</v>
      </c>
    </row>
    <row r="5535" spans="1:7" x14ac:dyDescent="0.25">
      <c r="A5535" s="8">
        <v>73</v>
      </c>
      <c r="B5535" s="8">
        <v>66</v>
      </c>
      <c r="C5535" s="8">
        <v>3003.6433109999998</v>
      </c>
      <c r="D5535" s="8">
        <v>142796.515625</v>
      </c>
      <c r="E5535" s="8">
        <v>142806.15625</v>
      </c>
      <c r="F5535" s="8">
        <f t="shared" si="172"/>
        <v>9.640625</v>
      </c>
      <c r="G5535" s="8">
        <f t="shared" si="173"/>
        <v>9.6406249999999999E-3</v>
      </c>
    </row>
    <row r="5536" spans="1:7" x14ac:dyDescent="0.25">
      <c r="A5536" s="8">
        <v>73</v>
      </c>
      <c r="B5536" s="8">
        <v>67</v>
      </c>
      <c r="C5536" s="8">
        <v>3647.9636230000001</v>
      </c>
      <c r="D5536" s="8">
        <v>145818.234375</v>
      </c>
      <c r="E5536" s="8">
        <v>145836.4375</v>
      </c>
      <c r="F5536" s="8">
        <f t="shared" si="172"/>
        <v>18.203125</v>
      </c>
      <c r="G5536" s="8">
        <f t="shared" si="173"/>
        <v>1.8203125000000001E-2</v>
      </c>
    </row>
    <row r="5537" spans="1:7" x14ac:dyDescent="0.25">
      <c r="A5537" s="8">
        <v>73</v>
      </c>
      <c r="B5537" s="8">
        <v>68</v>
      </c>
      <c r="C5537" s="8">
        <v>822.376892</v>
      </c>
      <c r="D5537" s="8">
        <v>149494.21875</v>
      </c>
      <c r="E5537" s="8">
        <v>149517.203125</v>
      </c>
      <c r="F5537" s="8">
        <f t="shared" si="172"/>
        <v>22.984375</v>
      </c>
      <c r="G5537" s="8">
        <f t="shared" si="173"/>
        <v>2.2984375000000001E-2</v>
      </c>
    </row>
    <row r="5538" spans="1:7" x14ac:dyDescent="0.25">
      <c r="A5538" s="8">
        <v>73</v>
      </c>
      <c r="B5538" s="8">
        <v>69</v>
      </c>
      <c r="C5538" s="8">
        <v>74.682670999999999</v>
      </c>
      <c r="D5538" s="8">
        <v>150342.5625</v>
      </c>
      <c r="E5538" s="8">
        <v>150357.703125</v>
      </c>
      <c r="F5538" s="8">
        <f t="shared" si="172"/>
        <v>15.140625</v>
      </c>
      <c r="G5538" s="8">
        <f t="shared" si="173"/>
        <v>1.5140625E-2</v>
      </c>
    </row>
    <row r="5539" spans="1:7" x14ac:dyDescent="0.25">
      <c r="A5539" s="8">
        <v>73</v>
      </c>
      <c r="B5539" s="8">
        <v>70</v>
      </c>
      <c r="C5539" s="8">
        <v>266.09515399999998</v>
      </c>
      <c r="D5539" s="8">
        <v>150436.34375</v>
      </c>
      <c r="E5539" s="8">
        <v>150484.4375</v>
      </c>
      <c r="F5539" s="8">
        <f t="shared" si="172"/>
        <v>48.09375</v>
      </c>
      <c r="G5539" s="8">
        <f t="shared" si="173"/>
        <v>4.8093749999999998E-2</v>
      </c>
    </row>
    <row r="5540" spans="1:7" x14ac:dyDescent="0.25">
      <c r="A5540" s="8">
        <v>73</v>
      </c>
      <c r="B5540" s="8">
        <v>71</v>
      </c>
      <c r="C5540" s="8">
        <v>1328.362793</v>
      </c>
      <c r="D5540" s="8">
        <v>150764.53125</v>
      </c>
      <c r="E5540" s="8">
        <v>150787.59375</v>
      </c>
      <c r="F5540" s="8">
        <f t="shared" si="172"/>
        <v>23.0625</v>
      </c>
      <c r="G5540" s="8">
        <f t="shared" si="173"/>
        <v>2.30625E-2</v>
      </c>
    </row>
    <row r="5541" spans="1:7" x14ac:dyDescent="0.25">
      <c r="A5541" s="8">
        <v>73</v>
      </c>
      <c r="B5541" s="8">
        <v>72</v>
      </c>
      <c r="C5541" s="8">
        <v>1298.582764</v>
      </c>
      <c r="D5541" s="8">
        <v>152124.03125</v>
      </c>
      <c r="E5541" s="8">
        <v>152141.40625</v>
      </c>
      <c r="F5541" s="8">
        <f t="shared" si="172"/>
        <v>17.375</v>
      </c>
      <c r="G5541" s="8">
        <f t="shared" si="173"/>
        <v>1.7375000000000002E-2</v>
      </c>
    </row>
    <row r="5542" spans="1:7" x14ac:dyDescent="0.25">
      <c r="A5542" s="8">
        <v>73</v>
      </c>
      <c r="B5542" s="8">
        <v>73</v>
      </c>
      <c r="C5542" s="8">
        <v>5445.1191410000001</v>
      </c>
      <c r="D5542" s="8">
        <v>153453.265625</v>
      </c>
      <c r="E5542" s="8">
        <v>153465.359375</v>
      </c>
      <c r="F5542" s="8">
        <f t="shared" si="172"/>
        <v>12.09375</v>
      </c>
      <c r="G5542" s="8">
        <f t="shared" si="173"/>
        <v>1.209375E-2</v>
      </c>
    </row>
    <row r="5543" spans="1:7" x14ac:dyDescent="0.25">
      <c r="A5543" s="8">
        <v>73</v>
      </c>
      <c r="B5543" s="8">
        <v>74</v>
      </c>
      <c r="C5543" s="8">
        <v>3153.2509770000001</v>
      </c>
      <c r="D5543" s="8">
        <v>158923.609375</v>
      </c>
      <c r="E5543" s="8">
        <v>158937.375</v>
      </c>
      <c r="F5543" s="8">
        <f t="shared" si="172"/>
        <v>13.765625</v>
      </c>
      <c r="G5543" s="8">
        <f t="shared" si="173"/>
        <v>1.3765625E-2</v>
      </c>
    </row>
    <row r="5544" spans="1:7" x14ac:dyDescent="0.25">
      <c r="A5544" s="8">
        <v>73</v>
      </c>
      <c r="B5544" s="8">
        <v>75</v>
      </c>
      <c r="C5544" s="8">
        <v>1157.7326660000001</v>
      </c>
      <c r="D5544" s="8">
        <v>162096.421875</v>
      </c>
      <c r="E5544" s="8">
        <v>162106.609375</v>
      </c>
      <c r="F5544" s="8">
        <f t="shared" si="172"/>
        <v>10.1875</v>
      </c>
      <c r="G5544" s="8">
        <f t="shared" si="173"/>
        <v>1.01875E-2</v>
      </c>
    </row>
    <row r="5545" spans="1:7" x14ac:dyDescent="0.25">
      <c r="A5545" s="8">
        <v>73</v>
      </c>
      <c r="B5545" s="8">
        <v>76</v>
      </c>
      <c r="C5545" s="8">
        <v>1829.1967770000001</v>
      </c>
      <c r="D5545" s="8">
        <v>163268.390625</v>
      </c>
      <c r="E5545" s="8">
        <v>163356.875</v>
      </c>
      <c r="F5545" s="8">
        <f t="shared" si="172"/>
        <v>88.484375</v>
      </c>
      <c r="G5545" s="8">
        <f t="shared" si="173"/>
        <v>8.8484375000000004E-2</v>
      </c>
    </row>
    <row r="5546" spans="1:7" x14ac:dyDescent="0.25">
      <c r="A5546" s="8">
        <v>73</v>
      </c>
      <c r="B5546" s="8">
        <v>77</v>
      </c>
      <c r="C5546" s="8">
        <v>42.128937000000001</v>
      </c>
      <c r="D5546" s="8">
        <v>165186.515625</v>
      </c>
      <c r="E5546" s="8">
        <v>165207.734375</v>
      </c>
      <c r="F5546" s="8">
        <f t="shared" si="172"/>
        <v>21.21875</v>
      </c>
      <c r="G5546" s="8">
        <f t="shared" si="173"/>
        <v>2.1218750000000001E-2</v>
      </c>
    </row>
    <row r="5547" spans="1:7" x14ac:dyDescent="0.25">
      <c r="A5547" s="8">
        <v>73</v>
      </c>
      <c r="B5547" s="8">
        <v>78</v>
      </c>
      <c r="C5547" s="8">
        <v>6736.1791990000002</v>
      </c>
      <c r="D5547" s="8">
        <v>165264.765625</v>
      </c>
      <c r="E5547" s="8">
        <v>165275.390625</v>
      </c>
      <c r="F5547" s="8">
        <f t="shared" si="172"/>
        <v>10.625</v>
      </c>
      <c r="G5547" s="8">
        <f t="shared" si="173"/>
        <v>1.0625000000000001E-2</v>
      </c>
    </row>
    <row r="5548" spans="1:7" x14ac:dyDescent="0.25">
      <c r="A5548" s="8">
        <v>74</v>
      </c>
      <c r="B5548" s="8">
        <v>0</v>
      </c>
      <c r="C5548" s="8">
        <v>4489.9584960000002</v>
      </c>
      <c r="D5548" s="8">
        <v>21297.380859000001</v>
      </c>
      <c r="E5548" s="8">
        <v>21316.939452999999</v>
      </c>
      <c r="F5548" s="8">
        <f t="shared" si="172"/>
        <v>19.558593999998266</v>
      </c>
      <c r="G5548" s="8">
        <f t="shared" si="173"/>
        <v>1.9558593999998267E-2</v>
      </c>
    </row>
    <row r="5549" spans="1:7" x14ac:dyDescent="0.25">
      <c r="A5549" s="8">
        <v>74</v>
      </c>
      <c r="B5549" s="8">
        <v>1</v>
      </c>
      <c r="C5549" s="8">
        <v>1003.746033</v>
      </c>
      <c r="D5549" s="8">
        <v>25818.824218999998</v>
      </c>
      <c r="E5549" s="8">
        <v>25839.388672000001</v>
      </c>
      <c r="F5549" s="8">
        <f t="shared" si="172"/>
        <v>20.564453000002686</v>
      </c>
      <c r="G5549" s="8">
        <f t="shared" si="173"/>
        <v>2.0564453000002685E-2</v>
      </c>
    </row>
    <row r="5550" spans="1:7" x14ac:dyDescent="0.25">
      <c r="A5550" s="8">
        <v>74</v>
      </c>
      <c r="B5550" s="8">
        <v>2</v>
      </c>
      <c r="C5550" s="8">
        <v>7132.6059569999998</v>
      </c>
      <c r="D5550" s="8">
        <v>26852.521484000001</v>
      </c>
      <c r="E5550" s="8">
        <v>26879.941406000002</v>
      </c>
      <c r="F5550" s="8">
        <f t="shared" si="172"/>
        <v>27.419922000000952</v>
      </c>
      <c r="G5550" s="8">
        <f t="shared" si="173"/>
        <v>2.7419922000000953E-2</v>
      </c>
    </row>
    <row r="5551" spans="1:7" x14ac:dyDescent="0.25">
      <c r="A5551" s="8">
        <v>74</v>
      </c>
      <c r="B5551" s="8">
        <v>3</v>
      </c>
      <c r="C5551" s="8">
        <v>350.47177099999999</v>
      </c>
      <c r="D5551" s="8">
        <v>34025.058594000002</v>
      </c>
      <c r="E5551" s="8">
        <v>34039.851562999997</v>
      </c>
      <c r="F5551" s="8">
        <f t="shared" si="172"/>
        <v>14.792968999994628</v>
      </c>
      <c r="G5551" s="8">
        <f t="shared" si="173"/>
        <v>1.4792968999994627E-2</v>
      </c>
    </row>
    <row r="5552" spans="1:7" x14ac:dyDescent="0.25">
      <c r="A5552" s="8">
        <v>74</v>
      </c>
      <c r="B5552" s="8">
        <v>4</v>
      </c>
      <c r="C5552" s="8">
        <v>3965.3627929999998</v>
      </c>
      <c r="D5552" s="8">
        <v>34405.039062999997</v>
      </c>
      <c r="E5552" s="8">
        <v>34428.992187999997</v>
      </c>
      <c r="F5552" s="8">
        <f t="shared" si="172"/>
        <v>23.953125</v>
      </c>
      <c r="G5552" s="8">
        <f t="shared" si="173"/>
        <v>2.3953124999999999E-2</v>
      </c>
    </row>
    <row r="5553" spans="1:7" x14ac:dyDescent="0.25">
      <c r="A5553" s="8">
        <v>74</v>
      </c>
      <c r="B5553" s="8">
        <v>5</v>
      </c>
      <c r="C5553" s="8">
        <v>899.91986099999997</v>
      </c>
      <c r="D5553" s="8">
        <v>38401.859375</v>
      </c>
      <c r="E5553" s="8">
        <v>38409.472655999998</v>
      </c>
      <c r="F5553" s="8">
        <f t="shared" si="172"/>
        <v>7.6132809999980964</v>
      </c>
      <c r="G5553" s="8">
        <f t="shared" si="173"/>
        <v>7.6132809999980965E-3</v>
      </c>
    </row>
    <row r="5554" spans="1:7" x14ac:dyDescent="0.25">
      <c r="A5554" s="8">
        <v>74</v>
      </c>
      <c r="B5554" s="8">
        <v>6</v>
      </c>
      <c r="C5554" s="8">
        <v>760.54333499999996</v>
      </c>
      <c r="D5554" s="8">
        <v>39324.265625</v>
      </c>
      <c r="E5554" s="8">
        <v>39338.476562999997</v>
      </c>
      <c r="F5554" s="8">
        <f t="shared" si="172"/>
        <v>14.210937999996531</v>
      </c>
      <c r="G5554" s="8">
        <f t="shared" si="173"/>
        <v>1.4210937999996532E-2</v>
      </c>
    </row>
    <row r="5555" spans="1:7" x14ac:dyDescent="0.25">
      <c r="A5555" s="8">
        <v>74</v>
      </c>
      <c r="B5555" s="8">
        <v>7</v>
      </c>
      <c r="C5555" s="8">
        <v>3099.0595699999999</v>
      </c>
      <c r="D5555" s="8">
        <v>40105.300780999998</v>
      </c>
      <c r="E5555" s="8">
        <v>40116.566405999998</v>
      </c>
      <c r="F5555" s="8">
        <f t="shared" si="172"/>
        <v>11.265625</v>
      </c>
      <c r="G5555" s="8">
        <f t="shared" si="173"/>
        <v>1.1265625E-2</v>
      </c>
    </row>
    <row r="5556" spans="1:7" x14ac:dyDescent="0.25">
      <c r="A5556" s="8">
        <v>74</v>
      </c>
      <c r="B5556" s="8">
        <v>8</v>
      </c>
      <c r="C5556" s="8">
        <v>3089.310547</v>
      </c>
      <c r="D5556" s="8">
        <v>43224.757812999997</v>
      </c>
      <c r="E5556" s="8">
        <v>43242.003905999998</v>
      </c>
      <c r="F5556" s="8">
        <f t="shared" si="172"/>
        <v>17.246093000001565</v>
      </c>
      <c r="G5556" s="8">
        <f t="shared" si="173"/>
        <v>1.7246093000001565E-2</v>
      </c>
    </row>
    <row r="5557" spans="1:7" x14ac:dyDescent="0.25">
      <c r="A5557" s="8">
        <v>74</v>
      </c>
      <c r="B5557" s="8">
        <v>9</v>
      </c>
      <c r="C5557" s="8">
        <v>3355.0661620000001</v>
      </c>
      <c r="D5557" s="8">
        <v>46344.167969000002</v>
      </c>
      <c r="E5557" s="8">
        <v>46363.691405999998</v>
      </c>
      <c r="F5557" s="8">
        <f t="shared" si="172"/>
        <v>19.523436999996193</v>
      </c>
      <c r="G5557" s="8">
        <f t="shared" si="173"/>
        <v>1.9523436999996192E-2</v>
      </c>
    </row>
    <row r="5558" spans="1:7" x14ac:dyDescent="0.25">
      <c r="A5558" s="8">
        <v>74</v>
      </c>
      <c r="B5558" s="8">
        <v>10</v>
      </c>
      <c r="C5558" s="8">
        <v>945.32458499999996</v>
      </c>
      <c r="D5558" s="8">
        <v>49733.117187999997</v>
      </c>
      <c r="E5558" s="8">
        <v>49746.46875</v>
      </c>
      <c r="F5558" s="8">
        <f t="shared" si="172"/>
        <v>13.351562000003469</v>
      </c>
      <c r="G5558" s="8">
        <f t="shared" si="173"/>
        <v>1.3351562000003469E-2</v>
      </c>
    </row>
    <row r="5559" spans="1:7" x14ac:dyDescent="0.25">
      <c r="A5559" s="8">
        <v>74</v>
      </c>
      <c r="B5559" s="8">
        <v>11</v>
      </c>
      <c r="C5559" s="8">
        <v>247.49623099999999</v>
      </c>
      <c r="D5559" s="8">
        <v>50706.039062999997</v>
      </c>
      <c r="E5559" s="8">
        <v>50725.898437999997</v>
      </c>
      <c r="F5559" s="8">
        <f t="shared" si="172"/>
        <v>19.859375</v>
      </c>
      <c r="G5559" s="8">
        <f t="shared" si="173"/>
        <v>1.9859374999999999E-2</v>
      </c>
    </row>
    <row r="5560" spans="1:7" x14ac:dyDescent="0.25">
      <c r="A5560" s="8">
        <v>74</v>
      </c>
      <c r="B5560" s="8">
        <v>12</v>
      </c>
      <c r="C5560" s="8">
        <v>54.258899999999997</v>
      </c>
      <c r="D5560" s="8">
        <v>50987.289062999997</v>
      </c>
      <c r="E5560" s="8">
        <v>50996.230469000002</v>
      </c>
      <c r="F5560" s="8">
        <f t="shared" si="172"/>
        <v>8.9414060000053723</v>
      </c>
      <c r="G5560" s="8">
        <f t="shared" si="173"/>
        <v>8.9414060000053731E-3</v>
      </c>
    </row>
    <row r="5561" spans="1:7" x14ac:dyDescent="0.25">
      <c r="A5561" s="8">
        <v>74</v>
      </c>
      <c r="B5561" s="8">
        <v>13</v>
      </c>
      <c r="C5561" s="8">
        <v>314.86346400000002</v>
      </c>
      <c r="D5561" s="8">
        <v>51065.410155999998</v>
      </c>
      <c r="E5561" s="8">
        <v>51084.960937999997</v>
      </c>
      <c r="F5561" s="8">
        <f t="shared" si="172"/>
        <v>19.550781999998435</v>
      </c>
      <c r="G5561" s="8">
        <f t="shared" si="173"/>
        <v>1.9550781999998434E-2</v>
      </c>
    </row>
    <row r="5562" spans="1:7" x14ac:dyDescent="0.25">
      <c r="A5562" s="8">
        <v>74</v>
      </c>
      <c r="B5562" s="8">
        <v>14</v>
      </c>
      <c r="C5562" s="8">
        <v>45.872627000000001</v>
      </c>
      <c r="D5562" s="8">
        <v>51412.816405999998</v>
      </c>
      <c r="E5562" s="8">
        <v>51437.300780999998</v>
      </c>
      <c r="F5562" s="8">
        <f t="shared" si="172"/>
        <v>24.484375</v>
      </c>
      <c r="G5562" s="8">
        <f t="shared" si="173"/>
        <v>2.4484374999999999E-2</v>
      </c>
    </row>
    <row r="5563" spans="1:7" x14ac:dyDescent="0.25">
      <c r="A5563" s="8">
        <v>74</v>
      </c>
      <c r="B5563" s="8">
        <v>15</v>
      </c>
      <c r="C5563" s="8">
        <v>3658.961914</v>
      </c>
      <c r="D5563" s="8">
        <v>51498.019530999998</v>
      </c>
      <c r="E5563" s="8">
        <v>51518.890625</v>
      </c>
      <c r="F5563" s="8">
        <f t="shared" si="172"/>
        <v>20.871094000001904</v>
      </c>
      <c r="G5563" s="8">
        <f t="shared" si="173"/>
        <v>2.0871094000001904E-2</v>
      </c>
    </row>
    <row r="5564" spans="1:7" x14ac:dyDescent="0.25">
      <c r="A5564" s="8">
        <v>74</v>
      </c>
      <c r="B5564" s="8">
        <v>16</v>
      </c>
      <c r="C5564" s="8">
        <v>207.89503500000001</v>
      </c>
      <c r="D5564" s="8">
        <v>55191.121094000002</v>
      </c>
      <c r="E5564" s="8">
        <v>55205.324219000002</v>
      </c>
      <c r="F5564" s="8">
        <f t="shared" si="172"/>
        <v>14.203125</v>
      </c>
      <c r="G5564" s="8">
        <f t="shared" si="173"/>
        <v>1.4203125E-2</v>
      </c>
    </row>
    <row r="5565" spans="1:7" x14ac:dyDescent="0.25">
      <c r="A5565" s="8">
        <v>74</v>
      </c>
      <c r="B5565" s="8">
        <v>17</v>
      </c>
      <c r="C5565" s="8">
        <v>1520.264404</v>
      </c>
      <c r="D5565" s="8">
        <v>55425.394530999998</v>
      </c>
      <c r="E5565" s="8">
        <v>55445.765625</v>
      </c>
      <c r="F5565" s="8">
        <f t="shared" si="172"/>
        <v>20.371094000001904</v>
      </c>
      <c r="G5565" s="8">
        <f t="shared" si="173"/>
        <v>2.0371094000001904E-2</v>
      </c>
    </row>
    <row r="5566" spans="1:7" x14ac:dyDescent="0.25">
      <c r="A5566" s="8">
        <v>74</v>
      </c>
      <c r="B5566" s="8">
        <v>18</v>
      </c>
      <c r="C5566" s="8">
        <v>158.66172800000001</v>
      </c>
      <c r="D5566" s="8">
        <v>56972.996094000002</v>
      </c>
      <c r="E5566" s="8">
        <v>56990.632812999997</v>
      </c>
      <c r="F5566" s="8">
        <f t="shared" si="172"/>
        <v>17.636718999994628</v>
      </c>
      <c r="G5566" s="8">
        <f t="shared" si="173"/>
        <v>1.7636718999994628E-2</v>
      </c>
    </row>
    <row r="5567" spans="1:7" x14ac:dyDescent="0.25">
      <c r="A5567" s="8">
        <v>74</v>
      </c>
      <c r="B5567" s="8">
        <v>19</v>
      </c>
      <c r="C5567" s="8">
        <v>7236.7846680000002</v>
      </c>
      <c r="D5567" s="8">
        <v>57160.519530999998</v>
      </c>
      <c r="E5567" s="8">
        <v>57181.886719000002</v>
      </c>
      <c r="F5567" s="8">
        <f t="shared" si="172"/>
        <v>21.367188000003807</v>
      </c>
      <c r="G5567" s="8">
        <f t="shared" si="173"/>
        <v>2.1367188000003808E-2</v>
      </c>
    </row>
    <row r="5568" spans="1:7" x14ac:dyDescent="0.25">
      <c r="A5568" s="8">
        <v>74</v>
      </c>
      <c r="B5568" s="8">
        <v>20</v>
      </c>
      <c r="C5568" s="8">
        <v>15.809872</v>
      </c>
      <c r="D5568" s="8">
        <v>64418.398437999997</v>
      </c>
      <c r="E5568" s="8">
        <v>64426.050780999998</v>
      </c>
      <c r="F5568" s="8">
        <f t="shared" si="172"/>
        <v>7.6523430000015651</v>
      </c>
      <c r="G5568" s="8">
        <f t="shared" si="173"/>
        <v>7.6523430000015654E-3</v>
      </c>
    </row>
    <row r="5569" spans="1:7" x14ac:dyDescent="0.25">
      <c r="A5569" s="8">
        <v>74</v>
      </c>
      <c r="B5569" s="8">
        <v>21</v>
      </c>
      <c r="C5569" s="8">
        <v>697.62078899999995</v>
      </c>
      <c r="D5569" s="8">
        <v>64449.65625</v>
      </c>
      <c r="E5569" s="8">
        <v>64469.46875</v>
      </c>
      <c r="F5569" s="8">
        <f t="shared" si="172"/>
        <v>19.8125</v>
      </c>
      <c r="G5569" s="8">
        <f t="shared" si="173"/>
        <v>1.98125E-2</v>
      </c>
    </row>
    <row r="5570" spans="1:7" x14ac:dyDescent="0.25">
      <c r="A5570" s="8">
        <v>74</v>
      </c>
      <c r="B5570" s="8">
        <v>22</v>
      </c>
      <c r="C5570" s="8">
        <v>127.19396999999999</v>
      </c>
      <c r="D5570" s="8">
        <v>65168.53125</v>
      </c>
      <c r="E5570" s="8">
        <v>65189.460937999997</v>
      </c>
      <c r="F5570" s="8">
        <f t="shared" si="172"/>
        <v>20.929687999996531</v>
      </c>
      <c r="G5570" s="8">
        <f t="shared" si="173"/>
        <v>2.0929687999996532E-2</v>
      </c>
    </row>
    <row r="5571" spans="1:7" x14ac:dyDescent="0.25">
      <c r="A5571" s="8">
        <v>74</v>
      </c>
      <c r="B5571" s="8">
        <v>23</v>
      </c>
      <c r="C5571" s="8">
        <v>7967.4365230000003</v>
      </c>
      <c r="D5571" s="8">
        <v>65324.742187999997</v>
      </c>
      <c r="E5571" s="8">
        <v>65336.25</v>
      </c>
      <c r="F5571" s="8">
        <f t="shared" si="172"/>
        <v>11.507812000003469</v>
      </c>
      <c r="G5571" s="8">
        <f t="shared" si="173"/>
        <v>1.1507812000003469E-2</v>
      </c>
    </row>
    <row r="5572" spans="1:7" x14ac:dyDescent="0.25">
      <c r="A5572" s="8">
        <v>74</v>
      </c>
      <c r="B5572" s="8">
        <v>24</v>
      </c>
      <c r="C5572" s="8">
        <v>2791.9084469999998</v>
      </c>
      <c r="D5572" s="8">
        <v>73310.632813000004</v>
      </c>
      <c r="E5572" s="8">
        <v>73322.476563000004</v>
      </c>
      <c r="F5572" s="8">
        <f t="shared" si="172"/>
        <v>11.84375</v>
      </c>
      <c r="G5572" s="8">
        <f t="shared" si="173"/>
        <v>1.184375E-2</v>
      </c>
    </row>
    <row r="5573" spans="1:7" x14ac:dyDescent="0.25">
      <c r="A5573" s="8">
        <v>74</v>
      </c>
      <c r="B5573" s="8">
        <v>25</v>
      </c>
      <c r="C5573" s="8">
        <v>2913.3579100000002</v>
      </c>
      <c r="D5573" s="8">
        <v>76116.34375</v>
      </c>
      <c r="E5573" s="8">
        <v>76127.953125</v>
      </c>
      <c r="F5573" s="8">
        <f t="shared" si="172"/>
        <v>11.609375</v>
      </c>
      <c r="G5573" s="8">
        <f t="shared" si="173"/>
        <v>1.1609375E-2</v>
      </c>
    </row>
    <row r="5574" spans="1:7" x14ac:dyDescent="0.25">
      <c r="A5574" s="8">
        <v>74</v>
      </c>
      <c r="B5574" s="8">
        <v>26</v>
      </c>
      <c r="C5574" s="8">
        <v>1327.0588379999999</v>
      </c>
      <c r="D5574" s="8">
        <v>79044.695313000004</v>
      </c>
      <c r="E5574" s="8">
        <v>79067.765625</v>
      </c>
      <c r="F5574" s="8">
        <f t="shared" si="172"/>
        <v>23.070311999996193</v>
      </c>
      <c r="G5574" s="8">
        <f t="shared" si="173"/>
        <v>2.3070311999996193E-2</v>
      </c>
    </row>
    <row r="5575" spans="1:7" x14ac:dyDescent="0.25">
      <c r="A5575" s="8">
        <v>74</v>
      </c>
      <c r="B5575" s="8">
        <v>27</v>
      </c>
      <c r="C5575" s="8">
        <v>747.63983199999996</v>
      </c>
      <c r="D5575" s="8">
        <v>80395.476563000004</v>
      </c>
      <c r="E5575" s="8">
        <v>80404.4375</v>
      </c>
      <c r="F5575" s="8">
        <f t="shared" si="172"/>
        <v>8.9609369999961928</v>
      </c>
      <c r="G5575" s="8">
        <f t="shared" si="173"/>
        <v>8.9609369999961927E-3</v>
      </c>
    </row>
    <row r="5576" spans="1:7" x14ac:dyDescent="0.25">
      <c r="A5576" s="8">
        <v>74</v>
      </c>
      <c r="B5576" s="8">
        <v>28</v>
      </c>
      <c r="C5576" s="8">
        <v>1784.3085940000001</v>
      </c>
      <c r="D5576" s="8">
        <v>81161.34375</v>
      </c>
      <c r="E5576" s="8">
        <v>81184.15625</v>
      </c>
      <c r="F5576" s="8">
        <f t="shared" si="172"/>
        <v>22.8125</v>
      </c>
      <c r="G5576" s="8">
        <f t="shared" si="173"/>
        <v>2.2812499999999999E-2</v>
      </c>
    </row>
    <row r="5577" spans="1:7" x14ac:dyDescent="0.25">
      <c r="A5577" s="8">
        <v>74</v>
      </c>
      <c r="B5577" s="8">
        <v>29</v>
      </c>
      <c r="C5577" s="8">
        <v>4124.451172</v>
      </c>
      <c r="D5577" s="8">
        <v>82980.007813000004</v>
      </c>
      <c r="E5577" s="8">
        <v>83001.976563000004</v>
      </c>
      <c r="F5577" s="8">
        <f t="shared" si="172"/>
        <v>21.96875</v>
      </c>
      <c r="G5577" s="8">
        <f t="shared" si="173"/>
        <v>2.1968749999999999E-2</v>
      </c>
    </row>
    <row r="5578" spans="1:7" x14ac:dyDescent="0.25">
      <c r="A5578" s="8">
        <v>74</v>
      </c>
      <c r="B5578" s="8">
        <v>30</v>
      </c>
      <c r="C5578" s="8">
        <v>8713.8457030000009</v>
      </c>
      <c r="D5578" s="8">
        <v>87127.71875</v>
      </c>
      <c r="E5578" s="8">
        <v>87152.171875</v>
      </c>
      <c r="F5578" s="8">
        <f t="shared" si="172"/>
        <v>24.453125</v>
      </c>
      <c r="G5578" s="8">
        <f t="shared" si="173"/>
        <v>2.4453124999999999E-2</v>
      </c>
    </row>
    <row r="5579" spans="1:7" x14ac:dyDescent="0.25">
      <c r="A5579" s="8">
        <v>74</v>
      </c>
      <c r="B5579" s="8">
        <v>31</v>
      </c>
      <c r="C5579" s="8">
        <v>750.74676499999998</v>
      </c>
      <c r="D5579" s="8">
        <v>95865.890625</v>
      </c>
      <c r="E5579" s="8">
        <v>95891.265625</v>
      </c>
      <c r="F5579" s="8">
        <f t="shared" ref="F5579:F5642" si="174">E5579-D5579</f>
        <v>25.375</v>
      </c>
      <c r="G5579" s="8">
        <f t="shared" ref="G5579:G5642" si="175">F5579/1000</f>
        <v>2.5375000000000002E-2</v>
      </c>
    </row>
    <row r="5580" spans="1:7" x14ac:dyDescent="0.25">
      <c r="A5580" s="8">
        <v>74</v>
      </c>
      <c r="B5580" s="8">
        <v>32</v>
      </c>
      <c r="C5580" s="8">
        <v>357.02804600000002</v>
      </c>
      <c r="D5580" s="8">
        <v>96649.609375</v>
      </c>
      <c r="E5580" s="8">
        <v>96661.640625</v>
      </c>
      <c r="F5580" s="8">
        <f t="shared" si="174"/>
        <v>12.03125</v>
      </c>
      <c r="G5580" s="8">
        <f t="shared" si="175"/>
        <v>1.203125E-2</v>
      </c>
    </row>
    <row r="5581" spans="1:7" x14ac:dyDescent="0.25">
      <c r="A5581" s="8">
        <v>74</v>
      </c>
      <c r="B5581" s="8">
        <v>33</v>
      </c>
      <c r="C5581" s="8">
        <v>266.23464999999999</v>
      </c>
      <c r="D5581" s="8">
        <v>97024.875</v>
      </c>
      <c r="E5581" s="8">
        <v>97167.414063000004</v>
      </c>
      <c r="F5581" s="8">
        <f t="shared" si="174"/>
        <v>142.53906300000381</v>
      </c>
      <c r="G5581" s="8">
        <f t="shared" si="175"/>
        <v>0.1425390630000038</v>
      </c>
    </row>
    <row r="5582" spans="1:7" x14ac:dyDescent="0.25">
      <c r="A5582" s="8">
        <v>74</v>
      </c>
      <c r="B5582" s="8">
        <v>34</v>
      </c>
      <c r="C5582" s="8">
        <v>479.87853999999999</v>
      </c>
      <c r="D5582" s="8">
        <v>97434.726563000004</v>
      </c>
      <c r="E5582" s="8">
        <v>97444.046875</v>
      </c>
      <c r="F5582" s="8">
        <f t="shared" si="174"/>
        <v>9.3203119999961928</v>
      </c>
      <c r="G5582" s="8">
        <f t="shared" si="175"/>
        <v>9.320311999996193E-3</v>
      </c>
    </row>
    <row r="5583" spans="1:7" x14ac:dyDescent="0.25">
      <c r="A5583" s="8">
        <v>74</v>
      </c>
      <c r="B5583" s="8">
        <v>35</v>
      </c>
      <c r="C5583" s="8">
        <v>153.712143</v>
      </c>
      <c r="D5583" s="8">
        <v>97925.757813000004</v>
      </c>
      <c r="E5583" s="8">
        <v>97949.09375</v>
      </c>
      <c r="F5583" s="8">
        <f t="shared" si="174"/>
        <v>23.335936999996193</v>
      </c>
      <c r="G5583" s="8">
        <f t="shared" si="175"/>
        <v>2.3335936999996192E-2</v>
      </c>
    </row>
    <row r="5584" spans="1:7" x14ac:dyDescent="0.25">
      <c r="A5584" s="8">
        <v>74</v>
      </c>
      <c r="B5584" s="8">
        <v>36</v>
      </c>
      <c r="C5584" s="8">
        <v>638.21258499999999</v>
      </c>
      <c r="D5584" s="8">
        <v>98113.296875</v>
      </c>
      <c r="E5584" s="8">
        <v>98127.671875</v>
      </c>
      <c r="F5584" s="8">
        <f t="shared" si="174"/>
        <v>14.375</v>
      </c>
      <c r="G5584" s="8">
        <f t="shared" si="175"/>
        <v>1.4375000000000001E-2</v>
      </c>
    </row>
    <row r="5585" spans="1:7" x14ac:dyDescent="0.25">
      <c r="A5585" s="8">
        <v>74</v>
      </c>
      <c r="B5585" s="8">
        <v>37</v>
      </c>
      <c r="C5585" s="8">
        <v>2716.1997070000002</v>
      </c>
      <c r="D5585" s="8">
        <v>98769.484375</v>
      </c>
      <c r="E5585" s="8">
        <v>98788.625</v>
      </c>
      <c r="F5585" s="8">
        <f t="shared" si="174"/>
        <v>19.140625</v>
      </c>
      <c r="G5585" s="8">
        <f t="shared" si="175"/>
        <v>1.9140625000000001E-2</v>
      </c>
    </row>
    <row r="5586" spans="1:7" x14ac:dyDescent="0.25">
      <c r="A5586" s="8">
        <v>74</v>
      </c>
      <c r="B5586" s="8">
        <v>38</v>
      </c>
      <c r="C5586" s="8">
        <v>2045.1889650000001</v>
      </c>
      <c r="D5586" s="8">
        <v>101519.140625</v>
      </c>
      <c r="E5586" s="8">
        <v>101538.796875</v>
      </c>
      <c r="F5586" s="8">
        <f t="shared" si="174"/>
        <v>19.65625</v>
      </c>
      <c r="G5586" s="8">
        <f t="shared" si="175"/>
        <v>1.965625E-2</v>
      </c>
    </row>
    <row r="5587" spans="1:7" x14ac:dyDescent="0.25">
      <c r="A5587" s="8">
        <v>74</v>
      </c>
      <c r="B5587" s="8">
        <v>39</v>
      </c>
      <c r="C5587" s="8">
        <v>7.3991619999999996</v>
      </c>
      <c r="D5587" s="8">
        <v>103591.09375</v>
      </c>
      <c r="E5587" s="8">
        <v>103611.59375</v>
      </c>
      <c r="F5587" s="8">
        <f t="shared" si="174"/>
        <v>20.5</v>
      </c>
      <c r="G5587" s="8">
        <f t="shared" si="175"/>
        <v>2.0500000000000001E-2</v>
      </c>
    </row>
    <row r="5588" spans="1:7" x14ac:dyDescent="0.25">
      <c r="A5588" s="8">
        <v>74</v>
      </c>
      <c r="B5588" s="8">
        <v>40</v>
      </c>
      <c r="C5588" s="8">
        <v>773.71038799999997</v>
      </c>
      <c r="D5588" s="8">
        <v>103622.15625</v>
      </c>
      <c r="E5588" s="8">
        <v>103633.773438</v>
      </c>
      <c r="F5588" s="8">
        <f t="shared" si="174"/>
        <v>11.617188000003807</v>
      </c>
      <c r="G5588" s="8">
        <f t="shared" si="175"/>
        <v>1.1617188000003806E-2</v>
      </c>
    </row>
    <row r="5589" spans="1:7" x14ac:dyDescent="0.25">
      <c r="A5589" s="8">
        <v>74</v>
      </c>
      <c r="B5589" s="8">
        <v>41</v>
      </c>
      <c r="C5589" s="8">
        <v>5145.4624020000001</v>
      </c>
      <c r="D5589" s="8">
        <v>104409.523438</v>
      </c>
      <c r="E5589" s="8">
        <v>104429.21875</v>
      </c>
      <c r="F5589" s="8">
        <f t="shared" si="174"/>
        <v>19.695311999996193</v>
      </c>
      <c r="G5589" s="8">
        <f t="shared" si="175"/>
        <v>1.9695311999996194E-2</v>
      </c>
    </row>
    <row r="5590" spans="1:7" x14ac:dyDescent="0.25">
      <c r="A5590" s="8">
        <v>74</v>
      </c>
      <c r="B5590" s="8">
        <v>42</v>
      </c>
      <c r="C5590" s="8">
        <v>1961.9229740000001</v>
      </c>
      <c r="D5590" s="8">
        <v>109580.171875</v>
      </c>
      <c r="E5590" s="8">
        <v>109602.921875</v>
      </c>
      <c r="F5590" s="8">
        <f t="shared" si="174"/>
        <v>22.75</v>
      </c>
      <c r="G5590" s="8">
        <f t="shared" si="175"/>
        <v>2.2749999999999999E-2</v>
      </c>
    </row>
    <row r="5591" spans="1:7" x14ac:dyDescent="0.25">
      <c r="A5591" s="8">
        <v>74</v>
      </c>
      <c r="B5591" s="8">
        <v>43</v>
      </c>
      <c r="C5591" s="8">
        <v>7301.5297849999997</v>
      </c>
      <c r="D5591" s="8">
        <v>111564.757813</v>
      </c>
      <c r="E5591" s="8">
        <v>111572.554688</v>
      </c>
      <c r="F5591" s="8">
        <f t="shared" si="174"/>
        <v>7.796875</v>
      </c>
      <c r="G5591" s="8">
        <f t="shared" si="175"/>
        <v>7.796875E-3</v>
      </c>
    </row>
    <row r="5592" spans="1:7" x14ac:dyDescent="0.25">
      <c r="A5592" s="8">
        <v>74</v>
      </c>
      <c r="B5592" s="8">
        <v>44</v>
      </c>
      <c r="C5592" s="8">
        <v>253.307129</v>
      </c>
      <c r="D5592" s="8">
        <v>118885.109375</v>
      </c>
      <c r="E5592" s="8">
        <v>118990.4375</v>
      </c>
      <c r="F5592" s="8">
        <f t="shared" si="174"/>
        <v>105.328125</v>
      </c>
      <c r="G5592" s="8">
        <f t="shared" si="175"/>
        <v>0.10532812499999999</v>
      </c>
    </row>
    <row r="5593" spans="1:7" x14ac:dyDescent="0.25">
      <c r="A5593" s="8">
        <v>74</v>
      </c>
      <c r="B5593" s="8">
        <v>45</v>
      </c>
      <c r="C5593" s="8">
        <v>6190.7094729999999</v>
      </c>
      <c r="D5593" s="8">
        <v>119250.945313</v>
      </c>
      <c r="E5593" s="8">
        <v>119281.132813</v>
      </c>
      <c r="F5593" s="8">
        <f t="shared" si="174"/>
        <v>30.1875</v>
      </c>
      <c r="G5593" s="8">
        <f t="shared" si="175"/>
        <v>3.0187499999999999E-2</v>
      </c>
    </row>
    <row r="5594" spans="1:7" x14ac:dyDescent="0.25">
      <c r="A5594" s="8">
        <v>74</v>
      </c>
      <c r="B5594" s="8">
        <v>46</v>
      </c>
      <c r="C5594" s="8">
        <v>1817.6527100000001</v>
      </c>
      <c r="D5594" s="8">
        <v>125486.570313</v>
      </c>
      <c r="E5594" s="8">
        <v>125497.882813</v>
      </c>
      <c r="F5594" s="8">
        <f t="shared" si="174"/>
        <v>11.3125</v>
      </c>
      <c r="G5594" s="8">
        <f t="shared" si="175"/>
        <v>1.13125E-2</v>
      </c>
    </row>
    <row r="5595" spans="1:7" x14ac:dyDescent="0.25">
      <c r="A5595" s="8">
        <v>74</v>
      </c>
      <c r="B5595" s="8">
        <v>47</v>
      </c>
      <c r="C5595" s="8">
        <v>3630.2661130000001</v>
      </c>
      <c r="D5595" s="8">
        <v>127315.328125</v>
      </c>
      <c r="E5595" s="8">
        <v>127333.195313</v>
      </c>
      <c r="F5595" s="8">
        <f t="shared" si="174"/>
        <v>17.867188000003807</v>
      </c>
      <c r="G5595" s="8">
        <f t="shared" si="175"/>
        <v>1.7867188000003809E-2</v>
      </c>
    </row>
    <row r="5596" spans="1:7" x14ac:dyDescent="0.25">
      <c r="A5596" s="8">
        <v>74</v>
      </c>
      <c r="B5596" s="8">
        <v>48</v>
      </c>
      <c r="C5596" s="8">
        <v>625.40454099999999</v>
      </c>
      <c r="D5596" s="8">
        <v>130973.453125</v>
      </c>
      <c r="E5596" s="8">
        <v>130990.796875</v>
      </c>
      <c r="F5596" s="8">
        <f t="shared" si="174"/>
        <v>17.34375</v>
      </c>
      <c r="G5596" s="8">
        <f t="shared" si="175"/>
        <v>1.7343750000000002E-2</v>
      </c>
    </row>
    <row r="5597" spans="1:7" x14ac:dyDescent="0.25">
      <c r="A5597" s="8">
        <v>74</v>
      </c>
      <c r="B5597" s="8">
        <v>49</v>
      </c>
      <c r="C5597" s="8">
        <v>124.269058</v>
      </c>
      <c r="D5597" s="8">
        <v>131623.78125</v>
      </c>
      <c r="E5597" s="8">
        <v>131639.265625</v>
      </c>
      <c r="F5597" s="8">
        <f t="shared" si="174"/>
        <v>15.484375</v>
      </c>
      <c r="G5597" s="8">
        <f t="shared" si="175"/>
        <v>1.5484375E-2</v>
      </c>
    </row>
    <row r="5598" spans="1:7" x14ac:dyDescent="0.25">
      <c r="A5598" s="8">
        <v>74</v>
      </c>
      <c r="B5598" s="8">
        <v>50</v>
      </c>
      <c r="C5598" s="8">
        <v>722.25488299999995</v>
      </c>
      <c r="D5598" s="8">
        <v>131764.484375</v>
      </c>
      <c r="E5598" s="8">
        <v>131782.0625</v>
      </c>
      <c r="F5598" s="8">
        <f t="shared" si="174"/>
        <v>17.578125</v>
      </c>
      <c r="G5598" s="8">
        <f t="shared" si="175"/>
        <v>1.7578125E-2</v>
      </c>
    </row>
    <row r="5599" spans="1:7" x14ac:dyDescent="0.25">
      <c r="A5599" s="8">
        <v>74</v>
      </c>
      <c r="B5599" s="8">
        <v>51</v>
      </c>
      <c r="C5599" s="8">
        <v>1803.466064</v>
      </c>
      <c r="D5599" s="8">
        <v>132514.578125</v>
      </c>
      <c r="E5599" s="8">
        <v>132542.5625</v>
      </c>
      <c r="F5599" s="8">
        <f t="shared" si="174"/>
        <v>27.984375</v>
      </c>
      <c r="G5599" s="8">
        <f t="shared" si="175"/>
        <v>2.7984374999999999E-2</v>
      </c>
    </row>
    <row r="5600" spans="1:7" x14ac:dyDescent="0.25">
      <c r="A5600" s="8">
        <v>74</v>
      </c>
      <c r="B5600" s="8">
        <v>52</v>
      </c>
      <c r="C5600" s="8">
        <v>1560.2117920000001</v>
      </c>
      <c r="D5600" s="8">
        <v>134347.578125</v>
      </c>
      <c r="E5600" s="8">
        <v>134358.546875</v>
      </c>
      <c r="F5600" s="8">
        <f t="shared" si="174"/>
        <v>10.96875</v>
      </c>
      <c r="G5600" s="8">
        <f t="shared" si="175"/>
        <v>1.0968749999999999E-2</v>
      </c>
    </row>
    <row r="5601" spans="1:7" x14ac:dyDescent="0.25">
      <c r="A5601" s="8">
        <v>74</v>
      </c>
      <c r="B5601" s="8">
        <v>53</v>
      </c>
      <c r="C5601" s="8">
        <v>209.18215900000001</v>
      </c>
      <c r="D5601" s="8">
        <v>135928.9375</v>
      </c>
      <c r="E5601" s="8">
        <v>135938.90625</v>
      </c>
      <c r="F5601" s="8">
        <f t="shared" si="174"/>
        <v>9.96875</v>
      </c>
      <c r="G5601" s="8">
        <f t="shared" si="175"/>
        <v>9.9687500000000002E-3</v>
      </c>
    </row>
    <row r="5602" spans="1:7" x14ac:dyDescent="0.25">
      <c r="A5602" s="8">
        <v>74</v>
      </c>
      <c r="B5602" s="8">
        <v>54</v>
      </c>
      <c r="C5602" s="8">
        <v>302.04470800000001</v>
      </c>
      <c r="D5602" s="8">
        <v>136163.390625</v>
      </c>
      <c r="E5602" s="8">
        <v>136183.953125</v>
      </c>
      <c r="F5602" s="8">
        <f t="shared" si="174"/>
        <v>20.5625</v>
      </c>
      <c r="G5602" s="8">
        <f t="shared" si="175"/>
        <v>2.0562500000000001E-2</v>
      </c>
    </row>
    <row r="5603" spans="1:7" x14ac:dyDescent="0.25">
      <c r="A5603" s="8">
        <v>74</v>
      </c>
      <c r="B5603" s="8">
        <v>55</v>
      </c>
      <c r="C5603" s="8">
        <v>2000.3824460000001</v>
      </c>
      <c r="D5603" s="8">
        <v>136492.875</v>
      </c>
      <c r="E5603" s="8">
        <v>136504.359375</v>
      </c>
      <c r="F5603" s="8">
        <f t="shared" si="174"/>
        <v>11.484375</v>
      </c>
      <c r="G5603" s="8">
        <f t="shared" si="175"/>
        <v>1.1484375E-2</v>
      </c>
    </row>
    <row r="5604" spans="1:7" x14ac:dyDescent="0.25">
      <c r="A5604" s="8">
        <v>74</v>
      </c>
      <c r="B5604" s="8">
        <v>56</v>
      </c>
      <c r="C5604" s="8">
        <v>1568.08374</v>
      </c>
      <c r="D5604" s="8">
        <v>138515.6875</v>
      </c>
      <c r="E5604" s="8">
        <v>138536.4375</v>
      </c>
      <c r="F5604" s="8">
        <f t="shared" si="174"/>
        <v>20.75</v>
      </c>
      <c r="G5604" s="8">
        <f t="shared" si="175"/>
        <v>2.0750000000000001E-2</v>
      </c>
    </row>
    <row r="5605" spans="1:7" x14ac:dyDescent="0.25">
      <c r="A5605" s="8">
        <v>74</v>
      </c>
      <c r="B5605" s="8">
        <v>57</v>
      </c>
      <c r="C5605" s="8">
        <v>1214.164673</v>
      </c>
      <c r="D5605" s="8">
        <v>140115.984375</v>
      </c>
      <c r="E5605" s="8">
        <v>140134.75</v>
      </c>
      <c r="F5605" s="8">
        <f t="shared" si="174"/>
        <v>18.765625</v>
      </c>
      <c r="G5605" s="8">
        <f t="shared" si="175"/>
        <v>1.8765625000000001E-2</v>
      </c>
    </row>
    <row r="5606" spans="1:7" x14ac:dyDescent="0.25">
      <c r="A5606" s="8">
        <v>74</v>
      </c>
      <c r="B5606" s="8">
        <v>58</v>
      </c>
      <c r="C5606" s="8">
        <v>3971.578125</v>
      </c>
      <c r="D5606" s="8">
        <v>141360.515625</v>
      </c>
      <c r="E5606" s="8">
        <v>141368.421875</v>
      </c>
      <c r="F5606" s="8">
        <f t="shared" si="174"/>
        <v>7.90625</v>
      </c>
      <c r="G5606" s="8">
        <f t="shared" si="175"/>
        <v>7.9062500000000001E-3</v>
      </c>
    </row>
    <row r="5607" spans="1:7" x14ac:dyDescent="0.25">
      <c r="A5607" s="8">
        <v>74</v>
      </c>
      <c r="B5607" s="8">
        <v>59</v>
      </c>
      <c r="C5607" s="8">
        <v>1293.6816409999999</v>
      </c>
      <c r="D5607" s="8">
        <v>145349.609375</v>
      </c>
      <c r="E5607" s="8">
        <v>145363.09375</v>
      </c>
      <c r="F5607" s="8">
        <f t="shared" si="174"/>
        <v>13.484375</v>
      </c>
      <c r="G5607" s="8">
        <f t="shared" si="175"/>
        <v>1.3484375E-2</v>
      </c>
    </row>
    <row r="5608" spans="1:7" x14ac:dyDescent="0.25">
      <c r="A5608" s="8">
        <v>74</v>
      </c>
      <c r="B5608" s="8">
        <v>60</v>
      </c>
      <c r="C5608" s="8">
        <v>3582.8479000000002</v>
      </c>
      <c r="D5608" s="8">
        <v>146662.25</v>
      </c>
      <c r="E5608" s="8">
        <v>146674.28125</v>
      </c>
      <c r="F5608" s="8">
        <f t="shared" si="174"/>
        <v>12.03125</v>
      </c>
      <c r="G5608" s="8">
        <f t="shared" si="175"/>
        <v>1.203125E-2</v>
      </c>
    </row>
    <row r="5609" spans="1:7" x14ac:dyDescent="0.25">
      <c r="A5609" s="8">
        <v>74</v>
      </c>
      <c r="B5609" s="8">
        <v>61</v>
      </c>
      <c r="C5609" s="8">
        <v>1581.901611</v>
      </c>
      <c r="D5609" s="8">
        <v>150264.484375</v>
      </c>
      <c r="E5609" s="8">
        <v>150278.71875</v>
      </c>
      <c r="F5609" s="8">
        <f t="shared" si="174"/>
        <v>14.234375</v>
      </c>
      <c r="G5609" s="8">
        <f t="shared" si="175"/>
        <v>1.4234375E-2</v>
      </c>
    </row>
    <row r="5610" spans="1:7" x14ac:dyDescent="0.25">
      <c r="A5610" s="8">
        <v>74</v>
      </c>
      <c r="B5610" s="8">
        <v>62</v>
      </c>
      <c r="C5610" s="8">
        <v>1095.4470209999999</v>
      </c>
      <c r="D5610" s="8">
        <v>151874.03125</v>
      </c>
      <c r="E5610" s="8">
        <v>152000.53125</v>
      </c>
      <c r="F5610" s="8">
        <f t="shared" si="174"/>
        <v>126.5</v>
      </c>
      <c r="G5610" s="8">
        <f t="shared" si="175"/>
        <v>0.1265</v>
      </c>
    </row>
    <row r="5611" spans="1:7" x14ac:dyDescent="0.25">
      <c r="A5611" s="8">
        <v>74</v>
      </c>
      <c r="B5611" s="8">
        <v>63</v>
      </c>
      <c r="C5611" s="8">
        <v>320.15728799999999</v>
      </c>
      <c r="D5611" s="8">
        <v>153109.546875</v>
      </c>
      <c r="E5611" s="8">
        <v>153122.21875</v>
      </c>
      <c r="F5611" s="8">
        <f t="shared" si="174"/>
        <v>12.671875</v>
      </c>
      <c r="G5611" s="8">
        <f t="shared" si="175"/>
        <v>1.2671875000000001E-2</v>
      </c>
    </row>
    <row r="5612" spans="1:7" x14ac:dyDescent="0.25">
      <c r="A5612" s="8">
        <v>74</v>
      </c>
      <c r="B5612" s="8">
        <v>64</v>
      </c>
      <c r="C5612" s="8">
        <v>505.490906</v>
      </c>
      <c r="D5612" s="8">
        <v>153453.296875</v>
      </c>
      <c r="E5612" s="8">
        <v>153477.734375</v>
      </c>
      <c r="F5612" s="8">
        <f t="shared" si="174"/>
        <v>24.4375</v>
      </c>
      <c r="G5612" s="8">
        <f t="shared" si="175"/>
        <v>2.4437500000000001E-2</v>
      </c>
    </row>
    <row r="5613" spans="1:7" x14ac:dyDescent="0.25">
      <c r="A5613" s="8">
        <v>74</v>
      </c>
      <c r="B5613" s="8">
        <v>65</v>
      </c>
      <c r="C5613" s="8">
        <v>3300.9216310000002</v>
      </c>
      <c r="D5613" s="8">
        <v>153984.640625</v>
      </c>
      <c r="E5613" s="8">
        <v>153993.734375</v>
      </c>
      <c r="F5613" s="8">
        <f t="shared" si="174"/>
        <v>9.09375</v>
      </c>
      <c r="G5613" s="8">
        <f t="shared" si="175"/>
        <v>9.0937499999999994E-3</v>
      </c>
    </row>
    <row r="5614" spans="1:7" x14ac:dyDescent="0.25">
      <c r="A5614" s="8">
        <v>74</v>
      </c>
      <c r="B5614" s="8">
        <v>66</v>
      </c>
      <c r="C5614" s="8">
        <v>1032.177246</v>
      </c>
      <c r="D5614" s="8">
        <v>157297.515625</v>
      </c>
      <c r="E5614" s="8">
        <v>157308.640625</v>
      </c>
      <c r="F5614" s="8">
        <f t="shared" si="174"/>
        <v>11.125</v>
      </c>
      <c r="G5614" s="8">
        <f t="shared" si="175"/>
        <v>1.1124999999999999E-2</v>
      </c>
    </row>
    <row r="5615" spans="1:7" x14ac:dyDescent="0.25">
      <c r="A5615" s="8">
        <v>74</v>
      </c>
      <c r="B5615" s="8">
        <v>67</v>
      </c>
      <c r="C5615" s="8">
        <v>2581.2858890000002</v>
      </c>
      <c r="D5615" s="8">
        <v>158344.4375</v>
      </c>
      <c r="E5615" s="8">
        <v>158356.765625</v>
      </c>
      <c r="F5615" s="8">
        <f t="shared" si="174"/>
        <v>12.328125</v>
      </c>
      <c r="G5615" s="8">
        <f t="shared" si="175"/>
        <v>1.2328125000000001E-2</v>
      </c>
    </row>
    <row r="5616" spans="1:7" x14ac:dyDescent="0.25">
      <c r="A5616" s="8">
        <v>74</v>
      </c>
      <c r="B5616" s="8">
        <v>68</v>
      </c>
      <c r="C5616" s="8">
        <v>1284.1473390000001</v>
      </c>
      <c r="D5616" s="8">
        <v>160939.53125</v>
      </c>
      <c r="E5616" s="8">
        <v>160956.796875</v>
      </c>
      <c r="F5616" s="8">
        <f t="shared" si="174"/>
        <v>17.265625</v>
      </c>
      <c r="G5616" s="8">
        <f t="shared" si="175"/>
        <v>1.7265625E-2</v>
      </c>
    </row>
    <row r="5617" spans="1:7" x14ac:dyDescent="0.25">
      <c r="A5617" s="8">
        <v>74</v>
      </c>
      <c r="B5617" s="8">
        <v>69</v>
      </c>
      <c r="C5617" s="8">
        <v>1299.5177000000001</v>
      </c>
      <c r="D5617" s="8">
        <v>162252.71875</v>
      </c>
      <c r="E5617" s="8">
        <v>162279.65625</v>
      </c>
      <c r="F5617" s="8">
        <f t="shared" si="174"/>
        <v>26.9375</v>
      </c>
      <c r="G5617" s="8">
        <f t="shared" si="175"/>
        <v>2.69375E-2</v>
      </c>
    </row>
    <row r="5618" spans="1:7" x14ac:dyDescent="0.25">
      <c r="A5618" s="8">
        <v>74</v>
      </c>
      <c r="B5618" s="8">
        <v>70</v>
      </c>
      <c r="C5618" s="8">
        <v>69.936378000000005</v>
      </c>
      <c r="D5618" s="8">
        <v>163580.9375</v>
      </c>
      <c r="E5618" s="8">
        <v>163595.921875</v>
      </c>
      <c r="F5618" s="8">
        <f t="shared" si="174"/>
        <v>14.984375</v>
      </c>
      <c r="G5618" s="8">
        <f t="shared" si="175"/>
        <v>1.4984374999999999E-2</v>
      </c>
    </row>
    <row r="5619" spans="1:7" x14ac:dyDescent="0.25">
      <c r="A5619" s="8">
        <v>74</v>
      </c>
      <c r="B5619" s="8">
        <v>71</v>
      </c>
      <c r="C5619" s="8">
        <v>436.970123</v>
      </c>
      <c r="D5619" s="8">
        <v>163674.703125</v>
      </c>
      <c r="E5619" s="8">
        <v>163685.71875</v>
      </c>
      <c r="F5619" s="8">
        <f t="shared" si="174"/>
        <v>11.015625</v>
      </c>
      <c r="G5619" s="8">
        <f t="shared" si="175"/>
        <v>1.1015624999999999E-2</v>
      </c>
    </row>
    <row r="5620" spans="1:7" x14ac:dyDescent="0.25">
      <c r="A5620" s="8">
        <v>74</v>
      </c>
      <c r="B5620" s="8">
        <v>72</v>
      </c>
      <c r="C5620" s="8">
        <v>218.011292</v>
      </c>
      <c r="D5620" s="8">
        <v>164127.859375</v>
      </c>
      <c r="E5620" s="8">
        <v>164135.515625</v>
      </c>
      <c r="F5620" s="8">
        <f t="shared" si="174"/>
        <v>7.65625</v>
      </c>
      <c r="G5620" s="8">
        <f t="shared" si="175"/>
        <v>7.6562499999999999E-3</v>
      </c>
    </row>
    <row r="5621" spans="1:7" x14ac:dyDescent="0.25">
      <c r="A5621" s="8">
        <v>74</v>
      </c>
      <c r="B5621" s="8">
        <v>73</v>
      </c>
      <c r="C5621" s="8">
        <v>87.076042000000001</v>
      </c>
      <c r="D5621" s="8">
        <v>164362.265625</v>
      </c>
      <c r="E5621" s="8">
        <v>164385.546875</v>
      </c>
      <c r="F5621" s="8">
        <f t="shared" si="174"/>
        <v>23.28125</v>
      </c>
      <c r="G5621" s="8">
        <f t="shared" si="175"/>
        <v>2.328125E-2</v>
      </c>
    </row>
    <row r="5622" spans="1:7" x14ac:dyDescent="0.25">
      <c r="A5622" s="8">
        <v>74</v>
      </c>
      <c r="B5622" s="8">
        <v>74</v>
      </c>
      <c r="C5622" s="8">
        <v>518.183899</v>
      </c>
      <c r="D5622" s="8">
        <v>164481.421875</v>
      </c>
      <c r="E5622" s="8">
        <v>164498.78125</v>
      </c>
      <c r="F5622" s="8">
        <f t="shared" si="174"/>
        <v>17.359375</v>
      </c>
      <c r="G5622" s="8">
        <f t="shared" si="175"/>
        <v>1.7359375E-2</v>
      </c>
    </row>
    <row r="5623" spans="1:7" x14ac:dyDescent="0.25">
      <c r="A5623" s="8">
        <v>74</v>
      </c>
      <c r="B5623" s="8">
        <v>75</v>
      </c>
      <c r="C5623" s="8">
        <v>460.95910600000002</v>
      </c>
      <c r="D5623" s="8">
        <v>165030.328125</v>
      </c>
      <c r="E5623" s="8">
        <v>165050.640625</v>
      </c>
      <c r="F5623" s="8">
        <f t="shared" si="174"/>
        <v>20.3125</v>
      </c>
      <c r="G5623" s="8">
        <f t="shared" si="175"/>
        <v>2.0312500000000001E-2</v>
      </c>
    </row>
    <row r="5624" spans="1:7" x14ac:dyDescent="0.25">
      <c r="A5624" s="8">
        <v>74</v>
      </c>
      <c r="B5624" s="8">
        <v>76</v>
      </c>
      <c r="C5624" s="8">
        <v>1524.1842039999999</v>
      </c>
      <c r="D5624" s="8">
        <v>165514.6875</v>
      </c>
      <c r="E5624" s="8">
        <v>165528.3125</v>
      </c>
      <c r="F5624" s="8">
        <f t="shared" si="174"/>
        <v>13.625</v>
      </c>
      <c r="G5624" s="8">
        <f t="shared" si="175"/>
        <v>1.3625E-2</v>
      </c>
    </row>
    <row r="5625" spans="1:7" x14ac:dyDescent="0.25">
      <c r="A5625" s="8">
        <v>74</v>
      </c>
      <c r="B5625" s="8">
        <v>77</v>
      </c>
      <c r="C5625" s="8">
        <v>2271.5270999999998</v>
      </c>
      <c r="D5625" s="8">
        <v>167067.703125</v>
      </c>
      <c r="E5625" s="8">
        <v>167089.265625</v>
      </c>
      <c r="F5625" s="8">
        <f t="shared" si="174"/>
        <v>21.5625</v>
      </c>
      <c r="G5625" s="8">
        <f t="shared" si="175"/>
        <v>2.1562499999999998E-2</v>
      </c>
    </row>
    <row r="5626" spans="1:7" x14ac:dyDescent="0.25">
      <c r="A5626" s="8">
        <v>74</v>
      </c>
      <c r="B5626" s="8">
        <v>78</v>
      </c>
      <c r="C5626" s="8">
        <v>2002.873413</v>
      </c>
      <c r="D5626" s="8">
        <v>169360.984375</v>
      </c>
      <c r="E5626" s="8">
        <v>169379.015625</v>
      </c>
      <c r="F5626" s="8">
        <f t="shared" si="174"/>
        <v>18.03125</v>
      </c>
      <c r="G5626" s="8">
        <f t="shared" si="175"/>
        <v>1.8031249999999999E-2</v>
      </c>
    </row>
    <row r="5627" spans="1:7" x14ac:dyDescent="0.25">
      <c r="A5627" s="8">
        <v>75</v>
      </c>
      <c r="B5627" s="8">
        <v>0</v>
      </c>
      <c r="C5627" s="8">
        <v>716.74468999999999</v>
      </c>
      <c r="D5627" s="8">
        <v>20088.259765999999</v>
      </c>
      <c r="E5627" s="8">
        <v>20115.105468999998</v>
      </c>
      <c r="F5627" s="8">
        <f t="shared" si="174"/>
        <v>26.845702999999048</v>
      </c>
      <c r="G5627" s="8">
        <f t="shared" si="175"/>
        <v>2.6845702999999048E-2</v>
      </c>
    </row>
    <row r="5628" spans="1:7" x14ac:dyDescent="0.25">
      <c r="A5628" s="8">
        <v>75</v>
      </c>
      <c r="B5628" s="8">
        <v>1</v>
      </c>
      <c r="C5628" s="8">
        <v>1767.1042480000001</v>
      </c>
      <c r="D5628" s="8">
        <v>20844.296875</v>
      </c>
      <c r="E5628" s="8">
        <v>20982.740234000001</v>
      </c>
      <c r="F5628" s="8">
        <f t="shared" si="174"/>
        <v>138.44335900000078</v>
      </c>
      <c r="G5628" s="8">
        <f t="shared" si="175"/>
        <v>0.13844335900000079</v>
      </c>
    </row>
    <row r="5629" spans="1:7" x14ac:dyDescent="0.25">
      <c r="A5629" s="8">
        <v>75</v>
      </c>
      <c r="B5629" s="8">
        <v>2</v>
      </c>
      <c r="C5629" s="8">
        <v>1193.4389650000001</v>
      </c>
      <c r="D5629" s="8">
        <v>22750.748047000001</v>
      </c>
      <c r="E5629" s="8">
        <v>22760.279297000001</v>
      </c>
      <c r="F5629" s="8">
        <f t="shared" si="174"/>
        <v>9.53125</v>
      </c>
      <c r="G5629" s="8">
        <f t="shared" si="175"/>
        <v>9.5312499999999998E-3</v>
      </c>
    </row>
    <row r="5630" spans="1:7" x14ac:dyDescent="0.25">
      <c r="A5630" s="8">
        <v>75</v>
      </c>
      <c r="B5630" s="8">
        <v>3</v>
      </c>
      <c r="C5630" s="8">
        <v>403.38385</v>
      </c>
      <c r="D5630" s="8">
        <v>23959.173827999999</v>
      </c>
      <c r="E5630" s="8">
        <v>23966.90625</v>
      </c>
      <c r="F5630" s="8">
        <f t="shared" si="174"/>
        <v>7.7324220000009518</v>
      </c>
      <c r="G5630" s="8">
        <f t="shared" si="175"/>
        <v>7.7324220000009516E-3</v>
      </c>
    </row>
    <row r="5631" spans="1:7" x14ac:dyDescent="0.25">
      <c r="A5631" s="8">
        <v>75</v>
      </c>
      <c r="B5631" s="8">
        <v>4</v>
      </c>
      <c r="C5631" s="8">
        <v>170.39160200000001</v>
      </c>
      <c r="D5631" s="8">
        <v>24381.158202999999</v>
      </c>
      <c r="E5631" s="8">
        <v>24391.140625</v>
      </c>
      <c r="F5631" s="8">
        <f t="shared" si="174"/>
        <v>9.9824220000009518</v>
      </c>
      <c r="G5631" s="8">
        <f t="shared" si="175"/>
        <v>9.9824220000009518E-3</v>
      </c>
    </row>
    <row r="5632" spans="1:7" x14ac:dyDescent="0.25">
      <c r="A5632" s="8">
        <v>75</v>
      </c>
      <c r="B5632" s="8">
        <v>5</v>
      </c>
      <c r="C5632" s="8">
        <v>1018.723511</v>
      </c>
      <c r="D5632" s="8">
        <v>24568.6875</v>
      </c>
      <c r="E5632" s="8">
        <v>24589.5625</v>
      </c>
      <c r="F5632" s="8">
        <f t="shared" si="174"/>
        <v>20.875</v>
      </c>
      <c r="G5632" s="8">
        <f t="shared" si="175"/>
        <v>2.0875000000000001E-2</v>
      </c>
    </row>
    <row r="5633" spans="1:7" x14ac:dyDescent="0.25">
      <c r="A5633" s="8">
        <v>75</v>
      </c>
      <c r="B5633" s="8">
        <v>6</v>
      </c>
      <c r="C5633" s="8">
        <v>7039.7622069999998</v>
      </c>
      <c r="D5633" s="8">
        <v>25615.664063</v>
      </c>
      <c r="E5633" s="8">
        <v>25629.466797000001</v>
      </c>
      <c r="F5633" s="8">
        <f t="shared" si="174"/>
        <v>13.802734000000783</v>
      </c>
      <c r="G5633" s="8">
        <f t="shared" si="175"/>
        <v>1.3802734000000783E-2</v>
      </c>
    </row>
    <row r="5634" spans="1:7" x14ac:dyDescent="0.25">
      <c r="A5634" s="8">
        <v>75</v>
      </c>
      <c r="B5634" s="8">
        <v>7</v>
      </c>
      <c r="C5634" s="8">
        <v>1327.7700199999999</v>
      </c>
      <c r="D5634" s="8">
        <v>32676.394531000002</v>
      </c>
      <c r="E5634" s="8">
        <v>32690.787109000001</v>
      </c>
      <c r="F5634" s="8">
        <f t="shared" si="174"/>
        <v>14.392577999999048</v>
      </c>
      <c r="G5634" s="8">
        <f t="shared" si="175"/>
        <v>1.4392577999999049E-2</v>
      </c>
    </row>
    <row r="5635" spans="1:7" x14ac:dyDescent="0.25">
      <c r="A5635" s="8">
        <v>75</v>
      </c>
      <c r="B5635" s="8">
        <v>8</v>
      </c>
      <c r="C5635" s="8">
        <v>884.18780500000003</v>
      </c>
      <c r="D5635" s="8">
        <v>34025.058594000002</v>
      </c>
      <c r="E5635" s="8">
        <v>34049.921875</v>
      </c>
      <c r="F5635" s="8">
        <f t="shared" si="174"/>
        <v>24.863280999998096</v>
      </c>
      <c r="G5635" s="8">
        <f t="shared" si="175"/>
        <v>2.4863280999998096E-2</v>
      </c>
    </row>
    <row r="5636" spans="1:7" x14ac:dyDescent="0.25">
      <c r="A5636" s="8">
        <v>75</v>
      </c>
      <c r="B5636" s="8">
        <v>9</v>
      </c>
      <c r="C5636" s="8">
        <v>2311.0639649999998</v>
      </c>
      <c r="D5636" s="8">
        <v>34936.285155999998</v>
      </c>
      <c r="E5636" s="8">
        <v>34954.929687999997</v>
      </c>
      <c r="F5636" s="8">
        <f t="shared" si="174"/>
        <v>18.644531999998435</v>
      </c>
      <c r="G5636" s="8">
        <f t="shared" si="175"/>
        <v>1.8644531999998434E-2</v>
      </c>
    </row>
    <row r="5637" spans="1:7" x14ac:dyDescent="0.25">
      <c r="A5637" s="8">
        <v>75</v>
      </c>
      <c r="B5637" s="8">
        <v>10</v>
      </c>
      <c r="C5637" s="8">
        <v>3095.0395509999998</v>
      </c>
      <c r="D5637" s="8">
        <v>37269.101562999997</v>
      </c>
      <c r="E5637" s="8">
        <v>37284.667969000002</v>
      </c>
      <c r="F5637" s="8">
        <f t="shared" si="174"/>
        <v>15.566406000005372</v>
      </c>
      <c r="G5637" s="8">
        <f t="shared" si="175"/>
        <v>1.5566406000005372E-2</v>
      </c>
    </row>
    <row r="5638" spans="1:7" x14ac:dyDescent="0.25">
      <c r="A5638" s="8">
        <v>75</v>
      </c>
      <c r="B5638" s="8">
        <v>11</v>
      </c>
      <c r="C5638" s="8">
        <v>6962.9072269999997</v>
      </c>
      <c r="D5638" s="8">
        <v>40386.800780999998</v>
      </c>
      <c r="E5638" s="8">
        <v>40403.964844000002</v>
      </c>
      <c r="F5638" s="8">
        <f t="shared" si="174"/>
        <v>17.164063000003807</v>
      </c>
      <c r="G5638" s="8">
        <f t="shared" si="175"/>
        <v>1.7164063000003806E-2</v>
      </c>
    </row>
    <row r="5639" spans="1:7" x14ac:dyDescent="0.25">
      <c r="A5639" s="8">
        <v>75</v>
      </c>
      <c r="B5639" s="8">
        <v>12</v>
      </c>
      <c r="C5639" s="8">
        <v>507.92867999999999</v>
      </c>
      <c r="D5639" s="8">
        <v>47375.910155999998</v>
      </c>
      <c r="E5639" s="8">
        <v>47388.109375</v>
      </c>
      <c r="F5639" s="8">
        <f t="shared" si="174"/>
        <v>12.199219000001904</v>
      </c>
      <c r="G5639" s="8">
        <f t="shared" si="175"/>
        <v>1.2199219000001904E-2</v>
      </c>
    </row>
    <row r="5640" spans="1:7" x14ac:dyDescent="0.25">
      <c r="A5640" s="8">
        <v>75</v>
      </c>
      <c r="B5640" s="8">
        <v>13</v>
      </c>
      <c r="C5640" s="8">
        <v>2831.7453609999998</v>
      </c>
      <c r="D5640" s="8">
        <v>47907.085937999997</v>
      </c>
      <c r="E5640" s="8">
        <v>47924.1875</v>
      </c>
      <c r="F5640" s="8">
        <f t="shared" si="174"/>
        <v>17.101562000003469</v>
      </c>
      <c r="G5640" s="8">
        <f t="shared" si="175"/>
        <v>1.710156200000347E-2</v>
      </c>
    </row>
    <row r="5641" spans="1:7" x14ac:dyDescent="0.25">
      <c r="A5641" s="8">
        <v>75</v>
      </c>
      <c r="B5641" s="8">
        <v>14</v>
      </c>
      <c r="C5641" s="8">
        <v>2150.4121089999999</v>
      </c>
      <c r="D5641" s="8">
        <v>50768.511719000002</v>
      </c>
      <c r="E5641" s="8">
        <v>50788.042969000002</v>
      </c>
      <c r="F5641" s="8">
        <f t="shared" si="174"/>
        <v>19.53125</v>
      </c>
      <c r="G5641" s="8">
        <f t="shared" si="175"/>
        <v>1.953125E-2</v>
      </c>
    </row>
    <row r="5642" spans="1:7" x14ac:dyDescent="0.25">
      <c r="A5642" s="8">
        <v>75</v>
      </c>
      <c r="B5642" s="8">
        <v>15</v>
      </c>
      <c r="C5642" s="8">
        <v>2922.2841800000001</v>
      </c>
      <c r="D5642" s="8">
        <v>52951.511719000002</v>
      </c>
      <c r="E5642" s="8">
        <v>52969.308594000002</v>
      </c>
      <c r="F5642" s="8">
        <f t="shared" si="174"/>
        <v>17.796875</v>
      </c>
      <c r="G5642" s="8">
        <f t="shared" si="175"/>
        <v>1.7796875E-2</v>
      </c>
    </row>
    <row r="5643" spans="1:7" x14ac:dyDescent="0.25">
      <c r="A5643" s="8">
        <v>75</v>
      </c>
      <c r="B5643" s="8">
        <v>16</v>
      </c>
      <c r="C5643" s="8">
        <v>1616.389893</v>
      </c>
      <c r="D5643" s="8">
        <v>55894.34375</v>
      </c>
      <c r="E5643" s="8">
        <v>55912.25</v>
      </c>
      <c r="F5643" s="8">
        <f t="shared" ref="F5643:F5706" si="176">E5643-D5643</f>
        <v>17.90625</v>
      </c>
      <c r="G5643" s="8">
        <f t="shared" ref="G5643:G5706" si="177">F5643/1000</f>
        <v>1.7906249999999999E-2</v>
      </c>
    </row>
    <row r="5644" spans="1:7" x14ac:dyDescent="0.25">
      <c r="A5644" s="8">
        <v>75</v>
      </c>
      <c r="B5644" s="8">
        <v>17</v>
      </c>
      <c r="C5644" s="8">
        <v>2326.0451659999999</v>
      </c>
      <c r="D5644" s="8">
        <v>57538.972655999998</v>
      </c>
      <c r="E5644" s="8">
        <v>57561.53125</v>
      </c>
      <c r="F5644" s="8">
        <f t="shared" si="176"/>
        <v>22.558594000001904</v>
      </c>
      <c r="G5644" s="8">
        <f t="shared" si="177"/>
        <v>2.2558594000001903E-2</v>
      </c>
    </row>
    <row r="5645" spans="1:7" x14ac:dyDescent="0.25">
      <c r="A5645" s="8">
        <v>75</v>
      </c>
      <c r="B5645" s="8">
        <v>18</v>
      </c>
      <c r="C5645" s="8">
        <v>3306.9721679999998</v>
      </c>
      <c r="D5645" s="8">
        <v>59888.066405999998</v>
      </c>
      <c r="E5645" s="8">
        <v>59908.40625</v>
      </c>
      <c r="F5645" s="8">
        <f t="shared" si="176"/>
        <v>20.339844000001904</v>
      </c>
      <c r="G5645" s="8">
        <f t="shared" si="177"/>
        <v>2.0339844000001904E-2</v>
      </c>
    </row>
    <row r="5646" spans="1:7" x14ac:dyDescent="0.25">
      <c r="A5646" s="8">
        <v>75</v>
      </c>
      <c r="B5646" s="8">
        <v>19</v>
      </c>
      <c r="C5646" s="8">
        <v>1001.227112</v>
      </c>
      <c r="D5646" s="8">
        <v>63219.8125</v>
      </c>
      <c r="E5646" s="8">
        <v>63238.234375</v>
      </c>
      <c r="F5646" s="8">
        <f t="shared" si="176"/>
        <v>18.421875</v>
      </c>
      <c r="G5646" s="8">
        <f t="shared" si="177"/>
        <v>1.8421875000000001E-2</v>
      </c>
    </row>
    <row r="5647" spans="1:7" x14ac:dyDescent="0.25">
      <c r="A5647" s="8">
        <v>75</v>
      </c>
      <c r="B5647" s="8">
        <v>20</v>
      </c>
      <c r="C5647" s="8">
        <v>2864.7077640000002</v>
      </c>
      <c r="D5647" s="8">
        <v>64246.484375</v>
      </c>
      <c r="E5647" s="8">
        <v>64260.121094000002</v>
      </c>
      <c r="F5647" s="8">
        <f t="shared" si="176"/>
        <v>13.636719000001904</v>
      </c>
      <c r="G5647" s="8">
        <f t="shared" si="177"/>
        <v>1.3636719000001903E-2</v>
      </c>
    </row>
    <row r="5648" spans="1:7" x14ac:dyDescent="0.25">
      <c r="A5648" s="8">
        <v>75</v>
      </c>
      <c r="B5648" s="8">
        <v>21</v>
      </c>
      <c r="C5648" s="8">
        <v>4275.9555659999996</v>
      </c>
      <c r="D5648" s="8">
        <v>67138.171875</v>
      </c>
      <c r="E5648" s="8">
        <v>67155.070313000004</v>
      </c>
      <c r="F5648" s="8">
        <f t="shared" si="176"/>
        <v>16.898438000003807</v>
      </c>
      <c r="G5648" s="8">
        <f t="shared" si="177"/>
        <v>1.6898438000003808E-2</v>
      </c>
    </row>
    <row r="5649" spans="1:7" x14ac:dyDescent="0.25">
      <c r="A5649" s="8">
        <v>75</v>
      </c>
      <c r="B5649" s="8">
        <v>22</v>
      </c>
      <c r="C5649" s="8">
        <v>1704.1606449999999</v>
      </c>
      <c r="D5649" s="8">
        <v>71431.34375</v>
      </c>
      <c r="E5649" s="8">
        <v>71453.617188000004</v>
      </c>
      <c r="F5649" s="8">
        <f t="shared" si="176"/>
        <v>22.273438000003807</v>
      </c>
      <c r="G5649" s="8">
        <f t="shared" si="177"/>
        <v>2.2273438000003806E-2</v>
      </c>
    </row>
    <row r="5650" spans="1:7" x14ac:dyDescent="0.25">
      <c r="A5650" s="8">
        <v>75</v>
      </c>
      <c r="B5650" s="8">
        <v>23</v>
      </c>
      <c r="C5650" s="8">
        <v>2206.4624020000001</v>
      </c>
      <c r="D5650" s="8">
        <v>73169.921875</v>
      </c>
      <c r="E5650" s="8">
        <v>73180.25</v>
      </c>
      <c r="F5650" s="8">
        <f t="shared" si="176"/>
        <v>10.328125</v>
      </c>
      <c r="G5650" s="8">
        <f t="shared" si="177"/>
        <v>1.0328125E-2</v>
      </c>
    </row>
    <row r="5651" spans="1:7" x14ac:dyDescent="0.25">
      <c r="A5651" s="8">
        <v>75</v>
      </c>
      <c r="B5651" s="8">
        <v>24</v>
      </c>
      <c r="C5651" s="8">
        <v>974.81890899999996</v>
      </c>
      <c r="D5651" s="8">
        <v>75393.273438000004</v>
      </c>
      <c r="E5651" s="8">
        <v>75482.632813000004</v>
      </c>
      <c r="F5651" s="8">
        <f t="shared" si="176"/>
        <v>89.359375</v>
      </c>
      <c r="G5651" s="8">
        <f t="shared" si="177"/>
        <v>8.9359375000000005E-2</v>
      </c>
    </row>
    <row r="5652" spans="1:7" x14ac:dyDescent="0.25">
      <c r="A5652" s="8">
        <v>75</v>
      </c>
      <c r="B5652" s="8">
        <v>25</v>
      </c>
      <c r="C5652" s="8">
        <v>453.51779199999999</v>
      </c>
      <c r="D5652" s="8">
        <v>76460.039063000004</v>
      </c>
      <c r="E5652" s="8">
        <v>76480.773438000004</v>
      </c>
      <c r="F5652" s="8">
        <f t="shared" si="176"/>
        <v>20.734375</v>
      </c>
      <c r="G5652" s="8">
        <f t="shared" si="177"/>
        <v>2.0734374999999999E-2</v>
      </c>
    </row>
    <row r="5653" spans="1:7" x14ac:dyDescent="0.25">
      <c r="A5653" s="8">
        <v>75</v>
      </c>
      <c r="B5653" s="8">
        <v>26</v>
      </c>
      <c r="C5653" s="8">
        <v>1077.6877440000001</v>
      </c>
      <c r="D5653" s="8">
        <v>76944.507813000004</v>
      </c>
      <c r="E5653" s="8">
        <v>76964.679688000004</v>
      </c>
      <c r="F5653" s="8">
        <f t="shared" si="176"/>
        <v>20.171875</v>
      </c>
      <c r="G5653" s="8">
        <f t="shared" si="177"/>
        <v>2.0171874999999999E-2</v>
      </c>
    </row>
    <row r="5654" spans="1:7" x14ac:dyDescent="0.25">
      <c r="A5654" s="8">
        <v>75</v>
      </c>
      <c r="B5654" s="8">
        <v>27</v>
      </c>
      <c r="C5654" s="8">
        <v>1624.899414</v>
      </c>
      <c r="D5654" s="8">
        <v>78057.257813000004</v>
      </c>
      <c r="E5654" s="8">
        <v>78071.914063000004</v>
      </c>
      <c r="F5654" s="8">
        <f t="shared" si="176"/>
        <v>14.65625</v>
      </c>
      <c r="G5654" s="8">
        <f t="shared" si="177"/>
        <v>1.4656249999999999E-2</v>
      </c>
    </row>
    <row r="5655" spans="1:7" x14ac:dyDescent="0.25">
      <c r="A5655" s="8">
        <v>75</v>
      </c>
      <c r="B5655" s="8">
        <v>28</v>
      </c>
      <c r="C5655" s="8">
        <v>6854.7729490000002</v>
      </c>
      <c r="D5655" s="8">
        <v>79707.289063000004</v>
      </c>
      <c r="E5655" s="8">
        <v>79718.382813000004</v>
      </c>
      <c r="F5655" s="8">
        <f t="shared" si="176"/>
        <v>11.09375</v>
      </c>
      <c r="G5655" s="8">
        <f t="shared" si="177"/>
        <v>1.1093749999999999E-2</v>
      </c>
    </row>
    <row r="5656" spans="1:7" x14ac:dyDescent="0.25">
      <c r="A5656" s="8">
        <v>75</v>
      </c>
      <c r="B5656" s="8">
        <v>29</v>
      </c>
      <c r="C5656" s="8">
        <v>512.10333300000002</v>
      </c>
      <c r="D5656" s="8">
        <v>86580.890625</v>
      </c>
      <c r="E5656" s="8">
        <v>86605.960938000004</v>
      </c>
      <c r="F5656" s="8">
        <f t="shared" si="176"/>
        <v>25.070313000003807</v>
      </c>
      <c r="G5656" s="8">
        <f t="shared" si="177"/>
        <v>2.5070313000003806E-2</v>
      </c>
    </row>
    <row r="5657" spans="1:7" x14ac:dyDescent="0.25">
      <c r="A5657" s="8">
        <v>75</v>
      </c>
      <c r="B5657" s="8">
        <v>30</v>
      </c>
      <c r="C5657" s="8">
        <v>1490.465332</v>
      </c>
      <c r="D5657" s="8">
        <v>87127.71875</v>
      </c>
      <c r="E5657" s="8">
        <v>87145.523438000004</v>
      </c>
      <c r="F5657" s="8">
        <f t="shared" si="176"/>
        <v>17.804688000003807</v>
      </c>
      <c r="G5657" s="8">
        <f t="shared" si="177"/>
        <v>1.7804688000003809E-2</v>
      </c>
    </row>
    <row r="5658" spans="1:7" x14ac:dyDescent="0.25">
      <c r="A5658" s="8">
        <v>75</v>
      </c>
      <c r="B5658" s="8">
        <v>31</v>
      </c>
      <c r="C5658" s="8">
        <v>573.10711700000002</v>
      </c>
      <c r="D5658" s="8">
        <v>88646.742188000004</v>
      </c>
      <c r="E5658" s="8">
        <v>88665.5</v>
      </c>
      <c r="F5658" s="8">
        <f t="shared" si="176"/>
        <v>18.757811999996193</v>
      </c>
      <c r="G5658" s="8">
        <f t="shared" si="177"/>
        <v>1.8757811999996193E-2</v>
      </c>
    </row>
    <row r="5659" spans="1:7" x14ac:dyDescent="0.25">
      <c r="A5659" s="8">
        <v>75</v>
      </c>
      <c r="B5659" s="8">
        <v>32</v>
      </c>
      <c r="C5659" s="8">
        <v>379.18597399999999</v>
      </c>
      <c r="D5659" s="8">
        <v>89240.585938000004</v>
      </c>
      <c r="E5659" s="8">
        <v>89252.429688000004</v>
      </c>
      <c r="F5659" s="8">
        <f t="shared" si="176"/>
        <v>11.84375</v>
      </c>
      <c r="G5659" s="8">
        <f t="shared" si="177"/>
        <v>1.184375E-2</v>
      </c>
    </row>
    <row r="5660" spans="1:7" x14ac:dyDescent="0.25">
      <c r="A5660" s="8">
        <v>75</v>
      </c>
      <c r="B5660" s="8">
        <v>33</v>
      </c>
      <c r="C5660" s="8">
        <v>2641.6508789999998</v>
      </c>
      <c r="D5660" s="8">
        <v>89646.867188000004</v>
      </c>
      <c r="E5660" s="8">
        <v>89663.898438000004</v>
      </c>
      <c r="F5660" s="8">
        <f t="shared" si="176"/>
        <v>17.03125</v>
      </c>
      <c r="G5660" s="8">
        <f t="shared" si="177"/>
        <v>1.7031250000000001E-2</v>
      </c>
    </row>
    <row r="5661" spans="1:7" x14ac:dyDescent="0.25">
      <c r="A5661" s="8">
        <v>75</v>
      </c>
      <c r="B5661" s="8">
        <v>34</v>
      </c>
      <c r="C5661" s="8">
        <v>2487.4494629999999</v>
      </c>
      <c r="D5661" s="8">
        <v>92308.195313000004</v>
      </c>
      <c r="E5661" s="8">
        <v>92331.132813000004</v>
      </c>
      <c r="F5661" s="8">
        <f t="shared" si="176"/>
        <v>22.9375</v>
      </c>
      <c r="G5661" s="8">
        <f t="shared" si="177"/>
        <v>2.29375E-2</v>
      </c>
    </row>
    <row r="5662" spans="1:7" x14ac:dyDescent="0.25">
      <c r="A5662" s="8">
        <v>75</v>
      </c>
      <c r="B5662" s="8">
        <v>35</v>
      </c>
      <c r="C5662" s="8">
        <v>825.78668200000004</v>
      </c>
      <c r="D5662" s="8">
        <v>94827.03125</v>
      </c>
      <c r="E5662" s="8">
        <v>94836.84375</v>
      </c>
      <c r="F5662" s="8">
        <f t="shared" si="176"/>
        <v>9.8125</v>
      </c>
      <c r="G5662" s="8">
        <f t="shared" si="177"/>
        <v>9.8125E-3</v>
      </c>
    </row>
    <row r="5663" spans="1:7" x14ac:dyDescent="0.25">
      <c r="A5663" s="8">
        <v>75</v>
      </c>
      <c r="B5663" s="8">
        <v>36</v>
      </c>
      <c r="C5663" s="8">
        <v>2081.148682</v>
      </c>
      <c r="D5663" s="8">
        <v>95662.75</v>
      </c>
      <c r="E5663" s="8">
        <v>95683.507813000004</v>
      </c>
      <c r="F5663" s="8">
        <f t="shared" si="176"/>
        <v>20.757813000003807</v>
      </c>
      <c r="G5663" s="8">
        <f t="shared" si="177"/>
        <v>2.0757813000003806E-2</v>
      </c>
    </row>
    <row r="5664" spans="1:7" x14ac:dyDescent="0.25">
      <c r="A5664" s="8">
        <v>75</v>
      </c>
      <c r="B5664" s="8">
        <v>37</v>
      </c>
      <c r="C5664" s="8">
        <v>60.980666999999997</v>
      </c>
      <c r="D5664" s="8">
        <v>97766.476563000004</v>
      </c>
      <c r="E5664" s="8">
        <v>97787.046875</v>
      </c>
      <c r="F5664" s="8">
        <f t="shared" si="176"/>
        <v>20.570311999996193</v>
      </c>
      <c r="G5664" s="8">
        <f t="shared" si="177"/>
        <v>2.0570311999996194E-2</v>
      </c>
    </row>
    <row r="5665" spans="1:7" x14ac:dyDescent="0.25">
      <c r="A5665" s="8">
        <v>75</v>
      </c>
      <c r="B5665" s="8">
        <v>38</v>
      </c>
      <c r="C5665" s="8">
        <v>3585.4121089999999</v>
      </c>
      <c r="D5665" s="8">
        <v>97860.171875</v>
      </c>
      <c r="E5665" s="8">
        <v>97874.398438000004</v>
      </c>
      <c r="F5665" s="8">
        <f t="shared" si="176"/>
        <v>14.226563000003807</v>
      </c>
      <c r="G5665" s="8">
        <f t="shared" si="177"/>
        <v>1.4226563000003807E-2</v>
      </c>
    </row>
    <row r="5666" spans="1:7" x14ac:dyDescent="0.25">
      <c r="A5666" s="8">
        <v>75</v>
      </c>
      <c r="B5666" s="8">
        <v>39</v>
      </c>
      <c r="C5666" s="8">
        <v>1106.560913</v>
      </c>
      <c r="D5666" s="8">
        <v>101472.25</v>
      </c>
      <c r="E5666" s="8">
        <v>101487.585938</v>
      </c>
      <c r="F5666" s="8">
        <f t="shared" si="176"/>
        <v>15.335938000003807</v>
      </c>
      <c r="G5666" s="8">
        <f t="shared" si="177"/>
        <v>1.5335938000003808E-2</v>
      </c>
    </row>
    <row r="5667" spans="1:7" x14ac:dyDescent="0.25">
      <c r="A5667" s="8">
        <v>75</v>
      </c>
      <c r="B5667" s="8">
        <v>40</v>
      </c>
      <c r="C5667" s="8">
        <v>1641.195557</v>
      </c>
      <c r="D5667" s="8">
        <v>102594.195313</v>
      </c>
      <c r="E5667" s="8">
        <v>102604.429688</v>
      </c>
      <c r="F5667" s="8">
        <f t="shared" si="176"/>
        <v>10.234375</v>
      </c>
      <c r="G5667" s="8">
        <f t="shared" si="177"/>
        <v>1.0234375E-2</v>
      </c>
    </row>
    <row r="5668" spans="1:7" x14ac:dyDescent="0.25">
      <c r="A5668" s="8">
        <v>75</v>
      </c>
      <c r="B5668" s="8">
        <v>41</v>
      </c>
      <c r="C5668" s="8">
        <v>406.14874300000002</v>
      </c>
      <c r="D5668" s="8">
        <v>104253.382813</v>
      </c>
      <c r="E5668" s="8">
        <v>104267.734375</v>
      </c>
      <c r="F5668" s="8">
        <f t="shared" si="176"/>
        <v>14.351561999996193</v>
      </c>
      <c r="G5668" s="8">
        <f t="shared" si="177"/>
        <v>1.4351561999996192E-2</v>
      </c>
    </row>
    <row r="5669" spans="1:7" x14ac:dyDescent="0.25">
      <c r="A5669" s="8">
        <v>75</v>
      </c>
      <c r="B5669" s="8">
        <v>42</v>
      </c>
      <c r="C5669" s="8">
        <v>1221.121216</v>
      </c>
      <c r="D5669" s="8">
        <v>104675.257813</v>
      </c>
      <c r="E5669" s="8">
        <v>104690.1875</v>
      </c>
      <c r="F5669" s="8">
        <f t="shared" si="176"/>
        <v>14.929686999996193</v>
      </c>
      <c r="G5669" s="8">
        <f t="shared" si="177"/>
        <v>1.4929686999996193E-2</v>
      </c>
    </row>
    <row r="5670" spans="1:7" x14ac:dyDescent="0.25">
      <c r="A5670" s="8">
        <v>75</v>
      </c>
      <c r="B5670" s="8">
        <v>43</v>
      </c>
      <c r="C5670" s="8">
        <v>18.826723000000001</v>
      </c>
      <c r="D5670" s="8">
        <v>105922.179688</v>
      </c>
      <c r="E5670" s="8">
        <v>105944.632813</v>
      </c>
      <c r="F5670" s="8">
        <f t="shared" si="176"/>
        <v>22.453125</v>
      </c>
      <c r="G5670" s="8">
        <f t="shared" si="177"/>
        <v>2.2453125000000001E-2</v>
      </c>
    </row>
    <row r="5671" spans="1:7" x14ac:dyDescent="0.25">
      <c r="A5671" s="8">
        <v>75</v>
      </c>
      <c r="B5671" s="8">
        <v>44</v>
      </c>
      <c r="C5671" s="8">
        <v>756.44073500000002</v>
      </c>
      <c r="D5671" s="8">
        <v>105969.085938</v>
      </c>
      <c r="E5671" s="8">
        <v>105989.390625</v>
      </c>
      <c r="F5671" s="8">
        <f t="shared" si="176"/>
        <v>20.304686999996193</v>
      </c>
      <c r="G5671" s="8">
        <f t="shared" si="177"/>
        <v>2.0304686999996192E-2</v>
      </c>
    </row>
    <row r="5672" spans="1:7" x14ac:dyDescent="0.25">
      <c r="A5672" s="8">
        <v>75</v>
      </c>
      <c r="B5672" s="8">
        <v>45</v>
      </c>
      <c r="C5672" s="8">
        <v>2974.2629390000002</v>
      </c>
      <c r="D5672" s="8">
        <v>106750.28125</v>
      </c>
      <c r="E5672" s="8">
        <v>106773.28125</v>
      </c>
      <c r="F5672" s="8">
        <f t="shared" si="176"/>
        <v>23</v>
      </c>
      <c r="G5672" s="8">
        <f t="shared" si="177"/>
        <v>2.3E-2</v>
      </c>
    </row>
    <row r="5673" spans="1:7" x14ac:dyDescent="0.25">
      <c r="A5673" s="8">
        <v>75</v>
      </c>
      <c r="B5673" s="8">
        <v>46</v>
      </c>
      <c r="C5673" s="8">
        <v>7578.3530270000001</v>
      </c>
      <c r="D5673" s="8">
        <v>109752.046875</v>
      </c>
      <c r="E5673" s="8">
        <v>109763.179688</v>
      </c>
      <c r="F5673" s="8">
        <f t="shared" si="176"/>
        <v>11.132813000003807</v>
      </c>
      <c r="G5673" s="8">
        <f t="shared" si="177"/>
        <v>1.1132813000003808E-2</v>
      </c>
    </row>
    <row r="5674" spans="1:7" x14ac:dyDescent="0.25">
      <c r="A5674" s="8">
        <v>75</v>
      </c>
      <c r="B5674" s="8">
        <v>47</v>
      </c>
      <c r="C5674" s="8">
        <v>5.9906470000000001</v>
      </c>
      <c r="D5674" s="8">
        <v>117348.125</v>
      </c>
      <c r="E5674" s="8">
        <v>117360.125</v>
      </c>
      <c r="F5674" s="8">
        <f t="shared" si="176"/>
        <v>12</v>
      </c>
      <c r="G5674" s="8">
        <f t="shared" si="177"/>
        <v>1.2E-2</v>
      </c>
    </row>
    <row r="5675" spans="1:7" x14ac:dyDescent="0.25">
      <c r="A5675" s="8">
        <v>75</v>
      </c>
      <c r="B5675" s="8">
        <v>48</v>
      </c>
      <c r="C5675" s="8">
        <v>977.10571300000004</v>
      </c>
      <c r="D5675" s="8">
        <v>117379.351563</v>
      </c>
      <c r="E5675" s="8">
        <v>117389.976563</v>
      </c>
      <c r="F5675" s="8">
        <f t="shared" si="176"/>
        <v>10.625</v>
      </c>
      <c r="G5675" s="8">
        <f t="shared" si="177"/>
        <v>1.0625000000000001E-2</v>
      </c>
    </row>
    <row r="5676" spans="1:7" x14ac:dyDescent="0.25">
      <c r="A5676" s="8">
        <v>75</v>
      </c>
      <c r="B5676" s="8">
        <v>49</v>
      </c>
      <c r="C5676" s="8">
        <v>580.02874799999995</v>
      </c>
      <c r="D5676" s="8">
        <v>118369.414063</v>
      </c>
      <c r="E5676" s="8">
        <v>118387.203125</v>
      </c>
      <c r="F5676" s="8">
        <f t="shared" si="176"/>
        <v>17.789061999996193</v>
      </c>
      <c r="G5676" s="8">
        <f t="shared" si="177"/>
        <v>1.7789061999996192E-2</v>
      </c>
    </row>
    <row r="5677" spans="1:7" x14ac:dyDescent="0.25">
      <c r="A5677" s="8">
        <v>75</v>
      </c>
      <c r="B5677" s="8">
        <v>50</v>
      </c>
      <c r="C5677" s="8">
        <v>4997.5317379999997</v>
      </c>
      <c r="D5677" s="8">
        <v>118978.828125</v>
      </c>
      <c r="E5677" s="8">
        <v>119021.859375</v>
      </c>
      <c r="F5677" s="8">
        <f t="shared" si="176"/>
        <v>43.03125</v>
      </c>
      <c r="G5677" s="8">
        <f t="shared" si="177"/>
        <v>4.303125E-2</v>
      </c>
    </row>
    <row r="5678" spans="1:7" x14ac:dyDescent="0.25">
      <c r="A5678" s="8">
        <v>75</v>
      </c>
      <c r="B5678" s="8">
        <v>51</v>
      </c>
      <c r="C5678" s="8">
        <v>2455.3176269999999</v>
      </c>
      <c r="D5678" s="8">
        <v>124033.289063</v>
      </c>
      <c r="E5678" s="8">
        <v>124059.664063</v>
      </c>
      <c r="F5678" s="8">
        <f t="shared" si="176"/>
        <v>26.375</v>
      </c>
      <c r="G5678" s="8">
        <f t="shared" si="177"/>
        <v>2.6374999999999999E-2</v>
      </c>
    </row>
    <row r="5679" spans="1:7" x14ac:dyDescent="0.25">
      <c r="A5679" s="8">
        <v>75</v>
      </c>
      <c r="B5679" s="8">
        <v>52</v>
      </c>
      <c r="C5679" s="8">
        <v>2844.86499</v>
      </c>
      <c r="D5679" s="8">
        <v>126518.5625</v>
      </c>
      <c r="E5679" s="8">
        <v>126535.351563</v>
      </c>
      <c r="F5679" s="8">
        <f t="shared" si="176"/>
        <v>16.789063000003807</v>
      </c>
      <c r="G5679" s="8">
        <f t="shared" si="177"/>
        <v>1.6789063000003806E-2</v>
      </c>
    </row>
    <row r="5680" spans="1:7" x14ac:dyDescent="0.25">
      <c r="A5680" s="8">
        <v>75</v>
      </c>
      <c r="B5680" s="8">
        <v>53</v>
      </c>
      <c r="C5680" s="8">
        <v>1384.5251459999999</v>
      </c>
      <c r="D5680" s="8">
        <v>129395.054688</v>
      </c>
      <c r="E5680" s="8">
        <v>129403.007813</v>
      </c>
      <c r="F5680" s="8">
        <f t="shared" si="176"/>
        <v>7.953125</v>
      </c>
      <c r="G5680" s="8">
        <f t="shared" si="177"/>
        <v>7.9531250000000001E-3</v>
      </c>
    </row>
    <row r="5681" spans="1:7" x14ac:dyDescent="0.25">
      <c r="A5681" s="8">
        <v>75</v>
      </c>
      <c r="B5681" s="8">
        <v>54</v>
      </c>
      <c r="C5681" s="8">
        <v>1958.5073239999999</v>
      </c>
      <c r="D5681" s="8">
        <v>130801.53125</v>
      </c>
      <c r="E5681" s="8">
        <v>130809.242188</v>
      </c>
      <c r="F5681" s="8">
        <f t="shared" si="176"/>
        <v>7.7109380000038072</v>
      </c>
      <c r="G5681" s="8">
        <f t="shared" si="177"/>
        <v>7.7109380000038074E-3</v>
      </c>
    </row>
    <row r="5682" spans="1:7" x14ac:dyDescent="0.25">
      <c r="A5682" s="8">
        <v>75</v>
      </c>
      <c r="B5682" s="8">
        <v>55</v>
      </c>
      <c r="C5682" s="8">
        <v>1843.414307</v>
      </c>
      <c r="D5682" s="8">
        <v>132780.21875</v>
      </c>
      <c r="E5682" s="8">
        <v>132791.40625</v>
      </c>
      <c r="F5682" s="8">
        <f t="shared" si="176"/>
        <v>11.1875</v>
      </c>
      <c r="G5682" s="8">
        <f t="shared" si="177"/>
        <v>1.11875E-2</v>
      </c>
    </row>
    <row r="5683" spans="1:7" x14ac:dyDescent="0.25">
      <c r="A5683" s="8">
        <v>75</v>
      </c>
      <c r="B5683" s="8">
        <v>56</v>
      </c>
      <c r="C5683" s="8">
        <v>5403.748047</v>
      </c>
      <c r="D5683" s="8">
        <v>134644.421875</v>
      </c>
      <c r="E5683" s="8">
        <v>134675.140625</v>
      </c>
      <c r="F5683" s="8">
        <f t="shared" si="176"/>
        <v>30.71875</v>
      </c>
      <c r="G5683" s="8">
        <f t="shared" si="177"/>
        <v>3.071875E-2</v>
      </c>
    </row>
    <row r="5684" spans="1:7" x14ac:dyDescent="0.25">
      <c r="A5684" s="8">
        <v>75</v>
      </c>
      <c r="B5684" s="8">
        <v>57</v>
      </c>
      <c r="C5684" s="8">
        <v>2318.248779</v>
      </c>
      <c r="D5684" s="8">
        <v>140084.515625</v>
      </c>
      <c r="E5684" s="8">
        <v>140091.34375</v>
      </c>
      <c r="F5684" s="8">
        <f t="shared" si="176"/>
        <v>6.828125</v>
      </c>
      <c r="G5684" s="8">
        <f t="shared" si="177"/>
        <v>6.828125E-3</v>
      </c>
    </row>
    <row r="5685" spans="1:7" x14ac:dyDescent="0.25">
      <c r="A5685" s="8">
        <v>75</v>
      </c>
      <c r="B5685" s="8">
        <v>58</v>
      </c>
      <c r="C5685" s="8">
        <v>159.653076</v>
      </c>
      <c r="D5685" s="8">
        <v>142421.453125</v>
      </c>
      <c r="E5685" s="8">
        <v>142440.484375</v>
      </c>
      <c r="F5685" s="8">
        <f t="shared" si="176"/>
        <v>19.03125</v>
      </c>
      <c r="G5685" s="8">
        <f t="shared" si="177"/>
        <v>1.903125E-2</v>
      </c>
    </row>
    <row r="5686" spans="1:7" x14ac:dyDescent="0.25">
      <c r="A5686" s="8">
        <v>75</v>
      </c>
      <c r="B5686" s="8">
        <v>59</v>
      </c>
      <c r="C5686" s="8">
        <v>3142.0595699999999</v>
      </c>
      <c r="D5686" s="8">
        <v>142608.984375</v>
      </c>
      <c r="E5686" s="8">
        <v>142622.859375</v>
      </c>
      <c r="F5686" s="8">
        <f t="shared" si="176"/>
        <v>13.875</v>
      </c>
      <c r="G5686" s="8">
        <f t="shared" si="177"/>
        <v>1.3875E-2</v>
      </c>
    </row>
    <row r="5687" spans="1:7" x14ac:dyDescent="0.25">
      <c r="A5687" s="8">
        <v>75</v>
      </c>
      <c r="B5687" s="8">
        <v>60</v>
      </c>
      <c r="C5687" s="8">
        <v>7007.0415039999998</v>
      </c>
      <c r="D5687" s="8">
        <v>145771.5625</v>
      </c>
      <c r="E5687" s="8">
        <v>145779.078125</v>
      </c>
      <c r="F5687" s="8">
        <f t="shared" si="176"/>
        <v>7.515625</v>
      </c>
      <c r="G5687" s="8">
        <f t="shared" si="177"/>
        <v>7.5156249999999997E-3</v>
      </c>
    </row>
    <row r="5688" spans="1:7" x14ac:dyDescent="0.25">
      <c r="A5688" s="8">
        <v>75</v>
      </c>
      <c r="B5688" s="8">
        <v>61</v>
      </c>
      <c r="C5688" s="8">
        <v>20.552613999999998</v>
      </c>
      <c r="D5688" s="8">
        <v>152797.015625</v>
      </c>
      <c r="E5688" s="8">
        <v>152806.921875</v>
      </c>
      <c r="F5688" s="8">
        <f t="shared" si="176"/>
        <v>9.90625</v>
      </c>
      <c r="G5688" s="8">
        <f t="shared" si="177"/>
        <v>9.9062500000000001E-3</v>
      </c>
    </row>
    <row r="5689" spans="1:7" x14ac:dyDescent="0.25">
      <c r="A5689" s="8">
        <v>75</v>
      </c>
      <c r="B5689" s="8">
        <v>62</v>
      </c>
      <c r="C5689" s="8">
        <v>65.579704000000007</v>
      </c>
      <c r="D5689" s="8">
        <v>152828.25</v>
      </c>
      <c r="E5689" s="8">
        <v>152842.125</v>
      </c>
      <c r="F5689" s="8">
        <f t="shared" si="176"/>
        <v>13.875</v>
      </c>
      <c r="G5689" s="8">
        <f t="shared" si="177"/>
        <v>1.3875E-2</v>
      </c>
    </row>
    <row r="5690" spans="1:7" x14ac:dyDescent="0.25">
      <c r="A5690" s="8">
        <v>75</v>
      </c>
      <c r="B5690" s="8">
        <v>63</v>
      </c>
      <c r="C5690" s="8">
        <v>1179.9605710000001</v>
      </c>
      <c r="D5690" s="8">
        <v>152922.03125</v>
      </c>
      <c r="E5690" s="8">
        <v>152959.53125</v>
      </c>
      <c r="F5690" s="8">
        <f t="shared" si="176"/>
        <v>37.5</v>
      </c>
      <c r="G5690" s="8">
        <f t="shared" si="177"/>
        <v>3.7499999999999999E-2</v>
      </c>
    </row>
    <row r="5691" spans="1:7" x14ac:dyDescent="0.25">
      <c r="A5691" s="8">
        <v>75</v>
      </c>
      <c r="B5691" s="8">
        <v>64</v>
      </c>
      <c r="C5691" s="8">
        <v>1557.9492190000001</v>
      </c>
      <c r="D5691" s="8">
        <v>154140.90625</v>
      </c>
      <c r="E5691" s="8">
        <v>154158.3125</v>
      </c>
      <c r="F5691" s="8">
        <f t="shared" si="176"/>
        <v>17.40625</v>
      </c>
      <c r="G5691" s="8">
        <f t="shared" si="177"/>
        <v>1.7406250000000002E-2</v>
      </c>
    </row>
    <row r="5692" spans="1:7" x14ac:dyDescent="0.25">
      <c r="A5692" s="8">
        <v>75</v>
      </c>
      <c r="B5692" s="8">
        <v>65</v>
      </c>
      <c r="C5692" s="8">
        <v>1109.8538820000001</v>
      </c>
      <c r="D5692" s="8">
        <v>155719.234375</v>
      </c>
      <c r="E5692" s="8">
        <v>155729.96875</v>
      </c>
      <c r="F5692" s="8">
        <f t="shared" si="176"/>
        <v>10.734375</v>
      </c>
      <c r="G5692" s="8">
        <f t="shared" si="177"/>
        <v>1.0734375000000001E-2</v>
      </c>
    </row>
    <row r="5693" spans="1:7" x14ac:dyDescent="0.25">
      <c r="A5693" s="8">
        <v>75</v>
      </c>
      <c r="B5693" s="8">
        <v>66</v>
      </c>
      <c r="C5693" s="8">
        <v>505.490906</v>
      </c>
      <c r="D5693" s="8">
        <v>156844.296875</v>
      </c>
      <c r="E5693" s="8">
        <v>156852.109375</v>
      </c>
      <c r="F5693" s="8">
        <f t="shared" si="176"/>
        <v>7.8125</v>
      </c>
      <c r="G5693" s="8">
        <f t="shared" si="177"/>
        <v>7.8125E-3</v>
      </c>
    </row>
    <row r="5694" spans="1:7" x14ac:dyDescent="0.25">
      <c r="A5694" s="8">
        <v>75</v>
      </c>
      <c r="B5694" s="8">
        <v>67</v>
      </c>
      <c r="C5694" s="8">
        <v>166.14236500000001</v>
      </c>
      <c r="D5694" s="8">
        <v>157359.96875</v>
      </c>
      <c r="E5694" s="8">
        <v>157375.03125</v>
      </c>
      <c r="F5694" s="8">
        <f t="shared" si="176"/>
        <v>15.0625</v>
      </c>
      <c r="G5694" s="8">
        <f t="shared" si="177"/>
        <v>1.50625E-2</v>
      </c>
    </row>
    <row r="5695" spans="1:7" x14ac:dyDescent="0.25">
      <c r="A5695" s="8">
        <v>75</v>
      </c>
      <c r="B5695" s="8">
        <v>68</v>
      </c>
      <c r="C5695" s="8">
        <v>1204.220947</v>
      </c>
      <c r="D5695" s="8">
        <v>157547.53125</v>
      </c>
      <c r="E5695" s="8">
        <v>157597.234375</v>
      </c>
      <c r="F5695" s="8">
        <f t="shared" si="176"/>
        <v>49.703125</v>
      </c>
      <c r="G5695" s="8">
        <f t="shared" si="177"/>
        <v>4.9703125000000001E-2</v>
      </c>
    </row>
    <row r="5696" spans="1:7" x14ac:dyDescent="0.25">
      <c r="A5696" s="8">
        <v>75</v>
      </c>
      <c r="B5696" s="8">
        <v>69</v>
      </c>
      <c r="C5696" s="8">
        <v>5812.1791990000002</v>
      </c>
      <c r="D5696" s="8">
        <v>158814.203125</v>
      </c>
      <c r="E5696" s="8">
        <v>158823.375</v>
      </c>
      <c r="F5696" s="8">
        <f t="shared" si="176"/>
        <v>9.171875</v>
      </c>
      <c r="G5696" s="8">
        <f t="shared" si="177"/>
        <v>9.1718749999999995E-3</v>
      </c>
    </row>
    <row r="5697" spans="1:7" x14ac:dyDescent="0.25">
      <c r="A5697" s="8">
        <v>75</v>
      </c>
      <c r="B5697" s="8">
        <v>70</v>
      </c>
      <c r="C5697" s="8">
        <v>3498.6132809999999</v>
      </c>
      <c r="D5697" s="8">
        <v>164638.890625</v>
      </c>
      <c r="E5697" s="8">
        <v>164649.859375</v>
      </c>
      <c r="F5697" s="8">
        <f t="shared" si="176"/>
        <v>10.96875</v>
      </c>
      <c r="G5697" s="8">
        <f t="shared" si="177"/>
        <v>1.0968749999999999E-2</v>
      </c>
    </row>
    <row r="5698" spans="1:7" x14ac:dyDescent="0.25">
      <c r="A5698" s="8">
        <v>75</v>
      </c>
      <c r="B5698" s="8">
        <v>71</v>
      </c>
      <c r="C5698" s="8">
        <v>58.905223999999997</v>
      </c>
      <c r="D5698" s="8">
        <v>168151.140625</v>
      </c>
      <c r="E5698" s="8">
        <v>168267.6875</v>
      </c>
      <c r="F5698" s="8">
        <f t="shared" si="176"/>
        <v>116.546875</v>
      </c>
      <c r="G5698" s="8">
        <f t="shared" si="177"/>
        <v>0.11654687499999999</v>
      </c>
    </row>
    <row r="5699" spans="1:7" x14ac:dyDescent="0.25">
      <c r="A5699" s="8">
        <v>75</v>
      </c>
      <c r="B5699" s="8">
        <v>72</v>
      </c>
      <c r="C5699" s="8">
        <v>1889.507568</v>
      </c>
      <c r="D5699" s="8">
        <v>168338.625</v>
      </c>
      <c r="E5699" s="8">
        <v>168353.390625</v>
      </c>
      <c r="F5699" s="8">
        <f t="shared" si="176"/>
        <v>14.765625</v>
      </c>
      <c r="G5699" s="8">
        <f t="shared" si="177"/>
        <v>1.4765624999999999E-2</v>
      </c>
    </row>
    <row r="5700" spans="1:7" x14ac:dyDescent="0.25">
      <c r="A5700" s="8">
        <v>76</v>
      </c>
      <c r="B5700" s="8">
        <v>0</v>
      </c>
      <c r="C5700" s="8">
        <v>3316.5629880000001</v>
      </c>
      <c r="D5700" s="8">
        <v>25396.839843999998</v>
      </c>
      <c r="E5700" s="8">
        <v>25410.392577999999</v>
      </c>
      <c r="F5700" s="8">
        <f t="shared" si="176"/>
        <v>13.552734000000783</v>
      </c>
      <c r="G5700" s="8">
        <f t="shared" si="177"/>
        <v>1.3552734000000783E-2</v>
      </c>
    </row>
    <row r="5701" spans="1:7" x14ac:dyDescent="0.25">
      <c r="A5701" s="8">
        <v>76</v>
      </c>
      <c r="B5701" s="8">
        <v>1</v>
      </c>
      <c r="C5701" s="8">
        <v>3826.2546390000002</v>
      </c>
      <c r="D5701" s="8">
        <v>28730.724609000001</v>
      </c>
      <c r="E5701" s="8">
        <v>28754.636718999998</v>
      </c>
      <c r="F5701" s="8">
        <f t="shared" si="176"/>
        <v>23.912109999997483</v>
      </c>
      <c r="G5701" s="8">
        <f t="shared" si="177"/>
        <v>2.3912109999997481E-2</v>
      </c>
    </row>
    <row r="5702" spans="1:7" x14ac:dyDescent="0.25">
      <c r="A5702" s="8">
        <v>76</v>
      </c>
      <c r="B5702" s="8">
        <v>2</v>
      </c>
      <c r="C5702" s="8">
        <v>15.748352000000001</v>
      </c>
      <c r="D5702" s="8">
        <v>32582.566406000002</v>
      </c>
      <c r="E5702" s="8">
        <v>32599.378906000002</v>
      </c>
      <c r="F5702" s="8">
        <f t="shared" si="176"/>
        <v>16.8125</v>
      </c>
      <c r="G5702" s="8">
        <f t="shared" si="177"/>
        <v>1.6812500000000001E-2</v>
      </c>
    </row>
    <row r="5703" spans="1:7" x14ac:dyDescent="0.25">
      <c r="A5703" s="8">
        <v>76</v>
      </c>
      <c r="B5703" s="8">
        <v>3</v>
      </c>
      <c r="C5703" s="8">
        <v>597.06823699999995</v>
      </c>
      <c r="D5703" s="8">
        <v>32629.449218999998</v>
      </c>
      <c r="E5703" s="8">
        <v>32637.443359000001</v>
      </c>
      <c r="F5703" s="8">
        <f t="shared" si="176"/>
        <v>7.9941400000025169</v>
      </c>
      <c r="G5703" s="8">
        <f t="shared" si="177"/>
        <v>7.9941400000025174E-3</v>
      </c>
    </row>
    <row r="5704" spans="1:7" x14ac:dyDescent="0.25">
      <c r="A5704" s="8">
        <v>76</v>
      </c>
      <c r="B5704" s="8">
        <v>4</v>
      </c>
      <c r="C5704" s="8">
        <v>326.90213</v>
      </c>
      <c r="D5704" s="8">
        <v>33238.871094000002</v>
      </c>
      <c r="E5704" s="8">
        <v>33265.226562999997</v>
      </c>
      <c r="F5704" s="8">
        <f t="shared" si="176"/>
        <v>26.355468999994628</v>
      </c>
      <c r="G5704" s="8">
        <f t="shared" si="177"/>
        <v>2.6355468999994629E-2</v>
      </c>
    </row>
    <row r="5705" spans="1:7" x14ac:dyDescent="0.25">
      <c r="A5705" s="8">
        <v>76</v>
      </c>
      <c r="B5705" s="8">
        <v>5</v>
      </c>
      <c r="C5705" s="8">
        <v>2169.463135</v>
      </c>
      <c r="D5705" s="8">
        <v>33603.164062999997</v>
      </c>
      <c r="E5705" s="8">
        <v>33622.304687999997</v>
      </c>
      <c r="F5705" s="8">
        <f t="shared" si="176"/>
        <v>19.140625</v>
      </c>
      <c r="G5705" s="8">
        <f t="shared" si="177"/>
        <v>1.9140625000000001E-2</v>
      </c>
    </row>
    <row r="5706" spans="1:7" x14ac:dyDescent="0.25">
      <c r="A5706" s="8">
        <v>76</v>
      </c>
      <c r="B5706" s="8">
        <v>6</v>
      </c>
      <c r="C5706" s="8">
        <v>2417.5512699999999</v>
      </c>
      <c r="D5706" s="8">
        <v>35795.769530999998</v>
      </c>
      <c r="E5706" s="8">
        <v>35813.429687999997</v>
      </c>
      <c r="F5706" s="8">
        <f t="shared" si="176"/>
        <v>17.660156999998435</v>
      </c>
      <c r="G5706" s="8">
        <f t="shared" si="177"/>
        <v>1.7660156999998435E-2</v>
      </c>
    </row>
    <row r="5707" spans="1:7" x14ac:dyDescent="0.25">
      <c r="A5707" s="8">
        <v>76</v>
      </c>
      <c r="B5707" s="8">
        <v>7</v>
      </c>
      <c r="C5707" s="8">
        <v>5655.5307620000003</v>
      </c>
      <c r="D5707" s="8">
        <v>38245.671875</v>
      </c>
      <c r="E5707" s="8">
        <v>38266.042969000002</v>
      </c>
      <c r="F5707" s="8">
        <f t="shared" ref="F5707:F5770" si="178">E5707-D5707</f>
        <v>20.371094000001904</v>
      </c>
      <c r="G5707" s="8">
        <f t="shared" ref="G5707:G5770" si="179">F5707/1000</f>
        <v>2.0371094000001904E-2</v>
      </c>
    </row>
    <row r="5708" spans="1:7" x14ac:dyDescent="0.25">
      <c r="A5708" s="8">
        <v>76</v>
      </c>
      <c r="B5708" s="8">
        <v>8</v>
      </c>
      <c r="C5708" s="8">
        <v>1088.2823490000001</v>
      </c>
      <c r="D5708" s="8">
        <v>43928.058594000002</v>
      </c>
      <c r="E5708" s="8">
        <v>43946.921875</v>
      </c>
      <c r="F5708" s="8">
        <f t="shared" si="178"/>
        <v>18.863280999998096</v>
      </c>
      <c r="G5708" s="8">
        <f t="shared" si="179"/>
        <v>1.8863280999998098E-2</v>
      </c>
    </row>
    <row r="5709" spans="1:7" x14ac:dyDescent="0.25">
      <c r="A5709" s="8">
        <v>76</v>
      </c>
      <c r="B5709" s="8">
        <v>9</v>
      </c>
      <c r="C5709" s="8">
        <v>170.856888</v>
      </c>
      <c r="D5709" s="8">
        <v>45037.554687999997</v>
      </c>
      <c r="E5709" s="8">
        <v>45050.636719000002</v>
      </c>
      <c r="F5709" s="8">
        <f t="shared" si="178"/>
        <v>13.082031000005372</v>
      </c>
      <c r="G5709" s="8">
        <f t="shared" si="179"/>
        <v>1.3082031000005372E-2</v>
      </c>
    </row>
    <row r="5710" spans="1:7" x14ac:dyDescent="0.25">
      <c r="A5710" s="8">
        <v>76</v>
      </c>
      <c r="B5710" s="8">
        <v>10</v>
      </c>
      <c r="C5710" s="8">
        <v>520.71624799999995</v>
      </c>
      <c r="D5710" s="8">
        <v>45224.964844000002</v>
      </c>
      <c r="E5710" s="8">
        <v>45238.5</v>
      </c>
      <c r="F5710" s="8">
        <f t="shared" si="178"/>
        <v>13.535155999998096</v>
      </c>
      <c r="G5710" s="8">
        <f t="shared" si="179"/>
        <v>1.3535155999998097E-2</v>
      </c>
    </row>
    <row r="5711" spans="1:7" x14ac:dyDescent="0.25">
      <c r="A5711" s="8">
        <v>76</v>
      </c>
      <c r="B5711" s="8">
        <v>11</v>
      </c>
      <c r="C5711" s="8">
        <v>1805.572754</v>
      </c>
      <c r="D5711" s="8">
        <v>45772.714844000002</v>
      </c>
      <c r="E5711" s="8">
        <v>45784.269530999998</v>
      </c>
      <c r="F5711" s="8">
        <f t="shared" si="178"/>
        <v>11.554686999996193</v>
      </c>
      <c r="G5711" s="8">
        <f t="shared" si="179"/>
        <v>1.1554686999996193E-2</v>
      </c>
    </row>
    <row r="5712" spans="1:7" x14ac:dyDescent="0.25">
      <c r="A5712" s="8">
        <v>76</v>
      </c>
      <c r="B5712" s="8">
        <v>12</v>
      </c>
      <c r="C5712" s="8">
        <v>5921.1196289999998</v>
      </c>
      <c r="D5712" s="8">
        <v>47594.582030999998</v>
      </c>
      <c r="E5712" s="8">
        <v>47608.699219000002</v>
      </c>
      <c r="F5712" s="8">
        <f t="shared" si="178"/>
        <v>14.117188000003807</v>
      </c>
      <c r="G5712" s="8">
        <f t="shared" si="179"/>
        <v>1.4117188000003807E-2</v>
      </c>
    </row>
    <row r="5713" spans="1:7" x14ac:dyDescent="0.25">
      <c r="A5713" s="8">
        <v>76</v>
      </c>
      <c r="B5713" s="8">
        <v>13</v>
      </c>
      <c r="C5713" s="8">
        <v>1102.425659</v>
      </c>
      <c r="D5713" s="8">
        <v>53530.597655999998</v>
      </c>
      <c r="E5713" s="8">
        <v>53581.511719000002</v>
      </c>
      <c r="F5713" s="8">
        <f t="shared" si="178"/>
        <v>50.914063000003807</v>
      </c>
      <c r="G5713" s="8">
        <f t="shared" si="179"/>
        <v>5.0914063000003805E-2</v>
      </c>
    </row>
    <row r="5714" spans="1:7" x14ac:dyDescent="0.25">
      <c r="A5714" s="8">
        <v>76</v>
      </c>
      <c r="B5714" s="8">
        <v>14</v>
      </c>
      <c r="C5714" s="8">
        <v>527.37933299999997</v>
      </c>
      <c r="D5714" s="8">
        <v>54691.070312999997</v>
      </c>
      <c r="E5714" s="8">
        <v>54699.390625</v>
      </c>
      <c r="F5714" s="8">
        <f t="shared" si="178"/>
        <v>8.3203120000034687</v>
      </c>
      <c r="G5714" s="8">
        <f t="shared" si="179"/>
        <v>8.3203120000034693E-3</v>
      </c>
    </row>
    <row r="5715" spans="1:7" x14ac:dyDescent="0.25">
      <c r="A5715" s="8">
        <v>76</v>
      </c>
      <c r="B5715" s="8">
        <v>15</v>
      </c>
      <c r="C5715" s="8">
        <v>146.54045099999999</v>
      </c>
      <c r="D5715" s="8">
        <v>55237.972655999998</v>
      </c>
      <c r="E5715" s="8">
        <v>55249.277344000002</v>
      </c>
      <c r="F5715" s="8">
        <f t="shared" si="178"/>
        <v>11.304688000003807</v>
      </c>
      <c r="G5715" s="8">
        <f t="shared" si="179"/>
        <v>1.1304688000003808E-2</v>
      </c>
    </row>
    <row r="5716" spans="1:7" x14ac:dyDescent="0.25">
      <c r="A5716" s="8">
        <v>76</v>
      </c>
      <c r="B5716" s="8">
        <v>16</v>
      </c>
      <c r="C5716" s="8">
        <v>902.697632</v>
      </c>
      <c r="D5716" s="8">
        <v>55409.820312999997</v>
      </c>
      <c r="E5716" s="8">
        <v>55423.8125</v>
      </c>
      <c r="F5716" s="8">
        <f t="shared" si="178"/>
        <v>13.992187000003469</v>
      </c>
      <c r="G5716" s="8">
        <f t="shared" si="179"/>
        <v>1.3992187000003469E-2</v>
      </c>
    </row>
    <row r="5717" spans="1:7" x14ac:dyDescent="0.25">
      <c r="A5717" s="8">
        <v>76</v>
      </c>
      <c r="B5717" s="8">
        <v>17</v>
      </c>
      <c r="C5717" s="8">
        <v>2885.2653810000002</v>
      </c>
      <c r="D5717" s="8">
        <v>56331.765625</v>
      </c>
      <c r="E5717" s="8">
        <v>56339.300780999998</v>
      </c>
      <c r="F5717" s="8">
        <f t="shared" si="178"/>
        <v>7.5351559999980964</v>
      </c>
      <c r="G5717" s="8">
        <f t="shared" si="179"/>
        <v>7.5351559999980965E-3</v>
      </c>
    </row>
    <row r="5718" spans="1:7" x14ac:dyDescent="0.25">
      <c r="A5718" s="8">
        <v>76</v>
      </c>
      <c r="B5718" s="8">
        <v>18</v>
      </c>
      <c r="C5718" s="8">
        <v>235.99337800000001</v>
      </c>
      <c r="D5718" s="8">
        <v>59231.71875</v>
      </c>
      <c r="E5718" s="8">
        <v>59252.5625</v>
      </c>
      <c r="F5718" s="8">
        <f t="shared" si="178"/>
        <v>20.84375</v>
      </c>
      <c r="G5718" s="8">
        <f t="shared" si="179"/>
        <v>2.0843750000000001E-2</v>
      </c>
    </row>
    <row r="5719" spans="1:7" x14ac:dyDescent="0.25">
      <c r="A5719" s="8">
        <v>76</v>
      </c>
      <c r="B5719" s="8">
        <v>19</v>
      </c>
      <c r="C5719" s="8">
        <v>2952.774414</v>
      </c>
      <c r="D5719" s="8">
        <v>59497.34375</v>
      </c>
      <c r="E5719" s="8">
        <v>59511.058594000002</v>
      </c>
      <c r="F5719" s="8">
        <f t="shared" si="178"/>
        <v>13.714844000001904</v>
      </c>
      <c r="G5719" s="8">
        <f t="shared" si="179"/>
        <v>1.3714844000001903E-2</v>
      </c>
    </row>
    <row r="5720" spans="1:7" x14ac:dyDescent="0.25">
      <c r="A5720" s="8">
        <v>76</v>
      </c>
      <c r="B5720" s="8">
        <v>20</v>
      </c>
      <c r="C5720" s="8">
        <v>281.00149499999998</v>
      </c>
      <c r="D5720" s="8">
        <v>62469.726562999997</v>
      </c>
      <c r="E5720" s="8">
        <v>62490.234375</v>
      </c>
      <c r="F5720" s="8">
        <f t="shared" si="178"/>
        <v>20.507812000003469</v>
      </c>
      <c r="G5720" s="8">
        <f t="shared" si="179"/>
        <v>2.050781200000347E-2</v>
      </c>
    </row>
    <row r="5721" spans="1:7" x14ac:dyDescent="0.25">
      <c r="A5721" s="8">
        <v>76</v>
      </c>
      <c r="B5721" s="8">
        <v>21</v>
      </c>
      <c r="C5721" s="8">
        <v>403.30917399999998</v>
      </c>
      <c r="D5721" s="8">
        <v>62782.191405999998</v>
      </c>
      <c r="E5721" s="8">
        <v>62800.253905999998</v>
      </c>
      <c r="F5721" s="8">
        <f t="shared" si="178"/>
        <v>18.0625</v>
      </c>
      <c r="G5721" s="8">
        <f t="shared" si="179"/>
        <v>1.8062499999999999E-2</v>
      </c>
    </row>
    <row r="5722" spans="1:7" x14ac:dyDescent="0.25">
      <c r="A5722" s="8">
        <v>76</v>
      </c>
      <c r="B5722" s="8">
        <v>22</v>
      </c>
      <c r="C5722" s="8">
        <v>2309.3203130000002</v>
      </c>
      <c r="D5722" s="8">
        <v>63204.179687999997</v>
      </c>
      <c r="E5722" s="8">
        <v>63242.699219000002</v>
      </c>
      <c r="F5722" s="8">
        <f t="shared" si="178"/>
        <v>38.519531000005372</v>
      </c>
      <c r="G5722" s="8">
        <f t="shared" si="179"/>
        <v>3.8519531000005373E-2</v>
      </c>
    </row>
    <row r="5723" spans="1:7" x14ac:dyDescent="0.25">
      <c r="A5723" s="8">
        <v>76</v>
      </c>
      <c r="B5723" s="8">
        <v>23</v>
      </c>
      <c r="C5723" s="8">
        <v>1668.420044</v>
      </c>
      <c r="D5723" s="8">
        <v>65559.15625</v>
      </c>
      <c r="E5723" s="8">
        <v>65578.445313000004</v>
      </c>
      <c r="F5723" s="8">
        <f t="shared" si="178"/>
        <v>19.289063000003807</v>
      </c>
      <c r="G5723" s="8">
        <f t="shared" si="179"/>
        <v>1.9289063000003808E-2</v>
      </c>
    </row>
    <row r="5724" spans="1:7" x14ac:dyDescent="0.25">
      <c r="A5724" s="8">
        <v>76</v>
      </c>
      <c r="B5724" s="8">
        <v>24</v>
      </c>
      <c r="C5724" s="8">
        <v>412.590149</v>
      </c>
      <c r="D5724" s="8">
        <v>67247.515625</v>
      </c>
      <c r="E5724" s="8">
        <v>67270.90625</v>
      </c>
      <c r="F5724" s="8">
        <f t="shared" si="178"/>
        <v>23.390625</v>
      </c>
      <c r="G5724" s="8">
        <f t="shared" si="179"/>
        <v>2.3390625000000002E-2</v>
      </c>
    </row>
    <row r="5725" spans="1:7" x14ac:dyDescent="0.25">
      <c r="A5725" s="8">
        <v>76</v>
      </c>
      <c r="B5725" s="8">
        <v>25</v>
      </c>
      <c r="C5725" s="8">
        <v>2814.7177729999999</v>
      </c>
      <c r="D5725" s="8">
        <v>67685.859375</v>
      </c>
      <c r="E5725" s="8">
        <v>67703.59375</v>
      </c>
      <c r="F5725" s="8">
        <f t="shared" si="178"/>
        <v>17.734375</v>
      </c>
      <c r="G5725" s="8">
        <f t="shared" si="179"/>
        <v>1.7734375E-2</v>
      </c>
    </row>
    <row r="5726" spans="1:7" x14ac:dyDescent="0.25">
      <c r="A5726" s="8">
        <v>76</v>
      </c>
      <c r="B5726" s="8">
        <v>26</v>
      </c>
      <c r="C5726" s="8">
        <v>1799.559937</v>
      </c>
      <c r="D5726" s="8">
        <v>70523.117188000004</v>
      </c>
      <c r="E5726" s="8">
        <v>70533.148438000004</v>
      </c>
      <c r="F5726" s="8">
        <f t="shared" si="178"/>
        <v>10.03125</v>
      </c>
      <c r="G5726" s="8">
        <f t="shared" si="179"/>
        <v>1.003125E-2</v>
      </c>
    </row>
    <row r="5727" spans="1:7" x14ac:dyDescent="0.25">
      <c r="A5727" s="8">
        <v>76</v>
      </c>
      <c r="B5727" s="8">
        <v>27</v>
      </c>
      <c r="C5727" s="8">
        <v>1146.115112</v>
      </c>
      <c r="D5727" s="8">
        <v>72341.515625</v>
      </c>
      <c r="E5727" s="8">
        <v>72358.609375</v>
      </c>
      <c r="F5727" s="8">
        <f t="shared" si="178"/>
        <v>17.09375</v>
      </c>
      <c r="G5727" s="8">
        <f t="shared" si="179"/>
        <v>1.7093750000000001E-2</v>
      </c>
    </row>
    <row r="5728" spans="1:7" x14ac:dyDescent="0.25">
      <c r="A5728" s="8">
        <v>76</v>
      </c>
      <c r="B5728" s="8">
        <v>28</v>
      </c>
      <c r="C5728" s="8">
        <v>903.84814500000005</v>
      </c>
      <c r="D5728" s="8">
        <v>73513.71875</v>
      </c>
      <c r="E5728" s="8">
        <v>73524.71875</v>
      </c>
      <c r="F5728" s="8">
        <f t="shared" si="178"/>
        <v>11</v>
      </c>
      <c r="G5728" s="8">
        <f t="shared" si="179"/>
        <v>1.0999999999999999E-2</v>
      </c>
    </row>
    <row r="5729" spans="1:7" x14ac:dyDescent="0.25">
      <c r="A5729" s="8">
        <v>76</v>
      </c>
      <c r="B5729" s="8">
        <v>29</v>
      </c>
      <c r="C5729" s="8">
        <v>278.47439600000001</v>
      </c>
      <c r="D5729" s="8">
        <v>74430.085938000004</v>
      </c>
      <c r="E5729" s="8">
        <v>74437.851563000004</v>
      </c>
      <c r="F5729" s="8">
        <f t="shared" si="178"/>
        <v>7.765625</v>
      </c>
      <c r="G5729" s="8">
        <f t="shared" si="179"/>
        <v>7.765625E-3</v>
      </c>
    </row>
    <row r="5730" spans="1:7" x14ac:dyDescent="0.25">
      <c r="A5730" s="8">
        <v>76</v>
      </c>
      <c r="B5730" s="8">
        <v>30</v>
      </c>
      <c r="C5730" s="8">
        <v>5480.734375</v>
      </c>
      <c r="D5730" s="8">
        <v>74727</v>
      </c>
      <c r="E5730" s="8">
        <v>74749.546875</v>
      </c>
      <c r="F5730" s="8">
        <f t="shared" si="178"/>
        <v>22.546875</v>
      </c>
      <c r="G5730" s="8">
        <f t="shared" si="179"/>
        <v>2.2546875000000001E-2</v>
      </c>
    </row>
    <row r="5731" spans="1:7" x14ac:dyDescent="0.25">
      <c r="A5731" s="8">
        <v>76</v>
      </c>
      <c r="B5731" s="8">
        <v>31</v>
      </c>
      <c r="C5731" s="8">
        <v>1208.9071039999999</v>
      </c>
      <c r="D5731" s="8">
        <v>80239.367188000004</v>
      </c>
      <c r="E5731" s="8">
        <v>80253.578125</v>
      </c>
      <c r="F5731" s="8">
        <f t="shared" si="178"/>
        <v>14.210936999996193</v>
      </c>
      <c r="G5731" s="8">
        <f t="shared" si="179"/>
        <v>1.4210936999996192E-2</v>
      </c>
    </row>
    <row r="5732" spans="1:7" x14ac:dyDescent="0.25">
      <c r="A5732" s="8">
        <v>76</v>
      </c>
      <c r="B5732" s="8">
        <v>32</v>
      </c>
      <c r="C5732" s="8">
        <v>3792.6333009999998</v>
      </c>
      <c r="D5732" s="8">
        <v>81473.882813000004</v>
      </c>
      <c r="E5732" s="8">
        <v>81488.421875</v>
      </c>
      <c r="F5732" s="8">
        <f t="shared" si="178"/>
        <v>14.539061999996193</v>
      </c>
      <c r="G5732" s="8">
        <f t="shared" si="179"/>
        <v>1.4539061999996192E-2</v>
      </c>
    </row>
    <row r="5733" spans="1:7" x14ac:dyDescent="0.25">
      <c r="A5733" s="8">
        <v>76</v>
      </c>
      <c r="B5733" s="8">
        <v>33</v>
      </c>
      <c r="C5733" s="8">
        <v>93.461478999999997</v>
      </c>
      <c r="D5733" s="8">
        <v>85282.476563000004</v>
      </c>
      <c r="E5733" s="8">
        <v>85302.882813000004</v>
      </c>
      <c r="F5733" s="8">
        <f t="shared" si="178"/>
        <v>20.40625</v>
      </c>
      <c r="G5733" s="8">
        <f t="shared" si="179"/>
        <v>2.0406250000000001E-2</v>
      </c>
    </row>
    <row r="5734" spans="1:7" x14ac:dyDescent="0.25">
      <c r="A5734" s="8">
        <v>76</v>
      </c>
      <c r="B5734" s="8">
        <v>34</v>
      </c>
      <c r="C5734" s="8">
        <v>198.3013</v>
      </c>
      <c r="D5734" s="8">
        <v>85408.78125</v>
      </c>
      <c r="E5734" s="8">
        <v>85425.765625</v>
      </c>
      <c r="F5734" s="8">
        <f t="shared" si="178"/>
        <v>16.984375</v>
      </c>
      <c r="G5734" s="8">
        <f t="shared" si="179"/>
        <v>1.6984374999999999E-2</v>
      </c>
    </row>
    <row r="5735" spans="1:7" x14ac:dyDescent="0.25">
      <c r="A5735" s="8">
        <v>76</v>
      </c>
      <c r="B5735" s="8">
        <v>35</v>
      </c>
      <c r="C5735" s="8">
        <v>375.20599399999998</v>
      </c>
      <c r="D5735" s="8">
        <v>85627.445313000004</v>
      </c>
      <c r="E5735" s="8">
        <v>85639.140625</v>
      </c>
      <c r="F5735" s="8">
        <f t="shared" si="178"/>
        <v>11.695311999996193</v>
      </c>
      <c r="G5735" s="8">
        <f t="shared" si="179"/>
        <v>1.1695311999996193E-2</v>
      </c>
    </row>
    <row r="5736" spans="1:7" x14ac:dyDescent="0.25">
      <c r="A5736" s="8">
        <v>76</v>
      </c>
      <c r="B5736" s="8">
        <v>36</v>
      </c>
      <c r="C5736" s="8">
        <v>951.11016800000004</v>
      </c>
      <c r="D5736" s="8">
        <v>86018.28125</v>
      </c>
      <c r="E5736" s="8">
        <v>86028.21875</v>
      </c>
      <c r="F5736" s="8">
        <f t="shared" si="178"/>
        <v>9.9375</v>
      </c>
      <c r="G5736" s="8">
        <f t="shared" si="179"/>
        <v>9.9375000000000002E-3</v>
      </c>
    </row>
    <row r="5737" spans="1:7" x14ac:dyDescent="0.25">
      <c r="A5737" s="8">
        <v>76</v>
      </c>
      <c r="B5737" s="8">
        <v>37</v>
      </c>
      <c r="C5737" s="8">
        <v>1967.79187</v>
      </c>
      <c r="D5737" s="8">
        <v>86987.078125</v>
      </c>
      <c r="E5737" s="8">
        <v>87004.328125</v>
      </c>
      <c r="F5737" s="8">
        <f t="shared" si="178"/>
        <v>17.25</v>
      </c>
      <c r="G5737" s="8">
        <f t="shared" si="179"/>
        <v>1.7250000000000001E-2</v>
      </c>
    </row>
    <row r="5738" spans="1:7" x14ac:dyDescent="0.25">
      <c r="A5738" s="8">
        <v>76</v>
      </c>
      <c r="B5738" s="8">
        <v>38</v>
      </c>
      <c r="C5738" s="8">
        <v>515.33868399999994</v>
      </c>
      <c r="D5738" s="8">
        <v>88974.65625</v>
      </c>
      <c r="E5738" s="8">
        <v>88990.578125</v>
      </c>
      <c r="F5738" s="8">
        <f t="shared" si="178"/>
        <v>15.921875</v>
      </c>
      <c r="G5738" s="8">
        <f t="shared" si="179"/>
        <v>1.5921874999999999E-2</v>
      </c>
    </row>
    <row r="5739" spans="1:7" x14ac:dyDescent="0.25">
      <c r="A5739" s="8">
        <v>76</v>
      </c>
      <c r="B5739" s="8">
        <v>39</v>
      </c>
      <c r="C5739" s="8">
        <v>63.121380000000002</v>
      </c>
      <c r="D5739" s="8">
        <v>89506.226563000004</v>
      </c>
      <c r="E5739" s="8">
        <v>89531.039063000004</v>
      </c>
      <c r="F5739" s="8">
        <f t="shared" si="178"/>
        <v>24.8125</v>
      </c>
      <c r="G5739" s="8">
        <f t="shared" si="179"/>
        <v>2.4812500000000001E-2</v>
      </c>
    </row>
    <row r="5740" spans="1:7" x14ac:dyDescent="0.25">
      <c r="A5740" s="8">
        <v>76</v>
      </c>
      <c r="B5740" s="8">
        <v>40</v>
      </c>
      <c r="C5740" s="8">
        <v>959.08038299999998</v>
      </c>
      <c r="D5740" s="8">
        <v>89599.9375</v>
      </c>
      <c r="E5740" s="8">
        <v>89613.46875</v>
      </c>
      <c r="F5740" s="8">
        <f t="shared" si="178"/>
        <v>13.53125</v>
      </c>
      <c r="G5740" s="8">
        <f t="shared" si="179"/>
        <v>1.353125E-2</v>
      </c>
    </row>
    <row r="5741" spans="1:7" x14ac:dyDescent="0.25">
      <c r="A5741" s="8">
        <v>76</v>
      </c>
      <c r="B5741" s="8">
        <v>41</v>
      </c>
      <c r="C5741" s="8">
        <v>3208.9514159999999</v>
      </c>
      <c r="D5741" s="8">
        <v>90573.609375</v>
      </c>
      <c r="E5741" s="8">
        <v>90586.828125</v>
      </c>
      <c r="F5741" s="8">
        <f t="shared" si="178"/>
        <v>13.21875</v>
      </c>
      <c r="G5741" s="8">
        <f t="shared" si="179"/>
        <v>1.321875E-2</v>
      </c>
    </row>
    <row r="5742" spans="1:7" x14ac:dyDescent="0.25">
      <c r="A5742" s="8">
        <v>76</v>
      </c>
      <c r="B5742" s="8">
        <v>42</v>
      </c>
      <c r="C5742" s="8">
        <v>970.74865699999998</v>
      </c>
      <c r="D5742" s="8">
        <v>93810.703125</v>
      </c>
      <c r="E5742" s="8">
        <v>93822.570313000004</v>
      </c>
      <c r="F5742" s="8">
        <f t="shared" si="178"/>
        <v>11.867188000003807</v>
      </c>
      <c r="G5742" s="8">
        <f t="shared" si="179"/>
        <v>1.1867188000003807E-2</v>
      </c>
    </row>
    <row r="5743" spans="1:7" x14ac:dyDescent="0.25">
      <c r="A5743" s="8">
        <v>76</v>
      </c>
      <c r="B5743" s="8">
        <v>43</v>
      </c>
      <c r="C5743" s="8">
        <v>4255.3530270000001</v>
      </c>
      <c r="D5743" s="8">
        <v>94795.8125</v>
      </c>
      <c r="E5743" s="8">
        <v>94816.101563000004</v>
      </c>
      <c r="F5743" s="8">
        <f t="shared" si="178"/>
        <v>20.289063000003807</v>
      </c>
      <c r="G5743" s="8">
        <f t="shared" si="179"/>
        <v>2.0289063000003806E-2</v>
      </c>
    </row>
    <row r="5744" spans="1:7" x14ac:dyDescent="0.25">
      <c r="A5744" s="8">
        <v>76</v>
      </c>
      <c r="B5744" s="8">
        <v>44</v>
      </c>
      <c r="C5744" s="8">
        <v>3397.3256839999999</v>
      </c>
      <c r="D5744" s="8">
        <v>99082.140625</v>
      </c>
      <c r="E5744" s="8">
        <v>99125.835938000004</v>
      </c>
      <c r="F5744" s="8">
        <f t="shared" si="178"/>
        <v>43.695313000003807</v>
      </c>
      <c r="G5744" s="8">
        <f t="shared" si="179"/>
        <v>4.3695313000003809E-2</v>
      </c>
    </row>
    <row r="5745" spans="1:7" x14ac:dyDescent="0.25">
      <c r="A5745" s="8">
        <v>76</v>
      </c>
      <c r="B5745" s="8">
        <v>45</v>
      </c>
      <c r="C5745" s="8">
        <v>2282.580078</v>
      </c>
      <c r="D5745" s="8">
        <v>102531.632813</v>
      </c>
      <c r="E5745" s="8">
        <v>102554.679688</v>
      </c>
      <c r="F5745" s="8">
        <f t="shared" si="178"/>
        <v>23.046875</v>
      </c>
      <c r="G5745" s="8">
        <f t="shared" si="179"/>
        <v>2.3046875000000001E-2</v>
      </c>
    </row>
    <row r="5746" spans="1:7" x14ac:dyDescent="0.25">
      <c r="A5746" s="8">
        <v>76</v>
      </c>
      <c r="B5746" s="8">
        <v>46</v>
      </c>
      <c r="C5746" s="8">
        <v>2623.2133789999998</v>
      </c>
      <c r="D5746" s="8">
        <v>104847.179688</v>
      </c>
      <c r="E5746" s="8">
        <v>104857.96875</v>
      </c>
      <c r="F5746" s="8">
        <f t="shared" si="178"/>
        <v>10.789061999996193</v>
      </c>
      <c r="G5746" s="8">
        <f t="shared" si="179"/>
        <v>1.0789061999996193E-2</v>
      </c>
    </row>
    <row r="5747" spans="1:7" x14ac:dyDescent="0.25">
      <c r="A5747" s="8">
        <v>76</v>
      </c>
      <c r="B5747" s="8">
        <v>47</v>
      </c>
      <c r="C5747" s="8">
        <v>417.84869400000002</v>
      </c>
      <c r="D5747" s="8">
        <v>107485.4375</v>
      </c>
      <c r="E5747" s="8">
        <v>107492.945313</v>
      </c>
      <c r="F5747" s="8">
        <f t="shared" si="178"/>
        <v>7.5078130000038072</v>
      </c>
      <c r="G5747" s="8">
        <f t="shared" si="179"/>
        <v>7.5078130000038072E-3</v>
      </c>
    </row>
    <row r="5748" spans="1:7" x14ac:dyDescent="0.25">
      <c r="A5748" s="8">
        <v>76</v>
      </c>
      <c r="B5748" s="8">
        <v>48</v>
      </c>
      <c r="C5748" s="8">
        <v>4629.5498049999997</v>
      </c>
      <c r="D5748" s="8">
        <v>107922.992188</v>
      </c>
      <c r="E5748" s="8">
        <v>107933.296875</v>
      </c>
      <c r="F5748" s="8">
        <f t="shared" si="178"/>
        <v>10.304686999996193</v>
      </c>
      <c r="G5748" s="8">
        <f t="shared" si="179"/>
        <v>1.0304686999996192E-2</v>
      </c>
    </row>
    <row r="5749" spans="1:7" x14ac:dyDescent="0.25">
      <c r="A5749" s="8">
        <v>76</v>
      </c>
      <c r="B5749" s="8">
        <v>49</v>
      </c>
      <c r="C5749" s="8">
        <v>634.01788299999998</v>
      </c>
      <c r="D5749" s="8">
        <v>112571.507813</v>
      </c>
      <c r="E5749" s="8">
        <v>112595.835938</v>
      </c>
      <c r="F5749" s="8">
        <f t="shared" si="178"/>
        <v>24.328125</v>
      </c>
      <c r="G5749" s="8">
        <f t="shared" si="179"/>
        <v>2.4328124999999999E-2</v>
      </c>
    </row>
    <row r="5750" spans="1:7" x14ac:dyDescent="0.25">
      <c r="A5750" s="8">
        <v>76</v>
      </c>
      <c r="B5750" s="8">
        <v>50</v>
      </c>
      <c r="C5750" s="8">
        <v>3553.7722170000002</v>
      </c>
      <c r="D5750" s="8">
        <v>113237.492188</v>
      </c>
      <c r="E5750" s="8">
        <v>113250.882813</v>
      </c>
      <c r="F5750" s="8">
        <f t="shared" si="178"/>
        <v>13.390625</v>
      </c>
      <c r="G5750" s="8">
        <f t="shared" si="179"/>
        <v>1.3390625E-2</v>
      </c>
    </row>
    <row r="5751" spans="1:7" x14ac:dyDescent="0.25">
      <c r="A5751" s="8">
        <v>76</v>
      </c>
      <c r="B5751" s="8">
        <v>51</v>
      </c>
      <c r="C5751" s="8">
        <v>111.385643</v>
      </c>
      <c r="D5751" s="8">
        <v>116817.625</v>
      </c>
      <c r="E5751" s="8">
        <v>116842.734375</v>
      </c>
      <c r="F5751" s="8">
        <f t="shared" si="178"/>
        <v>25.109375</v>
      </c>
      <c r="G5751" s="8">
        <f t="shared" si="179"/>
        <v>2.5109375E-2</v>
      </c>
    </row>
    <row r="5752" spans="1:7" x14ac:dyDescent="0.25">
      <c r="A5752" s="8">
        <v>76</v>
      </c>
      <c r="B5752" s="8">
        <v>52</v>
      </c>
      <c r="C5752" s="8">
        <v>1174.4626459999999</v>
      </c>
      <c r="D5752" s="8">
        <v>116965.742188</v>
      </c>
      <c r="E5752" s="8">
        <v>116981.507813</v>
      </c>
      <c r="F5752" s="8">
        <f t="shared" si="178"/>
        <v>15.765625</v>
      </c>
      <c r="G5752" s="8">
        <f t="shared" si="179"/>
        <v>1.5765624999999998E-2</v>
      </c>
    </row>
    <row r="5753" spans="1:7" x14ac:dyDescent="0.25">
      <c r="A5753" s="8">
        <v>76</v>
      </c>
      <c r="B5753" s="8">
        <v>53</v>
      </c>
      <c r="C5753" s="8">
        <v>735.17144800000005</v>
      </c>
      <c r="D5753" s="8">
        <v>118166.226563</v>
      </c>
      <c r="E5753" s="8">
        <v>118173.984375</v>
      </c>
      <c r="F5753" s="8">
        <f t="shared" si="178"/>
        <v>7.7578119999961928</v>
      </c>
      <c r="G5753" s="8">
        <f t="shared" si="179"/>
        <v>7.7578119999961925E-3</v>
      </c>
    </row>
    <row r="5754" spans="1:7" x14ac:dyDescent="0.25">
      <c r="A5754" s="8">
        <v>76</v>
      </c>
      <c r="B5754" s="8">
        <v>54</v>
      </c>
      <c r="C5754" s="8">
        <v>1296.597534</v>
      </c>
      <c r="D5754" s="8">
        <v>118916.289063</v>
      </c>
      <c r="E5754" s="8">
        <v>119019.875</v>
      </c>
      <c r="F5754" s="8">
        <f t="shared" si="178"/>
        <v>103.58593699999619</v>
      </c>
      <c r="G5754" s="8">
        <f t="shared" si="179"/>
        <v>0.10358593699999619</v>
      </c>
    </row>
    <row r="5755" spans="1:7" x14ac:dyDescent="0.25">
      <c r="A5755" s="8">
        <v>76</v>
      </c>
      <c r="B5755" s="8">
        <v>55</v>
      </c>
      <c r="C5755" s="8">
        <v>1880.422241</v>
      </c>
      <c r="D5755" s="8">
        <v>120327.890625</v>
      </c>
      <c r="E5755" s="8">
        <v>120339.414063</v>
      </c>
      <c r="F5755" s="8">
        <f t="shared" si="178"/>
        <v>11.523438000003807</v>
      </c>
      <c r="G5755" s="8">
        <f t="shared" si="179"/>
        <v>1.1523438000003806E-2</v>
      </c>
    </row>
    <row r="5756" spans="1:7" x14ac:dyDescent="0.25">
      <c r="A5756" s="8">
        <v>76</v>
      </c>
      <c r="B5756" s="8">
        <v>56</v>
      </c>
      <c r="C5756" s="8">
        <v>58.025382999999998</v>
      </c>
      <c r="D5756" s="8">
        <v>122220.835938</v>
      </c>
      <c r="E5756" s="8">
        <v>122237.304688</v>
      </c>
      <c r="F5756" s="8">
        <f t="shared" si="178"/>
        <v>16.46875</v>
      </c>
      <c r="G5756" s="8">
        <f t="shared" si="179"/>
        <v>1.6468750000000001E-2</v>
      </c>
    </row>
    <row r="5757" spans="1:7" x14ac:dyDescent="0.25">
      <c r="A5757" s="8">
        <v>76</v>
      </c>
      <c r="B5757" s="8">
        <v>57</v>
      </c>
      <c r="C5757" s="8">
        <v>1862.5295410000001</v>
      </c>
      <c r="D5757" s="8">
        <v>122299.054688</v>
      </c>
      <c r="E5757" s="8">
        <v>122316.125</v>
      </c>
      <c r="F5757" s="8">
        <f t="shared" si="178"/>
        <v>17.070311999996193</v>
      </c>
      <c r="G5757" s="8">
        <f t="shared" si="179"/>
        <v>1.7070311999996191E-2</v>
      </c>
    </row>
    <row r="5758" spans="1:7" x14ac:dyDescent="0.25">
      <c r="A5758" s="8">
        <v>76</v>
      </c>
      <c r="B5758" s="8">
        <v>58</v>
      </c>
      <c r="C5758" s="8">
        <v>37.396872999999999</v>
      </c>
      <c r="D5758" s="8">
        <v>124189.570313</v>
      </c>
      <c r="E5758" s="8">
        <v>124205.5625</v>
      </c>
      <c r="F5758" s="8">
        <f t="shared" si="178"/>
        <v>15.992186999996193</v>
      </c>
      <c r="G5758" s="8">
        <f t="shared" si="179"/>
        <v>1.5992186999996192E-2</v>
      </c>
    </row>
    <row r="5759" spans="1:7" x14ac:dyDescent="0.25">
      <c r="A5759" s="8">
        <v>76</v>
      </c>
      <c r="B5759" s="8">
        <v>59</v>
      </c>
      <c r="C5759" s="8">
        <v>4608.0410160000001</v>
      </c>
      <c r="D5759" s="8">
        <v>124252.03125</v>
      </c>
      <c r="E5759" s="8">
        <v>124277.789063</v>
      </c>
      <c r="F5759" s="8">
        <f t="shared" si="178"/>
        <v>25.757813000003807</v>
      </c>
      <c r="G5759" s="8">
        <f t="shared" si="179"/>
        <v>2.5757813000003807E-2</v>
      </c>
    </row>
    <row r="5760" spans="1:7" x14ac:dyDescent="0.25">
      <c r="A5760" s="8">
        <v>76</v>
      </c>
      <c r="B5760" s="8">
        <v>60</v>
      </c>
      <c r="C5760" s="8">
        <v>2676.7150879999999</v>
      </c>
      <c r="D5760" s="8">
        <v>128895.117188</v>
      </c>
      <c r="E5760" s="8">
        <v>128916.554688</v>
      </c>
      <c r="F5760" s="8">
        <f t="shared" si="178"/>
        <v>21.4375</v>
      </c>
      <c r="G5760" s="8">
        <f t="shared" si="179"/>
        <v>2.1437500000000002E-2</v>
      </c>
    </row>
    <row r="5761" spans="1:7" x14ac:dyDescent="0.25">
      <c r="A5761" s="8">
        <v>76</v>
      </c>
      <c r="B5761" s="8">
        <v>61</v>
      </c>
      <c r="C5761" s="8">
        <v>2827.2241210000002</v>
      </c>
      <c r="D5761" s="8">
        <v>131608.078125</v>
      </c>
      <c r="E5761" s="8">
        <v>131630.21875</v>
      </c>
      <c r="F5761" s="8">
        <f t="shared" si="178"/>
        <v>22.140625</v>
      </c>
      <c r="G5761" s="8">
        <f t="shared" si="179"/>
        <v>2.2140625000000001E-2</v>
      </c>
    </row>
    <row r="5762" spans="1:7" x14ac:dyDescent="0.25">
      <c r="A5762" s="8">
        <v>76</v>
      </c>
      <c r="B5762" s="8">
        <v>62</v>
      </c>
      <c r="C5762" s="8">
        <v>2200.7678219999998</v>
      </c>
      <c r="D5762" s="8">
        <v>134472.5625</v>
      </c>
      <c r="E5762" s="8">
        <v>134480.21875</v>
      </c>
      <c r="F5762" s="8">
        <f t="shared" si="178"/>
        <v>7.65625</v>
      </c>
      <c r="G5762" s="8">
        <f t="shared" si="179"/>
        <v>7.6562499999999999E-3</v>
      </c>
    </row>
    <row r="5763" spans="1:7" x14ac:dyDescent="0.25">
      <c r="A5763" s="8">
        <v>76</v>
      </c>
      <c r="B5763" s="8">
        <v>63</v>
      </c>
      <c r="C5763" s="8">
        <v>3718.0112300000001</v>
      </c>
      <c r="D5763" s="8">
        <v>136696.015625</v>
      </c>
      <c r="E5763" s="8">
        <v>136707.984375</v>
      </c>
      <c r="F5763" s="8">
        <f t="shared" si="178"/>
        <v>11.96875</v>
      </c>
      <c r="G5763" s="8">
        <f t="shared" si="179"/>
        <v>1.196875E-2</v>
      </c>
    </row>
    <row r="5764" spans="1:7" x14ac:dyDescent="0.25">
      <c r="A5764" s="8">
        <v>76</v>
      </c>
      <c r="B5764" s="8">
        <v>64</v>
      </c>
      <c r="C5764" s="8">
        <v>2127.9997560000002</v>
      </c>
      <c r="D5764" s="8">
        <v>140435.71875</v>
      </c>
      <c r="E5764" s="8">
        <v>140446.203125</v>
      </c>
      <c r="F5764" s="8">
        <f t="shared" si="178"/>
        <v>10.484375</v>
      </c>
      <c r="G5764" s="8">
        <f t="shared" si="179"/>
        <v>1.0484375000000001E-2</v>
      </c>
    </row>
    <row r="5765" spans="1:7" x14ac:dyDescent="0.25">
      <c r="A5765" s="8">
        <v>76</v>
      </c>
      <c r="B5765" s="8">
        <v>65</v>
      </c>
      <c r="C5765" s="8">
        <v>1376.3701169999999</v>
      </c>
      <c r="D5765" s="8">
        <v>142577.6875</v>
      </c>
      <c r="E5765" s="8">
        <v>142588.265625</v>
      </c>
      <c r="F5765" s="8">
        <f t="shared" si="178"/>
        <v>10.578125</v>
      </c>
      <c r="G5765" s="8">
        <f t="shared" si="179"/>
        <v>1.0578125000000001E-2</v>
      </c>
    </row>
    <row r="5766" spans="1:7" x14ac:dyDescent="0.25">
      <c r="A5766" s="8">
        <v>76</v>
      </c>
      <c r="B5766" s="8">
        <v>66</v>
      </c>
      <c r="C5766" s="8">
        <v>2749.4677729999999</v>
      </c>
      <c r="D5766" s="8">
        <v>143978.640625</v>
      </c>
      <c r="E5766" s="8">
        <v>144007.71875</v>
      </c>
      <c r="F5766" s="8">
        <f t="shared" si="178"/>
        <v>29.078125</v>
      </c>
      <c r="G5766" s="8">
        <f t="shared" si="179"/>
        <v>2.9078125E-2</v>
      </c>
    </row>
    <row r="5767" spans="1:7" x14ac:dyDescent="0.25">
      <c r="A5767" s="8">
        <v>76</v>
      </c>
      <c r="B5767" s="8">
        <v>67</v>
      </c>
      <c r="C5767" s="8">
        <v>893.03961200000003</v>
      </c>
      <c r="D5767" s="8">
        <v>146771.640625</v>
      </c>
      <c r="E5767" s="8">
        <v>146787.09375</v>
      </c>
      <c r="F5767" s="8">
        <f t="shared" si="178"/>
        <v>15.453125</v>
      </c>
      <c r="G5767" s="8">
        <f t="shared" si="179"/>
        <v>1.5453125E-2</v>
      </c>
    </row>
    <row r="5768" spans="1:7" x14ac:dyDescent="0.25">
      <c r="A5768" s="8">
        <v>76</v>
      </c>
      <c r="B5768" s="8">
        <v>68</v>
      </c>
      <c r="C5768" s="8">
        <v>3847.8718260000001</v>
      </c>
      <c r="D5768" s="8">
        <v>147693.5625</v>
      </c>
      <c r="E5768" s="8">
        <v>147711.78125</v>
      </c>
      <c r="F5768" s="8">
        <f t="shared" si="178"/>
        <v>18.21875</v>
      </c>
      <c r="G5768" s="8">
        <f t="shared" si="179"/>
        <v>1.8218749999999999E-2</v>
      </c>
    </row>
    <row r="5769" spans="1:7" x14ac:dyDescent="0.25">
      <c r="A5769" s="8">
        <v>76</v>
      </c>
      <c r="B5769" s="8">
        <v>69</v>
      </c>
      <c r="C5769" s="8">
        <v>1925.6273189999999</v>
      </c>
      <c r="D5769" s="8">
        <v>151561.484375</v>
      </c>
      <c r="E5769" s="8">
        <v>151581.984375</v>
      </c>
      <c r="F5769" s="8">
        <f t="shared" si="178"/>
        <v>20.5</v>
      </c>
      <c r="G5769" s="8">
        <f t="shared" si="179"/>
        <v>2.0500000000000001E-2</v>
      </c>
    </row>
    <row r="5770" spans="1:7" x14ac:dyDescent="0.25">
      <c r="A5770" s="8">
        <v>76</v>
      </c>
      <c r="B5770" s="8">
        <v>70</v>
      </c>
      <c r="C5770" s="8">
        <v>876.03692599999999</v>
      </c>
      <c r="D5770" s="8">
        <v>153515.796875</v>
      </c>
      <c r="E5770" s="8">
        <v>153536.375</v>
      </c>
      <c r="F5770" s="8">
        <f t="shared" si="178"/>
        <v>20.578125</v>
      </c>
      <c r="G5770" s="8">
        <f t="shared" si="179"/>
        <v>2.0578124999999999E-2</v>
      </c>
    </row>
    <row r="5771" spans="1:7" x14ac:dyDescent="0.25">
      <c r="A5771" s="8">
        <v>76</v>
      </c>
      <c r="B5771" s="8">
        <v>71</v>
      </c>
      <c r="C5771" s="8">
        <v>600.36181599999998</v>
      </c>
      <c r="D5771" s="8">
        <v>154422.21875</v>
      </c>
      <c r="E5771" s="8">
        <v>154430.53125</v>
      </c>
      <c r="F5771" s="8">
        <f t="shared" ref="F5771:F5834" si="180">E5771-D5771</f>
        <v>8.3125</v>
      </c>
      <c r="G5771" s="8">
        <f t="shared" ref="G5771:G5834" si="181">F5771/1000</f>
        <v>8.3125000000000004E-3</v>
      </c>
    </row>
    <row r="5772" spans="1:7" x14ac:dyDescent="0.25">
      <c r="A5772" s="8">
        <v>76</v>
      </c>
      <c r="B5772" s="8">
        <v>72</v>
      </c>
      <c r="C5772" s="8">
        <v>206.47328200000001</v>
      </c>
      <c r="D5772" s="8">
        <v>155031.421875</v>
      </c>
      <c r="E5772" s="8">
        <v>155052.859375</v>
      </c>
      <c r="F5772" s="8">
        <f t="shared" si="180"/>
        <v>21.4375</v>
      </c>
      <c r="G5772" s="8">
        <f t="shared" si="181"/>
        <v>2.1437500000000002E-2</v>
      </c>
    </row>
    <row r="5773" spans="1:7" x14ac:dyDescent="0.25">
      <c r="A5773" s="8">
        <v>76</v>
      </c>
      <c r="B5773" s="8">
        <v>73</v>
      </c>
      <c r="C5773" s="8">
        <v>2683.9426269999999</v>
      </c>
      <c r="D5773" s="8">
        <v>155265.984375</v>
      </c>
      <c r="E5773" s="8">
        <v>155284.4375</v>
      </c>
      <c r="F5773" s="8">
        <f t="shared" si="180"/>
        <v>18.453125</v>
      </c>
      <c r="G5773" s="8">
        <f t="shared" si="181"/>
        <v>1.8453125000000001E-2</v>
      </c>
    </row>
    <row r="5774" spans="1:7" x14ac:dyDescent="0.25">
      <c r="A5774" s="8">
        <v>76</v>
      </c>
      <c r="B5774" s="8">
        <v>74</v>
      </c>
      <c r="C5774" s="8">
        <v>1026.050659</v>
      </c>
      <c r="D5774" s="8">
        <v>157969.453125</v>
      </c>
      <c r="E5774" s="8">
        <v>157991.890625</v>
      </c>
      <c r="F5774" s="8">
        <f t="shared" si="180"/>
        <v>22.4375</v>
      </c>
      <c r="G5774" s="8">
        <f t="shared" si="181"/>
        <v>2.2437499999999999E-2</v>
      </c>
    </row>
    <row r="5775" spans="1:7" x14ac:dyDescent="0.25">
      <c r="A5775" s="8">
        <v>76</v>
      </c>
      <c r="B5775" s="8">
        <v>75</v>
      </c>
      <c r="C5775" s="8">
        <v>10511.027344</v>
      </c>
      <c r="D5775" s="8">
        <v>159033.046875</v>
      </c>
      <c r="E5775" s="8">
        <v>159048.53125</v>
      </c>
      <c r="F5775" s="8">
        <f t="shared" si="180"/>
        <v>15.484375</v>
      </c>
      <c r="G5775" s="8">
        <f t="shared" si="181"/>
        <v>1.5484375E-2</v>
      </c>
    </row>
    <row r="5776" spans="1:7" x14ac:dyDescent="0.25">
      <c r="A5776" s="8">
        <v>76</v>
      </c>
      <c r="B5776" s="8">
        <v>76</v>
      </c>
      <c r="C5776" s="8">
        <v>6817.5283200000003</v>
      </c>
      <c r="D5776" s="8">
        <v>169563.90625</v>
      </c>
      <c r="E5776" s="8">
        <v>169581.28125</v>
      </c>
      <c r="F5776" s="8">
        <f t="shared" si="180"/>
        <v>17.375</v>
      </c>
      <c r="G5776" s="8">
        <f t="shared" si="181"/>
        <v>1.7375000000000002E-2</v>
      </c>
    </row>
    <row r="5777" spans="1:7" x14ac:dyDescent="0.25">
      <c r="A5777" s="8">
        <v>77</v>
      </c>
      <c r="B5777" s="8">
        <v>0</v>
      </c>
      <c r="C5777" s="8">
        <v>1049.019409</v>
      </c>
      <c r="D5777" s="8">
        <v>20072.650390999999</v>
      </c>
      <c r="E5777" s="8">
        <v>20089.515625</v>
      </c>
      <c r="F5777" s="8">
        <f t="shared" si="180"/>
        <v>16.865234000000783</v>
      </c>
      <c r="G5777" s="8">
        <f t="shared" si="181"/>
        <v>1.6865234000000784E-2</v>
      </c>
    </row>
    <row r="5778" spans="1:7" x14ac:dyDescent="0.25">
      <c r="A5778" s="8">
        <v>77</v>
      </c>
      <c r="B5778" s="8">
        <v>1</v>
      </c>
      <c r="C5778" s="8">
        <v>6864.1933589999999</v>
      </c>
      <c r="D5778" s="8">
        <v>21141.191406000002</v>
      </c>
      <c r="E5778" s="8">
        <v>21157.576172000001</v>
      </c>
      <c r="F5778" s="8">
        <f t="shared" si="180"/>
        <v>16.384765999999217</v>
      </c>
      <c r="G5778" s="8">
        <f t="shared" si="181"/>
        <v>1.6384765999999218E-2</v>
      </c>
    </row>
    <row r="5779" spans="1:7" x14ac:dyDescent="0.25">
      <c r="A5779" s="8">
        <v>77</v>
      </c>
      <c r="B5779" s="8">
        <v>2</v>
      </c>
      <c r="C5779" s="8">
        <v>287.47454800000003</v>
      </c>
      <c r="D5779" s="8">
        <v>28025.335938</v>
      </c>
      <c r="E5779" s="8">
        <v>28039.884765999999</v>
      </c>
      <c r="F5779" s="8">
        <f t="shared" si="180"/>
        <v>14.548827999999048</v>
      </c>
      <c r="G5779" s="8">
        <f t="shared" si="181"/>
        <v>1.4548827999999047E-2</v>
      </c>
    </row>
    <row r="5780" spans="1:7" x14ac:dyDescent="0.25">
      <c r="A5780" s="8">
        <v>77</v>
      </c>
      <c r="B5780" s="8">
        <v>3</v>
      </c>
      <c r="C5780" s="8">
        <v>853.65142800000001</v>
      </c>
      <c r="D5780" s="8">
        <v>28340.136718999998</v>
      </c>
      <c r="E5780" s="8">
        <v>28347.3125</v>
      </c>
      <c r="F5780" s="8">
        <f t="shared" si="180"/>
        <v>7.1757810000017344</v>
      </c>
      <c r="G5780" s="8">
        <f t="shared" si="181"/>
        <v>7.1757810000017347E-3</v>
      </c>
    </row>
    <row r="5781" spans="1:7" x14ac:dyDescent="0.25">
      <c r="A5781" s="8">
        <v>77</v>
      </c>
      <c r="B5781" s="8">
        <v>4</v>
      </c>
      <c r="C5781" s="8">
        <v>802.76788299999998</v>
      </c>
      <c r="D5781" s="8">
        <v>29215.164063</v>
      </c>
      <c r="E5781" s="8">
        <v>29231.09375</v>
      </c>
      <c r="F5781" s="8">
        <f t="shared" si="180"/>
        <v>15.929686999999831</v>
      </c>
      <c r="G5781" s="8">
        <f t="shared" si="181"/>
        <v>1.5929686999999831E-2</v>
      </c>
    </row>
    <row r="5782" spans="1:7" x14ac:dyDescent="0.25">
      <c r="A5782" s="8">
        <v>77</v>
      </c>
      <c r="B5782" s="8">
        <v>5</v>
      </c>
      <c r="C5782" s="8">
        <v>2611.0153810000002</v>
      </c>
      <c r="D5782" s="8">
        <v>30043.462890999999</v>
      </c>
      <c r="E5782" s="8">
        <v>30060.910156000002</v>
      </c>
      <c r="F5782" s="8">
        <f t="shared" si="180"/>
        <v>17.447265000002517</v>
      </c>
      <c r="G5782" s="8">
        <f t="shared" si="181"/>
        <v>1.7447265000002515E-2</v>
      </c>
    </row>
    <row r="5783" spans="1:7" x14ac:dyDescent="0.25">
      <c r="A5783" s="8">
        <v>77</v>
      </c>
      <c r="B5783" s="8">
        <v>6</v>
      </c>
      <c r="C5783" s="8">
        <v>808.06347700000003</v>
      </c>
      <c r="D5783" s="8">
        <v>32676.394531000002</v>
      </c>
      <c r="E5783" s="8">
        <v>32699.830077999999</v>
      </c>
      <c r="F5783" s="8">
        <f t="shared" si="180"/>
        <v>23.435546999997314</v>
      </c>
      <c r="G5783" s="8">
        <f t="shared" si="181"/>
        <v>2.3435546999997312E-2</v>
      </c>
    </row>
    <row r="5784" spans="1:7" x14ac:dyDescent="0.25">
      <c r="A5784" s="8">
        <v>77</v>
      </c>
      <c r="B5784" s="8">
        <v>7</v>
      </c>
      <c r="C5784" s="8">
        <v>210.06329299999999</v>
      </c>
      <c r="D5784" s="8">
        <v>33509.390625</v>
      </c>
      <c r="E5784" s="8">
        <v>33529.273437999997</v>
      </c>
      <c r="F5784" s="8">
        <f t="shared" si="180"/>
        <v>19.882812999996531</v>
      </c>
      <c r="G5784" s="8">
        <f t="shared" si="181"/>
        <v>1.988281299999653E-2</v>
      </c>
    </row>
    <row r="5785" spans="1:7" x14ac:dyDescent="0.25">
      <c r="A5785" s="8">
        <v>77</v>
      </c>
      <c r="B5785" s="8">
        <v>8</v>
      </c>
      <c r="C5785" s="8">
        <v>2074.421143</v>
      </c>
      <c r="D5785" s="8">
        <v>33743.816405999998</v>
      </c>
      <c r="E5785" s="8">
        <v>33760.6875</v>
      </c>
      <c r="F5785" s="8">
        <f t="shared" si="180"/>
        <v>16.871094000001904</v>
      </c>
      <c r="G5785" s="8">
        <f t="shared" si="181"/>
        <v>1.6871094000001904E-2</v>
      </c>
    </row>
    <row r="5786" spans="1:7" x14ac:dyDescent="0.25">
      <c r="A5786" s="8">
        <v>77</v>
      </c>
      <c r="B5786" s="8">
        <v>9</v>
      </c>
      <c r="C5786" s="8">
        <v>504.390961</v>
      </c>
      <c r="D5786" s="8">
        <v>35842.671875</v>
      </c>
      <c r="E5786" s="8">
        <v>35871.722655999998</v>
      </c>
      <c r="F5786" s="8">
        <f t="shared" si="180"/>
        <v>29.050780999998096</v>
      </c>
      <c r="G5786" s="8">
        <f t="shared" si="181"/>
        <v>2.9050780999998096E-2</v>
      </c>
    </row>
    <row r="5787" spans="1:7" x14ac:dyDescent="0.25">
      <c r="A5787" s="8">
        <v>77</v>
      </c>
      <c r="B5787" s="8">
        <v>10</v>
      </c>
      <c r="C5787" s="8">
        <v>147.85438500000001</v>
      </c>
      <c r="D5787" s="8">
        <v>36389.546875</v>
      </c>
      <c r="E5787" s="8">
        <v>36403.101562999997</v>
      </c>
      <c r="F5787" s="8">
        <f t="shared" si="180"/>
        <v>13.554687999996531</v>
      </c>
      <c r="G5787" s="8">
        <f t="shared" si="181"/>
        <v>1.3554687999996531E-2</v>
      </c>
    </row>
    <row r="5788" spans="1:7" x14ac:dyDescent="0.25">
      <c r="A5788" s="8">
        <v>77</v>
      </c>
      <c r="B5788" s="8">
        <v>11</v>
      </c>
      <c r="C5788" s="8">
        <v>1880.422241</v>
      </c>
      <c r="D5788" s="8">
        <v>36550.324219000002</v>
      </c>
      <c r="E5788" s="8">
        <v>36567.191405999998</v>
      </c>
      <c r="F5788" s="8">
        <f t="shared" si="180"/>
        <v>16.867186999996193</v>
      </c>
      <c r="G5788" s="8">
        <f t="shared" si="181"/>
        <v>1.6867186999996193E-2</v>
      </c>
    </row>
    <row r="5789" spans="1:7" x14ac:dyDescent="0.25">
      <c r="A5789" s="8">
        <v>77</v>
      </c>
      <c r="B5789" s="8">
        <v>12</v>
      </c>
      <c r="C5789" s="8">
        <v>2948.2377929999998</v>
      </c>
      <c r="D5789" s="8">
        <v>38448.777344000002</v>
      </c>
      <c r="E5789" s="8">
        <v>38469.441405999998</v>
      </c>
      <c r="F5789" s="8">
        <f t="shared" si="180"/>
        <v>20.664061999996193</v>
      </c>
      <c r="G5789" s="8">
        <f t="shared" si="181"/>
        <v>2.0664061999996194E-2</v>
      </c>
    </row>
    <row r="5790" spans="1:7" x14ac:dyDescent="0.25">
      <c r="A5790" s="8">
        <v>77</v>
      </c>
      <c r="B5790" s="8">
        <v>13</v>
      </c>
      <c r="C5790" s="8">
        <v>957.60211200000003</v>
      </c>
      <c r="D5790" s="8">
        <v>41418.867187999997</v>
      </c>
      <c r="E5790" s="8">
        <v>41429.824219000002</v>
      </c>
      <c r="F5790" s="8">
        <f t="shared" si="180"/>
        <v>10.957031000005372</v>
      </c>
      <c r="G5790" s="8">
        <f t="shared" si="181"/>
        <v>1.0957031000005373E-2</v>
      </c>
    </row>
    <row r="5791" spans="1:7" x14ac:dyDescent="0.25">
      <c r="A5791" s="8">
        <v>77</v>
      </c>
      <c r="B5791" s="8">
        <v>14</v>
      </c>
      <c r="C5791" s="8">
        <v>1396.513672</v>
      </c>
      <c r="D5791" s="8">
        <v>42392.058594000002</v>
      </c>
      <c r="E5791" s="8">
        <v>42405.90625</v>
      </c>
      <c r="F5791" s="8">
        <f t="shared" si="180"/>
        <v>13.847655999998096</v>
      </c>
      <c r="G5791" s="8">
        <f t="shared" si="181"/>
        <v>1.3847655999998097E-2</v>
      </c>
    </row>
    <row r="5792" spans="1:7" x14ac:dyDescent="0.25">
      <c r="A5792" s="8">
        <v>77</v>
      </c>
      <c r="B5792" s="8">
        <v>15</v>
      </c>
      <c r="C5792" s="8">
        <v>180.45304899999999</v>
      </c>
      <c r="D5792" s="8">
        <v>43803.035155999998</v>
      </c>
      <c r="E5792" s="8">
        <v>43812.734375</v>
      </c>
      <c r="F5792" s="8">
        <f t="shared" si="180"/>
        <v>9.6992190000019036</v>
      </c>
      <c r="G5792" s="8">
        <f t="shared" si="181"/>
        <v>9.6992190000019032E-3</v>
      </c>
    </row>
    <row r="5793" spans="1:7" x14ac:dyDescent="0.25">
      <c r="A5793" s="8">
        <v>77</v>
      </c>
      <c r="B5793" s="8">
        <v>16</v>
      </c>
      <c r="C5793" s="8">
        <v>1742.301025</v>
      </c>
      <c r="D5793" s="8">
        <v>44006.121094000002</v>
      </c>
      <c r="E5793" s="8">
        <v>44029.757812999997</v>
      </c>
      <c r="F5793" s="8">
        <f t="shared" si="180"/>
        <v>23.636718999994628</v>
      </c>
      <c r="G5793" s="8">
        <f t="shared" si="181"/>
        <v>2.3636718999994626E-2</v>
      </c>
    </row>
    <row r="5794" spans="1:7" x14ac:dyDescent="0.25">
      <c r="A5794" s="8">
        <v>77</v>
      </c>
      <c r="B5794" s="8">
        <v>17</v>
      </c>
      <c r="C5794" s="8">
        <v>1678.1429439999999</v>
      </c>
      <c r="D5794" s="8">
        <v>45772.714844000002</v>
      </c>
      <c r="E5794" s="8">
        <v>45796.335937999997</v>
      </c>
      <c r="F5794" s="8">
        <f t="shared" si="180"/>
        <v>23.621093999994628</v>
      </c>
      <c r="G5794" s="8">
        <f t="shared" si="181"/>
        <v>2.3621093999994628E-2</v>
      </c>
    </row>
    <row r="5795" spans="1:7" x14ac:dyDescent="0.25">
      <c r="A5795" s="8">
        <v>77</v>
      </c>
      <c r="B5795" s="8">
        <v>18</v>
      </c>
      <c r="C5795" s="8">
        <v>120.051773</v>
      </c>
      <c r="D5795" s="8">
        <v>47485.421875</v>
      </c>
      <c r="E5795" s="8">
        <v>47496.78125</v>
      </c>
      <c r="F5795" s="8">
        <f t="shared" si="180"/>
        <v>11.359375</v>
      </c>
      <c r="G5795" s="8">
        <f t="shared" si="181"/>
        <v>1.1359375E-2</v>
      </c>
    </row>
    <row r="5796" spans="1:7" x14ac:dyDescent="0.25">
      <c r="A5796" s="8">
        <v>77</v>
      </c>
      <c r="B5796" s="8">
        <v>19</v>
      </c>
      <c r="C5796" s="8">
        <v>305.24160799999999</v>
      </c>
      <c r="D5796" s="8">
        <v>47625.824219000002</v>
      </c>
      <c r="E5796" s="8">
        <v>47642.421875</v>
      </c>
      <c r="F5796" s="8">
        <f t="shared" si="180"/>
        <v>16.597655999998096</v>
      </c>
      <c r="G5796" s="8">
        <f t="shared" si="181"/>
        <v>1.6597655999998098E-2</v>
      </c>
    </row>
    <row r="5797" spans="1:7" x14ac:dyDescent="0.25">
      <c r="A5797" s="8">
        <v>77</v>
      </c>
      <c r="B5797" s="8">
        <v>20</v>
      </c>
      <c r="C5797" s="8">
        <v>39.823768999999999</v>
      </c>
      <c r="D5797" s="8">
        <v>47954.96875</v>
      </c>
      <c r="E5797" s="8">
        <v>47968.8125</v>
      </c>
      <c r="F5797" s="8">
        <f t="shared" si="180"/>
        <v>13.84375</v>
      </c>
      <c r="G5797" s="8">
        <f t="shared" si="181"/>
        <v>1.384375E-2</v>
      </c>
    </row>
    <row r="5798" spans="1:7" x14ac:dyDescent="0.25">
      <c r="A5798" s="8">
        <v>77</v>
      </c>
      <c r="B5798" s="8">
        <v>21</v>
      </c>
      <c r="C5798" s="8">
        <v>270.49255399999998</v>
      </c>
      <c r="D5798" s="8">
        <v>48017.421875</v>
      </c>
      <c r="E5798" s="8">
        <v>48093.390625</v>
      </c>
      <c r="F5798" s="8">
        <f t="shared" si="180"/>
        <v>75.96875</v>
      </c>
      <c r="G5798" s="8">
        <f t="shared" si="181"/>
        <v>7.5968750000000002E-2</v>
      </c>
    </row>
    <row r="5799" spans="1:7" x14ac:dyDescent="0.25">
      <c r="A5799" s="8">
        <v>77</v>
      </c>
      <c r="B5799" s="8">
        <v>22</v>
      </c>
      <c r="C5799" s="8">
        <v>2448.039307</v>
      </c>
      <c r="D5799" s="8">
        <v>48376.8125</v>
      </c>
      <c r="E5799" s="8">
        <v>48393.851562999997</v>
      </c>
      <c r="F5799" s="8">
        <f t="shared" si="180"/>
        <v>17.039062999996531</v>
      </c>
      <c r="G5799" s="8">
        <f t="shared" si="181"/>
        <v>1.7039062999996531E-2</v>
      </c>
    </row>
    <row r="5800" spans="1:7" x14ac:dyDescent="0.25">
      <c r="A5800" s="8">
        <v>77</v>
      </c>
      <c r="B5800" s="8">
        <v>23</v>
      </c>
      <c r="C5800" s="8">
        <v>1014.157776</v>
      </c>
      <c r="D5800" s="8">
        <v>50846.644530999998</v>
      </c>
      <c r="E5800" s="8">
        <v>50863.308594000002</v>
      </c>
      <c r="F5800" s="8">
        <f t="shared" si="180"/>
        <v>16.664063000003807</v>
      </c>
      <c r="G5800" s="8">
        <f t="shared" si="181"/>
        <v>1.6664063000003806E-2</v>
      </c>
    </row>
    <row r="5801" spans="1:7" x14ac:dyDescent="0.25">
      <c r="A5801" s="8">
        <v>77</v>
      </c>
      <c r="B5801" s="8">
        <v>24</v>
      </c>
      <c r="C5801" s="8">
        <v>310.36755399999998</v>
      </c>
      <c r="D5801" s="8">
        <v>51888.925780999998</v>
      </c>
      <c r="E5801" s="8">
        <v>51897.359375</v>
      </c>
      <c r="F5801" s="8">
        <f t="shared" si="180"/>
        <v>8.4335940000019036</v>
      </c>
      <c r="G5801" s="8">
        <f t="shared" si="181"/>
        <v>8.4335940000019038E-3</v>
      </c>
    </row>
    <row r="5802" spans="1:7" x14ac:dyDescent="0.25">
      <c r="A5802" s="8">
        <v>77</v>
      </c>
      <c r="B5802" s="8">
        <v>25</v>
      </c>
      <c r="C5802" s="8">
        <v>1863.9241939999999</v>
      </c>
      <c r="D5802" s="8">
        <v>52217.089844000002</v>
      </c>
      <c r="E5802" s="8">
        <v>52232.484375</v>
      </c>
      <c r="F5802" s="8">
        <f t="shared" si="180"/>
        <v>15.394530999998096</v>
      </c>
      <c r="G5802" s="8">
        <f t="shared" si="181"/>
        <v>1.5394530999998097E-2</v>
      </c>
    </row>
    <row r="5803" spans="1:7" x14ac:dyDescent="0.25">
      <c r="A5803" s="8">
        <v>77</v>
      </c>
      <c r="B5803" s="8">
        <v>26</v>
      </c>
      <c r="C5803" s="8">
        <v>264.00448599999999</v>
      </c>
      <c r="D5803" s="8">
        <v>54096.949219000002</v>
      </c>
      <c r="E5803" s="8">
        <v>54110.296875</v>
      </c>
      <c r="F5803" s="8">
        <f t="shared" si="180"/>
        <v>13.347655999998096</v>
      </c>
      <c r="G5803" s="8">
        <f t="shared" si="181"/>
        <v>1.3347655999998096E-2</v>
      </c>
    </row>
    <row r="5804" spans="1:7" x14ac:dyDescent="0.25">
      <c r="A5804" s="8">
        <v>77</v>
      </c>
      <c r="B5804" s="8">
        <v>27</v>
      </c>
      <c r="C5804" s="8">
        <v>824.03497300000004</v>
      </c>
      <c r="D5804" s="8">
        <v>54378.480469000002</v>
      </c>
      <c r="E5804" s="8">
        <v>54436.429687999997</v>
      </c>
      <c r="F5804" s="8">
        <f t="shared" si="180"/>
        <v>57.949218999994628</v>
      </c>
      <c r="G5804" s="8">
        <f t="shared" si="181"/>
        <v>5.7949218999994626E-2</v>
      </c>
    </row>
    <row r="5805" spans="1:7" x14ac:dyDescent="0.25">
      <c r="A5805" s="8">
        <v>77</v>
      </c>
      <c r="B5805" s="8">
        <v>28</v>
      </c>
      <c r="C5805" s="8">
        <v>1208.7954099999999</v>
      </c>
      <c r="D5805" s="8">
        <v>55269.207030999998</v>
      </c>
      <c r="E5805" s="8">
        <v>55292.761719000002</v>
      </c>
      <c r="F5805" s="8">
        <f t="shared" si="180"/>
        <v>23.554688000003807</v>
      </c>
      <c r="G5805" s="8">
        <f t="shared" si="181"/>
        <v>2.3554688000003807E-2</v>
      </c>
    </row>
    <row r="5806" spans="1:7" x14ac:dyDescent="0.25">
      <c r="A5806" s="8">
        <v>77</v>
      </c>
      <c r="B5806" s="8">
        <v>29</v>
      </c>
      <c r="C5806" s="8">
        <v>350.39904799999999</v>
      </c>
      <c r="D5806" s="8">
        <v>56503.691405999998</v>
      </c>
      <c r="E5806" s="8">
        <v>56520.238280999998</v>
      </c>
      <c r="F5806" s="8">
        <f t="shared" si="180"/>
        <v>16.546875</v>
      </c>
      <c r="G5806" s="8">
        <f t="shared" si="181"/>
        <v>1.6546874999999999E-2</v>
      </c>
    </row>
    <row r="5807" spans="1:7" x14ac:dyDescent="0.25">
      <c r="A5807" s="8">
        <v>77</v>
      </c>
      <c r="B5807" s="8">
        <v>30</v>
      </c>
      <c r="C5807" s="8">
        <v>984.98071300000004</v>
      </c>
      <c r="D5807" s="8">
        <v>56879.433594000002</v>
      </c>
      <c r="E5807" s="8">
        <v>56890.644530999998</v>
      </c>
      <c r="F5807" s="8">
        <f t="shared" si="180"/>
        <v>11.210936999996193</v>
      </c>
      <c r="G5807" s="8">
        <f t="shared" si="181"/>
        <v>1.1210936999996193E-2</v>
      </c>
    </row>
    <row r="5808" spans="1:7" x14ac:dyDescent="0.25">
      <c r="A5808" s="8">
        <v>77</v>
      </c>
      <c r="B5808" s="8">
        <v>31</v>
      </c>
      <c r="C5808" s="8">
        <v>1900.054077</v>
      </c>
      <c r="D5808" s="8">
        <v>57882.792969000002</v>
      </c>
      <c r="E5808" s="8">
        <v>57890.21875</v>
      </c>
      <c r="F5808" s="8">
        <f t="shared" si="180"/>
        <v>7.4257809999980964</v>
      </c>
      <c r="G5808" s="8">
        <f t="shared" si="181"/>
        <v>7.4257809999980964E-3</v>
      </c>
    </row>
    <row r="5809" spans="1:7" x14ac:dyDescent="0.25">
      <c r="A5809" s="8">
        <v>77</v>
      </c>
      <c r="B5809" s="8">
        <v>32</v>
      </c>
      <c r="C5809" s="8">
        <v>3676.1491700000001</v>
      </c>
      <c r="D5809" s="8">
        <v>59794.308594000002</v>
      </c>
      <c r="E5809" s="8">
        <v>59807.101562999997</v>
      </c>
      <c r="F5809" s="8">
        <f t="shared" si="180"/>
        <v>12.792968999994628</v>
      </c>
      <c r="G5809" s="8">
        <f t="shared" si="181"/>
        <v>1.2792968999994627E-2</v>
      </c>
    </row>
    <row r="5810" spans="1:7" x14ac:dyDescent="0.25">
      <c r="A5810" s="8">
        <v>77</v>
      </c>
      <c r="B5810" s="8">
        <v>33</v>
      </c>
      <c r="C5810" s="8">
        <v>153.250809</v>
      </c>
      <c r="D5810" s="8">
        <v>63493.121094000002</v>
      </c>
      <c r="E5810" s="8">
        <v>63506.019530999998</v>
      </c>
      <c r="F5810" s="8">
        <f t="shared" si="180"/>
        <v>12.898436999996193</v>
      </c>
      <c r="G5810" s="8">
        <f t="shared" si="181"/>
        <v>1.2898436999996193E-2</v>
      </c>
    </row>
    <row r="5811" spans="1:7" x14ac:dyDescent="0.25">
      <c r="A5811" s="8">
        <v>77</v>
      </c>
      <c r="B5811" s="8">
        <v>34</v>
      </c>
      <c r="C5811" s="8">
        <v>642.50024399999995</v>
      </c>
      <c r="D5811" s="8">
        <v>63664.9375</v>
      </c>
      <c r="E5811" s="8">
        <v>63675.515625</v>
      </c>
      <c r="F5811" s="8">
        <f t="shared" si="180"/>
        <v>10.578125</v>
      </c>
      <c r="G5811" s="8">
        <f t="shared" si="181"/>
        <v>1.0578125000000001E-2</v>
      </c>
    </row>
    <row r="5812" spans="1:7" x14ac:dyDescent="0.25">
      <c r="A5812" s="8">
        <v>77</v>
      </c>
      <c r="B5812" s="8">
        <v>35</v>
      </c>
      <c r="C5812" s="8">
        <v>1516.482544</v>
      </c>
      <c r="D5812" s="8">
        <v>64324.492187999997</v>
      </c>
      <c r="E5812" s="8">
        <v>64333.304687999997</v>
      </c>
      <c r="F5812" s="8">
        <f t="shared" si="180"/>
        <v>8.8125</v>
      </c>
      <c r="G5812" s="8">
        <f t="shared" si="181"/>
        <v>8.8124999999999992E-3</v>
      </c>
    </row>
    <row r="5813" spans="1:7" x14ac:dyDescent="0.25">
      <c r="A5813" s="8">
        <v>77</v>
      </c>
      <c r="B5813" s="8">
        <v>36</v>
      </c>
      <c r="C5813" s="8">
        <v>9.9739159999999991</v>
      </c>
      <c r="D5813" s="8">
        <v>65855.84375</v>
      </c>
      <c r="E5813" s="8">
        <v>65865.898438000004</v>
      </c>
      <c r="F5813" s="8">
        <f t="shared" si="180"/>
        <v>10.054688000003807</v>
      </c>
      <c r="G5813" s="8">
        <f t="shared" si="181"/>
        <v>1.0054688000003807E-2</v>
      </c>
    </row>
    <row r="5814" spans="1:7" x14ac:dyDescent="0.25">
      <c r="A5814" s="8">
        <v>77</v>
      </c>
      <c r="B5814" s="8">
        <v>37</v>
      </c>
      <c r="C5814" s="8">
        <v>4328.9423829999996</v>
      </c>
      <c r="D5814" s="8">
        <v>65887.125</v>
      </c>
      <c r="E5814" s="8">
        <v>65902.929688000004</v>
      </c>
      <c r="F5814" s="8">
        <f t="shared" si="180"/>
        <v>15.804688000003807</v>
      </c>
      <c r="G5814" s="8">
        <f t="shared" si="181"/>
        <v>1.5804688000003807E-2</v>
      </c>
    </row>
    <row r="5815" spans="1:7" x14ac:dyDescent="0.25">
      <c r="A5815" s="8">
        <v>77</v>
      </c>
      <c r="B5815" s="8">
        <v>38</v>
      </c>
      <c r="C5815" s="8">
        <v>2753.0910640000002</v>
      </c>
      <c r="D5815" s="8">
        <v>70233.414063000004</v>
      </c>
      <c r="E5815" s="8">
        <v>70246.632813000004</v>
      </c>
      <c r="F5815" s="8">
        <f t="shared" si="180"/>
        <v>13.21875</v>
      </c>
      <c r="G5815" s="8">
        <f t="shared" si="181"/>
        <v>1.321875E-2</v>
      </c>
    </row>
    <row r="5816" spans="1:7" x14ac:dyDescent="0.25">
      <c r="A5816" s="8">
        <v>77</v>
      </c>
      <c r="B5816" s="8">
        <v>39</v>
      </c>
      <c r="C5816" s="8">
        <v>5541.2138670000004</v>
      </c>
      <c r="D5816" s="8">
        <v>73013.664063000004</v>
      </c>
      <c r="E5816" s="8">
        <v>73024.515625</v>
      </c>
      <c r="F5816" s="8">
        <f t="shared" si="180"/>
        <v>10.851561999996193</v>
      </c>
      <c r="G5816" s="8">
        <f t="shared" si="181"/>
        <v>1.0851561999996193E-2</v>
      </c>
    </row>
    <row r="5817" spans="1:7" x14ac:dyDescent="0.25">
      <c r="A5817" s="8">
        <v>77</v>
      </c>
      <c r="B5817" s="8">
        <v>40</v>
      </c>
      <c r="C5817" s="8">
        <v>2281.0517580000001</v>
      </c>
      <c r="D5817" s="8">
        <v>78575.898438000004</v>
      </c>
      <c r="E5817" s="8">
        <v>78589.257813000004</v>
      </c>
      <c r="F5817" s="8">
        <f t="shared" si="180"/>
        <v>13.359375</v>
      </c>
      <c r="G5817" s="8">
        <f t="shared" si="181"/>
        <v>1.3359375E-2</v>
      </c>
    </row>
    <row r="5818" spans="1:7" x14ac:dyDescent="0.25">
      <c r="A5818" s="8">
        <v>77</v>
      </c>
      <c r="B5818" s="8">
        <v>41</v>
      </c>
      <c r="C5818" s="8">
        <v>177.18248</v>
      </c>
      <c r="D5818" s="8">
        <v>80880.132813000004</v>
      </c>
      <c r="E5818" s="8">
        <v>80971.929688000004</v>
      </c>
      <c r="F5818" s="8">
        <f t="shared" si="180"/>
        <v>91.796875</v>
      </c>
      <c r="G5818" s="8">
        <f t="shared" si="181"/>
        <v>9.1796875E-2</v>
      </c>
    </row>
    <row r="5819" spans="1:7" x14ac:dyDescent="0.25">
      <c r="A5819" s="8">
        <v>77</v>
      </c>
      <c r="B5819" s="8">
        <v>42</v>
      </c>
      <c r="C5819" s="8">
        <v>2845.118164</v>
      </c>
      <c r="D5819" s="8">
        <v>81161.34375</v>
      </c>
      <c r="E5819" s="8">
        <v>81179.171875</v>
      </c>
      <c r="F5819" s="8">
        <f t="shared" si="180"/>
        <v>17.828125</v>
      </c>
      <c r="G5819" s="8">
        <f t="shared" si="181"/>
        <v>1.7828125E-2</v>
      </c>
    </row>
    <row r="5820" spans="1:7" x14ac:dyDescent="0.25">
      <c r="A5820" s="8">
        <v>77</v>
      </c>
      <c r="B5820" s="8">
        <v>43</v>
      </c>
      <c r="C5820" s="8">
        <v>475.15124500000002</v>
      </c>
      <c r="D5820" s="8">
        <v>84031.0625</v>
      </c>
      <c r="E5820" s="8">
        <v>84044.351563000004</v>
      </c>
      <c r="F5820" s="8">
        <f t="shared" si="180"/>
        <v>13.289063000003807</v>
      </c>
      <c r="G5820" s="8">
        <f t="shared" si="181"/>
        <v>1.3289063000003808E-2</v>
      </c>
    </row>
    <row r="5821" spans="1:7" x14ac:dyDescent="0.25">
      <c r="A5821" s="8">
        <v>77</v>
      </c>
      <c r="B5821" s="8">
        <v>44</v>
      </c>
      <c r="C5821" s="8">
        <v>1456.799683</v>
      </c>
      <c r="D5821" s="8">
        <v>84532.203125</v>
      </c>
      <c r="E5821" s="8">
        <v>84542.882813000004</v>
      </c>
      <c r="F5821" s="8">
        <f t="shared" si="180"/>
        <v>10.679688000003807</v>
      </c>
      <c r="G5821" s="8">
        <f t="shared" si="181"/>
        <v>1.0679688000003807E-2</v>
      </c>
    </row>
    <row r="5822" spans="1:7" x14ac:dyDescent="0.25">
      <c r="A5822" s="8">
        <v>77</v>
      </c>
      <c r="B5822" s="8">
        <v>45</v>
      </c>
      <c r="C5822" s="8">
        <v>3715.2709960000002</v>
      </c>
      <c r="D5822" s="8">
        <v>86002.710938000004</v>
      </c>
      <c r="E5822" s="8">
        <v>86028.210938000004</v>
      </c>
      <c r="F5822" s="8">
        <f t="shared" si="180"/>
        <v>25.5</v>
      </c>
      <c r="G5822" s="8">
        <f t="shared" si="181"/>
        <v>2.5499999999999998E-2</v>
      </c>
    </row>
    <row r="5823" spans="1:7" x14ac:dyDescent="0.25">
      <c r="A5823" s="8">
        <v>77</v>
      </c>
      <c r="B5823" s="8">
        <v>46</v>
      </c>
      <c r="C5823" s="8">
        <v>5237.09375</v>
      </c>
      <c r="D5823" s="8">
        <v>89756.257813000004</v>
      </c>
      <c r="E5823" s="8">
        <v>89779.710938000004</v>
      </c>
      <c r="F5823" s="8">
        <f t="shared" si="180"/>
        <v>23.453125</v>
      </c>
      <c r="G5823" s="8">
        <f t="shared" si="181"/>
        <v>2.3453124999999998E-2</v>
      </c>
    </row>
    <row r="5824" spans="1:7" x14ac:dyDescent="0.25">
      <c r="A5824" s="8">
        <v>77</v>
      </c>
      <c r="B5824" s="8">
        <v>47</v>
      </c>
      <c r="C5824" s="8">
        <v>1844.0280760000001</v>
      </c>
      <c r="D5824" s="8">
        <v>95024.359375</v>
      </c>
      <c r="E5824" s="8">
        <v>95035.203125</v>
      </c>
      <c r="F5824" s="8">
        <f t="shared" si="180"/>
        <v>10.84375</v>
      </c>
      <c r="G5824" s="8">
        <f t="shared" si="181"/>
        <v>1.0843749999999999E-2</v>
      </c>
    </row>
    <row r="5825" spans="1:7" x14ac:dyDescent="0.25">
      <c r="A5825" s="8">
        <v>77</v>
      </c>
      <c r="B5825" s="8">
        <v>48</v>
      </c>
      <c r="C5825" s="8">
        <v>6521.3881840000004</v>
      </c>
      <c r="D5825" s="8">
        <v>96884.234375</v>
      </c>
      <c r="E5825" s="8">
        <v>96892.359375</v>
      </c>
      <c r="F5825" s="8">
        <f t="shared" si="180"/>
        <v>8.125</v>
      </c>
      <c r="G5825" s="8">
        <f t="shared" si="181"/>
        <v>8.1250000000000003E-3</v>
      </c>
    </row>
    <row r="5826" spans="1:7" x14ac:dyDescent="0.25">
      <c r="A5826" s="8">
        <v>77</v>
      </c>
      <c r="B5826" s="8">
        <v>49</v>
      </c>
      <c r="C5826" s="8">
        <v>2794.6218260000001</v>
      </c>
      <c r="D5826" s="8">
        <v>103416.25</v>
      </c>
      <c r="E5826" s="8">
        <v>103429</v>
      </c>
      <c r="F5826" s="8">
        <f t="shared" si="180"/>
        <v>12.75</v>
      </c>
      <c r="G5826" s="8">
        <f t="shared" si="181"/>
        <v>1.2749999999999999E-2</v>
      </c>
    </row>
    <row r="5827" spans="1:7" x14ac:dyDescent="0.25">
      <c r="A5827" s="8">
        <v>77</v>
      </c>
      <c r="B5827" s="8">
        <v>50</v>
      </c>
      <c r="C5827" s="8">
        <v>446.867096</v>
      </c>
      <c r="D5827" s="8">
        <v>106234.679688</v>
      </c>
      <c r="E5827" s="8">
        <v>106249.640625</v>
      </c>
      <c r="F5827" s="8">
        <f t="shared" si="180"/>
        <v>14.960936999996193</v>
      </c>
      <c r="G5827" s="8">
        <f t="shared" si="181"/>
        <v>1.4960936999996193E-2</v>
      </c>
    </row>
    <row r="5828" spans="1:7" x14ac:dyDescent="0.25">
      <c r="A5828" s="8">
        <v>77</v>
      </c>
      <c r="B5828" s="8">
        <v>51</v>
      </c>
      <c r="C5828" s="8">
        <v>1885.7430420000001</v>
      </c>
      <c r="D5828" s="8">
        <v>106703.53125</v>
      </c>
      <c r="E5828" s="8">
        <v>106720.476563</v>
      </c>
      <c r="F5828" s="8">
        <f t="shared" si="180"/>
        <v>16.945313000003807</v>
      </c>
      <c r="G5828" s="8">
        <f t="shared" si="181"/>
        <v>1.6945313000003806E-2</v>
      </c>
    </row>
    <row r="5829" spans="1:7" x14ac:dyDescent="0.25">
      <c r="A5829" s="8">
        <v>77</v>
      </c>
      <c r="B5829" s="8">
        <v>52</v>
      </c>
      <c r="C5829" s="8">
        <v>7412.6694340000004</v>
      </c>
      <c r="D5829" s="8">
        <v>108610.585938</v>
      </c>
      <c r="E5829" s="8">
        <v>108629.984375</v>
      </c>
      <c r="F5829" s="8">
        <f t="shared" si="180"/>
        <v>19.398436999996193</v>
      </c>
      <c r="G5829" s="8">
        <f t="shared" si="181"/>
        <v>1.9398436999996192E-2</v>
      </c>
    </row>
    <row r="5830" spans="1:7" x14ac:dyDescent="0.25">
      <c r="A5830" s="8">
        <v>77</v>
      </c>
      <c r="B5830" s="8">
        <v>53</v>
      </c>
      <c r="C5830" s="8">
        <v>64.192535000000007</v>
      </c>
      <c r="D5830" s="8">
        <v>116051.960938</v>
      </c>
      <c r="E5830" s="8">
        <v>116074.726563</v>
      </c>
      <c r="F5830" s="8">
        <f t="shared" si="180"/>
        <v>22.765625</v>
      </c>
      <c r="G5830" s="8">
        <f t="shared" si="181"/>
        <v>2.2765625000000001E-2</v>
      </c>
    </row>
    <row r="5831" spans="1:7" x14ac:dyDescent="0.25">
      <c r="A5831" s="8">
        <v>77</v>
      </c>
      <c r="B5831" s="8">
        <v>54</v>
      </c>
      <c r="C5831" s="8">
        <v>202.07922400000001</v>
      </c>
      <c r="D5831" s="8">
        <v>116145.757813</v>
      </c>
      <c r="E5831" s="8">
        <v>116158.890625</v>
      </c>
      <c r="F5831" s="8">
        <f t="shared" si="180"/>
        <v>13.132811999996193</v>
      </c>
      <c r="G5831" s="8">
        <f t="shared" si="181"/>
        <v>1.3132811999996193E-2</v>
      </c>
    </row>
    <row r="5832" spans="1:7" x14ac:dyDescent="0.25">
      <c r="A5832" s="8">
        <v>77</v>
      </c>
      <c r="B5832" s="8">
        <v>55</v>
      </c>
      <c r="C5832" s="8">
        <v>2073.0439449999999</v>
      </c>
      <c r="D5832" s="8">
        <v>116364.5</v>
      </c>
      <c r="E5832" s="8">
        <v>116371.75</v>
      </c>
      <c r="F5832" s="8">
        <f t="shared" si="180"/>
        <v>7.25</v>
      </c>
      <c r="G5832" s="8">
        <f t="shared" si="181"/>
        <v>7.2500000000000004E-3</v>
      </c>
    </row>
    <row r="5833" spans="1:7" x14ac:dyDescent="0.25">
      <c r="A5833" s="8">
        <v>77</v>
      </c>
      <c r="B5833" s="8">
        <v>56</v>
      </c>
      <c r="C5833" s="8">
        <v>5761.4873049999997</v>
      </c>
      <c r="D5833" s="8">
        <v>118447.570313</v>
      </c>
      <c r="E5833" s="8">
        <v>118461.109375</v>
      </c>
      <c r="F5833" s="8">
        <f t="shared" si="180"/>
        <v>13.539061999996193</v>
      </c>
      <c r="G5833" s="8">
        <f t="shared" si="181"/>
        <v>1.3539061999996193E-2</v>
      </c>
    </row>
    <row r="5834" spans="1:7" x14ac:dyDescent="0.25">
      <c r="A5834" s="8">
        <v>77</v>
      </c>
      <c r="B5834" s="8">
        <v>57</v>
      </c>
      <c r="C5834" s="8">
        <v>413.19055200000003</v>
      </c>
      <c r="D5834" s="8">
        <v>124236.46875</v>
      </c>
      <c r="E5834" s="8">
        <v>124260.773438</v>
      </c>
      <c r="F5834" s="8">
        <f t="shared" si="180"/>
        <v>24.304688000003807</v>
      </c>
      <c r="G5834" s="8">
        <f t="shared" si="181"/>
        <v>2.4304688000003807E-2</v>
      </c>
    </row>
    <row r="5835" spans="1:7" x14ac:dyDescent="0.25">
      <c r="A5835" s="8">
        <v>77</v>
      </c>
      <c r="B5835" s="8">
        <v>58</v>
      </c>
      <c r="C5835" s="8">
        <v>1891.078125</v>
      </c>
      <c r="D5835" s="8">
        <v>124673.992188</v>
      </c>
      <c r="E5835" s="8">
        <v>124695.039063</v>
      </c>
      <c r="F5835" s="8">
        <f t="shared" ref="F5835:F5898" si="182">E5835-D5835</f>
        <v>21.046875</v>
      </c>
      <c r="G5835" s="8">
        <f t="shared" ref="G5835:G5898" si="183">F5835/1000</f>
        <v>2.1046875E-2</v>
      </c>
    </row>
    <row r="5836" spans="1:7" x14ac:dyDescent="0.25">
      <c r="A5836" s="8">
        <v>77</v>
      </c>
      <c r="B5836" s="8">
        <v>59</v>
      </c>
      <c r="C5836" s="8">
        <v>2221.9750979999999</v>
      </c>
      <c r="D5836" s="8">
        <v>126596.703125</v>
      </c>
      <c r="E5836" s="8">
        <v>126613.664063</v>
      </c>
      <c r="F5836" s="8">
        <f t="shared" si="182"/>
        <v>16.960938000003807</v>
      </c>
      <c r="G5836" s="8">
        <f t="shared" si="183"/>
        <v>1.6960938000003808E-2</v>
      </c>
    </row>
    <row r="5837" spans="1:7" x14ac:dyDescent="0.25">
      <c r="A5837" s="8">
        <v>77</v>
      </c>
      <c r="B5837" s="8">
        <v>60</v>
      </c>
      <c r="C5837" s="8">
        <v>1889.193481</v>
      </c>
      <c r="D5837" s="8">
        <v>128848.242188</v>
      </c>
      <c r="E5837" s="8">
        <v>128863.34375</v>
      </c>
      <c r="F5837" s="8">
        <f t="shared" si="182"/>
        <v>15.101561999996193</v>
      </c>
      <c r="G5837" s="8">
        <f t="shared" si="183"/>
        <v>1.5101561999996193E-2</v>
      </c>
    </row>
    <row r="5838" spans="1:7" x14ac:dyDescent="0.25">
      <c r="A5838" s="8">
        <v>77</v>
      </c>
      <c r="B5838" s="8">
        <v>61</v>
      </c>
      <c r="C5838" s="8">
        <v>1720.252808</v>
      </c>
      <c r="D5838" s="8">
        <v>130754.453125</v>
      </c>
      <c r="E5838" s="8">
        <v>130768.796875</v>
      </c>
      <c r="F5838" s="8">
        <f t="shared" si="182"/>
        <v>14.34375</v>
      </c>
      <c r="G5838" s="8">
        <f t="shared" si="183"/>
        <v>1.4343750000000001E-2</v>
      </c>
    </row>
    <row r="5839" spans="1:7" x14ac:dyDescent="0.25">
      <c r="A5839" s="8">
        <v>77</v>
      </c>
      <c r="B5839" s="8">
        <v>62</v>
      </c>
      <c r="C5839" s="8">
        <v>1007.3790279999999</v>
      </c>
      <c r="D5839" s="8">
        <v>132498.953125</v>
      </c>
      <c r="E5839" s="8">
        <v>132506.40625</v>
      </c>
      <c r="F5839" s="8">
        <f t="shared" si="182"/>
        <v>7.453125</v>
      </c>
      <c r="G5839" s="8">
        <f t="shared" si="183"/>
        <v>7.4531249999999997E-3</v>
      </c>
    </row>
    <row r="5840" spans="1:7" x14ac:dyDescent="0.25">
      <c r="A5840" s="8">
        <v>77</v>
      </c>
      <c r="B5840" s="8">
        <v>63</v>
      </c>
      <c r="C5840" s="8">
        <v>126.088425</v>
      </c>
      <c r="D5840" s="8">
        <v>133519.34375</v>
      </c>
      <c r="E5840" s="8">
        <v>133535.875</v>
      </c>
      <c r="F5840" s="8">
        <f t="shared" si="182"/>
        <v>16.53125</v>
      </c>
      <c r="G5840" s="8">
        <f t="shared" si="183"/>
        <v>1.6531250000000001E-2</v>
      </c>
    </row>
    <row r="5841" spans="1:7" x14ac:dyDescent="0.25">
      <c r="A5841" s="8">
        <v>77</v>
      </c>
      <c r="B5841" s="8">
        <v>64</v>
      </c>
      <c r="C5841" s="8">
        <v>985.979736</v>
      </c>
      <c r="D5841" s="8">
        <v>133675.515625</v>
      </c>
      <c r="E5841" s="8">
        <v>133686.296875</v>
      </c>
      <c r="F5841" s="8">
        <f t="shared" si="182"/>
        <v>10.78125</v>
      </c>
      <c r="G5841" s="8">
        <f t="shared" si="183"/>
        <v>1.0781249999999999E-2</v>
      </c>
    </row>
    <row r="5842" spans="1:7" x14ac:dyDescent="0.25">
      <c r="A5842" s="8">
        <v>77</v>
      </c>
      <c r="B5842" s="8">
        <v>65</v>
      </c>
      <c r="C5842" s="8">
        <v>3964.4765630000002</v>
      </c>
      <c r="D5842" s="8">
        <v>134675.484375</v>
      </c>
      <c r="E5842" s="8">
        <v>134687.71875</v>
      </c>
      <c r="F5842" s="8">
        <f t="shared" si="182"/>
        <v>12.234375</v>
      </c>
      <c r="G5842" s="8">
        <f t="shared" si="183"/>
        <v>1.2234375E-2</v>
      </c>
    </row>
    <row r="5843" spans="1:7" x14ac:dyDescent="0.25">
      <c r="A5843" s="8">
        <v>77</v>
      </c>
      <c r="B5843" s="8">
        <v>66</v>
      </c>
      <c r="C5843" s="8">
        <v>659.23388699999998</v>
      </c>
      <c r="D5843" s="8">
        <v>138656.25</v>
      </c>
      <c r="E5843" s="8">
        <v>138663.578125</v>
      </c>
      <c r="F5843" s="8">
        <f t="shared" si="182"/>
        <v>7.328125</v>
      </c>
      <c r="G5843" s="8">
        <f t="shared" si="183"/>
        <v>7.3281249999999996E-3</v>
      </c>
    </row>
    <row r="5844" spans="1:7" x14ac:dyDescent="0.25">
      <c r="A5844" s="8">
        <v>77</v>
      </c>
      <c r="B5844" s="8">
        <v>67</v>
      </c>
      <c r="C5844" s="8">
        <v>968.36999500000002</v>
      </c>
      <c r="D5844" s="8">
        <v>139334.40625</v>
      </c>
      <c r="E5844" s="8">
        <v>139358.375</v>
      </c>
      <c r="F5844" s="8">
        <f t="shared" si="182"/>
        <v>23.96875</v>
      </c>
      <c r="G5844" s="8">
        <f t="shared" si="183"/>
        <v>2.396875E-2</v>
      </c>
    </row>
    <row r="5845" spans="1:7" x14ac:dyDescent="0.25">
      <c r="A5845" s="8">
        <v>77</v>
      </c>
      <c r="B5845" s="8">
        <v>68</v>
      </c>
      <c r="C5845" s="8">
        <v>4304.1103519999997</v>
      </c>
      <c r="D5845" s="8">
        <v>140334.75</v>
      </c>
      <c r="E5845" s="8">
        <v>140346.40625</v>
      </c>
      <c r="F5845" s="8">
        <f t="shared" si="182"/>
        <v>11.65625</v>
      </c>
      <c r="G5845" s="8">
        <f t="shared" si="183"/>
        <v>1.165625E-2</v>
      </c>
    </row>
    <row r="5846" spans="1:7" x14ac:dyDescent="0.25">
      <c r="A5846" s="8">
        <v>77</v>
      </c>
      <c r="B5846" s="8">
        <v>69</v>
      </c>
      <c r="C5846" s="8">
        <v>3232.1647950000001</v>
      </c>
      <c r="D5846" s="8">
        <v>144650.625</v>
      </c>
      <c r="E5846" s="8">
        <v>144669.859375</v>
      </c>
      <c r="F5846" s="8">
        <f t="shared" si="182"/>
        <v>19.234375</v>
      </c>
      <c r="G5846" s="8">
        <f t="shared" si="183"/>
        <v>1.9234375000000001E-2</v>
      </c>
    </row>
    <row r="5847" spans="1:7" x14ac:dyDescent="0.25">
      <c r="A5847" s="8">
        <v>77</v>
      </c>
      <c r="B5847" s="8">
        <v>70</v>
      </c>
      <c r="C5847" s="8">
        <v>2885.781982</v>
      </c>
      <c r="D5847" s="8">
        <v>147912.453125</v>
      </c>
      <c r="E5847" s="8">
        <v>147935.75</v>
      </c>
      <c r="F5847" s="8">
        <f t="shared" si="182"/>
        <v>23.296875</v>
      </c>
      <c r="G5847" s="8">
        <f t="shared" si="183"/>
        <v>2.3296875000000002E-2</v>
      </c>
    </row>
    <row r="5848" spans="1:7" x14ac:dyDescent="0.25">
      <c r="A5848" s="8">
        <v>77</v>
      </c>
      <c r="B5848" s="8">
        <v>71</v>
      </c>
      <c r="C5848" s="8">
        <v>798.39605700000004</v>
      </c>
      <c r="D5848" s="8">
        <v>150826.890625</v>
      </c>
      <c r="E5848" s="8">
        <v>150835.171875</v>
      </c>
      <c r="F5848" s="8">
        <f t="shared" si="182"/>
        <v>8.28125</v>
      </c>
      <c r="G5848" s="8">
        <f t="shared" si="183"/>
        <v>8.2812500000000004E-3</v>
      </c>
    </row>
    <row r="5849" spans="1:7" x14ac:dyDescent="0.25">
      <c r="A5849" s="8">
        <v>77</v>
      </c>
      <c r="B5849" s="8">
        <v>72</v>
      </c>
      <c r="C5849" s="8">
        <v>7865.1777339999999</v>
      </c>
      <c r="D5849" s="8">
        <v>151639.59375</v>
      </c>
      <c r="E5849" s="8">
        <v>151658.234375</v>
      </c>
      <c r="F5849" s="8">
        <f t="shared" si="182"/>
        <v>18.640625</v>
      </c>
      <c r="G5849" s="8">
        <f t="shared" si="183"/>
        <v>1.8640625000000001E-2</v>
      </c>
    </row>
    <row r="5850" spans="1:7" x14ac:dyDescent="0.25">
      <c r="A5850" s="8">
        <v>77</v>
      </c>
      <c r="B5850" s="8">
        <v>73</v>
      </c>
      <c r="C5850" s="8">
        <v>916.64495799999997</v>
      </c>
      <c r="D5850" s="8">
        <v>159533.046875</v>
      </c>
      <c r="E5850" s="8">
        <v>159552.0625</v>
      </c>
      <c r="F5850" s="8">
        <f t="shared" si="182"/>
        <v>19.015625</v>
      </c>
      <c r="G5850" s="8">
        <f t="shared" si="183"/>
        <v>1.9015625000000001E-2</v>
      </c>
    </row>
    <row r="5851" spans="1:7" x14ac:dyDescent="0.25">
      <c r="A5851" s="8">
        <v>77</v>
      </c>
      <c r="B5851" s="8">
        <v>74</v>
      </c>
      <c r="C5851" s="8">
        <v>1523.007568</v>
      </c>
      <c r="D5851" s="8">
        <v>160470.640625</v>
      </c>
      <c r="E5851" s="8">
        <v>160489.234375</v>
      </c>
      <c r="F5851" s="8">
        <f t="shared" si="182"/>
        <v>18.59375</v>
      </c>
      <c r="G5851" s="8">
        <f t="shared" si="183"/>
        <v>1.8593749999999999E-2</v>
      </c>
    </row>
    <row r="5852" spans="1:7" x14ac:dyDescent="0.25">
      <c r="A5852" s="8">
        <v>77</v>
      </c>
      <c r="B5852" s="8">
        <v>75</v>
      </c>
      <c r="C5852" s="8">
        <v>1406.7236330000001</v>
      </c>
      <c r="D5852" s="8">
        <v>162017.703125</v>
      </c>
      <c r="E5852" s="8">
        <v>162038.703125</v>
      </c>
      <c r="F5852" s="8">
        <f t="shared" si="182"/>
        <v>21</v>
      </c>
      <c r="G5852" s="8">
        <f t="shared" si="183"/>
        <v>2.1000000000000001E-2</v>
      </c>
    </row>
    <row r="5853" spans="1:7" x14ac:dyDescent="0.25">
      <c r="A5853" s="8">
        <v>77</v>
      </c>
      <c r="B5853" s="8">
        <v>76</v>
      </c>
      <c r="C5853" s="8">
        <v>816.95147699999995</v>
      </c>
      <c r="D5853" s="8">
        <v>163455.921875</v>
      </c>
      <c r="E5853" s="8">
        <v>163466.84375</v>
      </c>
      <c r="F5853" s="8">
        <f t="shared" si="182"/>
        <v>10.921875</v>
      </c>
      <c r="G5853" s="8">
        <f t="shared" si="183"/>
        <v>1.0921874999999999E-2</v>
      </c>
    </row>
    <row r="5854" spans="1:7" x14ac:dyDescent="0.25">
      <c r="A5854" s="8">
        <v>77</v>
      </c>
      <c r="B5854" s="8">
        <v>77</v>
      </c>
      <c r="C5854" s="8">
        <v>2115.3046880000002</v>
      </c>
      <c r="D5854" s="8">
        <v>164283.9375</v>
      </c>
      <c r="E5854" s="8">
        <v>164291.078125</v>
      </c>
      <c r="F5854" s="8">
        <f t="shared" si="182"/>
        <v>7.140625</v>
      </c>
      <c r="G5854" s="8">
        <f t="shared" si="183"/>
        <v>7.1406250000000003E-3</v>
      </c>
    </row>
    <row r="5855" spans="1:7" x14ac:dyDescent="0.25">
      <c r="A5855" s="8">
        <v>77</v>
      </c>
      <c r="B5855" s="8">
        <v>78</v>
      </c>
      <c r="C5855" s="8">
        <v>2010.3642580000001</v>
      </c>
      <c r="D5855" s="8">
        <v>166411.3125</v>
      </c>
      <c r="E5855" s="8">
        <v>166424.15625</v>
      </c>
      <c r="F5855" s="8">
        <f t="shared" si="182"/>
        <v>12.84375</v>
      </c>
      <c r="G5855" s="8">
        <f t="shared" si="183"/>
        <v>1.2843749999999999E-2</v>
      </c>
    </row>
    <row r="5856" spans="1:7" x14ac:dyDescent="0.25">
      <c r="A5856" s="8">
        <v>77</v>
      </c>
      <c r="B5856" s="8">
        <v>79</v>
      </c>
      <c r="C5856" s="8">
        <v>759.38305700000001</v>
      </c>
      <c r="D5856" s="8">
        <v>168434.875</v>
      </c>
      <c r="E5856" s="8">
        <v>168445.671875</v>
      </c>
      <c r="F5856" s="8">
        <f t="shared" si="182"/>
        <v>10.796875</v>
      </c>
      <c r="G5856" s="8">
        <f t="shared" si="183"/>
        <v>1.0796874999999999E-2</v>
      </c>
    </row>
    <row r="5857" spans="1:7" x14ac:dyDescent="0.25">
      <c r="A5857" s="8">
        <v>77</v>
      </c>
      <c r="B5857" s="8">
        <v>80</v>
      </c>
      <c r="C5857" s="8">
        <v>1903.6876219999999</v>
      </c>
      <c r="D5857" s="8">
        <v>169220.34375</v>
      </c>
      <c r="E5857" s="8">
        <v>169230.5</v>
      </c>
      <c r="F5857" s="8">
        <f t="shared" si="182"/>
        <v>10.15625</v>
      </c>
      <c r="G5857" s="8">
        <f t="shared" si="183"/>
        <v>1.015625E-2</v>
      </c>
    </row>
    <row r="5858" spans="1:7" x14ac:dyDescent="0.25">
      <c r="A5858" s="8">
        <v>78</v>
      </c>
      <c r="B5858" s="8">
        <v>0</v>
      </c>
      <c r="C5858" s="8">
        <v>1362.932129</v>
      </c>
      <c r="D5858" s="8">
        <v>20213.277343999998</v>
      </c>
      <c r="E5858" s="8">
        <v>20224.494140999999</v>
      </c>
      <c r="F5858" s="8">
        <f t="shared" si="182"/>
        <v>11.216797000000952</v>
      </c>
      <c r="G5858" s="8">
        <f t="shared" si="183"/>
        <v>1.1216797000000951E-2</v>
      </c>
    </row>
    <row r="5859" spans="1:7" x14ac:dyDescent="0.25">
      <c r="A5859" s="8">
        <v>78</v>
      </c>
      <c r="B5859" s="8">
        <v>1</v>
      </c>
      <c r="C5859" s="8">
        <v>5684.6372069999998</v>
      </c>
      <c r="D5859" s="8">
        <v>21594.380859000001</v>
      </c>
      <c r="E5859" s="8">
        <v>21608.740234000001</v>
      </c>
      <c r="F5859" s="8">
        <f t="shared" si="182"/>
        <v>14.359375</v>
      </c>
      <c r="G5859" s="8">
        <f t="shared" si="183"/>
        <v>1.4359375000000001E-2</v>
      </c>
    </row>
    <row r="5860" spans="1:7" x14ac:dyDescent="0.25">
      <c r="A5860" s="8">
        <v>78</v>
      </c>
      <c r="B5860" s="8">
        <v>2</v>
      </c>
      <c r="C5860" s="8">
        <v>718.31738299999995</v>
      </c>
      <c r="D5860" s="8">
        <v>27305.691406000002</v>
      </c>
      <c r="E5860" s="8">
        <v>27325.140625</v>
      </c>
      <c r="F5860" s="8">
        <f t="shared" si="182"/>
        <v>19.449218999998266</v>
      </c>
      <c r="G5860" s="8">
        <f t="shared" si="183"/>
        <v>1.9449218999998266E-2</v>
      </c>
    </row>
    <row r="5861" spans="1:7" x14ac:dyDescent="0.25">
      <c r="A5861" s="8">
        <v>78</v>
      </c>
      <c r="B5861" s="8">
        <v>3</v>
      </c>
      <c r="C5861" s="8">
        <v>2527.4357909999999</v>
      </c>
      <c r="D5861" s="8">
        <v>28056.59375</v>
      </c>
      <c r="E5861" s="8">
        <v>28067.820313</v>
      </c>
      <c r="F5861" s="8">
        <f t="shared" si="182"/>
        <v>11.226563000000169</v>
      </c>
      <c r="G5861" s="8">
        <f t="shared" si="183"/>
        <v>1.1226563000000168E-2</v>
      </c>
    </row>
    <row r="5862" spans="1:7" x14ac:dyDescent="0.25">
      <c r="A5862" s="8">
        <v>78</v>
      </c>
      <c r="B5862" s="8">
        <v>4</v>
      </c>
      <c r="C5862" s="8">
        <v>2223.45874</v>
      </c>
      <c r="D5862" s="8">
        <v>30608.986327999999</v>
      </c>
      <c r="E5862" s="8">
        <v>30618.630859000001</v>
      </c>
      <c r="F5862" s="8">
        <f t="shared" si="182"/>
        <v>9.6445310000017344</v>
      </c>
      <c r="G5862" s="8">
        <f t="shared" si="183"/>
        <v>9.6445310000017343E-3</v>
      </c>
    </row>
    <row r="5863" spans="1:7" x14ac:dyDescent="0.25">
      <c r="A5863" s="8">
        <v>78</v>
      </c>
      <c r="B5863" s="8">
        <v>5</v>
      </c>
      <c r="C5863" s="8">
        <v>2068.7465820000002</v>
      </c>
      <c r="D5863" s="8">
        <v>32848.257812999997</v>
      </c>
      <c r="E5863" s="8">
        <v>32859.410155999998</v>
      </c>
      <c r="F5863" s="8">
        <f t="shared" si="182"/>
        <v>11.152343000001565</v>
      </c>
      <c r="G5863" s="8">
        <f t="shared" si="183"/>
        <v>1.1152343000001565E-2</v>
      </c>
    </row>
    <row r="5864" spans="1:7" x14ac:dyDescent="0.25">
      <c r="A5864" s="8">
        <v>78</v>
      </c>
      <c r="B5864" s="8">
        <v>6</v>
      </c>
      <c r="C5864" s="8">
        <v>1064.341187</v>
      </c>
      <c r="D5864" s="8">
        <v>34936.296875</v>
      </c>
      <c r="E5864" s="8">
        <v>34960.578125</v>
      </c>
      <c r="F5864" s="8">
        <f t="shared" si="182"/>
        <v>24.28125</v>
      </c>
      <c r="G5864" s="8">
        <f t="shared" si="183"/>
        <v>2.4281250000000001E-2</v>
      </c>
    </row>
    <row r="5865" spans="1:7" x14ac:dyDescent="0.25">
      <c r="A5865" s="8">
        <v>78</v>
      </c>
      <c r="B5865" s="8">
        <v>7</v>
      </c>
      <c r="C5865" s="8">
        <v>6782.7763670000004</v>
      </c>
      <c r="D5865" s="8">
        <v>36029.96875</v>
      </c>
      <c r="E5865" s="8">
        <v>36048.726562999997</v>
      </c>
      <c r="F5865" s="8">
        <f t="shared" si="182"/>
        <v>18.757812999996531</v>
      </c>
      <c r="G5865" s="8">
        <f t="shared" si="183"/>
        <v>1.8757812999996532E-2</v>
      </c>
    </row>
    <row r="5866" spans="1:7" x14ac:dyDescent="0.25">
      <c r="A5866" s="8">
        <v>78</v>
      </c>
      <c r="B5866" s="8">
        <v>8</v>
      </c>
      <c r="C5866" s="8">
        <v>1225.9602050000001</v>
      </c>
      <c r="D5866" s="8">
        <v>42845.222655999998</v>
      </c>
      <c r="E5866" s="8">
        <v>42857.898437999997</v>
      </c>
      <c r="F5866" s="8">
        <f t="shared" si="182"/>
        <v>12.675781999998435</v>
      </c>
      <c r="G5866" s="8">
        <f t="shared" si="183"/>
        <v>1.2675781999998435E-2</v>
      </c>
    </row>
    <row r="5867" spans="1:7" x14ac:dyDescent="0.25">
      <c r="A5867" s="8">
        <v>78</v>
      </c>
      <c r="B5867" s="8">
        <v>9</v>
      </c>
      <c r="C5867" s="8">
        <v>3696.195557</v>
      </c>
      <c r="D5867" s="8">
        <v>44084.253905999998</v>
      </c>
      <c r="E5867" s="8">
        <v>44108.792969000002</v>
      </c>
      <c r="F5867" s="8">
        <f t="shared" si="182"/>
        <v>24.539063000003807</v>
      </c>
      <c r="G5867" s="8">
        <f t="shared" si="183"/>
        <v>2.4539063000003806E-2</v>
      </c>
    </row>
    <row r="5868" spans="1:7" x14ac:dyDescent="0.25">
      <c r="A5868" s="8">
        <v>78</v>
      </c>
      <c r="B5868" s="8">
        <v>10</v>
      </c>
      <c r="C5868" s="8">
        <v>2118.999268</v>
      </c>
      <c r="D5868" s="8">
        <v>47813.523437999997</v>
      </c>
      <c r="E5868" s="8">
        <v>47906.878905999998</v>
      </c>
      <c r="F5868" s="8">
        <f t="shared" si="182"/>
        <v>93.355468000001565</v>
      </c>
      <c r="G5868" s="8">
        <f t="shared" si="183"/>
        <v>9.3355468000001565E-2</v>
      </c>
    </row>
    <row r="5869" spans="1:7" x14ac:dyDescent="0.25">
      <c r="A5869" s="8">
        <v>78</v>
      </c>
      <c r="B5869" s="8">
        <v>11</v>
      </c>
      <c r="C5869" s="8">
        <v>445.87512199999998</v>
      </c>
      <c r="D5869" s="8">
        <v>50034.054687999997</v>
      </c>
      <c r="E5869" s="8">
        <v>50042.648437999997</v>
      </c>
      <c r="F5869" s="8">
        <f t="shared" si="182"/>
        <v>8.59375</v>
      </c>
      <c r="G5869" s="8">
        <f t="shared" si="183"/>
        <v>8.5937500000000007E-3</v>
      </c>
    </row>
    <row r="5870" spans="1:7" x14ac:dyDescent="0.25">
      <c r="A5870" s="8">
        <v>78</v>
      </c>
      <c r="B5870" s="8">
        <v>12</v>
      </c>
      <c r="C5870" s="8">
        <v>1442.937866</v>
      </c>
      <c r="D5870" s="8">
        <v>50502.863280999998</v>
      </c>
      <c r="E5870" s="8">
        <v>50528.234375</v>
      </c>
      <c r="F5870" s="8">
        <f t="shared" si="182"/>
        <v>25.371094000001904</v>
      </c>
      <c r="G5870" s="8">
        <f t="shared" si="183"/>
        <v>2.5371094000001905E-2</v>
      </c>
    </row>
    <row r="5871" spans="1:7" x14ac:dyDescent="0.25">
      <c r="A5871" s="8">
        <v>78</v>
      </c>
      <c r="B5871" s="8">
        <v>13</v>
      </c>
      <c r="C5871" s="8">
        <v>1541.918823</v>
      </c>
      <c r="D5871" s="8">
        <v>51982.753905999998</v>
      </c>
      <c r="E5871" s="8">
        <v>52000.695312999997</v>
      </c>
      <c r="F5871" s="8">
        <f t="shared" si="182"/>
        <v>17.941406999998435</v>
      </c>
      <c r="G5871" s="8">
        <f t="shared" si="183"/>
        <v>1.7941406999998435E-2</v>
      </c>
    </row>
    <row r="5872" spans="1:7" x14ac:dyDescent="0.25">
      <c r="A5872" s="8">
        <v>78</v>
      </c>
      <c r="B5872" s="8">
        <v>14</v>
      </c>
      <c r="C5872" s="8">
        <v>1781.6292719999999</v>
      </c>
      <c r="D5872" s="8">
        <v>53546.15625</v>
      </c>
      <c r="E5872" s="8">
        <v>53584.617187999997</v>
      </c>
      <c r="F5872" s="8">
        <f t="shared" si="182"/>
        <v>38.460937999996531</v>
      </c>
      <c r="G5872" s="8">
        <f t="shared" si="183"/>
        <v>3.8460937999996531E-2</v>
      </c>
    </row>
    <row r="5873" spans="1:7" x14ac:dyDescent="0.25">
      <c r="A5873" s="8">
        <v>78</v>
      </c>
      <c r="B5873" s="8">
        <v>15</v>
      </c>
      <c r="C5873" s="8">
        <v>1406.4769289999999</v>
      </c>
      <c r="D5873" s="8">
        <v>55378.613280999998</v>
      </c>
      <c r="E5873" s="8">
        <v>55390.5</v>
      </c>
      <c r="F5873" s="8">
        <f t="shared" si="182"/>
        <v>11.886719000001904</v>
      </c>
      <c r="G5873" s="8">
        <f t="shared" si="183"/>
        <v>1.1886719000001903E-2</v>
      </c>
    </row>
    <row r="5874" spans="1:7" x14ac:dyDescent="0.25">
      <c r="A5874" s="8">
        <v>78</v>
      </c>
      <c r="B5874" s="8">
        <v>16</v>
      </c>
      <c r="C5874" s="8">
        <v>2566.9157709999999</v>
      </c>
      <c r="D5874" s="8">
        <v>56800.632812999997</v>
      </c>
      <c r="E5874" s="8">
        <v>56823.371094000002</v>
      </c>
      <c r="F5874" s="8">
        <f t="shared" si="182"/>
        <v>22.738281000005372</v>
      </c>
      <c r="G5874" s="8">
        <f t="shared" si="183"/>
        <v>2.2738281000005373E-2</v>
      </c>
    </row>
    <row r="5875" spans="1:7" x14ac:dyDescent="0.25">
      <c r="A5875" s="8">
        <v>78</v>
      </c>
      <c r="B5875" s="8">
        <v>17</v>
      </c>
      <c r="C5875" s="8">
        <v>294.675568</v>
      </c>
      <c r="D5875" s="8">
        <v>59403.667969000002</v>
      </c>
      <c r="E5875" s="8">
        <v>59426.761719000002</v>
      </c>
      <c r="F5875" s="8">
        <f t="shared" si="182"/>
        <v>23.09375</v>
      </c>
      <c r="G5875" s="8">
        <f t="shared" si="183"/>
        <v>2.309375E-2</v>
      </c>
    </row>
    <row r="5876" spans="1:7" x14ac:dyDescent="0.25">
      <c r="A5876" s="8">
        <v>78</v>
      </c>
      <c r="B5876" s="8">
        <v>18</v>
      </c>
      <c r="C5876" s="8">
        <v>750.21380599999998</v>
      </c>
      <c r="D5876" s="8">
        <v>59731.800780999998</v>
      </c>
      <c r="E5876" s="8">
        <v>59739.625</v>
      </c>
      <c r="F5876" s="8">
        <f t="shared" si="182"/>
        <v>7.8242190000019036</v>
      </c>
      <c r="G5876" s="8">
        <f t="shared" si="183"/>
        <v>7.8242190000019033E-3</v>
      </c>
    </row>
    <row r="5877" spans="1:7" x14ac:dyDescent="0.25">
      <c r="A5877" s="8">
        <v>78</v>
      </c>
      <c r="B5877" s="8">
        <v>19</v>
      </c>
      <c r="C5877" s="8">
        <v>364.04501299999998</v>
      </c>
      <c r="D5877" s="8">
        <v>60497.5</v>
      </c>
      <c r="E5877" s="8">
        <v>60514.96875</v>
      </c>
      <c r="F5877" s="8">
        <f t="shared" si="182"/>
        <v>17.46875</v>
      </c>
      <c r="G5877" s="8">
        <f t="shared" si="183"/>
        <v>1.7468750000000002E-2</v>
      </c>
    </row>
    <row r="5878" spans="1:7" x14ac:dyDescent="0.25">
      <c r="A5878" s="8">
        <v>78</v>
      </c>
      <c r="B5878" s="8">
        <v>20</v>
      </c>
      <c r="C5878" s="8">
        <v>117.137276</v>
      </c>
      <c r="D5878" s="8">
        <v>60888.171875</v>
      </c>
      <c r="E5878" s="8">
        <v>60901.835937999997</v>
      </c>
      <c r="F5878" s="8">
        <f t="shared" si="182"/>
        <v>13.664062999996531</v>
      </c>
      <c r="G5878" s="8">
        <f t="shared" si="183"/>
        <v>1.3664062999996531E-2</v>
      </c>
    </row>
    <row r="5879" spans="1:7" x14ac:dyDescent="0.25">
      <c r="A5879" s="8">
        <v>78</v>
      </c>
      <c r="B5879" s="8">
        <v>21</v>
      </c>
      <c r="C5879" s="8">
        <v>2763.0288089999999</v>
      </c>
      <c r="D5879" s="8">
        <v>61028.847655999998</v>
      </c>
      <c r="E5879" s="8">
        <v>61040.027344000002</v>
      </c>
      <c r="F5879" s="8">
        <f t="shared" si="182"/>
        <v>11.179688000003807</v>
      </c>
      <c r="G5879" s="8">
        <f t="shared" si="183"/>
        <v>1.1179688000003808E-2</v>
      </c>
    </row>
    <row r="5880" spans="1:7" x14ac:dyDescent="0.25">
      <c r="A5880" s="8">
        <v>78</v>
      </c>
      <c r="B5880" s="8">
        <v>22</v>
      </c>
      <c r="C5880" s="8">
        <v>5354.3188479999999</v>
      </c>
      <c r="D5880" s="8">
        <v>63808.027344000002</v>
      </c>
      <c r="E5880" s="8">
        <v>63815.945312999997</v>
      </c>
      <c r="F5880" s="8">
        <f t="shared" si="182"/>
        <v>7.9179689999946277</v>
      </c>
      <c r="G5880" s="8">
        <f t="shared" si="183"/>
        <v>7.917968999994628E-3</v>
      </c>
    </row>
    <row r="5881" spans="1:7" x14ac:dyDescent="0.25">
      <c r="A5881" s="8">
        <v>78</v>
      </c>
      <c r="B5881" s="8">
        <v>23</v>
      </c>
      <c r="C5881" s="8">
        <v>134.55748</v>
      </c>
      <c r="D5881" s="8">
        <v>69170.757813000004</v>
      </c>
      <c r="E5881" s="8">
        <v>69200.539063000004</v>
      </c>
      <c r="F5881" s="8">
        <f t="shared" si="182"/>
        <v>29.78125</v>
      </c>
      <c r="G5881" s="8">
        <f t="shared" si="183"/>
        <v>2.9781249999999999E-2</v>
      </c>
    </row>
    <row r="5882" spans="1:7" x14ac:dyDescent="0.25">
      <c r="A5882" s="8">
        <v>78</v>
      </c>
      <c r="B5882" s="8">
        <v>24</v>
      </c>
      <c r="C5882" s="8">
        <v>2799.3176269999999</v>
      </c>
      <c r="D5882" s="8">
        <v>69342.65625</v>
      </c>
      <c r="E5882" s="8">
        <v>69358.90625</v>
      </c>
      <c r="F5882" s="8">
        <f t="shared" si="182"/>
        <v>16.25</v>
      </c>
      <c r="G5882" s="8">
        <f t="shared" si="183"/>
        <v>1.6250000000000001E-2</v>
      </c>
    </row>
    <row r="5883" spans="1:7" x14ac:dyDescent="0.25">
      <c r="A5883" s="8">
        <v>78</v>
      </c>
      <c r="B5883" s="8">
        <v>25</v>
      </c>
      <c r="C5883" s="8">
        <v>1465.6710210000001</v>
      </c>
      <c r="D5883" s="8">
        <v>72169.804688000004</v>
      </c>
      <c r="E5883" s="8">
        <v>72184.007813000004</v>
      </c>
      <c r="F5883" s="8">
        <f t="shared" si="182"/>
        <v>14.203125</v>
      </c>
      <c r="G5883" s="8">
        <f t="shared" si="183"/>
        <v>1.4203125E-2</v>
      </c>
    </row>
    <row r="5884" spans="1:7" x14ac:dyDescent="0.25">
      <c r="A5884" s="8">
        <v>78</v>
      </c>
      <c r="B5884" s="8">
        <v>26</v>
      </c>
      <c r="C5884" s="8">
        <v>5266.6118159999996</v>
      </c>
      <c r="D5884" s="8">
        <v>73654.351563000004</v>
      </c>
      <c r="E5884" s="8">
        <v>73663.523438000004</v>
      </c>
      <c r="F5884" s="8">
        <f t="shared" si="182"/>
        <v>9.171875</v>
      </c>
      <c r="G5884" s="8">
        <f t="shared" si="183"/>
        <v>9.1718749999999995E-3</v>
      </c>
    </row>
    <row r="5885" spans="1:7" x14ac:dyDescent="0.25">
      <c r="A5885" s="8">
        <v>78</v>
      </c>
      <c r="B5885" s="8">
        <v>27</v>
      </c>
      <c r="C5885" s="8">
        <v>1313.476318</v>
      </c>
      <c r="D5885" s="8">
        <v>78935.34375</v>
      </c>
      <c r="E5885" s="8">
        <v>78957.445313000004</v>
      </c>
      <c r="F5885" s="8">
        <f t="shared" si="182"/>
        <v>22.101563000003807</v>
      </c>
      <c r="G5885" s="8">
        <f t="shared" si="183"/>
        <v>2.2101563000003807E-2</v>
      </c>
    </row>
    <row r="5886" spans="1:7" x14ac:dyDescent="0.25">
      <c r="A5886" s="8">
        <v>78</v>
      </c>
      <c r="B5886" s="8">
        <v>28</v>
      </c>
      <c r="C5886" s="8">
        <v>659.23388699999998</v>
      </c>
      <c r="D5886" s="8">
        <v>80270.65625</v>
      </c>
      <c r="E5886" s="8">
        <v>80289.398438000004</v>
      </c>
      <c r="F5886" s="8">
        <f t="shared" si="182"/>
        <v>18.742188000003807</v>
      </c>
      <c r="G5886" s="8">
        <f t="shared" si="183"/>
        <v>1.8742188000003806E-2</v>
      </c>
    </row>
    <row r="5887" spans="1:7" x14ac:dyDescent="0.25">
      <c r="A5887" s="8">
        <v>78</v>
      </c>
      <c r="B5887" s="8">
        <v>29</v>
      </c>
      <c r="C5887" s="8">
        <v>1897.8458250000001</v>
      </c>
      <c r="D5887" s="8">
        <v>80958.039063000004</v>
      </c>
      <c r="E5887" s="8">
        <v>80999.492188000004</v>
      </c>
      <c r="F5887" s="8">
        <f t="shared" si="182"/>
        <v>41.453125</v>
      </c>
      <c r="G5887" s="8">
        <f t="shared" si="183"/>
        <v>4.1453125E-2</v>
      </c>
    </row>
    <row r="5888" spans="1:7" x14ac:dyDescent="0.25">
      <c r="A5888" s="8">
        <v>78</v>
      </c>
      <c r="B5888" s="8">
        <v>30</v>
      </c>
      <c r="C5888" s="8">
        <v>1846.0241699999999</v>
      </c>
      <c r="D5888" s="8">
        <v>82901.859375</v>
      </c>
      <c r="E5888" s="8">
        <v>82925.109375</v>
      </c>
      <c r="F5888" s="8">
        <f t="shared" si="182"/>
        <v>23.25</v>
      </c>
      <c r="G5888" s="8">
        <f t="shared" si="183"/>
        <v>2.325E-2</v>
      </c>
    </row>
    <row r="5889" spans="1:7" x14ac:dyDescent="0.25">
      <c r="A5889" s="8">
        <v>78</v>
      </c>
      <c r="B5889" s="8">
        <v>31</v>
      </c>
      <c r="C5889" s="8">
        <v>2080.4577640000002</v>
      </c>
      <c r="D5889" s="8">
        <v>84782.257813000004</v>
      </c>
      <c r="E5889" s="8">
        <v>84797.851563000004</v>
      </c>
      <c r="F5889" s="8">
        <f t="shared" si="182"/>
        <v>15.59375</v>
      </c>
      <c r="G5889" s="8">
        <f t="shared" si="183"/>
        <v>1.559375E-2</v>
      </c>
    </row>
    <row r="5890" spans="1:7" x14ac:dyDescent="0.25">
      <c r="A5890" s="8">
        <v>78</v>
      </c>
      <c r="B5890" s="8">
        <v>32</v>
      </c>
      <c r="C5890" s="8">
        <v>125.763412</v>
      </c>
      <c r="D5890" s="8">
        <v>86893.335938000004</v>
      </c>
      <c r="E5890" s="8">
        <v>86911.148438000004</v>
      </c>
      <c r="F5890" s="8">
        <f t="shared" si="182"/>
        <v>17.8125</v>
      </c>
      <c r="G5890" s="8">
        <f t="shared" si="183"/>
        <v>1.7812499999999998E-2</v>
      </c>
    </row>
    <row r="5891" spans="1:7" x14ac:dyDescent="0.25">
      <c r="A5891" s="8">
        <v>78</v>
      </c>
      <c r="B5891" s="8">
        <v>33</v>
      </c>
      <c r="C5891" s="8">
        <v>5055.5512699999999</v>
      </c>
      <c r="D5891" s="8">
        <v>87049.679688000004</v>
      </c>
      <c r="E5891" s="8">
        <v>87060.898438000004</v>
      </c>
      <c r="F5891" s="8">
        <f t="shared" si="182"/>
        <v>11.21875</v>
      </c>
      <c r="G5891" s="8">
        <f t="shared" si="183"/>
        <v>1.121875E-2</v>
      </c>
    </row>
    <row r="5892" spans="1:7" x14ac:dyDescent="0.25">
      <c r="A5892" s="8">
        <v>78</v>
      </c>
      <c r="B5892" s="8">
        <v>34</v>
      </c>
      <c r="C5892" s="8">
        <v>753.32495100000006</v>
      </c>
      <c r="D5892" s="8">
        <v>92120.671875</v>
      </c>
      <c r="E5892" s="8">
        <v>92134.523438000004</v>
      </c>
      <c r="F5892" s="8">
        <f t="shared" si="182"/>
        <v>13.851563000003807</v>
      </c>
      <c r="G5892" s="8">
        <f t="shared" si="183"/>
        <v>1.3851563000003807E-2</v>
      </c>
    </row>
    <row r="5893" spans="1:7" x14ac:dyDescent="0.25">
      <c r="A5893" s="8">
        <v>78</v>
      </c>
      <c r="B5893" s="8">
        <v>35</v>
      </c>
      <c r="C5893" s="8">
        <v>4330.0063479999999</v>
      </c>
      <c r="D5893" s="8">
        <v>92888.445313000004</v>
      </c>
      <c r="E5893" s="8">
        <v>92899.59375</v>
      </c>
      <c r="F5893" s="8">
        <f t="shared" si="182"/>
        <v>11.148436999996193</v>
      </c>
      <c r="G5893" s="8">
        <f t="shared" si="183"/>
        <v>1.1148436999996193E-2</v>
      </c>
    </row>
    <row r="5894" spans="1:7" x14ac:dyDescent="0.25">
      <c r="A5894" s="8">
        <v>78</v>
      </c>
      <c r="B5894" s="8">
        <v>36</v>
      </c>
      <c r="C5894" s="8">
        <v>1069.544189</v>
      </c>
      <c r="D5894" s="8">
        <v>97231.5625</v>
      </c>
      <c r="E5894" s="8">
        <v>97246.5625</v>
      </c>
      <c r="F5894" s="8">
        <f t="shared" si="182"/>
        <v>15</v>
      </c>
      <c r="G5894" s="8">
        <f t="shared" si="183"/>
        <v>1.4999999999999999E-2</v>
      </c>
    </row>
    <row r="5895" spans="1:7" x14ac:dyDescent="0.25">
      <c r="A5895" s="8">
        <v>78</v>
      </c>
      <c r="B5895" s="8">
        <v>37</v>
      </c>
      <c r="C5895" s="8">
        <v>202.957245</v>
      </c>
      <c r="D5895" s="8">
        <v>98316.445313000004</v>
      </c>
      <c r="E5895" s="8">
        <v>98337.679688000004</v>
      </c>
      <c r="F5895" s="8">
        <f t="shared" si="182"/>
        <v>21.234375</v>
      </c>
      <c r="G5895" s="8">
        <f t="shared" si="183"/>
        <v>2.1234375E-2</v>
      </c>
    </row>
    <row r="5896" spans="1:7" x14ac:dyDescent="0.25">
      <c r="A5896" s="8">
        <v>78</v>
      </c>
      <c r="B5896" s="8">
        <v>38</v>
      </c>
      <c r="C5896" s="8">
        <v>2742.9621579999998</v>
      </c>
      <c r="D5896" s="8">
        <v>98550.914063000004</v>
      </c>
      <c r="E5896" s="8">
        <v>98562.226563000004</v>
      </c>
      <c r="F5896" s="8">
        <f t="shared" si="182"/>
        <v>11.3125</v>
      </c>
      <c r="G5896" s="8">
        <f t="shared" si="183"/>
        <v>1.13125E-2</v>
      </c>
    </row>
    <row r="5897" spans="1:7" x14ac:dyDescent="0.25">
      <c r="A5897" s="8">
        <v>78</v>
      </c>
      <c r="B5897" s="8">
        <v>39</v>
      </c>
      <c r="C5897" s="8">
        <v>2368.0815429999998</v>
      </c>
      <c r="D5897" s="8">
        <v>101315.78125</v>
      </c>
      <c r="E5897" s="8">
        <v>101330.59375</v>
      </c>
      <c r="F5897" s="8">
        <f t="shared" si="182"/>
        <v>14.8125</v>
      </c>
      <c r="G5897" s="8">
        <f t="shared" si="183"/>
        <v>1.4812499999999999E-2</v>
      </c>
    </row>
    <row r="5898" spans="1:7" x14ac:dyDescent="0.25">
      <c r="A5898" s="8">
        <v>78</v>
      </c>
      <c r="B5898" s="8">
        <v>40</v>
      </c>
      <c r="C5898" s="8">
        <v>2405.9321289999998</v>
      </c>
      <c r="D5898" s="8">
        <v>103700.492188</v>
      </c>
      <c r="E5898" s="8">
        <v>103711.648438</v>
      </c>
      <c r="F5898" s="8">
        <f t="shared" si="182"/>
        <v>11.15625</v>
      </c>
      <c r="G5898" s="8">
        <f t="shared" si="183"/>
        <v>1.115625E-2</v>
      </c>
    </row>
    <row r="5899" spans="1:7" x14ac:dyDescent="0.25">
      <c r="A5899" s="8">
        <v>78</v>
      </c>
      <c r="B5899" s="8">
        <v>41</v>
      </c>
      <c r="C5899" s="8">
        <v>34.973044999999999</v>
      </c>
      <c r="D5899" s="8">
        <v>106125.257813</v>
      </c>
      <c r="E5899" s="8">
        <v>106136.320313</v>
      </c>
      <c r="F5899" s="8">
        <f t="shared" ref="F5899:F5962" si="184">E5899-D5899</f>
        <v>11.0625</v>
      </c>
      <c r="G5899" s="8">
        <f t="shared" ref="G5899:G5962" si="185">F5899/1000</f>
        <v>1.1062499999999999E-2</v>
      </c>
    </row>
    <row r="5900" spans="1:7" x14ac:dyDescent="0.25">
      <c r="A5900" s="8">
        <v>78</v>
      </c>
      <c r="B5900" s="8">
        <v>42</v>
      </c>
      <c r="C5900" s="8">
        <v>4944.0395509999998</v>
      </c>
      <c r="D5900" s="8">
        <v>106172.140625</v>
      </c>
      <c r="E5900" s="8">
        <v>106195.125</v>
      </c>
      <c r="F5900" s="8">
        <f t="shared" si="184"/>
        <v>22.984375</v>
      </c>
      <c r="G5900" s="8">
        <f t="shared" si="185"/>
        <v>2.2984375000000001E-2</v>
      </c>
    </row>
    <row r="5901" spans="1:7" x14ac:dyDescent="0.25">
      <c r="A5901" s="8">
        <v>78</v>
      </c>
      <c r="B5901" s="8">
        <v>43</v>
      </c>
      <c r="C5901" s="8">
        <v>1829.0444339999999</v>
      </c>
      <c r="D5901" s="8">
        <v>111142.835938</v>
      </c>
      <c r="E5901" s="8">
        <v>111169.375</v>
      </c>
      <c r="F5901" s="8">
        <f t="shared" si="184"/>
        <v>26.539061999996193</v>
      </c>
      <c r="G5901" s="8">
        <f t="shared" si="185"/>
        <v>2.6539061999996193E-2</v>
      </c>
    </row>
    <row r="5902" spans="1:7" x14ac:dyDescent="0.25">
      <c r="A5902" s="8">
        <v>78</v>
      </c>
      <c r="B5902" s="8">
        <v>44</v>
      </c>
      <c r="C5902" s="8">
        <v>247.910721</v>
      </c>
      <c r="D5902" s="8">
        <v>113009.90625</v>
      </c>
      <c r="E5902" s="8">
        <v>113021.101563</v>
      </c>
      <c r="F5902" s="8">
        <f t="shared" si="184"/>
        <v>11.195313000003807</v>
      </c>
      <c r="G5902" s="8">
        <f t="shared" si="185"/>
        <v>1.1195313000003808E-2</v>
      </c>
    </row>
    <row r="5903" spans="1:7" x14ac:dyDescent="0.25">
      <c r="A5903" s="8">
        <v>78</v>
      </c>
      <c r="B5903" s="8">
        <v>45</v>
      </c>
      <c r="C5903" s="8">
        <v>571.56304899999998</v>
      </c>
      <c r="D5903" s="8">
        <v>113268.75</v>
      </c>
      <c r="E5903" s="8">
        <v>113347.398438</v>
      </c>
      <c r="F5903" s="8">
        <f t="shared" si="184"/>
        <v>78.648438000003807</v>
      </c>
      <c r="G5903" s="8">
        <f t="shared" si="185"/>
        <v>7.8648438000003804E-2</v>
      </c>
    </row>
    <row r="5904" spans="1:7" x14ac:dyDescent="0.25">
      <c r="A5904" s="8">
        <v>78</v>
      </c>
      <c r="B5904" s="8">
        <v>46</v>
      </c>
      <c r="C5904" s="8">
        <v>286.62893700000001</v>
      </c>
      <c r="D5904" s="8">
        <v>113924.882813</v>
      </c>
      <c r="E5904" s="8">
        <v>113954.296875</v>
      </c>
      <c r="F5904" s="8">
        <f t="shared" si="184"/>
        <v>29.414061999996193</v>
      </c>
      <c r="G5904" s="8">
        <f t="shared" si="185"/>
        <v>2.9414061999996192E-2</v>
      </c>
    </row>
    <row r="5905" spans="1:7" x14ac:dyDescent="0.25">
      <c r="A5905" s="8">
        <v>78</v>
      </c>
      <c r="B5905" s="8">
        <v>47</v>
      </c>
      <c r="C5905" s="8">
        <v>298.07336400000003</v>
      </c>
      <c r="D5905" s="8">
        <v>114253.234375</v>
      </c>
      <c r="E5905" s="8">
        <v>114272.46875</v>
      </c>
      <c r="F5905" s="8">
        <f t="shared" si="184"/>
        <v>19.234375</v>
      </c>
      <c r="G5905" s="8">
        <f t="shared" si="185"/>
        <v>1.9234375000000001E-2</v>
      </c>
    </row>
    <row r="5906" spans="1:7" x14ac:dyDescent="0.25">
      <c r="A5906" s="8">
        <v>78</v>
      </c>
      <c r="B5906" s="8">
        <v>48</v>
      </c>
      <c r="C5906" s="8">
        <v>294.32199100000003</v>
      </c>
      <c r="D5906" s="8">
        <v>114581.382813</v>
      </c>
      <c r="E5906" s="8">
        <v>114595.078125</v>
      </c>
      <c r="F5906" s="8">
        <f t="shared" si="184"/>
        <v>13.695311999996193</v>
      </c>
      <c r="G5906" s="8">
        <f t="shared" si="185"/>
        <v>1.3695311999996193E-2</v>
      </c>
    </row>
    <row r="5907" spans="1:7" x14ac:dyDescent="0.25">
      <c r="A5907" s="8">
        <v>78</v>
      </c>
      <c r="B5907" s="8">
        <v>49</v>
      </c>
      <c r="C5907" s="8">
        <v>1956.233643</v>
      </c>
      <c r="D5907" s="8">
        <v>114893.921875</v>
      </c>
      <c r="E5907" s="8">
        <v>114914.398438</v>
      </c>
      <c r="F5907" s="8">
        <f t="shared" si="184"/>
        <v>20.476563000003807</v>
      </c>
      <c r="G5907" s="8">
        <f t="shared" si="185"/>
        <v>2.0476563000003806E-2</v>
      </c>
    </row>
    <row r="5908" spans="1:7" x14ac:dyDescent="0.25">
      <c r="A5908" s="8">
        <v>78</v>
      </c>
      <c r="B5908" s="8">
        <v>50</v>
      </c>
      <c r="C5908" s="8">
        <v>2100.2458499999998</v>
      </c>
      <c r="D5908" s="8">
        <v>116880.15625</v>
      </c>
      <c r="E5908" s="8">
        <v>116892.101563</v>
      </c>
      <c r="F5908" s="8">
        <f t="shared" si="184"/>
        <v>11.945313000003807</v>
      </c>
      <c r="G5908" s="8">
        <f t="shared" si="185"/>
        <v>1.1945313000003807E-2</v>
      </c>
    </row>
    <row r="5909" spans="1:7" x14ac:dyDescent="0.25">
      <c r="A5909" s="8">
        <v>78</v>
      </c>
      <c r="B5909" s="8">
        <v>51</v>
      </c>
      <c r="C5909" s="8">
        <v>3290.4562989999999</v>
      </c>
      <c r="D5909" s="8">
        <v>118994.351563</v>
      </c>
      <c r="E5909" s="8">
        <v>119022.34375</v>
      </c>
      <c r="F5909" s="8">
        <f t="shared" si="184"/>
        <v>27.992186999996193</v>
      </c>
      <c r="G5909" s="8">
        <f t="shared" si="185"/>
        <v>2.7992186999996192E-2</v>
      </c>
    </row>
    <row r="5910" spans="1:7" x14ac:dyDescent="0.25">
      <c r="A5910" s="8">
        <v>78</v>
      </c>
      <c r="B5910" s="8">
        <v>52</v>
      </c>
      <c r="C5910" s="8">
        <v>75.569869999999995</v>
      </c>
      <c r="D5910" s="8">
        <v>122314.617188</v>
      </c>
      <c r="E5910" s="8">
        <v>122327.570313</v>
      </c>
      <c r="F5910" s="8">
        <f t="shared" si="184"/>
        <v>12.953125</v>
      </c>
      <c r="G5910" s="8">
        <f t="shared" si="185"/>
        <v>1.2953124999999999E-2</v>
      </c>
    </row>
    <row r="5911" spans="1:7" x14ac:dyDescent="0.25">
      <c r="A5911" s="8">
        <v>78</v>
      </c>
      <c r="B5911" s="8">
        <v>53</v>
      </c>
      <c r="C5911" s="8">
        <v>1484.5584719999999</v>
      </c>
      <c r="D5911" s="8">
        <v>122408.171875</v>
      </c>
      <c r="E5911" s="8">
        <v>122423.304688</v>
      </c>
      <c r="F5911" s="8">
        <f t="shared" si="184"/>
        <v>15.132813000003807</v>
      </c>
      <c r="G5911" s="8">
        <f t="shared" si="185"/>
        <v>1.5132813000003808E-2</v>
      </c>
    </row>
    <row r="5912" spans="1:7" x14ac:dyDescent="0.25">
      <c r="A5912" s="8">
        <v>78</v>
      </c>
      <c r="B5912" s="8">
        <v>54</v>
      </c>
      <c r="C5912" s="8">
        <v>427.95352200000002</v>
      </c>
      <c r="D5912" s="8">
        <v>123918.296875</v>
      </c>
      <c r="E5912" s="8">
        <v>124034.757813</v>
      </c>
      <c r="F5912" s="8">
        <f t="shared" si="184"/>
        <v>116.46093800000381</v>
      </c>
      <c r="G5912" s="8">
        <f t="shared" si="185"/>
        <v>0.1164609380000038</v>
      </c>
    </row>
    <row r="5913" spans="1:7" x14ac:dyDescent="0.25">
      <c r="A5913" s="8">
        <v>78</v>
      </c>
      <c r="B5913" s="8">
        <v>55</v>
      </c>
      <c r="C5913" s="8">
        <v>762.15093999999999</v>
      </c>
      <c r="D5913" s="8">
        <v>124470.828125</v>
      </c>
      <c r="E5913" s="8">
        <v>124485.078125</v>
      </c>
      <c r="F5913" s="8">
        <f t="shared" si="184"/>
        <v>14.25</v>
      </c>
      <c r="G5913" s="8">
        <f t="shared" si="185"/>
        <v>1.4250000000000001E-2</v>
      </c>
    </row>
    <row r="5914" spans="1:7" x14ac:dyDescent="0.25">
      <c r="A5914" s="8">
        <v>78</v>
      </c>
      <c r="B5914" s="8">
        <v>56</v>
      </c>
      <c r="C5914" s="8">
        <v>1383.4277340000001</v>
      </c>
      <c r="D5914" s="8">
        <v>125252.09375</v>
      </c>
      <c r="E5914" s="8">
        <v>125259.828125</v>
      </c>
      <c r="F5914" s="8">
        <f t="shared" si="184"/>
        <v>7.734375</v>
      </c>
      <c r="G5914" s="8">
        <f t="shared" si="185"/>
        <v>7.7343749999999999E-3</v>
      </c>
    </row>
    <row r="5915" spans="1:7" x14ac:dyDescent="0.25">
      <c r="A5915" s="8">
        <v>78</v>
      </c>
      <c r="B5915" s="8">
        <v>57</v>
      </c>
      <c r="C5915" s="8">
        <v>5962.8002930000002</v>
      </c>
      <c r="D5915" s="8">
        <v>126643.515625</v>
      </c>
      <c r="E5915" s="8">
        <v>126670.914063</v>
      </c>
      <c r="F5915" s="8">
        <f t="shared" si="184"/>
        <v>27.398438000003807</v>
      </c>
      <c r="G5915" s="8">
        <f t="shared" si="185"/>
        <v>2.7398438000003807E-2</v>
      </c>
    </row>
    <row r="5916" spans="1:7" x14ac:dyDescent="0.25">
      <c r="A5916" s="8">
        <v>78</v>
      </c>
      <c r="B5916" s="8">
        <v>58</v>
      </c>
      <c r="C5916" s="8">
        <v>255.663895</v>
      </c>
      <c r="D5916" s="8">
        <v>132639.53125</v>
      </c>
      <c r="E5916" s="8">
        <v>132660.4375</v>
      </c>
      <c r="F5916" s="8">
        <f t="shared" si="184"/>
        <v>20.90625</v>
      </c>
      <c r="G5916" s="8">
        <f t="shared" si="185"/>
        <v>2.0906250000000001E-2</v>
      </c>
    </row>
    <row r="5917" spans="1:7" x14ac:dyDescent="0.25">
      <c r="A5917" s="8">
        <v>78</v>
      </c>
      <c r="B5917" s="8">
        <v>59</v>
      </c>
      <c r="C5917" s="8">
        <v>18.087509000000001</v>
      </c>
      <c r="D5917" s="8">
        <v>132920.875</v>
      </c>
      <c r="E5917" s="8">
        <v>132940.75</v>
      </c>
      <c r="F5917" s="8">
        <f t="shared" si="184"/>
        <v>19.875</v>
      </c>
      <c r="G5917" s="8">
        <f t="shared" si="185"/>
        <v>1.9875E-2</v>
      </c>
    </row>
    <row r="5918" spans="1:7" x14ac:dyDescent="0.25">
      <c r="A5918" s="8">
        <v>78</v>
      </c>
      <c r="B5918" s="8">
        <v>60</v>
      </c>
      <c r="C5918" s="8">
        <v>2757.4479980000001</v>
      </c>
      <c r="D5918" s="8">
        <v>132972.453125</v>
      </c>
      <c r="E5918" s="8">
        <v>132987.078125</v>
      </c>
      <c r="F5918" s="8">
        <f t="shared" si="184"/>
        <v>14.625</v>
      </c>
      <c r="G5918" s="8">
        <f t="shared" si="185"/>
        <v>1.4625000000000001E-2</v>
      </c>
    </row>
    <row r="5919" spans="1:7" x14ac:dyDescent="0.25">
      <c r="A5919" s="8">
        <v>78</v>
      </c>
      <c r="B5919" s="8">
        <v>61</v>
      </c>
      <c r="C5919" s="8">
        <v>8152.8178710000002</v>
      </c>
      <c r="D5919" s="8">
        <v>135757.078125</v>
      </c>
      <c r="E5919" s="8">
        <v>135834.546875</v>
      </c>
      <c r="F5919" s="8">
        <f t="shared" si="184"/>
        <v>77.46875</v>
      </c>
      <c r="G5919" s="8">
        <f t="shared" si="185"/>
        <v>7.7468750000000003E-2</v>
      </c>
    </row>
    <row r="5920" spans="1:7" x14ac:dyDescent="0.25">
      <c r="A5920" s="8">
        <v>78</v>
      </c>
      <c r="B5920" s="8">
        <v>62</v>
      </c>
      <c r="C5920" s="8">
        <v>1057.701172</v>
      </c>
      <c r="D5920" s="8">
        <v>143994.328125</v>
      </c>
      <c r="E5920" s="8">
        <v>144015.671875</v>
      </c>
      <c r="F5920" s="8">
        <f t="shared" si="184"/>
        <v>21.34375</v>
      </c>
      <c r="G5920" s="8">
        <f t="shared" si="185"/>
        <v>2.1343750000000002E-2</v>
      </c>
    </row>
    <row r="5921" spans="1:7" x14ac:dyDescent="0.25">
      <c r="A5921" s="8">
        <v>78</v>
      </c>
      <c r="B5921" s="8">
        <v>63</v>
      </c>
      <c r="C5921" s="8">
        <v>2886.8156739999999</v>
      </c>
      <c r="D5921" s="8">
        <v>145082.21875</v>
      </c>
      <c r="E5921" s="8">
        <v>145090.671875</v>
      </c>
      <c r="F5921" s="8">
        <f t="shared" si="184"/>
        <v>8.453125</v>
      </c>
      <c r="G5921" s="8">
        <f t="shared" si="185"/>
        <v>8.4531250000000006E-3</v>
      </c>
    </row>
    <row r="5922" spans="1:7" x14ac:dyDescent="0.25">
      <c r="A5922" s="8">
        <v>78</v>
      </c>
      <c r="B5922" s="8">
        <v>64</v>
      </c>
      <c r="C5922" s="8">
        <v>432.49468999999999</v>
      </c>
      <c r="D5922" s="8">
        <v>147977.421875</v>
      </c>
      <c r="E5922" s="8">
        <v>147999.390625</v>
      </c>
      <c r="F5922" s="8">
        <f t="shared" si="184"/>
        <v>21.96875</v>
      </c>
      <c r="G5922" s="8">
        <f t="shared" si="185"/>
        <v>2.1968749999999999E-2</v>
      </c>
    </row>
    <row r="5923" spans="1:7" x14ac:dyDescent="0.25">
      <c r="A5923" s="8">
        <v>78</v>
      </c>
      <c r="B5923" s="8">
        <v>65</v>
      </c>
      <c r="C5923" s="8">
        <v>2660.7214359999998</v>
      </c>
      <c r="D5923" s="8">
        <v>148431.640625</v>
      </c>
      <c r="E5923" s="8">
        <v>148448.90625</v>
      </c>
      <c r="F5923" s="8">
        <f t="shared" si="184"/>
        <v>17.265625</v>
      </c>
      <c r="G5923" s="8">
        <f t="shared" si="185"/>
        <v>1.7265625E-2</v>
      </c>
    </row>
    <row r="5924" spans="1:7" x14ac:dyDescent="0.25">
      <c r="A5924" s="8">
        <v>78</v>
      </c>
      <c r="B5924" s="8">
        <v>66</v>
      </c>
      <c r="C5924" s="8">
        <v>455.73959400000001</v>
      </c>
      <c r="D5924" s="8">
        <v>151123.96875</v>
      </c>
      <c r="E5924" s="8">
        <v>151145.09375</v>
      </c>
      <c r="F5924" s="8">
        <f t="shared" si="184"/>
        <v>21.125</v>
      </c>
      <c r="G5924" s="8">
        <f t="shared" si="185"/>
        <v>2.1125000000000001E-2</v>
      </c>
    </row>
    <row r="5925" spans="1:7" x14ac:dyDescent="0.25">
      <c r="A5925" s="8">
        <v>78</v>
      </c>
      <c r="B5925" s="8">
        <v>67</v>
      </c>
      <c r="C5925" s="8">
        <v>585.17443800000001</v>
      </c>
      <c r="D5925" s="8">
        <v>151608.375</v>
      </c>
      <c r="E5925" s="8">
        <v>151629.390625</v>
      </c>
      <c r="F5925" s="8">
        <f t="shared" si="184"/>
        <v>21.015625</v>
      </c>
      <c r="G5925" s="8">
        <f t="shared" si="185"/>
        <v>2.1015625E-2</v>
      </c>
    </row>
    <row r="5926" spans="1:7" x14ac:dyDescent="0.25">
      <c r="A5926" s="8">
        <v>78</v>
      </c>
      <c r="B5926" s="8">
        <v>68</v>
      </c>
      <c r="C5926" s="8">
        <v>110.35329400000001</v>
      </c>
      <c r="D5926" s="8">
        <v>152218.875</v>
      </c>
      <c r="E5926" s="8">
        <v>152232.65625</v>
      </c>
      <c r="F5926" s="8">
        <f t="shared" si="184"/>
        <v>13.78125</v>
      </c>
      <c r="G5926" s="8">
        <f t="shared" si="185"/>
        <v>1.378125E-2</v>
      </c>
    </row>
    <row r="5927" spans="1:7" x14ac:dyDescent="0.25">
      <c r="A5927" s="8">
        <v>78</v>
      </c>
      <c r="B5927" s="8">
        <v>69</v>
      </c>
      <c r="C5927" s="8">
        <v>909.89959699999997</v>
      </c>
      <c r="D5927" s="8">
        <v>152343.84375</v>
      </c>
      <c r="E5927" s="8">
        <v>152352.734375</v>
      </c>
      <c r="F5927" s="8">
        <f t="shared" si="184"/>
        <v>8.890625</v>
      </c>
      <c r="G5927" s="8">
        <f t="shared" si="185"/>
        <v>8.8906249999999992E-3</v>
      </c>
    </row>
    <row r="5928" spans="1:7" x14ac:dyDescent="0.25">
      <c r="A5928" s="8">
        <v>78</v>
      </c>
      <c r="B5928" s="8">
        <v>70</v>
      </c>
      <c r="C5928" s="8">
        <v>235.650024</v>
      </c>
      <c r="D5928" s="8">
        <v>153265.796875</v>
      </c>
      <c r="E5928" s="8">
        <v>153278.484375</v>
      </c>
      <c r="F5928" s="8">
        <f t="shared" si="184"/>
        <v>12.6875</v>
      </c>
      <c r="G5928" s="8">
        <f t="shared" si="185"/>
        <v>1.2687500000000001E-2</v>
      </c>
    </row>
    <row r="5929" spans="1:7" x14ac:dyDescent="0.25">
      <c r="A5929" s="8">
        <v>78</v>
      </c>
      <c r="B5929" s="8">
        <v>71</v>
      </c>
      <c r="C5929" s="8">
        <v>4245.6401370000003</v>
      </c>
      <c r="D5929" s="8">
        <v>153515.796875</v>
      </c>
      <c r="E5929" s="8">
        <v>153536.359375</v>
      </c>
      <c r="F5929" s="8">
        <f t="shared" si="184"/>
        <v>20.5625</v>
      </c>
      <c r="G5929" s="8">
        <f t="shared" si="185"/>
        <v>2.0562500000000001E-2</v>
      </c>
    </row>
    <row r="5930" spans="1:7" x14ac:dyDescent="0.25">
      <c r="A5930" s="8">
        <v>78</v>
      </c>
      <c r="B5930" s="8">
        <v>72</v>
      </c>
      <c r="C5930" s="8">
        <v>4743.9755859999996</v>
      </c>
      <c r="D5930" s="8">
        <v>157781.921875</v>
      </c>
      <c r="E5930" s="8">
        <v>157799.15625</v>
      </c>
      <c r="F5930" s="8">
        <f t="shared" si="184"/>
        <v>17.234375</v>
      </c>
      <c r="G5930" s="8">
        <f t="shared" si="185"/>
        <v>1.7234375E-2</v>
      </c>
    </row>
    <row r="5931" spans="1:7" x14ac:dyDescent="0.25">
      <c r="A5931" s="8">
        <v>78</v>
      </c>
      <c r="B5931" s="8">
        <v>73</v>
      </c>
      <c r="C5931" s="8">
        <v>629.74841300000003</v>
      </c>
      <c r="D5931" s="8">
        <v>162549.5625</v>
      </c>
      <c r="E5931" s="8">
        <v>162601.5625</v>
      </c>
      <c r="F5931" s="8">
        <f t="shared" si="184"/>
        <v>52</v>
      </c>
      <c r="G5931" s="8">
        <f t="shared" si="185"/>
        <v>5.1999999999999998E-2</v>
      </c>
    </row>
    <row r="5932" spans="1:7" x14ac:dyDescent="0.25">
      <c r="A5932" s="8">
        <v>78</v>
      </c>
      <c r="B5932" s="8">
        <v>74</v>
      </c>
      <c r="C5932" s="8">
        <v>41.194015999999998</v>
      </c>
      <c r="D5932" s="8">
        <v>163236.9375</v>
      </c>
      <c r="E5932" s="8">
        <v>163246.78125</v>
      </c>
      <c r="F5932" s="8">
        <f t="shared" si="184"/>
        <v>9.84375</v>
      </c>
      <c r="G5932" s="8">
        <f t="shared" si="185"/>
        <v>9.8437500000000001E-3</v>
      </c>
    </row>
    <row r="5933" spans="1:7" x14ac:dyDescent="0.25">
      <c r="A5933" s="8">
        <v>78</v>
      </c>
      <c r="B5933" s="8">
        <v>75</v>
      </c>
      <c r="C5933" s="8">
        <v>555.38305700000001</v>
      </c>
      <c r="D5933" s="8">
        <v>163299.6875</v>
      </c>
      <c r="E5933" s="8">
        <v>163390.046875</v>
      </c>
      <c r="F5933" s="8">
        <f t="shared" si="184"/>
        <v>90.359375</v>
      </c>
      <c r="G5933" s="8">
        <f t="shared" si="185"/>
        <v>9.0359375000000006E-2</v>
      </c>
    </row>
    <row r="5934" spans="1:7" x14ac:dyDescent="0.25">
      <c r="A5934" s="8">
        <v>78</v>
      </c>
      <c r="B5934" s="8">
        <v>76</v>
      </c>
      <c r="C5934" s="8">
        <v>2238.9169919999999</v>
      </c>
      <c r="D5934" s="8">
        <v>163955.984375</v>
      </c>
      <c r="E5934" s="8">
        <v>163970.4375</v>
      </c>
      <c r="F5934" s="8">
        <f t="shared" si="184"/>
        <v>14.453125</v>
      </c>
      <c r="G5934" s="8">
        <f t="shared" si="185"/>
        <v>1.4453125000000001E-2</v>
      </c>
    </row>
    <row r="5935" spans="1:7" x14ac:dyDescent="0.25">
      <c r="A5935" s="8">
        <v>78</v>
      </c>
      <c r="B5935" s="8">
        <v>77</v>
      </c>
      <c r="C5935" s="8">
        <v>81.855148</v>
      </c>
      <c r="D5935" s="8">
        <v>166223.84375</v>
      </c>
      <c r="E5935" s="8">
        <v>166235.234375</v>
      </c>
      <c r="F5935" s="8">
        <f t="shared" si="184"/>
        <v>11.390625</v>
      </c>
      <c r="G5935" s="8">
        <f t="shared" si="185"/>
        <v>1.1390625E-2</v>
      </c>
    </row>
    <row r="5936" spans="1:7" x14ac:dyDescent="0.25">
      <c r="A5936" s="8">
        <v>78</v>
      </c>
      <c r="B5936" s="8">
        <v>78</v>
      </c>
      <c r="C5936" s="8">
        <v>1863.3041989999999</v>
      </c>
      <c r="D5936" s="8">
        <v>166317.609375</v>
      </c>
      <c r="E5936" s="8">
        <v>166334</v>
      </c>
      <c r="F5936" s="8">
        <f t="shared" si="184"/>
        <v>16.390625</v>
      </c>
      <c r="G5936" s="8">
        <f t="shared" si="185"/>
        <v>1.6390624999999999E-2</v>
      </c>
    </row>
    <row r="5937" spans="1:7" x14ac:dyDescent="0.25">
      <c r="A5937" s="8">
        <v>78</v>
      </c>
      <c r="B5937" s="8">
        <v>79</v>
      </c>
      <c r="C5937" s="8">
        <v>1292.5166019999999</v>
      </c>
      <c r="D5937" s="8">
        <v>168198</v>
      </c>
      <c r="E5937" s="8">
        <v>168270.734375</v>
      </c>
      <c r="F5937" s="8">
        <f t="shared" si="184"/>
        <v>72.734375</v>
      </c>
      <c r="G5937" s="8">
        <f t="shared" si="185"/>
        <v>7.2734375000000004E-2</v>
      </c>
    </row>
    <row r="5938" spans="1:7" x14ac:dyDescent="0.25">
      <c r="A5938" s="8">
        <v>78</v>
      </c>
      <c r="B5938" s="8">
        <v>80</v>
      </c>
      <c r="C5938" s="8">
        <v>6881.2631840000004</v>
      </c>
      <c r="D5938" s="8">
        <v>169563.921875</v>
      </c>
      <c r="E5938" s="8">
        <v>169574.6875</v>
      </c>
      <c r="F5938" s="8">
        <f t="shared" si="184"/>
        <v>10.765625</v>
      </c>
      <c r="G5938" s="8">
        <f t="shared" si="185"/>
        <v>1.0765624999999999E-2</v>
      </c>
    </row>
    <row r="5939" spans="1:7" x14ac:dyDescent="0.25">
      <c r="A5939" s="8">
        <v>79</v>
      </c>
      <c r="B5939" s="8">
        <v>0</v>
      </c>
      <c r="C5939" s="8">
        <v>395.26052900000002</v>
      </c>
      <c r="D5939" s="8">
        <v>20672.400390999999</v>
      </c>
      <c r="E5939" s="8">
        <v>20695.203125</v>
      </c>
      <c r="F5939" s="8">
        <f t="shared" si="184"/>
        <v>22.802734000000783</v>
      </c>
      <c r="G5939" s="8">
        <f t="shared" si="185"/>
        <v>2.2802734000000782E-2</v>
      </c>
    </row>
    <row r="5940" spans="1:7" x14ac:dyDescent="0.25">
      <c r="A5940" s="8">
        <v>79</v>
      </c>
      <c r="B5940" s="8">
        <v>1</v>
      </c>
      <c r="C5940" s="8">
        <v>3450.4099120000001</v>
      </c>
      <c r="D5940" s="8">
        <v>21094.308593999998</v>
      </c>
      <c r="E5940" s="8">
        <v>21113.580077999999</v>
      </c>
      <c r="F5940" s="8">
        <f t="shared" si="184"/>
        <v>19.271484000000783</v>
      </c>
      <c r="G5940" s="8">
        <f t="shared" si="185"/>
        <v>1.9271484000000783E-2</v>
      </c>
    </row>
    <row r="5941" spans="1:7" x14ac:dyDescent="0.25">
      <c r="A5941" s="8">
        <v>79</v>
      </c>
      <c r="B5941" s="8">
        <v>2</v>
      </c>
      <c r="C5941" s="8">
        <v>463.189301</v>
      </c>
      <c r="D5941" s="8">
        <v>24568.6875</v>
      </c>
      <c r="E5941" s="8">
        <v>24589.242188</v>
      </c>
      <c r="F5941" s="8">
        <f t="shared" si="184"/>
        <v>20.554688000000169</v>
      </c>
      <c r="G5941" s="8">
        <f t="shared" si="185"/>
        <v>2.0554688000000168E-2</v>
      </c>
    </row>
    <row r="5942" spans="1:7" x14ac:dyDescent="0.25">
      <c r="A5942" s="8">
        <v>79</v>
      </c>
      <c r="B5942" s="8">
        <v>3</v>
      </c>
      <c r="C5942" s="8">
        <v>3287.295654</v>
      </c>
      <c r="D5942" s="8">
        <v>25053.085938</v>
      </c>
      <c r="E5942" s="8">
        <v>25064.675781000002</v>
      </c>
      <c r="F5942" s="8">
        <f t="shared" si="184"/>
        <v>11.589843000001565</v>
      </c>
      <c r="G5942" s="8">
        <f t="shared" si="185"/>
        <v>1.1589843000001565E-2</v>
      </c>
    </row>
    <row r="5943" spans="1:7" x14ac:dyDescent="0.25">
      <c r="A5943" s="8">
        <v>79</v>
      </c>
      <c r="B5943" s="8">
        <v>4</v>
      </c>
      <c r="C5943" s="8">
        <v>365.65664700000002</v>
      </c>
      <c r="D5943" s="8">
        <v>28355.779297000001</v>
      </c>
      <c r="E5943" s="8">
        <v>28371.400390999999</v>
      </c>
      <c r="F5943" s="8">
        <f t="shared" si="184"/>
        <v>15.621093999998266</v>
      </c>
      <c r="G5943" s="8">
        <f t="shared" si="185"/>
        <v>1.5621093999998266E-2</v>
      </c>
    </row>
    <row r="5944" spans="1:7" x14ac:dyDescent="0.25">
      <c r="A5944" s="8">
        <v>79</v>
      </c>
      <c r="B5944" s="8">
        <v>5</v>
      </c>
      <c r="C5944" s="8">
        <v>3569.711182</v>
      </c>
      <c r="D5944" s="8">
        <v>28746.425781000002</v>
      </c>
      <c r="E5944" s="8">
        <v>28771.072265999999</v>
      </c>
      <c r="F5944" s="8">
        <f t="shared" si="184"/>
        <v>24.646484999997483</v>
      </c>
      <c r="G5944" s="8">
        <f t="shared" si="185"/>
        <v>2.4646484999997484E-2</v>
      </c>
    </row>
    <row r="5945" spans="1:7" x14ac:dyDescent="0.25">
      <c r="A5945" s="8">
        <v>79</v>
      </c>
      <c r="B5945" s="8">
        <v>6</v>
      </c>
      <c r="C5945" s="8">
        <v>1079.7813719999999</v>
      </c>
      <c r="D5945" s="8">
        <v>32348.191406000002</v>
      </c>
      <c r="E5945" s="8">
        <v>32360.029297000001</v>
      </c>
      <c r="F5945" s="8">
        <f t="shared" si="184"/>
        <v>11.837890999999217</v>
      </c>
      <c r="G5945" s="8">
        <f t="shared" si="185"/>
        <v>1.1837890999999217E-2</v>
      </c>
    </row>
    <row r="5946" spans="1:7" x14ac:dyDescent="0.25">
      <c r="A5946" s="8">
        <v>79</v>
      </c>
      <c r="B5946" s="8">
        <v>7</v>
      </c>
      <c r="C5946" s="8">
        <v>6704.5439450000003</v>
      </c>
      <c r="D5946" s="8">
        <v>33446.746094000002</v>
      </c>
      <c r="E5946" s="8">
        <v>33455.867187999997</v>
      </c>
      <c r="F5946" s="8">
        <f t="shared" si="184"/>
        <v>9.1210939999946277</v>
      </c>
      <c r="G5946" s="8">
        <f t="shared" si="185"/>
        <v>9.1210939999946273E-3</v>
      </c>
    </row>
    <row r="5947" spans="1:7" x14ac:dyDescent="0.25">
      <c r="A5947" s="8">
        <v>79</v>
      </c>
      <c r="B5947" s="8">
        <v>8</v>
      </c>
      <c r="C5947" s="8">
        <v>3052.4665530000002</v>
      </c>
      <c r="D5947" s="8">
        <v>40168.019530999998</v>
      </c>
      <c r="E5947" s="8">
        <v>40178.859375</v>
      </c>
      <c r="F5947" s="8">
        <f t="shared" si="184"/>
        <v>10.839844000001904</v>
      </c>
      <c r="G5947" s="8">
        <f t="shared" si="185"/>
        <v>1.0839844000001904E-2</v>
      </c>
    </row>
    <row r="5948" spans="1:7" x14ac:dyDescent="0.25">
      <c r="A5948" s="8">
        <v>79</v>
      </c>
      <c r="B5948" s="8">
        <v>9</v>
      </c>
      <c r="C5948" s="8">
        <v>823.48217799999998</v>
      </c>
      <c r="D5948" s="8">
        <v>43240.441405999998</v>
      </c>
      <c r="E5948" s="8">
        <v>43249.277344000002</v>
      </c>
      <c r="F5948" s="8">
        <f t="shared" si="184"/>
        <v>8.8359380000038072</v>
      </c>
      <c r="G5948" s="8">
        <f t="shared" si="185"/>
        <v>8.8359380000038075E-3</v>
      </c>
    </row>
    <row r="5949" spans="1:7" x14ac:dyDescent="0.25">
      <c r="A5949" s="8">
        <v>79</v>
      </c>
      <c r="B5949" s="8">
        <v>10</v>
      </c>
      <c r="C5949" s="8">
        <v>7468.0888670000004</v>
      </c>
      <c r="D5949" s="8">
        <v>44084.277344000002</v>
      </c>
      <c r="E5949" s="8">
        <v>44110.128905999998</v>
      </c>
      <c r="F5949" s="8">
        <f t="shared" si="184"/>
        <v>25.851561999996193</v>
      </c>
      <c r="G5949" s="8">
        <f t="shared" si="185"/>
        <v>2.5851561999996192E-2</v>
      </c>
    </row>
    <row r="5950" spans="1:7" x14ac:dyDescent="0.25">
      <c r="A5950" s="8">
        <v>79</v>
      </c>
      <c r="B5950" s="8">
        <v>11</v>
      </c>
      <c r="C5950" s="8">
        <v>2221.7895509999998</v>
      </c>
      <c r="D5950" s="8">
        <v>51591.710937999997</v>
      </c>
      <c r="E5950" s="8">
        <v>51608.582030999998</v>
      </c>
      <c r="F5950" s="8">
        <f t="shared" si="184"/>
        <v>16.871093000001565</v>
      </c>
      <c r="G5950" s="8">
        <f t="shared" si="185"/>
        <v>1.6871093000001565E-2</v>
      </c>
    </row>
    <row r="5951" spans="1:7" x14ac:dyDescent="0.25">
      <c r="A5951" s="8">
        <v>79</v>
      </c>
      <c r="B5951" s="8">
        <v>12</v>
      </c>
      <c r="C5951" s="8">
        <v>2378.4792480000001</v>
      </c>
      <c r="D5951" s="8">
        <v>53843.121094000002</v>
      </c>
      <c r="E5951" s="8">
        <v>53868.277344000002</v>
      </c>
      <c r="F5951" s="8">
        <f t="shared" si="184"/>
        <v>25.15625</v>
      </c>
      <c r="G5951" s="8">
        <f t="shared" si="185"/>
        <v>2.5156250000000002E-2</v>
      </c>
    </row>
    <row r="5952" spans="1:7" x14ac:dyDescent="0.25">
      <c r="A5952" s="8">
        <v>79</v>
      </c>
      <c r="B5952" s="8">
        <v>13</v>
      </c>
      <c r="C5952" s="8">
        <v>7390.4335940000001</v>
      </c>
      <c r="D5952" s="8">
        <v>56253.75</v>
      </c>
      <c r="E5952" s="8">
        <v>56274.703125</v>
      </c>
      <c r="F5952" s="8">
        <f t="shared" si="184"/>
        <v>20.953125</v>
      </c>
      <c r="G5952" s="8">
        <f t="shared" si="185"/>
        <v>2.0953125E-2</v>
      </c>
    </row>
    <row r="5953" spans="1:7" x14ac:dyDescent="0.25">
      <c r="A5953" s="8">
        <v>79</v>
      </c>
      <c r="B5953" s="8">
        <v>14</v>
      </c>
      <c r="C5953" s="8">
        <v>1526.2779539999999</v>
      </c>
      <c r="D5953" s="8">
        <v>63664.9375</v>
      </c>
      <c r="E5953" s="8">
        <v>63674.476562999997</v>
      </c>
      <c r="F5953" s="8">
        <f t="shared" si="184"/>
        <v>9.5390629999965313</v>
      </c>
      <c r="G5953" s="8">
        <f t="shared" si="185"/>
        <v>9.539062999996531E-3</v>
      </c>
    </row>
    <row r="5954" spans="1:7" x14ac:dyDescent="0.25">
      <c r="A5954" s="8">
        <v>79</v>
      </c>
      <c r="B5954" s="8">
        <v>15</v>
      </c>
      <c r="C5954" s="8">
        <v>3093.8923340000001</v>
      </c>
      <c r="D5954" s="8">
        <v>65215.347655999998</v>
      </c>
      <c r="E5954" s="8">
        <v>65227.011719000002</v>
      </c>
      <c r="F5954" s="8">
        <f t="shared" si="184"/>
        <v>11.664063000003807</v>
      </c>
      <c r="G5954" s="8">
        <f t="shared" si="185"/>
        <v>1.1664063000003807E-2</v>
      </c>
    </row>
    <row r="5955" spans="1:7" x14ac:dyDescent="0.25">
      <c r="A5955" s="8">
        <v>79</v>
      </c>
      <c r="B5955" s="8">
        <v>16</v>
      </c>
      <c r="C5955" s="8">
        <v>938.48199499999998</v>
      </c>
      <c r="D5955" s="8">
        <v>68326.570313000004</v>
      </c>
      <c r="E5955" s="8">
        <v>68382.6875</v>
      </c>
      <c r="F5955" s="8">
        <f t="shared" si="184"/>
        <v>56.117186999996193</v>
      </c>
      <c r="G5955" s="8">
        <f t="shared" si="185"/>
        <v>5.6117186999996189E-2</v>
      </c>
    </row>
    <row r="5956" spans="1:7" x14ac:dyDescent="0.25">
      <c r="A5956" s="8">
        <v>79</v>
      </c>
      <c r="B5956" s="8">
        <v>17</v>
      </c>
      <c r="C5956" s="8">
        <v>2184.6904300000001</v>
      </c>
      <c r="D5956" s="8">
        <v>69327.0625</v>
      </c>
      <c r="E5956" s="8">
        <v>69345.421875</v>
      </c>
      <c r="F5956" s="8">
        <f t="shared" si="184"/>
        <v>18.359375</v>
      </c>
      <c r="G5956" s="8">
        <f t="shared" si="185"/>
        <v>1.8359375000000001E-2</v>
      </c>
    </row>
    <row r="5957" spans="1:7" x14ac:dyDescent="0.25">
      <c r="A5957" s="8">
        <v>79</v>
      </c>
      <c r="B5957" s="8">
        <v>18</v>
      </c>
      <c r="C5957" s="8">
        <v>3856.6684570000002</v>
      </c>
      <c r="D5957" s="8">
        <v>71541.25</v>
      </c>
      <c r="E5957" s="8">
        <v>71555.726563000004</v>
      </c>
      <c r="F5957" s="8">
        <f t="shared" si="184"/>
        <v>14.476563000003807</v>
      </c>
      <c r="G5957" s="8">
        <f t="shared" si="185"/>
        <v>1.4476563000003807E-2</v>
      </c>
    </row>
    <row r="5958" spans="1:7" x14ac:dyDescent="0.25">
      <c r="A5958" s="8">
        <v>79</v>
      </c>
      <c r="B5958" s="8">
        <v>19</v>
      </c>
      <c r="C5958" s="8">
        <v>6088.1904299999997</v>
      </c>
      <c r="D5958" s="8">
        <v>75424.53125</v>
      </c>
      <c r="E5958" s="8">
        <v>75485.890625</v>
      </c>
      <c r="F5958" s="8">
        <f t="shared" si="184"/>
        <v>61.359375</v>
      </c>
      <c r="G5958" s="8">
        <f t="shared" si="185"/>
        <v>6.1359375000000001E-2</v>
      </c>
    </row>
    <row r="5959" spans="1:7" x14ac:dyDescent="0.25">
      <c r="A5959" s="8">
        <v>79</v>
      </c>
      <c r="B5959" s="8">
        <v>20</v>
      </c>
      <c r="C5959" s="8">
        <v>1889.6645510000001</v>
      </c>
      <c r="D5959" s="8">
        <v>81583.28125</v>
      </c>
      <c r="E5959" s="8">
        <v>81590.984375</v>
      </c>
      <c r="F5959" s="8">
        <f t="shared" si="184"/>
        <v>7.703125</v>
      </c>
      <c r="G5959" s="8">
        <f t="shared" si="185"/>
        <v>7.7031249999999999E-3</v>
      </c>
    </row>
    <row r="5960" spans="1:7" x14ac:dyDescent="0.25">
      <c r="A5960" s="8">
        <v>79</v>
      </c>
      <c r="B5960" s="8">
        <v>21</v>
      </c>
      <c r="C5960" s="8">
        <v>1059.6701660000001</v>
      </c>
      <c r="D5960" s="8">
        <v>83484.242188000004</v>
      </c>
      <c r="E5960" s="8">
        <v>83501</v>
      </c>
      <c r="F5960" s="8">
        <f t="shared" si="184"/>
        <v>16.757811999996193</v>
      </c>
      <c r="G5960" s="8">
        <f t="shared" si="185"/>
        <v>1.6757811999996194E-2</v>
      </c>
    </row>
    <row r="5961" spans="1:7" x14ac:dyDescent="0.25">
      <c r="A5961" s="8">
        <v>79</v>
      </c>
      <c r="B5961" s="8">
        <v>22</v>
      </c>
      <c r="C5961" s="8">
        <v>659.65826400000003</v>
      </c>
      <c r="D5961" s="8">
        <v>84563.484375</v>
      </c>
      <c r="E5961" s="8">
        <v>84574.585938000004</v>
      </c>
      <c r="F5961" s="8">
        <f t="shared" si="184"/>
        <v>11.101563000003807</v>
      </c>
      <c r="G5961" s="8">
        <f t="shared" si="185"/>
        <v>1.1101563000003808E-2</v>
      </c>
    </row>
    <row r="5962" spans="1:7" x14ac:dyDescent="0.25">
      <c r="A5962" s="8">
        <v>79</v>
      </c>
      <c r="B5962" s="8">
        <v>23</v>
      </c>
      <c r="C5962" s="8">
        <v>1652.3198239999999</v>
      </c>
      <c r="D5962" s="8">
        <v>85235.601563000004</v>
      </c>
      <c r="E5962" s="8">
        <v>85250.53125</v>
      </c>
      <c r="F5962" s="8">
        <f t="shared" si="184"/>
        <v>14.929686999996193</v>
      </c>
      <c r="G5962" s="8">
        <f t="shared" si="185"/>
        <v>1.4929686999996193E-2</v>
      </c>
    </row>
    <row r="5963" spans="1:7" x14ac:dyDescent="0.25">
      <c r="A5963" s="8">
        <v>79</v>
      </c>
      <c r="B5963" s="8">
        <v>24</v>
      </c>
      <c r="C5963" s="8">
        <v>1189.673828</v>
      </c>
      <c r="D5963" s="8">
        <v>86909.03125</v>
      </c>
      <c r="E5963" s="8">
        <v>86920.09375</v>
      </c>
      <c r="F5963" s="8">
        <f t="shared" ref="F5963:F6026" si="186">E5963-D5963</f>
        <v>11.0625</v>
      </c>
      <c r="G5963" s="8">
        <f t="shared" ref="G5963:G6026" si="187">F5963/1000</f>
        <v>1.1062499999999999E-2</v>
      </c>
    </row>
    <row r="5964" spans="1:7" x14ac:dyDescent="0.25">
      <c r="A5964" s="8">
        <v>79</v>
      </c>
      <c r="B5964" s="8">
        <v>25</v>
      </c>
      <c r="C5964" s="8">
        <v>4553.1767579999996</v>
      </c>
      <c r="D5964" s="8">
        <v>88115.429688000004</v>
      </c>
      <c r="E5964" s="8">
        <v>88123.101563000004</v>
      </c>
      <c r="F5964" s="8">
        <f t="shared" si="186"/>
        <v>7.671875</v>
      </c>
      <c r="G5964" s="8">
        <f t="shared" si="187"/>
        <v>7.6718749999999999E-3</v>
      </c>
    </row>
    <row r="5965" spans="1:7" x14ac:dyDescent="0.25">
      <c r="A5965" s="8">
        <v>79</v>
      </c>
      <c r="B5965" s="8">
        <v>26</v>
      </c>
      <c r="C5965" s="8">
        <v>3622.782471</v>
      </c>
      <c r="D5965" s="8">
        <v>92685.320313000004</v>
      </c>
      <c r="E5965" s="8">
        <v>92697.03125</v>
      </c>
      <c r="F5965" s="8">
        <f t="shared" si="186"/>
        <v>11.710936999996193</v>
      </c>
      <c r="G5965" s="8">
        <f t="shared" si="187"/>
        <v>1.1710936999996193E-2</v>
      </c>
    </row>
    <row r="5966" spans="1:7" x14ac:dyDescent="0.25">
      <c r="A5966" s="8">
        <v>79</v>
      </c>
      <c r="B5966" s="8">
        <v>27</v>
      </c>
      <c r="C5966" s="8">
        <v>3620.9157709999999</v>
      </c>
      <c r="D5966" s="8">
        <v>96334.515625</v>
      </c>
      <c r="E5966" s="8">
        <v>96355.632813000004</v>
      </c>
      <c r="F5966" s="8">
        <f t="shared" si="186"/>
        <v>21.117188000003807</v>
      </c>
      <c r="G5966" s="8">
        <f t="shared" si="187"/>
        <v>2.1117188000003808E-2</v>
      </c>
    </row>
    <row r="5967" spans="1:7" x14ac:dyDescent="0.25">
      <c r="A5967" s="8">
        <v>79</v>
      </c>
      <c r="B5967" s="8">
        <v>28</v>
      </c>
      <c r="C5967" s="8">
        <v>3871.4160160000001</v>
      </c>
      <c r="D5967" s="8">
        <v>99979.484375</v>
      </c>
      <c r="E5967" s="8">
        <v>99996.328125</v>
      </c>
      <c r="F5967" s="8">
        <f t="shared" si="186"/>
        <v>16.84375</v>
      </c>
      <c r="G5967" s="8">
        <f t="shared" si="187"/>
        <v>1.6843750000000001E-2</v>
      </c>
    </row>
    <row r="5968" spans="1:7" x14ac:dyDescent="0.25">
      <c r="A5968" s="8">
        <v>79</v>
      </c>
      <c r="B5968" s="8">
        <v>29</v>
      </c>
      <c r="C5968" s="8">
        <v>3520.139893</v>
      </c>
      <c r="D5968" s="8">
        <v>103878.335938</v>
      </c>
      <c r="E5968" s="8">
        <v>103898.453125</v>
      </c>
      <c r="F5968" s="8">
        <f t="shared" si="186"/>
        <v>20.117186999996193</v>
      </c>
      <c r="G5968" s="8">
        <f t="shared" si="187"/>
        <v>2.0117186999996192E-2</v>
      </c>
    </row>
    <row r="5969" spans="1:7" x14ac:dyDescent="0.25">
      <c r="A5969" s="8">
        <v>79</v>
      </c>
      <c r="B5969" s="8">
        <v>30</v>
      </c>
      <c r="C5969" s="8">
        <v>127.128929</v>
      </c>
      <c r="D5969" s="8">
        <v>107422.9375</v>
      </c>
      <c r="E5969" s="8">
        <v>107445.171875</v>
      </c>
      <c r="F5969" s="8">
        <f t="shared" si="186"/>
        <v>22.234375</v>
      </c>
      <c r="G5969" s="8">
        <f t="shared" si="187"/>
        <v>2.2234375000000001E-2</v>
      </c>
    </row>
    <row r="5970" spans="1:7" x14ac:dyDescent="0.25">
      <c r="A5970" s="8">
        <v>79</v>
      </c>
      <c r="B5970" s="8">
        <v>31</v>
      </c>
      <c r="C5970" s="8">
        <v>2323.5083009999998</v>
      </c>
      <c r="D5970" s="8">
        <v>107579.25</v>
      </c>
      <c r="E5970" s="8">
        <v>107589.070313</v>
      </c>
      <c r="F5970" s="8">
        <f t="shared" si="186"/>
        <v>9.8203130000038072</v>
      </c>
      <c r="G5970" s="8">
        <f t="shared" si="187"/>
        <v>9.8203130000038066E-3</v>
      </c>
    </row>
    <row r="5971" spans="1:7" x14ac:dyDescent="0.25">
      <c r="A5971" s="8">
        <v>79</v>
      </c>
      <c r="B5971" s="8">
        <v>32</v>
      </c>
      <c r="C5971" s="8">
        <v>12673.46875</v>
      </c>
      <c r="D5971" s="8">
        <v>109923.929688</v>
      </c>
      <c r="E5971" s="8">
        <v>109963.609375</v>
      </c>
      <c r="F5971" s="8">
        <f t="shared" si="186"/>
        <v>39.679686999996193</v>
      </c>
      <c r="G5971" s="8">
        <f t="shared" si="187"/>
        <v>3.9679686999996196E-2</v>
      </c>
    </row>
    <row r="5972" spans="1:7" x14ac:dyDescent="0.25">
      <c r="A5972" s="8">
        <v>79</v>
      </c>
      <c r="B5972" s="8">
        <v>33</v>
      </c>
      <c r="C5972" s="8">
        <v>1396.881836</v>
      </c>
      <c r="D5972" s="8">
        <v>122642.828125</v>
      </c>
      <c r="E5972" s="8">
        <v>122660.679688</v>
      </c>
      <c r="F5972" s="8">
        <f t="shared" si="186"/>
        <v>17.851563000003807</v>
      </c>
      <c r="G5972" s="8">
        <f t="shared" si="187"/>
        <v>1.7851563000003807E-2</v>
      </c>
    </row>
    <row r="5973" spans="1:7" x14ac:dyDescent="0.25">
      <c r="A5973" s="8">
        <v>79</v>
      </c>
      <c r="B5973" s="8">
        <v>34</v>
      </c>
      <c r="C5973" s="8">
        <v>382.582764</v>
      </c>
      <c r="D5973" s="8">
        <v>124064.46875</v>
      </c>
      <c r="E5973" s="8">
        <v>124092.9375</v>
      </c>
      <c r="F5973" s="8">
        <f t="shared" si="186"/>
        <v>28.46875</v>
      </c>
      <c r="G5973" s="8">
        <f t="shared" si="187"/>
        <v>2.8468750000000001E-2</v>
      </c>
    </row>
    <row r="5974" spans="1:7" x14ac:dyDescent="0.25">
      <c r="A5974" s="8">
        <v>79</v>
      </c>
      <c r="B5974" s="8">
        <v>35</v>
      </c>
      <c r="C5974" s="8">
        <v>1881.9857179999999</v>
      </c>
      <c r="D5974" s="8">
        <v>124486.398438</v>
      </c>
      <c r="E5974" s="8">
        <v>124509.546875</v>
      </c>
      <c r="F5974" s="8">
        <f t="shared" si="186"/>
        <v>23.148436999996193</v>
      </c>
      <c r="G5974" s="8">
        <f t="shared" si="187"/>
        <v>2.3148436999996191E-2</v>
      </c>
    </row>
    <row r="5975" spans="1:7" x14ac:dyDescent="0.25">
      <c r="A5975" s="8">
        <v>79</v>
      </c>
      <c r="B5975" s="8">
        <v>36</v>
      </c>
      <c r="C5975" s="8">
        <v>1157.950439</v>
      </c>
      <c r="D5975" s="8">
        <v>126393.546875</v>
      </c>
      <c r="E5975" s="8">
        <v>126404.539063</v>
      </c>
      <c r="F5975" s="8">
        <f t="shared" si="186"/>
        <v>10.992188000003807</v>
      </c>
      <c r="G5975" s="8">
        <f t="shared" si="187"/>
        <v>1.0992188000003808E-2</v>
      </c>
    </row>
    <row r="5976" spans="1:7" x14ac:dyDescent="0.25">
      <c r="A5976" s="8">
        <v>79</v>
      </c>
      <c r="B5976" s="8">
        <v>37</v>
      </c>
      <c r="C5976" s="8">
        <v>1733.8592530000001</v>
      </c>
      <c r="D5976" s="8">
        <v>127565.5625</v>
      </c>
      <c r="E5976" s="8">
        <v>127580</v>
      </c>
      <c r="F5976" s="8">
        <f t="shared" si="186"/>
        <v>14.4375</v>
      </c>
      <c r="G5976" s="8">
        <f t="shared" si="187"/>
        <v>1.4437500000000001E-2</v>
      </c>
    </row>
    <row r="5977" spans="1:7" x14ac:dyDescent="0.25">
      <c r="A5977" s="8">
        <v>79</v>
      </c>
      <c r="B5977" s="8">
        <v>38</v>
      </c>
      <c r="C5977" s="8">
        <v>2109.1623540000001</v>
      </c>
      <c r="D5977" s="8">
        <v>129317</v>
      </c>
      <c r="E5977" s="8">
        <v>129335.242188</v>
      </c>
      <c r="F5977" s="8">
        <f t="shared" si="186"/>
        <v>18.242188000003807</v>
      </c>
      <c r="G5977" s="8">
        <f t="shared" si="187"/>
        <v>1.8242188000003809E-2</v>
      </c>
    </row>
    <row r="5978" spans="1:7" x14ac:dyDescent="0.25">
      <c r="A5978" s="8">
        <v>79</v>
      </c>
      <c r="B5978" s="8">
        <v>39</v>
      </c>
      <c r="C5978" s="8">
        <v>754.03668200000004</v>
      </c>
      <c r="D5978" s="8">
        <v>131451.953125</v>
      </c>
      <c r="E5978" s="8">
        <v>131470.03125</v>
      </c>
      <c r="F5978" s="8">
        <f t="shared" si="186"/>
        <v>18.078125</v>
      </c>
      <c r="G5978" s="8">
        <f t="shared" si="187"/>
        <v>1.8078125E-2</v>
      </c>
    </row>
    <row r="5979" spans="1:7" x14ac:dyDescent="0.25">
      <c r="A5979" s="8">
        <v>79</v>
      </c>
      <c r="B5979" s="8">
        <v>40</v>
      </c>
      <c r="C5979" s="8">
        <v>266.09515399999998</v>
      </c>
      <c r="D5979" s="8">
        <v>132233.109375</v>
      </c>
      <c r="E5979" s="8">
        <v>132256.140625</v>
      </c>
      <c r="F5979" s="8">
        <f t="shared" si="186"/>
        <v>23.03125</v>
      </c>
      <c r="G5979" s="8">
        <f t="shared" si="187"/>
        <v>2.303125E-2</v>
      </c>
    </row>
    <row r="5980" spans="1:7" x14ac:dyDescent="0.25">
      <c r="A5980" s="8">
        <v>79</v>
      </c>
      <c r="B5980" s="8">
        <v>41</v>
      </c>
      <c r="C5980" s="8">
        <v>1399.091919</v>
      </c>
      <c r="D5980" s="8">
        <v>132530.125</v>
      </c>
      <c r="E5980" s="8">
        <v>132554.890625</v>
      </c>
      <c r="F5980" s="8">
        <f t="shared" si="186"/>
        <v>24.765625</v>
      </c>
      <c r="G5980" s="8">
        <f t="shared" si="187"/>
        <v>2.4765624999999999E-2</v>
      </c>
    </row>
    <row r="5981" spans="1:7" x14ac:dyDescent="0.25">
      <c r="A5981" s="8">
        <v>79</v>
      </c>
      <c r="B5981" s="8">
        <v>42</v>
      </c>
      <c r="C5981" s="8">
        <v>3499.6667480000001</v>
      </c>
      <c r="D5981" s="8">
        <v>133956.84375</v>
      </c>
      <c r="E5981" s="8">
        <v>133970.484375</v>
      </c>
      <c r="F5981" s="8">
        <f t="shared" si="186"/>
        <v>13.640625</v>
      </c>
      <c r="G5981" s="8">
        <f t="shared" si="187"/>
        <v>1.3640625E-2</v>
      </c>
    </row>
    <row r="5982" spans="1:7" x14ac:dyDescent="0.25">
      <c r="A5982" s="8">
        <v>79</v>
      </c>
      <c r="B5982" s="8">
        <v>43</v>
      </c>
      <c r="C5982" s="8">
        <v>751.990906</v>
      </c>
      <c r="D5982" s="8">
        <v>137484.28125</v>
      </c>
      <c r="E5982" s="8">
        <v>137496.34375</v>
      </c>
      <c r="F5982" s="8">
        <f t="shared" si="186"/>
        <v>12.0625</v>
      </c>
      <c r="G5982" s="8">
        <f t="shared" si="187"/>
        <v>1.20625E-2</v>
      </c>
    </row>
    <row r="5983" spans="1:7" x14ac:dyDescent="0.25">
      <c r="A5983" s="8">
        <v>79</v>
      </c>
      <c r="B5983" s="8">
        <v>44</v>
      </c>
      <c r="C5983" s="8">
        <v>1329.786499</v>
      </c>
      <c r="D5983" s="8">
        <v>138249.984375</v>
      </c>
      <c r="E5983" s="8">
        <v>138264.515625</v>
      </c>
      <c r="F5983" s="8">
        <f t="shared" si="186"/>
        <v>14.53125</v>
      </c>
      <c r="G5983" s="8">
        <f t="shared" si="187"/>
        <v>1.4531250000000001E-2</v>
      </c>
    </row>
    <row r="5984" spans="1:7" x14ac:dyDescent="0.25">
      <c r="A5984" s="8">
        <v>79</v>
      </c>
      <c r="B5984" s="8">
        <v>45</v>
      </c>
      <c r="C5984" s="8">
        <v>1641.056763</v>
      </c>
      <c r="D5984" s="8">
        <v>139600.3125</v>
      </c>
      <c r="E5984" s="8">
        <v>139658.15625</v>
      </c>
      <c r="F5984" s="8">
        <f t="shared" si="186"/>
        <v>57.84375</v>
      </c>
      <c r="G5984" s="8">
        <f t="shared" si="187"/>
        <v>5.7843749999999999E-2</v>
      </c>
    </row>
    <row r="5985" spans="1:7" x14ac:dyDescent="0.25">
      <c r="A5985" s="8">
        <v>79</v>
      </c>
      <c r="B5985" s="8">
        <v>46</v>
      </c>
      <c r="C5985" s="8">
        <v>1767.1042480000001</v>
      </c>
      <c r="D5985" s="8">
        <v>141313.625</v>
      </c>
      <c r="E5985" s="8">
        <v>141338.453125</v>
      </c>
      <c r="F5985" s="8">
        <f t="shared" si="186"/>
        <v>24.828125</v>
      </c>
      <c r="G5985" s="8">
        <f t="shared" si="187"/>
        <v>2.4828125E-2</v>
      </c>
    </row>
    <row r="5986" spans="1:7" x14ac:dyDescent="0.25">
      <c r="A5986" s="8">
        <v>79</v>
      </c>
      <c r="B5986" s="8">
        <v>47</v>
      </c>
      <c r="C5986" s="8">
        <v>426.81973299999999</v>
      </c>
      <c r="D5986" s="8">
        <v>143108.796875</v>
      </c>
      <c r="E5986" s="8">
        <v>143123.546875</v>
      </c>
      <c r="F5986" s="8">
        <f t="shared" si="186"/>
        <v>14.75</v>
      </c>
      <c r="G5986" s="8">
        <f t="shared" si="187"/>
        <v>1.4749999999999999E-2</v>
      </c>
    </row>
    <row r="5987" spans="1:7" x14ac:dyDescent="0.25">
      <c r="A5987" s="8">
        <v>79</v>
      </c>
      <c r="B5987" s="8">
        <v>48</v>
      </c>
      <c r="C5987" s="8">
        <v>1446.3314210000001</v>
      </c>
      <c r="D5987" s="8">
        <v>143556.796875</v>
      </c>
      <c r="E5987" s="8">
        <v>143569.625</v>
      </c>
      <c r="F5987" s="8">
        <f t="shared" si="186"/>
        <v>12.828125</v>
      </c>
      <c r="G5987" s="8">
        <f t="shared" si="187"/>
        <v>1.2828124999999999E-2</v>
      </c>
    </row>
    <row r="5988" spans="1:7" x14ac:dyDescent="0.25">
      <c r="A5988" s="8">
        <v>79</v>
      </c>
      <c r="B5988" s="8">
        <v>49</v>
      </c>
      <c r="C5988" s="8">
        <v>74.239220000000003</v>
      </c>
      <c r="D5988" s="8">
        <v>145019.640625</v>
      </c>
      <c r="E5988" s="8">
        <v>145036.828125</v>
      </c>
      <c r="F5988" s="8">
        <f t="shared" si="186"/>
        <v>17.1875</v>
      </c>
      <c r="G5988" s="8">
        <f t="shared" si="187"/>
        <v>1.7187500000000001E-2</v>
      </c>
    </row>
    <row r="5989" spans="1:7" x14ac:dyDescent="0.25">
      <c r="A5989" s="8">
        <v>79</v>
      </c>
      <c r="B5989" s="8">
        <v>50</v>
      </c>
      <c r="C5989" s="8">
        <v>3054.4333499999998</v>
      </c>
      <c r="D5989" s="8">
        <v>145113.46875</v>
      </c>
      <c r="E5989" s="8">
        <v>145124.59375</v>
      </c>
      <c r="F5989" s="8">
        <f t="shared" si="186"/>
        <v>11.125</v>
      </c>
      <c r="G5989" s="8">
        <f t="shared" si="187"/>
        <v>1.1124999999999999E-2</v>
      </c>
    </row>
    <row r="5990" spans="1:7" x14ac:dyDescent="0.25">
      <c r="A5990" s="8">
        <v>79</v>
      </c>
      <c r="B5990" s="8">
        <v>51</v>
      </c>
      <c r="C5990" s="8">
        <v>2940.2570799999999</v>
      </c>
      <c r="D5990" s="8">
        <v>148180.765625</v>
      </c>
      <c r="E5990" s="8">
        <v>148201.28125</v>
      </c>
      <c r="F5990" s="8">
        <f t="shared" si="186"/>
        <v>20.515625</v>
      </c>
      <c r="G5990" s="8">
        <f t="shared" si="187"/>
        <v>2.0515624999999999E-2</v>
      </c>
    </row>
    <row r="5991" spans="1:7" x14ac:dyDescent="0.25">
      <c r="A5991" s="8">
        <v>79</v>
      </c>
      <c r="B5991" s="8">
        <v>52</v>
      </c>
      <c r="C5991" s="8">
        <v>318.29562399999998</v>
      </c>
      <c r="D5991" s="8">
        <v>151155.234375</v>
      </c>
      <c r="E5991" s="8">
        <v>151176.53125</v>
      </c>
      <c r="F5991" s="8">
        <f t="shared" si="186"/>
        <v>21.296875</v>
      </c>
      <c r="G5991" s="8">
        <f t="shared" si="187"/>
        <v>2.1296875E-2</v>
      </c>
    </row>
    <row r="5992" spans="1:7" x14ac:dyDescent="0.25">
      <c r="A5992" s="8">
        <v>79</v>
      </c>
      <c r="B5992" s="8">
        <v>53</v>
      </c>
      <c r="C5992" s="8">
        <v>1180.0706789999999</v>
      </c>
      <c r="D5992" s="8">
        <v>151498.984375</v>
      </c>
      <c r="E5992" s="8">
        <v>151509.171875</v>
      </c>
      <c r="F5992" s="8">
        <f t="shared" si="186"/>
        <v>10.1875</v>
      </c>
      <c r="G5992" s="8">
        <f t="shared" si="187"/>
        <v>1.01875E-2</v>
      </c>
    </row>
    <row r="5993" spans="1:7" x14ac:dyDescent="0.25">
      <c r="A5993" s="8">
        <v>79</v>
      </c>
      <c r="B5993" s="8">
        <v>54</v>
      </c>
      <c r="C5993" s="8">
        <v>1102.1079099999999</v>
      </c>
      <c r="D5993" s="8">
        <v>152703.28125</v>
      </c>
      <c r="E5993" s="8">
        <v>152723.875</v>
      </c>
      <c r="F5993" s="8">
        <f t="shared" si="186"/>
        <v>20.59375</v>
      </c>
      <c r="G5993" s="8">
        <f t="shared" si="187"/>
        <v>2.0593750000000001E-2</v>
      </c>
    </row>
    <row r="5994" spans="1:7" x14ac:dyDescent="0.25">
      <c r="A5994" s="8">
        <v>79</v>
      </c>
      <c r="B5994" s="8">
        <v>55</v>
      </c>
      <c r="C5994" s="8">
        <v>4258.4301759999998</v>
      </c>
      <c r="D5994" s="8">
        <v>153828.40625</v>
      </c>
      <c r="E5994" s="8">
        <v>153839.640625</v>
      </c>
      <c r="F5994" s="8">
        <f t="shared" si="186"/>
        <v>11.234375</v>
      </c>
      <c r="G5994" s="8">
        <f t="shared" si="187"/>
        <v>1.1234375E-2</v>
      </c>
    </row>
    <row r="5995" spans="1:7" x14ac:dyDescent="0.25">
      <c r="A5995" s="8">
        <v>79</v>
      </c>
      <c r="B5995" s="8">
        <v>56</v>
      </c>
      <c r="C5995" s="8">
        <v>3202.2817380000001</v>
      </c>
      <c r="D5995" s="8">
        <v>158110.015625</v>
      </c>
      <c r="E5995" s="8">
        <v>158124.015625</v>
      </c>
      <c r="F5995" s="8">
        <f t="shared" si="186"/>
        <v>14</v>
      </c>
      <c r="G5995" s="8">
        <f t="shared" si="187"/>
        <v>1.4E-2</v>
      </c>
    </row>
    <row r="5996" spans="1:7" x14ac:dyDescent="0.25">
      <c r="A5996" s="8">
        <v>79</v>
      </c>
      <c r="B5996" s="8">
        <v>57</v>
      </c>
      <c r="C5996" s="8">
        <v>679.449341</v>
      </c>
      <c r="D5996" s="8">
        <v>161330.15625</v>
      </c>
      <c r="E5996" s="8">
        <v>161338.328125</v>
      </c>
      <c r="F5996" s="8">
        <f t="shared" si="186"/>
        <v>8.171875</v>
      </c>
      <c r="G5996" s="8">
        <f t="shared" si="187"/>
        <v>8.1718750000000003E-3</v>
      </c>
    </row>
    <row r="5997" spans="1:7" x14ac:dyDescent="0.25">
      <c r="A5997" s="8">
        <v>79</v>
      </c>
      <c r="B5997" s="8">
        <v>58</v>
      </c>
      <c r="C5997" s="8">
        <v>614.66900599999997</v>
      </c>
      <c r="D5997" s="8">
        <v>162017.703125</v>
      </c>
      <c r="E5997" s="8">
        <v>162031.046875</v>
      </c>
      <c r="F5997" s="8">
        <f t="shared" si="186"/>
        <v>13.34375</v>
      </c>
      <c r="G5997" s="8">
        <f t="shared" si="187"/>
        <v>1.334375E-2</v>
      </c>
    </row>
    <row r="5998" spans="1:7" x14ac:dyDescent="0.25">
      <c r="A5998" s="8">
        <v>79</v>
      </c>
      <c r="B5998" s="8">
        <v>59</v>
      </c>
      <c r="C5998" s="8">
        <v>8607.2148440000001</v>
      </c>
      <c r="D5998" s="8">
        <v>162658.734375</v>
      </c>
      <c r="E5998" s="8">
        <v>162666.984375</v>
      </c>
      <c r="F5998" s="8">
        <f t="shared" si="186"/>
        <v>8.25</v>
      </c>
      <c r="G5998" s="8">
        <f t="shared" si="187"/>
        <v>8.2500000000000004E-3</v>
      </c>
    </row>
    <row r="5999" spans="1:7" x14ac:dyDescent="0.25">
      <c r="A5999" s="8">
        <v>80</v>
      </c>
      <c r="B5999" s="8">
        <v>0</v>
      </c>
      <c r="C5999" s="8">
        <v>237.02383399999999</v>
      </c>
      <c r="D5999" s="8">
        <v>20088.222656000002</v>
      </c>
      <c r="E5999" s="8">
        <v>20107.716797000001</v>
      </c>
      <c r="F5999" s="8">
        <f t="shared" si="186"/>
        <v>19.494140999999217</v>
      </c>
      <c r="G5999" s="8">
        <f t="shared" si="187"/>
        <v>1.9494140999999219E-2</v>
      </c>
    </row>
    <row r="6000" spans="1:7" x14ac:dyDescent="0.25">
      <c r="A6000" s="8">
        <v>80</v>
      </c>
      <c r="B6000" s="8">
        <v>1</v>
      </c>
      <c r="C6000" s="8">
        <v>4527.7666019999997</v>
      </c>
      <c r="D6000" s="8">
        <v>20359.830077999999</v>
      </c>
      <c r="E6000" s="8">
        <v>20380.388672000001</v>
      </c>
      <c r="F6000" s="8">
        <f t="shared" si="186"/>
        <v>20.558594000001904</v>
      </c>
      <c r="G6000" s="8">
        <f t="shared" si="187"/>
        <v>2.0558594000001904E-2</v>
      </c>
    </row>
    <row r="6001" spans="1:7" x14ac:dyDescent="0.25">
      <c r="A6001" s="8">
        <v>80</v>
      </c>
      <c r="B6001" s="8">
        <v>2</v>
      </c>
      <c r="C6001" s="8">
        <v>2176.5185550000001</v>
      </c>
      <c r="D6001" s="8">
        <v>24912.421875</v>
      </c>
      <c r="E6001" s="8">
        <v>24921.927734000001</v>
      </c>
      <c r="F6001" s="8">
        <f t="shared" si="186"/>
        <v>9.5058590000007825</v>
      </c>
      <c r="G6001" s="8">
        <f t="shared" si="187"/>
        <v>9.5058590000007825E-3</v>
      </c>
    </row>
    <row r="6002" spans="1:7" x14ac:dyDescent="0.25">
      <c r="A6002" s="8">
        <v>80</v>
      </c>
      <c r="B6002" s="8">
        <v>3</v>
      </c>
      <c r="C6002" s="8">
        <v>39.948295999999999</v>
      </c>
      <c r="D6002" s="8">
        <v>27102.582031000002</v>
      </c>
      <c r="E6002" s="8">
        <v>27126.300781000002</v>
      </c>
      <c r="F6002" s="8">
        <f t="shared" si="186"/>
        <v>23.71875</v>
      </c>
      <c r="G6002" s="8">
        <f t="shared" si="187"/>
        <v>2.371875E-2</v>
      </c>
    </row>
    <row r="6003" spans="1:7" x14ac:dyDescent="0.25">
      <c r="A6003" s="8">
        <v>80</v>
      </c>
      <c r="B6003" s="8">
        <v>4</v>
      </c>
      <c r="C6003" s="8">
        <v>1095.235962</v>
      </c>
      <c r="D6003" s="8">
        <v>27180.533202999999</v>
      </c>
      <c r="E6003" s="8">
        <v>27191.832031000002</v>
      </c>
      <c r="F6003" s="8">
        <f t="shared" si="186"/>
        <v>11.298828000002686</v>
      </c>
      <c r="G6003" s="8">
        <f t="shared" si="187"/>
        <v>1.1298828000002686E-2</v>
      </c>
    </row>
    <row r="6004" spans="1:7" x14ac:dyDescent="0.25">
      <c r="A6004" s="8">
        <v>80</v>
      </c>
      <c r="B6004" s="8">
        <v>5</v>
      </c>
      <c r="C6004" s="8">
        <v>6629.2573240000002</v>
      </c>
      <c r="D6004" s="8">
        <v>28290.916015999999</v>
      </c>
      <c r="E6004" s="8">
        <v>28304.466797000001</v>
      </c>
      <c r="F6004" s="8">
        <f t="shared" si="186"/>
        <v>13.550781000001734</v>
      </c>
      <c r="G6004" s="8">
        <f t="shared" si="187"/>
        <v>1.3550781000001734E-2</v>
      </c>
    </row>
    <row r="6005" spans="1:7" x14ac:dyDescent="0.25">
      <c r="A6005" s="8">
        <v>80</v>
      </c>
      <c r="B6005" s="8">
        <v>6</v>
      </c>
      <c r="C6005" s="8">
        <v>226.33270300000001</v>
      </c>
      <c r="D6005" s="8">
        <v>34936.296875</v>
      </c>
      <c r="E6005" s="8">
        <v>34962.265625</v>
      </c>
      <c r="F6005" s="8">
        <f t="shared" si="186"/>
        <v>25.96875</v>
      </c>
      <c r="G6005" s="8">
        <f t="shared" si="187"/>
        <v>2.5968749999999999E-2</v>
      </c>
    </row>
    <row r="6006" spans="1:7" x14ac:dyDescent="0.25">
      <c r="A6006" s="8">
        <v>80</v>
      </c>
      <c r="B6006" s="8">
        <v>7</v>
      </c>
      <c r="C6006" s="8">
        <v>3574.445068</v>
      </c>
      <c r="D6006" s="8">
        <v>35201.933594000002</v>
      </c>
      <c r="E6006" s="8">
        <v>35226.261719000002</v>
      </c>
      <c r="F6006" s="8">
        <f t="shared" si="186"/>
        <v>24.328125</v>
      </c>
      <c r="G6006" s="8">
        <f t="shared" si="187"/>
        <v>2.4328124999999999E-2</v>
      </c>
    </row>
    <row r="6007" spans="1:7" x14ac:dyDescent="0.25">
      <c r="A6007" s="8">
        <v>80</v>
      </c>
      <c r="B6007" s="8">
        <v>8</v>
      </c>
      <c r="C6007" s="8">
        <v>710.03051800000003</v>
      </c>
      <c r="D6007" s="8">
        <v>38808.386719000002</v>
      </c>
      <c r="E6007" s="8">
        <v>38832.164062999997</v>
      </c>
      <c r="F6007" s="8">
        <f t="shared" si="186"/>
        <v>23.777343999994628</v>
      </c>
      <c r="G6007" s="8">
        <f t="shared" si="187"/>
        <v>2.3777343999994628E-2</v>
      </c>
    </row>
    <row r="6008" spans="1:7" x14ac:dyDescent="0.25">
      <c r="A6008" s="8">
        <v>80</v>
      </c>
      <c r="B6008" s="8">
        <v>9</v>
      </c>
      <c r="C6008" s="8">
        <v>305.38394199999999</v>
      </c>
      <c r="D6008" s="8">
        <v>39542.972655999998</v>
      </c>
      <c r="E6008" s="8">
        <v>39554.125</v>
      </c>
      <c r="F6008" s="8">
        <f t="shared" si="186"/>
        <v>11.152344000001904</v>
      </c>
      <c r="G6008" s="8">
        <f t="shared" si="187"/>
        <v>1.1152344000001903E-2</v>
      </c>
    </row>
    <row r="6009" spans="1:7" x14ac:dyDescent="0.25">
      <c r="A6009" s="8">
        <v>80</v>
      </c>
      <c r="B6009" s="8">
        <v>10</v>
      </c>
      <c r="C6009" s="8">
        <v>4193.2973629999997</v>
      </c>
      <c r="D6009" s="8">
        <v>39871.078125</v>
      </c>
      <c r="E6009" s="8">
        <v>39884.035155999998</v>
      </c>
      <c r="F6009" s="8">
        <f t="shared" si="186"/>
        <v>12.957030999998096</v>
      </c>
      <c r="G6009" s="8">
        <f t="shared" si="187"/>
        <v>1.2957030999998096E-2</v>
      </c>
    </row>
    <row r="6010" spans="1:7" x14ac:dyDescent="0.25">
      <c r="A6010" s="8">
        <v>80</v>
      </c>
      <c r="B6010" s="8">
        <v>11</v>
      </c>
      <c r="C6010" s="8">
        <v>1064.8608400000001</v>
      </c>
      <c r="D6010" s="8">
        <v>44084.3125</v>
      </c>
      <c r="E6010" s="8">
        <v>44102.613280999998</v>
      </c>
      <c r="F6010" s="8">
        <f t="shared" si="186"/>
        <v>18.300780999998096</v>
      </c>
      <c r="G6010" s="8">
        <f t="shared" si="187"/>
        <v>1.8300780999998097E-2</v>
      </c>
    </row>
    <row r="6011" spans="1:7" x14ac:dyDescent="0.25">
      <c r="A6011" s="8">
        <v>80</v>
      </c>
      <c r="B6011" s="8">
        <v>12</v>
      </c>
      <c r="C6011" s="8">
        <v>1299.9852289999999</v>
      </c>
      <c r="D6011" s="8">
        <v>45178.191405999998</v>
      </c>
      <c r="E6011" s="8">
        <v>45186.910155999998</v>
      </c>
      <c r="F6011" s="8">
        <f t="shared" si="186"/>
        <v>8.71875</v>
      </c>
      <c r="G6011" s="8">
        <f t="shared" si="187"/>
        <v>8.7187500000000008E-3</v>
      </c>
    </row>
    <row r="6012" spans="1:7" x14ac:dyDescent="0.25">
      <c r="A6012" s="8">
        <v>80</v>
      </c>
      <c r="B6012" s="8">
        <v>13</v>
      </c>
      <c r="C6012" s="8">
        <v>143.32484400000001</v>
      </c>
      <c r="D6012" s="8">
        <v>46500.617187999997</v>
      </c>
      <c r="E6012" s="8">
        <v>46511.9375</v>
      </c>
      <c r="F6012" s="8">
        <f t="shared" si="186"/>
        <v>11.320312000003469</v>
      </c>
      <c r="G6012" s="8">
        <f t="shared" si="187"/>
        <v>1.1320312000003468E-2</v>
      </c>
    </row>
    <row r="6013" spans="1:7" x14ac:dyDescent="0.25">
      <c r="A6013" s="8">
        <v>80</v>
      </c>
      <c r="B6013" s="8">
        <v>14</v>
      </c>
      <c r="C6013" s="8">
        <v>53.004894</v>
      </c>
      <c r="D6013" s="8">
        <v>46657.195312999997</v>
      </c>
      <c r="E6013" s="8">
        <v>46678.347655999998</v>
      </c>
      <c r="F6013" s="8">
        <f t="shared" si="186"/>
        <v>21.152343000001565</v>
      </c>
      <c r="G6013" s="8">
        <f t="shared" si="187"/>
        <v>2.1152343000001565E-2</v>
      </c>
    </row>
    <row r="6014" spans="1:7" x14ac:dyDescent="0.25">
      <c r="A6014" s="8">
        <v>80</v>
      </c>
      <c r="B6014" s="8">
        <v>15</v>
      </c>
      <c r="C6014" s="8">
        <v>426.66861</v>
      </c>
      <c r="D6014" s="8">
        <v>46735.355469000002</v>
      </c>
      <c r="E6014" s="8">
        <v>46761.394530999998</v>
      </c>
      <c r="F6014" s="8">
        <f t="shared" si="186"/>
        <v>26.039061999996193</v>
      </c>
      <c r="G6014" s="8">
        <f t="shared" si="187"/>
        <v>2.6039061999996192E-2</v>
      </c>
    </row>
    <row r="6015" spans="1:7" x14ac:dyDescent="0.25">
      <c r="A6015" s="8">
        <v>80</v>
      </c>
      <c r="B6015" s="8">
        <v>16</v>
      </c>
      <c r="C6015" s="8">
        <v>1009.602295</v>
      </c>
      <c r="D6015" s="8">
        <v>47188.535155999998</v>
      </c>
      <c r="E6015" s="8">
        <v>47209.332030999998</v>
      </c>
      <c r="F6015" s="8">
        <f t="shared" si="186"/>
        <v>20.796875</v>
      </c>
      <c r="G6015" s="8">
        <f t="shared" si="187"/>
        <v>2.0796874999999999E-2</v>
      </c>
    </row>
    <row r="6016" spans="1:7" x14ac:dyDescent="0.25">
      <c r="A6016" s="8">
        <v>80</v>
      </c>
      <c r="B6016" s="8">
        <v>17</v>
      </c>
      <c r="C6016" s="8">
        <v>2680.9086910000001</v>
      </c>
      <c r="D6016" s="8">
        <v>48220.550780999998</v>
      </c>
      <c r="E6016" s="8">
        <v>48237.535155999998</v>
      </c>
      <c r="F6016" s="8">
        <f t="shared" si="186"/>
        <v>16.984375</v>
      </c>
      <c r="G6016" s="8">
        <f t="shared" si="187"/>
        <v>1.6984374999999999E-2</v>
      </c>
    </row>
    <row r="6017" spans="1:7" x14ac:dyDescent="0.25">
      <c r="A6017" s="8">
        <v>80</v>
      </c>
      <c r="B6017" s="8">
        <v>18</v>
      </c>
      <c r="C6017" s="8">
        <v>362.069031</v>
      </c>
      <c r="D6017" s="8">
        <v>50924.753905999998</v>
      </c>
      <c r="E6017" s="8">
        <v>50944.542969000002</v>
      </c>
      <c r="F6017" s="8">
        <f t="shared" si="186"/>
        <v>19.789063000003807</v>
      </c>
      <c r="G6017" s="8">
        <f t="shared" si="187"/>
        <v>1.9789063000003809E-2</v>
      </c>
    </row>
    <row r="6018" spans="1:7" x14ac:dyDescent="0.25">
      <c r="A6018" s="8">
        <v>80</v>
      </c>
      <c r="B6018" s="8">
        <v>19</v>
      </c>
      <c r="C6018" s="8">
        <v>153.31672699999999</v>
      </c>
      <c r="D6018" s="8">
        <v>51319.058594000002</v>
      </c>
      <c r="E6018" s="8">
        <v>51343.492187999997</v>
      </c>
      <c r="F6018" s="8">
        <f t="shared" si="186"/>
        <v>24.433593999994628</v>
      </c>
      <c r="G6018" s="8">
        <f t="shared" si="187"/>
        <v>2.4433593999994629E-2</v>
      </c>
    </row>
    <row r="6019" spans="1:7" x14ac:dyDescent="0.25">
      <c r="A6019" s="8">
        <v>80</v>
      </c>
      <c r="B6019" s="8">
        <v>20</v>
      </c>
      <c r="C6019" s="8">
        <v>1992.1024170000001</v>
      </c>
      <c r="D6019" s="8">
        <v>51498.015625</v>
      </c>
      <c r="E6019" s="8">
        <v>51529.183594000002</v>
      </c>
      <c r="F6019" s="8">
        <f t="shared" si="186"/>
        <v>31.167969000001904</v>
      </c>
      <c r="G6019" s="8">
        <f t="shared" si="187"/>
        <v>3.1167969000001905E-2</v>
      </c>
    </row>
    <row r="6020" spans="1:7" x14ac:dyDescent="0.25">
      <c r="A6020" s="8">
        <v>80</v>
      </c>
      <c r="B6020" s="8">
        <v>21</v>
      </c>
      <c r="C6020" s="8">
        <v>122.645889</v>
      </c>
      <c r="D6020" s="8">
        <v>53530.601562999997</v>
      </c>
      <c r="E6020" s="8">
        <v>53583.457030999998</v>
      </c>
      <c r="F6020" s="8">
        <f t="shared" si="186"/>
        <v>52.855468000001565</v>
      </c>
      <c r="G6020" s="8">
        <f t="shared" si="187"/>
        <v>5.2855468000001564E-2</v>
      </c>
    </row>
    <row r="6021" spans="1:7" x14ac:dyDescent="0.25">
      <c r="A6021" s="8">
        <v>80</v>
      </c>
      <c r="B6021" s="8">
        <v>22</v>
      </c>
      <c r="C6021" s="8">
        <v>309.51223800000002</v>
      </c>
      <c r="D6021" s="8">
        <v>53718.105469000002</v>
      </c>
      <c r="E6021" s="8">
        <v>53740.652344000002</v>
      </c>
      <c r="F6021" s="8">
        <f t="shared" si="186"/>
        <v>22.546875</v>
      </c>
      <c r="G6021" s="8">
        <f t="shared" si="187"/>
        <v>2.2546875000000001E-2</v>
      </c>
    </row>
    <row r="6022" spans="1:7" x14ac:dyDescent="0.25">
      <c r="A6022" s="8">
        <v>80</v>
      </c>
      <c r="B6022" s="8">
        <v>23</v>
      </c>
      <c r="C6022" s="8">
        <v>643.84722899999997</v>
      </c>
      <c r="D6022" s="8">
        <v>54050.039062999997</v>
      </c>
      <c r="E6022" s="8">
        <v>54058.636719000002</v>
      </c>
      <c r="F6022" s="8">
        <f t="shared" si="186"/>
        <v>8.5976560000053723</v>
      </c>
      <c r="G6022" s="8">
        <f t="shared" si="187"/>
        <v>8.5976560000053728E-3</v>
      </c>
    </row>
    <row r="6023" spans="1:7" x14ac:dyDescent="0.25">
      <c r="A6023" s="8">
        <v>80</v>
      </c>
      <c r="B6023" s="8">
        <v>24</v>
      </c>
      <c r="C6023" s="8">
        <v>2732.8842770000001</v>
      </c>
      <c r="D6023" s="8">
        <v>54706.703125</v>
      </c>
      <c r="E6023" s="8">
        <v>54730.566405999998</v>
      </c>
      <c r="F6023" s="8">
        <f t="shared" si="186"/>
        <v>23.863280999998096</v>
      </c>
      <c r="G6023" s="8">
        <f t="shared" si="187"/>
        <v>2.3863280999998095E-2</v>
      </c>
    </row>
    <row r="6024" spans="1:7" x14ac:dyDescent="0.25">
      <c r="A6024" s="8">
        <v>80</v>
      </c>
      <c r="B6024" s="8">
        <v>25</v>
      </c>
      <c r="C6024" s="8">
        <v>424.78079200000002</v>
      </c>
      <c r="D6024" s="8">
        <v>57473.226562999997</v>
      </c>
      <c r="E6024" s="8">
        <v>57491.132812999997</v>
      </c>
      <c r="F6024" s="8">
        <f t="shared" si="186"/>
        <v>17.90625</v>
      </c>
      <c r="G6024" s="8">
        <f t="shared" si="187"/>
        <v>1.7906249999999999E-2</v>
      </c>
    </row>
    <row r="6025" spans="1:7" x14ac:dyDescent="0.25">
      <c r="A6025" s="8">
        <v>80</v>
      </c>
      <c r="B6025" s="8">
        <v>26</v>
      </c>
      <c r="C6025" s="8">
        <v>1126.079346</v>
      </c>
      <c r="D6025" s="8">
        <v>57929.671875</v>
      </c>
      <c r="E6025" s="8">
        <v>57937.429687999997</v>
      </c>
      <c r="F6025" s="8">
        <f t="shared" si="186"/>
        <v>7.7578129999965313</v>
      </c>
      <c r="G6025" s="8">
        <f t="shared" si="187"/>
        <v>7.7578129999965311E-3</v>
      </c>
    </row>
    <row r="6026" spans="1:7" x14ac:dyDescent="0.25">
      <c r="A6026" s="8">
        <v>80</v>
      </c>
      <c r="B6026" s="8">
        <v>27</v>
      </c>
      <c r="C6026" s="8">
        <v>88.032546999999994</v>
      </c>
      <c r="D6026" s="8">
        <v>59075.34375</v>
      </c>
      <c r="E6026" s="8">
        <v>59179.476562999997</v>
      </c>
      <c r="F6026" s="8">
        <f t="shared" si="186"/>
        <v>104.13281299999653</v>
      </c>
      <c r="G6026" s="8">
        <f t="shared" si="187"/>
        <v>0.10413281299999654</v>
      </c>
    </row>
    <row r="6027" spans="1:7" x14ac:dyDescent="0.25">
      <c r="A6027" s="8">
        <v>80</v>
      </c>
      <c r="B6027" s="8">
        <v>28</v>
      </c>
      <c r="C6027" s="8">
        <v>1470.121582</v>
      </c>
      <c r="D6027" s="8">
        <v>59278.570312999997</v>
      </c>
      <c r="E6027" s="8">
        <v>59287.574219000002</v>
      </c>
      <c r="F6027" s="8">
        <f t="shared" ref="F6027:F6090" si="188">E6027-D6027</f>
        <v>9.0039060000053723</v>
      </c>
      <c r="G6027" s="8">
        <f t="shared" ref="G6027:G6090" si="189">F6027/1000</f>
        <v>9.0039060000053732E-3</v>
      </c>
    </row>
    <row r="6028" spans="1:7" x14ac:dyDescent="0.25">
      <c r="A6028" s="8">
        <v>80</v>
      </c>
      <c r="B6028" s="8">
        <v>29</v>
      </c>
      <c r="C6028" s="8">
        <v>2600.0112300000001</v>
      </c>
      <c r="D6028" s="8">
        <v>60763.074219000002</v>
      </c>
      <c r="E6028" s="8">
        <v>60773.007812999997</v>
      </c>
      <c r="F6028" s="8">
        <f t="shared" si="188"/>
        <v>9.9335939999946277</v>
      </c>
      <c r="G6028" s="8">
        <f t="shared" si="189"/>
        <v>9.933593999994628E-3</v>
      </c>
    </row>
    <row r="6029" spans="1:7" x14ac:dyDescent="0.25">
      <c r="A6029" s="8">
        <v>80</v>
      </c>
      <c r="B6029" s="8">
        <v>30</v>
      </c>
      <c r="C6029" s="8">
        <v>5481.6796880000002</v>
      </c>
      <c r="D6029" s="8">
        <v>63374.515625</v>
      </c>
      <c r="E6029" s="8">
        <v>63391.792969000002</v>
      </c>
      <c r="F6029" s="8">
        <f t="shared" si="188"/>
        <v>17.277344000001904</v>
      </c>
      <c r="G6029" s="8">
        <f t="shared" si="189"/>
        <v>1.7277344000001905E-2</v>
      </c>
    </row>
    <row r="6030" spans="1:7" x14ac:dyDescent="0.25">
      <c r="A6030" s="8">
        <v>80</v>
      </c>
      <c r="B6030" s="8">
        <v>31</v>
      </c>
      <c r="C6030" s="8">
        <v>177.91632100000001</v>
      </c>
      <c r="D6030" s="8">
        <v>68873.507813000004</v>
      </c>
      <c r="E6030" s="8">
        <v>68897.25</v>
      </c>
      <c r="F6030" s="8">
        <f t="shared" si="188"/>
        <v>23.742186999996193</v>
      </c>
      <c r="G6030" s="8">
        <f t="shared" si="189"/>
        <v>2.3742186999996192E-2</v>
      </c>
    </row>
    <row r="6031" spans="1:7" x14ac:dyDescent="0.25">
      <c r="A6031" s="8">
        <v>80</v>
      </c>
      <c r="B6031" s="8">
        <v>32</v>
      </c>
      <c r="C6031" s="8">
        <v>69.936378000000005</v>
      </c>
      <c r="D6031" s="8">
        <v>69076.632813000004</v>
      </c>
      <c r="E6031" s="8">
        <v>69092.359375</v>
      </c>
      <c r="F6031" s="8">
        <f t="shared" si="188"/>
        <v>15.726561999996193</v>
      </c>
      <c r="G6031" s="8">
        <f t="shared" si="189"/>
        <v>1.5726561999996194E-2</v>
      </c>
    </row>
    <row r="6032" spans="1:7" x14ac:dyDescent="0.25">
      <c r="A6032" s="8">
        <v>80</v>
      </c>
      <c r="B6032" s="8">
        <v>33</v>
      </c>
      <c r="C6032" s="8">
        <v>813.73980700000004</v>
      </c>
      <c r="D6032" s="8">
        <v>69170.757813000004</v>
      </c>
      <c r="E6032" s="8">
        <v>69200.570313000004</v>
      </c>
      <c r="F6032" s="8">
        <f t="shared" si="188"/>
        <v>29.8125</v>
      </c>
      <c r="G6032" s="8">
        <f t="shared" si="189"/>
        <v>2.9812499999999999E-2</v>
      </c>
    </row>
    <row r="6033" spans="1:7" x14ac:dyDescent="0.25">
      <c r="A6033" s="8">
        <v>80</v>
      </c>
      <c r="B6033" s="8">
        <v>34</v>
      </c>
      <c r="C6033" s="8">
        <v>1250.3320309999999</v>
      </c>
      <c r="D6033" s="8">
        <v>70014.617188000004</v>
      </c>
      <c r="E6033" s="8">
        <v>70035.554688000004</v>
      </c>
      <c r="F6033" s="8">
        <f t="shared" si="188"/>
        <v>20.9375</v>
      </c>
      <c r="G6033" s="8">
        <f t="shared" si="189"/>
        <v>2.0937500000000001E-2</v>
      </c>
    </row>
    <row r="6034" spans="1:7" x14ac:dyDescent="0.25">
      <c r="A6034" s="8">
        <v>80</v>
      </c>
      <c r="B6034" s="8">
        <v>35</v>
      </c>
      <c r="C6034" s="8">
        <v>130.18820199999999</v>
      </c>
      <c r="D6034" s="8">
        <v>71290.679688000004</v>
      </c>
      <c r="E6034" s="8">
        <v>71310.851563000004</v>
      </c>
      <c r="F6034" s="8">
        <f t="shared" si="188"/>
        <v>20.171875</v>
      </c>
      <c r="G6034" s="8">
        <f t="shared" si="189"/>
        <v>2.0171874999999999E-2</v>
      </c>
    </row>
    <row r="6035" spans="1:7" x14ac:dyDescent="0.25">
      <c r="A6035" s="8">
        <v>80</v>
      </c>
      <c r="B6035" s="8">
        <v>36</v>
      </c>
      <c r="C6035" s="8">
        <v>1628.6163329999999</v>
      </c>
      <c r="D6035" s="8">
        <v>71446.945313000004</v>
      </c>
      <c r="E6035" s="8">
        <v>71469.34375</v>
      </c>
      <c r="F6035" s="8">
        <f t="shared" si="188"/>
        <v>22.398436999996193</v>
      </c>
      <c r="G6035" s="8">
        <f t="shared" si="189"/>
        <v>2.2398436999996194E-2</v>
      </c>
    </row>
    <row r="6036" spans="1:7" x14ac:dyDescent="0.25">
      <c r="A6036" s="8">
        <v>80</v>
      </c>
      <c r="B6036" s="8">
        <v>37</v>
      </c>
      <c r="C6036" s="8">
        <v>5444.1904299999997</v>
      </c>
      <c r="D6036" s="8">
        <v>73107.4375</v>
      </c>
      <c r="E6036" s="8">
        <v>73119.929688000004</v>
      </c>
      <c r="F6036" s="8">
        <f t="shared" si="188"/>
        <v>12.492188000003807</v>
      </c>
      <c r="G6036" s="8">
        <f t="shared" si="189"/>
        <v>1.2492188000003807E-2</v>
      </c>
    </row>
    <row r="6037" spans="1:7" x14ac:dyDescent="0.25">
      <c r="A6037" s="8">
        <v>80</v>
      </c>
      <c r="B6037" s="8">
        <v>38</v>
      </c>
      <c r="C6037" s="8">
        <v>1594.8666989999999</v>
      </c>
      <c r="D6037" s="8">
        <v>78575.890625</v>
      </c>
      <c r="E6037" s="8">
        <v>78590.4375</v>
      </c>
      <c r="F6037" s="8">
        <f t="shared" si="188"/>
        <v>14.546875</v>
      </c>
      <c r="G6037" s="8">
        <f t="shared" si="189"/>
        <v>1.4546875000000001E-2</v>
      </c>
    </row>
    <row r="6038" spans="1:7" x14ac:dyDescent="0.25">
      <c r="A6038" s="8">
        <v>80</v>
      </c>
      <c r="B6038" s="8">
        <v>39</v>
      </c>
      <c r="C6038" s="8">
        <v>9033.2880860000005</v>
      </c>
      <c r="D6038" s="8">
        <v>80191.640625</v>
      </c>
      <c r="E6038" s="8">
        <v>80208.867188000004</v>
      </c>
      <c r="F6038" s="8">
        <f t="shared" si="188"/>
        <v>17.226563000003807</v>
      </c>
      <c r="G6038" s="8">
        <f t="shared" si="189"/>
        <v>1.7226563000003806E-2</v>
      </c>
    </row>
    <row r="6039" spans="1:7" x14ac:dyDescent="0.25">
      <c r="A6039" s="8">
        <v>80</v>
      </c>
      <c r="B6039" s="8">
        <v>40</v>
      </c>
      <c r="C6039" s="8">
        <v>2669.513672</v>
      </c>
      <c r="D6039" s="8">
        <v>89256.164063000004</v>
      </c>
      <c r="E6039" s="8">
        <v>89280.773438000004</v>
      </c>
      <c r="F6039" s="8">
        <f t="shared" si="188"/>
        <v>24.609375</v>
      </c>
      <c r="G6039" s="8">
        <f t="shared" si="189"/>
        <v>2.4609374999999999E-2</v>
      </c>
    </row>
    <row r="6040" spans="1:7" x14ac:dyDescent="0.25">
      <c r="A6040" s="8">
        <v>80</v>
      </c>
      <c r="B6040" s="8">
        <v>41</v>
      </c>
      <c r="C6040" s="8">
        <v>55.764595</v>
      </c>
      <c r="D6040" s="8">
        <v>91964.335938000004</v>
      </c>
      <c r="E6040" s="8">
        <v>91973.773438000004</v>
      </c>
      <c r="F6040" s="8">
        <f t="shared" si="188"/>
        <v>9.4375</v>
      </c>
      <c r="G6040" s="8">
        <f t="shared" si="189"/>
        <v>9.4374999999999997E-3</v>
      </c>
    </row>
    <row r="6041" spans="1:7" x14ac:dyDescent="0.25">
      <c r="A6041" s="8">
        <v>80</v>
      </c>
      <c r="B6041" s="8">
        <v>42</v>
      </c>
      <c r="C6041" s="8">
        <v>3858.3483890000002</v>
      </c>
      <c r="D6041" s="8">
        <v>92042.421875</v>
      </c>
      <c r="E6041" s="8">
        <v>92056.351563000004</v>
      </c>
      <c r="F6041" s="8">
        <f t="shared" si="188"/>
        <v>13.929688000003807</v>
      </c>
      <c r="G6041" s="8">
        <f t="shared" si="189"/>
        <v>1.3929688000003807E-2</v>
      </c>
    </row>
    <row r="6042" spans="1:7" x14ac:dyDescent="0.25">
      <c r="A6042" s="8">
        <v>80</v>
      </c>
      <c r="B6042" s="8">
        <v>43</v>
      </c>
      <c r="C6042" s="8">
        <v>4096.3320309999999</v>
      </c>
      <c r="D6042" s="8">
        <v>95928.398438000004</v>
      </c>
      <c r="E6042" s="8">
        <v>95937.953125</v>
      </c>
      <c r="F6042" s="8">
        <f t="shared" si="188"/>
        <v>9.5546869999961928</v>
      </c>
      <c r="G6042" s="8">
        <f t="shared" si="189"/>
        <v>9.5546869999961932E-3</v>
      </c>
    </row>
    <row r="6043" spans="1:7" x14ac:dyDescent="0.25">
      <c r="A6043" s="8">
        <v>80</v>
      </c>
      <c r="B6043" s="8">
        <v>44</v>
      </c>
      <c r="C6043" s="8">
        <v>81.346405000000004</v>
      </c>
      <c r="D6043" s="8">
        <v>100041.867188</v>
      </c>
      <c r="E6043" s="8">
        <v>100056.085938</v>
      </c>
      <c r="F6043" s="8">
        <f t="shared" si="188"/>
        <v>14.21875</v>
      </c>
      <c r="G6043" s="8">
        <f t="shared" si="189"/>
        <v>1.421875E-2</v>
      </c>
    </row>
    <row r="6044" spans="1:7" x14ac:dyDescent="0.25">
      <c r="A6044" s="8">
        <v>80</v>
      </c>
      <c r="B6044" s="8">
        <v>45</v>
      </c>
      <c r="C6044" s="8">
        <v>564.42779499999995</v>
      </c>
      <c r="D6044" s="8">
        <v>100151.414063</v>
      </c>
      <c r="E6044" s="8">
        <v>100172.570313</v>
      </c>
      <c r="F6044" s="8">
        <f t="shared" si="188"/>
        <v>21.15625</v>
      </c>
      <c r="G6044" s="8">
        <f t="shared" si="189"/>
        <v>2.1156250000000001E-2</v>
      </c>
    </row>
    <row r="6045" spans="1:7" x14ac:dyDescent="0.25">
      <c r="A6045" s="8">
        <v>80</v>
      </c>
      <c r="B6045" s="8">
        <v>46</v>
      </c>
      <c r="C6045" s="8">
        <v>4465.3339839999999</v>
      </c>
      <c r="D6045" s="8">
        <v>100745.210938</v>
      </c>
      <c r="E6045" s="8">
        <v>100764.945313</v>
      </c>
      <c r="F6045" s="8">
        <f t="shared" si="188"/>
        <v>19.734375</v>
      </c>
      <c r="G6045" s="8">
        <f t="shared" si="189"/>
        <v>1.9734374999999998E-2</v>
      </c>
    </row>
    <row r="6046" spans="1:7" x14ac:dyDescent="0.25">
      <c r="A6046" s="8">
        <v>80</v>
      </c>
      <c r="B6046" s="8">
        <v>47</v>
      </c>
      <c r="C6046" s="8">
        <v>1191.8876949999999</v>
      </c>
      <c r="D6046" s="8">
        <v>105237.796875</v>
      </c>
      <c r="E6046" s="8">
        <v>105246.546875</v>
      </c>
      <c r="F6046" s="8">
        <f t="shared" si="188"/>
        <v>8.75</v>
      </c>
      <c r="G6046" s="8">
        <f t="shared" si="189"/>
        <v>8.7500000000000008E-3</v>
      </c>
    </row>
    <row r="6047" spans="1:7" x14ac:dyDescent="0.25">
      <c r="A6047" s="8">
        <v>80</v>
      </c>
      <c r="B6047" s="8">
        <v>48</v>
      </c>
      <c r="C6047" s="8">
        <v>4945.4858400000003</v>
      </c>
      <c r="D6047" s="8">
        <v>106437.851563</v>
      </c>
      <c r="E6047" s="8">
        <v>106465.539063</v>
      </c>
      <c r="F6047" s="8">
        <f t="shared" si="188"/>
        <v>27.6875</v>
      </c>
      <c r="G6047" s="8">
        <f t="shared" si="189"/>
        <v>2.76875E-2</v>
      </c>
    </row>
    <row r="6048" spans="1:7" x14ac:dyDescent="0.25">
      <c r="A6048" s="8">
        <v>80</v>
      </c>
      <c r="B6048" s="8">
        <v>49</v>
      </c>
      <c r="C6048" s="8">
        <v>2642.3371579999998</v>
      </c>
      <c r="D6048" s="8">
        <v>111424.101563</v>
      </c>
      <c r="E6048" s="8">
        <v>111441.023438</v>
      </c>
      <c r="F6048" s="8">
        <f t="shared" si="188"/>
        <v>16.921875</v>
      </c>
      <c r="G6048" s="8">
        <f t="shared" si="189"/>
        <v>1.6921874999999999E-2</v>
      </c>
    </row>
    <row r="6049" spans="1:7" x14ac:dyDescent="0.25">
      <c r="A6049" s="8">
        <v>80</v>
      </c>
      <c r="B6049" s="8">
        <v>50</v>
      </c>
      <c r="C6049" s="8">
        <v>594.51953100000003</v>
      </c>
      <c r="D6049" s="8">
        <v>114096.914063</v>
      </c>
      <c r="E6049" s="8">
        <v>114104.570313</v>
      </c>
      <c r="F6049" s="8">
        <f t="shared" si="188"/>
        <v>7.65625</v>
      </c>
      <c r="G6049" s="8">
        <f t="shared" si="189"/>
        <v>7.6562499999999999E-3</v>
      </c>
    </row>
    <row r="6050" spans="1:7" x14ac:dyDescent="0.25">
      <c r="A6050" s="8">
        <v>80</v>
      </c>
      <c r="B6050" s="8">
        <v>51</v>
      </c>
      <c r="C6050" s="8">
        <v>915.77642800000001</v>
      </c>
      <c r="D6050" s="8">
        <v>114706.171875</v>
      </c>
      <c r="E6050" s="8">
        <v>114719.117188</v>
      </c>
      <c r="F6050" s="8">
        <f t="shared" si="188"/>
        <v>12.945313000003807</v>
      </c>
      <c r="G6050" s="8">
        <f t="shared" si="189"/>
        <v>1.2945313000003808E-2</v>
      </c>
    </row>
    <row r="6051" spans="1:7" x14ac:dyDescent="0.25">
      <c r="A6051" s="8">
        <v>80</v>
      </c>
      <c r="B6051" s="8">
        <v>52</v>
      </c>
      <c r="C6051" s="8">
        <v>2126.5852049999999</v>
      </c>
      <c r="D6051" s="8">
        <v>115645.570313</v>
      </c>
      <c r="E6051" s="8">
        <v>115659.484375</v>
      </c>
      <c r="F6051" s="8">
        <f t="shared" si="188"/>
        <v>13.914061999996193</v>
      </c>
      <c r="G6051" s="8">
        <f t="shared" si="189"/>
        <v>1.3914061999996192E-2</v>
      </c>
    </row>
    <row r="6052" spans="1:7" x14ac:dyDescent="0.25">
      <c r="A6052" s="8">
        <v>80</v>
      </c>
      <c r="B6052" s="8">
        <v>53</v>
      </c>
      <c r="C6052" s="8">
        <v>1178.309692</v>
      </c>
      <c r="D6052" s="8">
        <v>117791.234375</v>
      </c>
      <c r="E6052" s="8">
        <v>117810.75</v>
      </c>
      <c r="F6052" s="8">
        <f t="shared" si="188"/>
        <v>19.515625</v>
      </c>
      <c r="G6052" s="8">
        <f t="shared" si="189"/>
        <v>1.9515625000000002E-2</v>
      </c>
    </row>
    <row r="6053" spans="1:7" x14ac:dyDescent="0.25">
      <c r="A6053" s="8">
        <v>80</v>
      </c>
      <c r="B6053" s="8">
        <v>54</v>
      </c>
      <c r="C6053" s="8">
        <v>204.84977699999999</v>
      </c>
      <c r="D6053" s="8">
        <v>118994.335938</v>
      </c>
      <c r="E6053" s="8">
        <v>119031.507813</v>
      </c>
      <c r="F6053" s="8">
        <f t="shared" si="188"/>
        <v>37.171875</v>
      </c>
      <c r="G6053" s="8">
        <f t="shared" si="189"/>
        <v>3.7171875E-2</v>
      </c>
    </row>
    <row r="6054" spans="1:7" x14ac:dyDescent="0.25">
      <c r="A6054" s="8">
        <v>80</v>
      </c>
      <c r="B6054" s="8">
        <v>55</v>
      </c>
      <c r="C6054" s="8">
        <v>1971.5505370000001</v>
      </c>
      <c r="D6054" s="8">
        <v>119250.929688</v>
      </c>
      <c r="E6054" s="8">
        <v>119281.132813</v>
      </c>
      <c r="F6054" s="8">
        <f t="shared" si="188"/>
        <v>30.203125</v>
      </c>
      <c r="G6054" s="8">
        <f t="shared" si="189"/>
        <v>3.0203125000000001E-2</v>
      </c>
    </row>
    <row r="6055" spans="1:7" x14ac:dyDescent="0.25">
      <c r="A6055" s="8">
        <v>80</v>
      </c>
      <c r="B6055" s="8">
        <v>56</v>
      </c>
      <c r="C6055" s="8">
        <v>1052.529053</v>
      </c>
      <c r="D6055" s="8">
        <v>121267.601563</v>
      </c>
      <c r="E6055" s="8">
        <v>121278.796875</v>
      </c>
      <c r="F6055" s="8">
        <f t="shared" si="188"/>
        <v>11.195311999996193</v>
      </c>
      <c r="G6055" s="8">
        <f t="shared" si="189"/>
        <v>1.1195311999996193E-2</v>
      </c>
    </row>
    <row r="6056" spans="1:7" x14ac:dyDescent="0.25">
      <c r="A6056" s="8">
        <v>80</v>
      </c>
      <c r="B6056" s="8">
        <v>57</v>
      </c>
      <c r="C6056" s="8">
        <v>6642.736328</v>
      </c>
      <c r="D6056" s="8">
        <v>122345.84375</v>
      </c>
      <c r="E6056" s="8">
        <v>122376.117188</v>
      </c>
      <c r="F6056" s="8">
        <f t="shared" si="188"/>
        <v>30.273438000003807</v>
      </c>
      <c r="G6056" s="8">
        <f t="shared" si="189"/>
        <v>3.0273438000003806E-2</v>
      </c>
    </row>
    <row r="6057" spans="1:7" x14ac:dyDescent="0.25">
      <c r="A6057" s="8">
        <v>80</v>
      </c>
      <c r="B6057" s="8">
        <v>58</v>
      </c>
      <c r="C6057" s="8">
        <v>106.873451</v>
      </c>
      <c r="D6057" s="8">
        <v>129020.140625</v>
      </c>
      <c r="E6057" s="8">
        <v>129035.765625</v>
      </c>
      <c r="F6057" s="8">
        <f t="shared" si="188"/>
        <v>15.625</v>
      </c>
      <c r="G6057" s="8">
        <f t="shared" si="189"/>
        <v>1.5625E-2</v>
      </c>
    </row>
    <row r="6058" spans="1:7" x14ac:dyDescent="0.25">
      <c r="A6058" s="8">
        <v>80</v>
      </c>
      <c r="B6058" s="8">
        <v>59</v>
      </c>
      <c r="C6058" s="8">
        <v>2148.4453130000002</v>
      </c>
      <c r="D6058" s="8">
        <v>129145.117188</v>
      </c>
      <c r="E6058" s="8">
        <v>129173.828125</v>
      </c>
      <c r="F6058" s="8">
        <f t="shared" si="188"/>
        <v>28.710936999996193</v>
      </c>
      <c r="G6058" s="8">
        <f t="shared" si="189"/>
        <v>2.8710936999996193E-2</v>
      </c>
    </row>
    <row r="6059" spans="1:7" x14ac:dyDescent="0.25">
      <c r="A6059" s="8">
        <v>80</v>
      </c>
      <c r="B6059" s="8">
        <v>60</v>
      </c>
      <c r="C6059" s="8">
        <v>844.22680700000001</v>
      </c>
      <c r="D6059" s="8">
        <v>131332.875</v>
      </c>
      <c r="E6059" s="8">
        <v>131346.8125</v>
      </c>
      <c r="F6059" s="8">
        <f t="shared" si="188"/>
        <v>13.9375</v>
      </c>
      <c r="G6059" s="8">
        <f t="shared" si="189"/>
        <v>1.39375E-2</v>
      </c>
    </row>
    <row r="6060" spans="1:7" x14ac:dyDescent="0.25">
      <c r="A6060" s="8">
        <v>80</v>
      </c>
      <c r="B6060" s="8">
        <v>61</v>
      </c>
      <c r="C6060" s="8">
        <v>5009.4501950000003</v>
      </c>
      <c r="D6060" s="8">
        <v>132202.0625</v>
      </c>
      <c r="E6060" s="8">
        <v>132232.046875</v>
      </c>
      <c r="F6060" s="8">
        <f t="shared" si="188"/>
        <v>29.984375</v>
      </c>
      <c r="G6060" s="8">
        <f t="shared" si="189"/>
        <v>2.9984375000000001E-2</v>
      </c>
    </row>
    <row r="6061" spans="1:7" x14ac:dyDescent="0.25">
      <c r="A6061" s="8">
        <v>80</v>
      </c>
      <c r="B6061" s="8">
        <v>62</v>
      </c>
      <c r="C6061" s="8">
        <v>893.70764199999996</v>
      </c>
      <c r="D6061" s="8">
        <v>137249.921875</v>
      </c>
      <c r="E6061" s="8">
        <v>137265.71875</v>
      </c>
      <c r="F6061" s="8">
        <f t="shared" si="188"/>
        <v>15.796875</v>
      </c>
      <c r="G6061" s="8">
        <f t="shared" si="189"/>
        <v>1.5796874999999998E-2</v>
      </c>
    </row>
    <row r="6062" spans="1:7" x14ac:dyDescent="0.25">
      <c r="A6062" s="8">
        <v>80</v>
      </c>
      <c r="B6062" s="8">
        <v>63</v>
      </c>
      <c r="C6062" s="8">
        <v>4008.828125</v>
      </c>
      <c r="D6062" s="8">
        <v>138171.84375</v>
      </c>
      <c r="E6062" s="8">
        <v>138187.40625</v>
      </c>
      <c r="F6062" s="8">
        <f t="shared" si="188"/>
        <v>15.5625</v>
      </c>
      <c r="G6062" s="8">
        <f t="shared" si="189"/>
        <v>1.55625E-2</v>
      </c>
    </row>
    <row r="6063" spans="1:7" x14ac:dyDescent="0.25">
      <c r="A6063" s="8">
        <v>80</v>
      </c>
      <c r="B6063" s="8">
        <v>64</v>
      </c>
      <c r="C6063" s="8">
        <v>985.38024900000005</v>
      </c>
      <c r="D6063" s="8">
        <v>142202.65625</v>
      </c>
      <c r="E6063" s="8">
        <v>142210.546875</v>
      </c>
      <c r="F6063" s="8">
        <f t="shared" si="188"/>
        <v>7.890625</v>
      </c>
      <c r="G6063" s="8">
        <f t="shared" si="189"/>
        <v>7.8906250000000001E-3</v>
      </c>
    </row>
    <row r="6064" spans="1:7" x14ac:dyDescent="0.25">
      <c r="A6064" s="8">
        <v>80</v>
      </c>
      <c r="B6064" s="8">
        <v>65</v>
      </c>
      <c r="C6064" s="8">
        <v>1868.8903809999999</v>
      </c>
      <c r="D6064" s="8">
        <v>143202.78125</v>
      </c>
      <c r="E6064" s="8">
        <v>143234.578125</v>
      </c>
      <c r="F6064" s="8">
        <f t="shared" si="188"/>
        <v>31.796875</v>
      </c>
      <c r="G6064" s="8">
        <f t="shared" si="189"/>
        <v>3.1796875000000002E-2</v>
      </c>
    </row>
    <row r="6065" spans="1:7" x14ac:dyDescent="0.25">
      <c r="A6065" s="8">
        <v>80</v>
      </c>
      <c r="B6065" s="8">
        <v>66</v>
      </c>
      <c r="C6065" s="8">
        <v>923.025757</v>
      </c>
      <c r="D6065" s="8">
        <v>145113.5</v>
      </c>
      <c r="E6065" s="8">
        <v>145133.6875</v>
      </c>
      <c r="F6065" s="8">
        <f t="shared" si="188"/>
        <v>20.1875</v>
      </c>
      <c r="G6065" s="8">
        <f t="shared" si="189"/>
        <v>2.0187500000000001E-2</v>
      </c>
    </row>
    <row r="6066" spans="1:7" x14ac:dyDescent="0.25">
      <c r="A6066" s="8">
        <v>80</v>
      </c>
      <c r="B6066" s="8">
        <v>67</v>
      </c>
      <c r="C6066" s="8">
        <v>7322.7944340000004</v>
      </c>
      <c r="D6066" s="8">
        <v>146068.40625</v>
      </c>
      <c r="E6066" s="8">
        <v>146088.75</v>
      </c>
      <c r="F6066" s="8">
        <f t="shared" si="188"/>
        <v>20.34375</v>
      </c>
      <c r="G6066" s="8">
        <f t="shared" si="189"/>
        <v>2.0343750000000001E-2</v>
      </c>
    </row>
    <row r="6067" spans="1:7" x14ac:dyDescent="0.25">
      <c r="A6067" s="8">
        <v>80</v>
      </c>
      <c r="B6067" s="8">
        <v>68</v>
      </c>
      <c r="C6067" s="8">
        <v>1619.81665</v>
      </c>
      <c r="D6067" s="8">
        <v>153422</v>
      </c>
      <c r="E6067" s="8">
        <v>153432.953125</v>
      </c>
      <c r="F6067" s="8">
        <f t="shared" si="188"/>
        <v>10.953125</v>
      </c>
      <c r="G6067" s="8">
        <f t="shared" si="189"/>
        <v>1.0953124999999999E-2</v>
      </c>
    </row>
    <row r="6068" spans="1:7" x14ac:dyDescent="0.25">
      <c r="A6068" s="8">
        <v>80</v>
      </c>
      <c r="B6068" s="8">
        <v>69</v>
      </c>
      <c r="C6068" s="8">
        <v>4964.3881840000004</v>
      </c>
      <c r="D6068" s="8">
        <v>155062.875</v>
      </c>
      <c r="E6068" s="8">
        <v>155080.3125</v>
      </c>
      <c r="F6068" s="8">
        <f t="shared" si="188"/>
        <v>17.4375</v>
      </c>
      <c r="G6068" s="8">
        <f t="shared" si="189"/>
        <v>1.7437500000000002E-2</v>
      </c>
    </row>
    <row r="6069" spans="1:7" x14ac:dyDescent="0.25">
      <c r="A6069" s="8">
        <v>80</v>
      </c>
      <c r="B6069" s="8">
        <v>70</v>
      </c>
      <c r="C6069" s="8">
        <v>345.02468900000002</v>
      </c>
      <c r="D6069" s="8">
        <v>160048.765625</v>
      </c>
      <c r="E6069" s="8">
        <v>160068.8125</v>
      </c>
      <c r="F6069" s="8">
        <f t="shared" si="188"/>
        <v>20.046875</v>
      </c>
      <c r="G6069" s="8">
        <f t="shared" si="189"/>
        <v>2.0046874999999999E-2</v>
      </c>
    </row>
    <row r="6070" spans="1:7" x14ac:dyDescent="0.25">
      <c r="A6070" s="8">
        <v>80</v>
      </c>
      <c r="B6070" s="8">
        <v>71</v>
      </c>
      <c r="C6070" s="8">
        <v>87.267311000000007</v>
      </c>
      <c r="D6070" s="8">
        <v>160423.84375</v>
      </c>
      <c r="E6070" s="8">
        <v>160441.046875</v>
      </c>
      <c r="F6070" s="8">
        <f t="shared" si="188"/>
        <v>17.203125</v>
      </c>
      <c r="G6070" s="8">
        <f t="shared" si="189"/>
        <v>1.7203125E-2</v>
      </c>
    </row>
    <row r="6071" spans="1:7" x14ac:dyDescent="0.25">
      <c r="A6071" s="8">
        <v>80</v>
      </c>
      <c r="B6071" s="8">
        <v>72</v>
      </c>
      <c r="C6071" s="8">
        <v>695.45904499999995</v>
      </c>
      <c r="D6071" s="8">
        <v>160533.203125</v>
      </c>
      <c r="E6071" s="8">
        <v>160540.84375</v>
      </c>
      <c r="F6071" s="8">
        <f t="shared" si="188"/>
        <v>7.640625</v>
      </c>
      <c r="G6071" s="8">
        <f t="shared" si="189"/>
        <v>7.6406249999999998E-3</v>
      </c>
    </row>
    <row r="6072" spans="1:7" x14ac:dyDescent="0.25">
      <c r="A6072" s="8">
        <v>80</v>
      </c>
      <c r="B6072" s="8">
        <v>73</v>
      </c>
      <c r="C6072" s="8">
        <v>266.583282</v>
      </c>
      <c r="D6072" s="8">
        <v>161236.453125</v>
      </c>
      <c r="E6072" s="8">
        <v>161250.34375</v>
      </c>
      <c r="F6072" s="8">
        <f t="shared" si="188"/>
        <v>13.890625</v>
      </c>
      <c r="G6072" s="8">
        <f t="shared" si="189"/>
        <v>1.3890625E-2</v>
      </c>
    </row>
    <row r="6073" spans="1:7" x14ac:dyDescent="0.25">
      <c r="A6073" s="8">
        <v>80</v>
      </c>
      <c r="B6073" s="8">
        <v>74</v>
      </c>
      <c r="C6073" s="8">
        <v>1358.954346</v>
      </c>
      <c r="D6073" s="8">
        <v>161517.6875</v>
      </c>
      <c r="E6073" s="8">
        <v>161540.734375</v>
      </c>
      <c r="F6073" s="8">
        <f t="shared" si="188"/>
        <v>23.046875</v>
      </c>
      <c r="G6073" s="8">
        <f t="shared" si="189"/>
        <v>2.3046875000000001E-2</v>
      </c>
    </row>
    <row r="6074" spans="1:7" x14ac:dyDescent="0.25">
      <c r="A6074" s="8">
        <v>80</v>
      </c>
      <c r="B6074" s="8">
        <v>75</v>
      </c>
      <c r="C6074" s="8">
        <v>1239.9803469999999</v>
      </c>
      <c r="D6074" s="8">
        <v>162908.78125</v>
      </c>
      <c r="E6074" s="8">
        <v>162931.109375</v>
      </c>
      <c r="F6074" s="8">
        <f t="shared" si="188"/>
        <v>22.328125</v>
      </c>
      <c r="G6074" s="8">
        <f t="shared" si="189"/>
        <v>2.2328125000000001E-2</v>
      </c>
    </row>
    <row r="6075" spans="1:7" x14ac:dyDescent="0.25">
      <c r="A6075" s="8">
        <v>80</v>
      </c>
      <c r="B6075" s="8">
        <v>76</v>
      </c>
      <c r="C6075" s="8">
        <v>3896.9541020000001</v>
      </c>
      <c r="D6075" s="8">
        <v>164174.828125</v>
      </c>
      <c r="E6075" s="8">
        <v>164188.125</v>
      </c>
      <c r="F6075" s="8">
        <f t="shared" si="188"/>
        <v>13.296875</v>
      </c>
      <c r="G6075" s="8">
        <f t="shared" si="189"/>
        <v>1.3296875E-2</v>
      </c>
    </row>
    <row r="6076" spans="1:7" x14ac:dyDescent="0.25">
      <c r="A6076" s="8">
        <v>80</v>
      </c>
      <c r="B6076" s="8">
        <v>77</v>
      </c>
      <c r="C6076" s="8">
        <v>2359.9208979999999</v>
      </c>
      <c r="D6076" s="8">
        <v>168088.5625</v>
      </c>
      <c r="E6076" s="8">
        <v>168097.484375</v>
      </c>
      <c r="F6076" s="8">
        <f t="shared" si="188"/>
        <v>8.921875</v>
      </c>
      <c r="G6076" s="8">
        <f t="shared" si="189"/>
        <v>8.9218749999999993E-3</v>
      </c>
    </row>
    <row r="6077" spans="1:7" x14ac:dyDescent="0.25">
      <c r="A6077" s="8">
        <v>81</v>
      </c>
      <c r="B6077" s="8">
        <v>0</v>
      </c>
      <c r="C6077" s="8">
        <v>347.05660999999998</v>
      </c>
      <c r="D6077" s="8">
        <v>26399.347656000002</v>
      </c>
      <c r="E6077" s="8">
        <v>26418.210938</v>
      </c>
      <c r="F6077" s="8">
        <f t="shared" si="188"/>
        <v>18.863281999998435</v>
      </c>
      <c r="G6077" s="8">
        <f t="shared" si="189"/>
        <v>1.8863281999998434E-2</v>
      </c>
    </row>
    <row r="6078" spans="1:7" x14ac:dyDescent="0.25">
      <c r="A6078" s="8">
        <v>81</v>
      </c>
      <c r="B6078" s="8">
        <v>1</v>
      </c>
      <c r="C6078" s="8">
        <v>464.882721</v>
      </c>
      <c r="D6078" s="8">
        <v>26774.400390999999</v>
      </c>
      <c r="E6078" s="8">
        <v>26797.632813</v>
      </c>
      <c r="F6078" s="8">
        <f t="shared" si="188"/>
        <v>23.232422000000952</v>
      </c>
      <c r="G6078" s="8">
        <f t="shared" si="189"/>
        <v>2.3232422000000953E-2</v>
      </c>
    </row>
    <row r="6079" spans="1:7" x14ac:dyDescent="0.25">
      <c r="A6079" s="8">
        <v>81</v>
      </c>
      <c r="B6079" s="8">
        <v>2</v>
      </c>
      <c r="C6079" s="8">
        <v>1110.9173579999999</v>
      </c>
      <c r="D6079" s="8">
        <v>27274.423827999999</v>
      </c>
      <c r="E6079" s="8">
        <v>27301.654297000001</v>
      </c>
      <c r="F6079" s="8">
        <f t="shared" si="188"/>
        <v>27.230469000001904</v>
      </c>
      <c r="G6079" s="8">
        <f t="shared" si="189"/>
        <v>2.7230469000001905E-2</v>
      </c>
    </row>
    <row r="6080" spans="1:7" x14ac:dyDescent="0.25">
      <c r="A6080" s="8">
        <v>81</v>
      </c>
      <c r="B6080" s="8">
        <v>3</v>
      </c>
      <c r="C6080" s="8">
        <v>6556.7016599999997</v>
      </c>
      <c r="D6080" s="8">
        <v>28418.212890999999</v>
      </c>
      <c r="E6080" s="8">
        <v>28425.568359000001</v>
      </c>
      <c r="F6080" s="8">
        <f t="shared" si="188"/>
        <v>7.3554680000015651</v>
      </c>
      <c r="G6080" s="8">
        <f t="shared" si="189"/>
        <v>7.3554680000015651E-3</v>
      </c>
    </row>
    <row r="6081" spans="1:7" x14ac:dyDescent="0.25">
      <c r="A6081" s="8">
        <v>81</v>
      </c>
      <c r="B6081" s="8">
        <v>4</v>
      </c>
      <c r="C6081" s="8">
        <v>1129.082764</v>
      </c>
      <c r="D6081" s="8">
        <v>34983.152344000002</v>
      </c>
      <c r="E6081" s="8">
        <v>35006.109375</v>
      </c>
      <c r="F6081" s="8">
        <f t="shared" si="188"/>
        <v>22.957030999998096</v>
      </c>
      <c r="G6081" s="8">
        <f t="shared" si="189"/>
        <v>2.2957030999998098E-2</v>
      </c>
    </row>
    <row r="6082" spans="1:7" x14ac:dyDescent="0.25">
      <c r="A6082" s="8">
        <v>81</v>
      </c>
      <c r="B6082" s="8">
        <v>5</v>
      </c>
      <c r="C6082" s="8">
        <v>793.761169</v>
      </c>
      <c r="D6082" s="8">
        <v>36139.539062999997</v>
      </c>
      <c r="E6082" s="8">
        <v>36167.957030999998</v>
      </c>
      <c r="F6082" s="8">
        <f t="shared" si="188"/>
        <v>28.417968000001565</v>
      </c>
      <c r="G6082" s="8">
        <f t="shared" si="189"/>
        <v>2.8417968000001567E-2</v>
      </c>
    </row>
    <row r="6083" spans="1:7" x14ac:dyDescent="0.25">
      <c r="A6083" s="8">
        <v>81</v>
      </c>
      <c r="B6083" s="8">
        <v>6</v>
      </c>
      <c r="C6083" s="8">
        <v>1943.612183</v>
      </c>
      <c r="D6083" s="8">
        <v>36972.027344000002</v>
      </c>
      <c r="E6083" s="8">
        <v>36988.828125</v>
      </c>
      <c r="F6083" s="8">
        <f t="shared" si="188"/>
        <v>16.800780999998096</v>
      </c>
      <c r="G6083" s="8">
        <f t="shared" si="189"/>
        <v>1.6800780999998096E-2</v>
      </c>
    </row>
    <row r="6084" spans="1:7" x14ac:dyDescent="0.25">
      <c r="A6084" s="8">
        <v>81</v>
      </c>
      <c r="B6084" s="8">
        <v>7</v>
      </c>
      <c r="C6084" s="8">
        <v>1896.1123050000001</v>
      </c>
      <c r="D6084" s="8">
        <v>38933.457030999998</v>
      </c>
      <c r="E6084" s="8">
        <v>38954.75</v>
      </c>
      <c r="F6084" s="8">
        <f t="shared" si="188"/>
        <v>21.292969000001904</v>
      </c>
      <c r="G6084" s="8">
        <f t="shared" si="189"/>
        <v>2.1292969000001903E-2</v>
      </c>
    </row>
    <row r="6085" spans="1:7" x14ac:dyDescent="0.25">
      <c r="A6085" s="8">
        <v>81</v>
      </c>
      <c r="B6085" s="8">
        <v>8</v>
      </c>
      <c r="C6085" s="8">
        <v>120.959335</v>
      </c>
      <c r="D6085" s="8">
        <v>40856.335937999997</v>
      </c>
      <c r="E6085" s="8">
        <v>40879.746094000002</v>
      </c>
      <c r="F6085" s="8">
        <f t="shared" si="188"/>
        <v>23.410156000005372</v>
      </c>
      <c r="G6085" s="8">
        <f t="shared" si="189"/>
        <v>2.3410156000005372E-2</v>
      </c>
    </row>
    <row r="6086" spans="1:7" x14ac:dyDescent="0.25">
      <c r="A6086" s="8">
        <v>81</v>
      </c>
      <c r="B6086" s="8">
        <v>9</v>
      </c>
      <c r="C6086" s="8">
        <v>3801.5983890000002</v>
      </c>
      <c r="D6086" s="8">
        <v>41012.628905999998</v>
      </c>
      <c r="E6086" s="8">
        <v>41037.445312999997</v>
      </c>
      <c r="F6086" s="8">
        <f t="shared" si="188"/>
        <v>24.816406999998435</v>
      </c>
      <c r="G6086" s="8">
        <f t="shared" si="189"/>
        <v>2.4816406999998434E-2</v>
      </c>
    </row>
    <row r="6087" spans="1:7" x14ac:dyDescent="0.25">
      <c r="A6087" s="8">
        <v>81</v>
      </c>
      <c r="B6087" s="8">
        <v>10</v>
      </c>
      <c r="C6087" s="8">
        <v>1096.6083980000001</v>
      </c>
      <c r="D6087" s="8">
        <v>44849.996094000002</v>
      </c>
      <c r="E6087" s="8">
        <v>44875.210937999997</v>
      </c>
      <c r="F6087" s="8">
        <f t="shared" si="188"/>
        <v>25.214843999994628</v>
      </c>
      <c r="G6087" s="8">
        <f t="shared" si="189"/>
        <v>2.5214843999994626E-2</v>
      </c>
    </row>
    <row r="6088" spans="1:7" x14ac:dyDescent="0.25">
      <c r="A6088" s="8">
        <v>81</v>
      </c>
      <c r="B6088" s="8">
        <v>11</v>
      </c>
      <c r="C6088" s="8">
        <v>865.47137499999997</v>
      </c>
      <c r="D6088" s="8">
        <v>45976.113280999998</v>
      </c>
      <c r="E6088" s="8">
        <v>45993.179687999997</v>
      </c>
      <c r="F6088" s="8">
        <f t="shared" si="188"/>
        <v>17.066406999998435</v>
      </c>
      <c r="G6088" s="8">
        <f t="shared" si="189"/>
        <v>1.7066406999998434E-2</v>
      </c>
    </row>
    <row r="6089" spans="1:7" x14ac:dyDescent="0.25">
      <c r="A6089" s="8">
        <v>81</v>
      </c>
      <c r="B6089" s="8">
        <v>12</v>
      </c>
      <c r="C6089" s="8">
        <v>2265.076172</v>
      </c>
      <c r="D6089" s="8">
        <v>46860.292969000002</v>
      </c>
      <c r="E6089" s="8">
        <v>46875.441405999998</v>
      </c>
      <c r="F6089" s="8">
        <f t="shared" si="188"/>
        <v>15.148436999996193</v>
      </c>
      <c r="G6089" s="8">
        <f t="shared" si="189"/>
        <v>1.5148436999996193E-2</v>
      </c>
    </row>
    <row r="6090" spans="1:7" x14ac:dyDescent="0.25">
      <c r="A6090" s="8">
        <v>81</v>
      </c>
      <c r="B6090" s="8">
        <v>13</v>
      </c>
      <c r="C6090" s="8">
        <v>2543.7004390000002</v>
      </c>
      <c r="D6090" s="8">
        <v>49152.84375</v>
      </c>
      <c r="E6090" s="8">
        <v>49174.714844000002</v>
      </c>
      <c r="F6090" s="8">
        <f t="shared" si="188"/>
        <v>21.871094000001904</v>
      </c>
      <c r="G6090" s="8">
        <f t="shared" si="189"/>
        <v>2.1871094000001902E-2</v>
      </c>
    </row>
    <row r="6091" spans="1:7" x14ac:dyDescent="0.25">
      <c r="A6091" s="8">
        <v>81</v>
      </c>
      <c r="B6091" s="8">
        <v>14</v>
      </c>
      <c r="C6091" s="8">
        <v>5566.7172849999997</v>
      </c>
      <c r="D6091" s="8">
        <v>51732.453125</v>
      </c>
      <c r="E6091" s="8">
        <v>51751.851562999997</v>
      </c>
      <c r="F6091" s="8">
        <f t="shared" ref="F6091:F6154" si="190">E6091-D6091</f>
        <v>19.398437999996531</v>
      </c>
      <c r="G6091" s="8">
        <f t="shared" ref="G6091:G6154" si="191">F6091/1000</f>
        <v>1.9398437999996531E-2</v>
      </c>
    </row>
    <row r="6092" spans="1:7" x14ac:dyDescent="0.25">
      <c r="A6092" s="8">
        <v>81</v>
      </c>
      <c r="B6092" s="8">
        <v>15</v>
      </c>
      <c r="C6092" s="8">
        <v>1485.5844729999999</v>
      </c>
      <c r="D6092" s="8">
        <v>57332.65625</v>
      </c>
      <c r="E6092" s="8">
        <v>57352.386719000002</v>
      </c>
      <c r="F6092" s="8">
        <f t="shared" si="190"/>
        <v>19.730469000001904</v>
      </c>
      <c r="G6092" s="8">
        <f t="shared" si="191"/>
        <v>1.9730469000001905E-2</v>
      </c>
    </row>
    <row r="6093" spans="1:7" x14ac:dyDescent="0.25">
      <c r="A6093" s="8">
        <v>81</v>
      </c>
      <c r="B6093" s="8">
        <v>16</v>
      </c>
      <c r="C6093" s="8">
        <v>2545.6608890000002</v>
      </c>
      <c r="D6093" s="8">
        <v>58841.105469000002</v>
      </c>
      <c r="E6093" s="8">
        <v>58854.316405999998</v>
      </c>
      <c r="F6093" s="8">
        <f t="shared" si="190"/>
        <v>13.210936999996193</v>
      </c>
      <c r="G6093" s="8">
        <f t="shared" si="191"/>
        <v>1.3210936999996193E-2</v>
      </c>
    </row>
    <row r="6094" spans="1:7" x14ac:dyDescent="0.25">
      <c r="A6094" s="8">
        <v>81</v>
      </c>
      <c r="B6094" s="8">
        <v>17</v>
      </c>
      <c r="C6094" s="8">
        <v>2666.2702640000002</v>
      </c>
      <c r="D6094" s="8">
        <v>61403.832030999998</v>
      </c>
      <c r="E6094" s="8">
        <v>61457.152344000002</v>
      </c>
      <c r="F6094" s="8">
        <f t="shared" si="190"/>
        <v>53.320313000003807</v>
      </c>
      <c r="G6094" s="8">
        <f t="shared" si="191"/>
        <v>5.3320313000003811E-2</v>
      </c>
    </row>
    <row r="6095" spans="1:7" x14ac:dyDescent="0.25">
      <c r="A6095" s="8">
        <v>81</v>
      </c>
      <c r="B6095" s="8">
        <v>18</v>
      </c>
      <c r="C6095" s="8">
        <v>7865.1777339999999</v>
      </c>
      <c r="D6095" s="8">
        <v>64136.390625</v>
      </c>
      <c r="E6095" s="8">
        <v>64198.902344000002</v>
      </c>
      <c r="F6095" s="8">
        <f t="shared" si="190"/>
        <v>62.511719000001904</v>
      </c>
      <c r="G6095" s="8">
        <f t="shared" si="191"/>
        <v>6.2511719000001909E-2</v>
      </c>
    </row>
    <row r="6096" spans="1:7" x14ac:dyDescent="0.25">
      <c r="A6096" s="8">
        <v>81</v>
      </c>
      <c r="B6096" s="8">
        <v>19</v>
      </c>
      <c r="C6096" s="8">
        <v>1626.963501</v>
      </c>
      <c r="D6096" s="8">
        <v>72076.117188000004</v>
      </c>
      <c r="E6096" s="8">
        <v>72093.3125</v>
      </c>
      <c r="F6096" s="8">
        <f t="shared" si="190"/>
        <v>17.195311999996193</v>
      </c>
      <c r="G6096" s="8">
        <f t="shared" si="191"/>
        <v>1.7195311999996191E-2</v>
      </c>
    </row>
    <row r="6097" spans="1:7" x14ac:dyDescent="0.25">
      <c r="A6097" s="8">
        <v>81</v>
      </c>
      <c r="B6097" s="8">
        <v>20</v>
      </c>
      <c r="C6097" s="8">
        <v>3645.6958009999998</v>
      </c>
      <c r="D6097" s="8">
        <v>73732.3125</v>
      </c>
      <c r="E6097" s="8">
        <v>73747.554688000004</v>
      </c>
      <c r="F6097" s="8">
        <f t="shared" si="190"/>
        <v>15.242188000003807</v>
      </c>
      <c r="G6097" s="8">
        <f t="shared" si="191"/>
        <v>1.5242188000003808E-2</v>
      </c>
    </row>
    <row r="6098" spans="1:7" x14ac:dyDescent="0.25">
      <c r="A6098" s="8">
        <v>81</v>
      </c>
      <c r="B6098" s="8">
        <v>21</v>
      </c>
      <c r="C6098" s="8">
        <v>2117.766846</v>
      </c>
      <c r="D6098" s="8">
        <v>77397.742188000004</v>
      </c>
      <c r="E6098" s="8">
        <v>77405.867188000004</v>
      </c>
      <c r="F6098" s="8">
        <f t="shared" si="190"/>
        <v>8.125</v>
      </c>
      <c r="G6098" s="8">
        <f t="shared" si="191"/>
        <v>8.1250000000000003E-3</v>
      </c>
    </row>
    <row r="6099" spans="1:7" x14ac:dyDescent="0.25">
      <c r="A6099" s="8">
        <v>81</v>
      </c>
      <c r="B6099" s="8">
        <v>22</v>
      </c>
      <c r="C6099" s="8">
        <v>2119.1752929999998</v>
      </c>
      <c r="D6099" s="8">
        <v>79535.390625</v>
      </c>
      <c r="E6099" s="8">
        <v>79545.507813000004</v>
      </c>
      <c r="F6099" s="8">
        <f t="shared" si="190"/>
        <v>10.117188000003807</v>
      </c>
      <c r="G6099" s="8">
        <f t="shared" si="191"/>
        <v>1.0117188000003807E-2</v>
      </c>
    </row>
    <row r="6100" spans="1:7" x14ac:dyDescent="0.25">
      <c r="A6100" s="8">
        <v>81</v>
      </c>
      <c r="B6100" s="8">
        <v>23</v>
      </c>
      <c r="C6100" s="8">
        <v>1580.8248289999999</v>
      </c>
      <c r="D6100" s="8">
        <v>81677.046875</v>
      </c>
      <c r="E6100" s="8">
        <v>81737.234375</v>
      </c>
      <c r="F6100" s="8">
        <f t="shared" si="190"/>
        <v>60.1875</v>
      </c>
      <c r="G6100" s="8">
        <f t="shared" si="191"/>
        <v>6.0187499999999998E-2</v>
      </c>
    </row>
    <row r="6101" spans="1:7" x14ac:dyDescent="0.25">
      <c r="A6101" s="8">
        <v>81</v>
      </c>
      <c r="B6101" s="8">
        <v>24</v>
      </c>
      <c r="C6101" s="8">
        <v>10.771499</v>
      </c>
      <c r="D6101" s="8">
        <v>83323.773438000004</v>
      </c>
      <c r="E6101" s="8">
        <v>83336.421875</v>
      </c>
      <c r="F6101" s="8">
        <f t="shared" si="190"/>
        <v>12.648436999996193</v>
      </c>
      <c r="G6101" s="8">
        <f t="shared" si="191"/>
        <v>1.2648436999996193E-2</v>
      </c>
    </row>
    <row r="6102" spans="1:7" x14ac:dyDescent="0.25">
      <c r="A6102" s="8">
        <v>81</v>
      </c>
      <c r="B6102" s="8">
        <v>25</v>
      </c>
      <c r="C6102" s="8">
        <v>597.31500200000005</v>
      </c>
      <c r="D6102" s="8">
        <v>83358.90625</v>
      </c>
      <c r="E6102" s="8">
        <v>83376.351563000004</v>
      </c>
      <c r="F6102" s="8">
        <f t="shared" si="190"/>
        <v>17.445313000003807</v>
      </c>
      <c r="G6102" s="8">
        <f t="shared" si="191"/>
        <v>1.7445313000003806E-2</v>
      </c>
    </row>
    <row r="6103" spans="1:7" x14ac:dyDescent="0.25">
      <c r="A6103" s="8">
        <v>81</v>
      </c>
      <c r="B6103" s="8">
        <v>26</v>
      </c>
      <c r="C6103" s="8">
        <v>7770.8637699999999</v>
      </c>
      <c r="D6103" s="8">
        <v>83984.195313000004</v>
      </c>
      <c r="E6103" s="8">
        <v>84000.492188000004</v>
      </c>
      <c r="F6103" s="8">
        <f t="shared" si="190"/>
        <v>16.296875</v>
      </c>
      <c r="G6103" s="8">
        <f t="shared" si="191"/>
        <v>1.6296874999999999E-2</v>
      </c>
    </row>
    <row r="6104" spans="1:7" x14ac:dyDescent="0.25">
      <c r="A6104" s="8">
        <v>81</v>
      </c>
      <c r="B6104" s="8">
        <v>27</v>
      </c>
      <c r="C6104" s="8">
        <v>2920.9689939999998</v>
      </c>
      <c r="D6104" s="8">
        <v>91776.648438000004</v>
      </c>
      <c r="E6104" s="8">
        <v>91816.492188000004</v>
      </c>
      <c r="F6104" s="8">
        <f t="shared" si="190"/>
        <v>39.84375</v>
      </c>
      <c r="G6104" s="8">
        <f t="shared" si="191"/>
        <v>3.9843749999999997E-2</v>
      </c>
    </row>
    <row r="6105" spans="1:7" x14ac:dyDescent="0.25">
      <c r="A6105" s="8">
        <v>81</v>
      </c>
      <c r="B6105" s="8">
        <v>28</v>
      </c>
      <c r="C6105" s="8">
        <v>4123.0117190000001</v>
      </c>
      <c r="D6105" s="8">
        <v>94748.945313000004</v>
      </c>
      <c r="E6105" s="8">
        <v>94769.039063000004</v>
      </c>
      <c r="F6105" s="8">
        <f t="shared" si="190"/>
        <v>20.09375</v>
      </c>
      <c r="G6105" s="8">
        <f t="shared" si="191"/>
        <v>2.009375E-2</v>
      </c>
    </row>
    <row r="6106" spans="1:7" x14ac:dyDescent="0.25">
      <c r="A6106" s="8">
        <v>81</v>
      </c>
      <c r="B6106" s="8">
        <v>29</v>
      </c>
      <c r="C6106" s="8">
        <v>2202.9702149999998</v>
      </c>
      <c r="D6106" s="8">
        <v>98894.640625</v>
      </c>
      <c r="E6106" s="8">
        <v>98919.914063000004</v>
      </c>
      <c r="F6106" s="8">
        <f t="shared" si="190"/>
        <v>25.273438000003807</v>
      </c>
      <c r="G6106" s="8">
        <f t="shared" si="191"/>
        <v>2.5273438000003808E-2</v>
      </c>
    </row>
    <row r="6107" spans="1:7" x14ac:dyDescent="0.25">
      <c r="A6107" s="8">
        <v>81</v>
      </c>
      <c r="B6107" s="8">
        <v>30</v>
      </c>
      <c r="C6107" s="8">
        <v>4500.9360349999997</v>
      </c>
      <c r="D6107" s="8">
        <v>101137.585938</v>
      </c>
      <c r="E6107" s="8">
        <v>101150.179688</v>
      </c>
      <c r="F6107" s="8">
        <f t="shared" si="190"/>
        <v>12.59375</v>
      </c>
      <c r="G6107" s="8">
        <f t="shared" si="191"/>
        <v>1.2593750000000001E-2</v>
      </c>
    </row>
    <row r="6108" spans="1:7" x14ac:dyDescent="0.25">
      <c r="A6108" s="8">
        <v>81</v>
      </c>
      <c r="B6108" s="8">
        <v>31</v>
      </c>
      <c r="C6108" s="8">
        <v>121.153862</v>
      </c>
      <c r="D6108" s="8">
        <v>105656.523438</v>
      </c>
      <c r="E6108" s="8">
        <v>105669.890625</v>
      </c>
      <c r="F6108" s="8">
        <f t="shared" si="190"/>
        <v>13.367186999996193</v>
      </c>
      <c r="G6108" s="8">
        <f t="shared" si="191"/>
        <v>1.3367186999996193E-2</v>
      </c>
    </row>
    <row r="6109" spans="1:7" x14ac:dyDescent="0.25">
      <c r="A6109" s="8">
        <v>81</v>
      </c>
      <c r="B6109" s="8">
        <v>32</v>
      </c>
      <c r="C6109" s="8">
        <v>1347.188232</v>
      </c>
      <c r="D6109" s="8">
        <v>105797.15625</v>
      </c>
      <c r="E6109" s="8">
        <v>105817.140625</v>
      </c>
      <c r="F6109" s="8">
        <f t="shared" si="190"/>
        <v>19.984375</v>
      </c>
      <c r="G6109" s="8">
        <f t="shared" si="191"/>
        <v>1.9984374999999999E-2</v>
      </c>
    </row>
    <row r="6110" spans="1:7" x14ac:dyDescent="0.25">
      <c r="A6110" s="8">
        <v>81</v>
      </c>
      <c r="B6110" s="8">
        <v>33</v>
      </c>
      <c r="C6110" s="8">
        <v>1580.5557859999999</v>
      </c>
      <c r="D6110" s="8">
        <v>107172.320313</v>
      </c>
      <c r="E6110" s="8">
        <v>107185.65625</v>
      </c>
      <c r="F6110" s="8">
        <f t="shared" si="190"/>
        <v>13.335936999996193</v>
      </c>
      <c r="G6110" s="8">
        <f t="shared" si="191"/>
        <v>1.3335936999996193E-2</v>
      </c>
    </row>
    <row r="6111" spans="1:7" x14ac:dyDescent="0.25">
      <c r="A6111" s="8">
        <v>81</v>
      </c>
      <c r="B6111" s="8">
        <v>34</v>
      </c>
      <c r="C6111" s="8">
        <v>1241.455811</v>
      </c>
      <c r="D6111" s="8">
        <v>108766.867188</v>
      </c>
      <c r="E6111" s="8">
        <v>108782.5</v>
      </c>
      <c r="F6111" s="8">
        <f t="shared" si="190"/>
        <v>15.632811999996193</v>
      </c>
      <c r="G6111" s="8">
        <f t="shared" si="191"/>
        <v>1.5632811999996193E-2</v>
      </c>
    </row>
    <row r="6112" spans="1:7" x14ac:dyDescent="0.25">
      <c r="A6112" s="8">
        <v>81</v>
      </c>
      <c r="B6112" s="8">
        <v>35</v>
      </c>
      <c r="C6112" s="8">
        <v>1616.663818</v>
      </c>
      <c r="D6112" s="8">
        <v>110033.28125</v>
      </c>
      <c r="E6112" s="8">
        <v>110063.226563</v>
      </c>
      <c r="F6112" s="8">
        <f t="shared" si="190"/>
        <v>29.945313000003807</v>
      </c>
      <c r="G6112" s="8">
        <f t="shared" si="191"/>
        <v>2.9945313000003807E-2</v>
      </c>
    </row>
    <row r="6113" spans="1:7" x14ac:dyDescent="0.25">
      <c r="A6113" s="8">
        <v>81</v>
      </c>
      <c r="B6113" s="8">
        <v>36</v>
      </c>
      <c r="C6113" s="8">
        <v>7334.7065430000002</v>
      </c>
      <c r="D6113" s="8">
        <v>111689.78125</v>
      </c>
      <c r="E6113" s="8">
        <v>111699.03125</v>
      </c>
      <c r="F6113" s="8">
        <f t="shared" si="190"/>
        <v>9.25</v>
      </c>
      <c r="G6113" s="8">
        <f t="shared" si="191"/>
        <v>9.2499999999999995E-3</v>
      </c>
    </row>
    <row r="6114" spans="1:7" x14ac:dyDescent="0.25">
      <c r="A6114" s="8">
        <v>81</v>
      </c>
      <c r="B6114" s="8">
        <v>37</v>
      </c>
      <c r="C6114" s="8">
        <v>1288.3275149999999</v>
      </c>
      <c r="D6114" s="8">
        <v>119041.351563</v>
      </c>
      <c r="E6114" s="8">
        <v>119061.125</v>
      </c>
      <c r="F6114" s="8">
        <f t="shared" si="190"/>
        <v>19.773436999996193</v>
      </c>
      <c r="G6114" s="8">
        <f t="shared" si="191"/>
        <v>1.9773436999996192E-2</v>
      </c>
    </row>
    <row r="6115" spans="1:7" x14ac:dyDescent="0.25">
      <c r="A6115" s="8">
        <v>81</v>
      </c>
      <c r="B6115" s="8">
        <v>38</v>
      </c>
      <c r="C6115" s="8">
        <v>2084.780518</v>
      </c>
      <c r="D6115" s="8">
        <v>120359.078125</v>
      </c>
      <c r="E6115" s="8">
        <v>120382.695313</v>
      </c>
      <c r="F6115" s="8">
        <f t="shared" si="190"/>
        <v>23.617188000003807</v>
      </c>
      <c r="G6115" s="8">
        <f t="shared" si="191"/>
        <v>2.3617188000003807E-2</v>
      </c>
    </row>
    <row r="6116" spans="1:7" x14ac:dyDescent="0.25">
      <c r="A6116" s="8">
        <v>81</v>
      </c>
      <c r="B6116" s="8">
        <v>39</v>
      </c>
      <c r="C6116" s="8">
        <v>2706.727539</v>
      </c>
      <c r="D6116" s="8">
        <v>122470.90625</v>
      </c>
      <c r="E6116" s="8">
        <v>122497.859375</v>
      </c>
      <c r="F6116" s="8">
        <f t="shared" si="190"/>
        <v>26.953125</v>
      </c>
      <c r="G6116" s="8">
        <f t="shared" si="191"/>
        <v>2.6953125000000001E-2</v>
      </c>
    </row>
    <row r="6117" spans="1:7" x14ac:dyDescent="0.25">
      <c r="A6117" s="8">
        <v>81</v>
      </c>
      <c r="B6117" s="8">
        <v>40</v>
      </c>
      <c r="C6117" s="8">
        <v>506.67016599999999</v>
      </c>
      <c r="D6117" s="8">
        <v>125205.28125</v>
      </c>
      <c r="E6117" s="8">
        <v>125219.039063</v>
      </c>
      <c r="F6117" s="8">
        <f t="shared" si="190"/>
        <v>13.757813000003807</v>
      </c>
      <c r="G6117" s="8">
        <f t="shared" si="191"/>
        <v>1.3757813000003807E-2</v>
      </c>
    </row>
    <row r="6118" spans="1:7" x14ac:dyDescent="0.25">
      <c r="A6118" s="8">
        <v>81</v>
      </c>
      <c r="B6118" s="8">
        <v>41</v>
      </c>
      <c r="C6118" s="8">
        <v>402.33853099999999</v>
      </c>
      <c r="D6118" s="8">
        <v>125737.15625</v>
      </c>
      <c r="E6118" s="8">
        <v>125748</v>
      </c>
      <c r="F6118" s="8">
        <f t="shared" si="190"/>
        <v>10.84375</v>
      </c>
      <c r="G6118" s="8">
        <f t="shared" si="191"/>
        <v>1.0843749999999999E-2</v>
      </c>
    </row>
    <row r="6119" spans="1:7" x14ac:dyDescent="0.25">
      <c r="A6119" s="8">
        <v>81</v>
      </c>
      <c r="B6119" s="8">
        <v>42</v>
      </c>
      <c r="C6119" s="8">
        <v>1358.713501</v>
      </c>
      <c r="D6119" s="8">
        <v>126158.945313</v>
      </c>
      <c r="E6119" s="8">
        <v>126172.507813</v>
      </c>
      <c r="F6119" s="8">
        <f t="shared" si="190"/>
        <v>13.5625</v>
      </c>
      <c r="G6119" s="8">
        <f t="shared" si="191"/>
        <v>1.35625E-2</v>
      </c>
    </row>
    <row r="6120" spans="1:7" x14ac:dyDescent="0.25">
      <c r="A6120" s="8">
        <v>81</v>
      </c>
      <c r="B6120" s="8">
        <v>43</v>
      </c>
      <c r="C6120" s="8">
        <v>712.20782499999996</v>
      </c>
      <c r="D6120" s="8">
        <v>127534.234375</v>
      </c>
      <c r="E6120" s="8">
        <v>127556.140625</v>
      </c>
      <c r="F6120" s="8">
        <f t="shared" si="190"/>
        <v>21.90625</v>
      </c>
      <c r="G6120" s="8">
        <f t="shared" si="191"/>
        <v>2.1906249999999999E-2</v>
      </c>
    </row>
    <row r="6121" spans="1:7" x14ac:dyDescent="0.25">
      <c r="A6121" s="8">
        <v>81</v>
      </c>
      <c r="B6121" s="8">
        <v>44</v>
      </c>
      <c r="C6121" s="8">
        <v>631.33807400000001</v>
      </c>
      <c r="D6121" s="8">
        <v>128269.984375</v>
      </c>
      <c r="E6121" s="8">
        <v>128280.015625</v>
      </c>
      <c r="F6121" s="8">
        <f t="shared" si="190"/>
        <v>10.03125</v>
      </c>
      <c r="G6121" s="8">
        <f t="shared" si="191"/>
        <v>1.003125E-2</v>
      </c>
    </row>
    <row r="6122" spans="1:7" x14ac:dyDescent="0.25">
      <c r="A6122" s="8">
        <v>81</v>
      </c>
      <c r="B6122" s="8">
        <v>45</v>
      </c>
      <c r="C6122" s="8">
        <v>3952.9897460000002</v>
      </c>
      <c r="D6122" s="8">
        <v>128926.351563</v>
      </c>
      <c r="E6122" s="8">
        <v>128942.625</v>
      </c>
      <c r="F6122" s="8">
        <f t="shared" si="190"/>
        <v>16.273436999996193</v>
      </c>
      <c r="G6122" s="8">
        <f t="shared" si="191"/>
        <v>1.6273436999996192E-2</v>
      </c>
    </row>
    <row r="6123" spans="1:7" x14ac:dyDescent="0.25">
      <c r="A6123" s="8">
        <v>81</v>
      </c>
      <c r="B6123" s="8">
        <v>46</v>
      </c>
      <c r="C6123" s="8">
        <v>99.225982999999999</v>
      </c>
      <c r="D6123" s="8">
        <v>132905.21875</v>
      </c>
      <c r="E6123" s="8">
        <v>132922.328125</v>
      </c>
      <c r="F6123" s="8">
        <f t="shared" si="190"/>
        <v>17.109375</v>
      </c>
      <c r="G6123" s="8">
        <f t="shared" si="191"/>
        <v>1.7109375E-2</v>
      </c>
    </row>
    <row r="6124" spans="1:7" x14ac:dyDescent="0.25">
      <c r="A6124" s="8">
        <v>81</v>
      </c>
      <c r="B6124" s="8">
        <v>47</v>
      </c>
      <c r="C6124" s="8">
        <v>2383.095703</v>
      </c>
      <c r="D6124" s="8">
        <v>133034.90625</v>
      </c>
      <c r="E6124" s="8">
        <v>133050.5625</v>
      </c>
      <c r="F6124" s="8">
        <f t="shared" si="190"/>
        <v>15.65625</v>
      </c>
      <c r="G6124" s="8">
        <f t="shared" si="191"/>
        <v>1.565625E-2</v>
      </c>
    </row>
    <row r="6125" spans="1:7" x14ac:dyDescent="0.25">
      <c r="A6125" s="8">
        <v>81</v>
      </c>
      <c r="B6125" s="8">
        <v>48</v>
      </c>
      <c r="C6125" s="8">
        <v>915.10119599999996</v>
      </c>
      <c r="D6125" s="8">
        <v>135444.359375</v>
      </c>
      <c r="E6125" s="8">
        <v>135457.515625</v>
      </c>
      <c r="F6125" s="8">
        <f t="shared" si="190"/>
        <v>13.15625</v>
      </c>
      <c r="G6125" s="8">
        <f t="shared" si="191"/>
        <v>1.315625E-2</v>
      </c>
    </row>
    <row r="6126" spans="1:7" x14ac:dyDescent="0.25">
      <c r="A6126" s="8">
        <v>81</v>
      </c>
      <c r="B6126" s="8">
        <v>49</v>
      </c>
      <c r="C6126" s="8">
        <v>682.36633300000005</v>
      </c>
      <c r="D6126" s="8">
        <v>136382.171875</v>
      </c>
      <c r="E6126" s="8">
        <v>136391.4375</v>
      </c>
      <c r="F6126" s="8">
        <f t="shared" si="190"/>
        <v>9.265625</v>
      </c>
      <c r="G6126" s="8">
        <f t="shared" si="191"/>
        <v>9.2656249999999996E-3</v>
      </c>
    </row>
    <row r="6127" spans="1:7" x14ac:dyDescent="0.25">
      <c r="A6127" s="8">
        <v>81</v>
      </c>
      <c r="B6127" s="8">
        <v>50</v>
      </c>
      <c r="C6127" s="8">
        <v>4338.0009769999997</v>
      </c>
      <c r="D6127" s="8">
        <v>137075.421875</v>
      </c>
      <c r="E6127" s="8">
        <v>137095.96875</v>
      </c>
      <c r="F6127" s="8">
        <f t="shared" si="190"/>
        <v>20.546875</v>
      </c>
      <c r="G6127" s="8">
        <f t="shared" si="191"/>
        <v>2.0546874999999999E-2</v>
      </c>
    </row>
    <row r="6128" spans="1:7" x14ac:dyDescent="0.25">
      <c r="A6128" s="8">
        <v>81</v>
      </c>
      <c r="B6128" s="8">
        <v>51</v>
      </c>
      <c r="C6128" s="8">
        <v>18.765111999999998</v>
      </c>
      <c r="D6128" s="8">
        <v>141438.625</v>
      </c>
      <c r="E6128" s="8">
        <v>141458.28125</v>
      </c>
      <c r="F6128" s="8">
        <f t="shared" si="190"/>
        <v>19.65625</v>
      </c>
      <c r="G6128" s="8">
        <f t="shared" si="191"/>
        <v>1.965625E-2</v>
      </c>
    </row>
    <row r="6129" spans="1:7" x14ac:dyDescent="0.25">
      <c r="A6129" s="8">
        <v>81</v>
      </c>
      <c r="B6129" s="8">
        <v>52</v>
      </c>
      <c r="C6129" s="8">
        <v>1009.703369</v>
      </c>
      <c r="D6129" s="8">
        <v>141485.546875</v>
      </c>
      <c r="E6129" s="8">
        <v>141495.6875</v>
      </c>
      <c r="F6129" s="8">
        <f t="shared" si="190"/>
        <v>10.140625</v>
      </c>
      <c r="G6129" s="8">
        <f t="shared" si="191"/>
        <v>1.0140625E-2</v>
      </c>
    </row>
    <row r="6130" spans="1:7" x14ac:dyDescent="0.25">
      <c r="A6130" s="8">
        <v>81</v>
      </c>
      <c r="B6130" s="8">
        <v>53</v>
      </c>
      <c r="C6130" s="8">
        <v>6741.5009769999997</v>
      </c>
      <c r="D6130" s="8">
        <v>142515.140625</v>
      </c>
      <c r="E6130" s="8">
        <v>142525.796875</v>
      </c>
      <c r="F6130" s="8">
        <f t="shared" si="190"/>
        <v>10.65625</v>
      </c>
      <c r="G6130" s="8">
        <f t="shared" si="191"/>
        <v>1.0656250000000001E-2</v>
      </c>
    </row>
    <row r="6131" spans="1:7" x14ac:dyDescent="0.25">
      <c r="A6131" s="8">
        <v>81</v>
      </c>
      <c r="B6131" s="8">
        <v>54</v>
      </c>
      <c r="C6131" s="8">
        <v>1613.926025</v>
      </c>
      <c r="D6131" s="8">
        <v>149275.3125</v>
      </c>
      <c r="E6131" s="8">
        <v>149296.859375</v>
      </c>
      <c r="F6131" s="8">
        <f t="shared" si="190"/>
        <v>21.546875</v>
      </c>
      <c r="G6131" s="8">
        <f t="shared" si="191"/>
        <v>2.1546875E-2</v>
      </c>
    </row>
    <row r="6132" spans="1:7" x14ac:dyDescent="0.25">
      <c r="A6132" s="8">
        <v>81</v>
      </c>
      <c r="B6132" s="8">
        <v>55</v>
      </c>
      <c r="C6132" s="8">
        <v>5671.0712890000004</v>
      </c>
      <c r="D6132" s="8">
        <v>150920.765625</v>
      </c>
      <c r="E6132" s="8">
        <v>150929.515625</v>
      </c>
      <c r="F6132" s="8">
        <f t="shared" si="190"/>
        <v>8.75</v>
      </c>
      <c r="G6132" s="8">
        <f t="shared" si="191"/>
        <v>8.7500000000000008E-3</v>
      </c>
    </row>
    <row r="6133" spans="1:7" x14ac:dyDescent="0.25">
      <c r="A6133" s="8">
        <v>81</v>
      </c>
      <c r="B6133" s="8">
        <v>56</v>
      </c>
      <c r="C6133" s="8">
        <v>2435.0043949999999</v>
      </c>
      <c r="D6133" s="8">
        <v>156609.859375</v>
      </c>
      <c r="E6133" s="8">
        <v>156639.890625</v>
      </c>
      <c r="F6133" s="8">
        <f t="shared" si="190"/>
        <v>30.03125</v>
      </c>
      <c r="G6133" s="8">
        <f t="shared" si="191"/>
        <v>3.0031249999999999E-2</v>
      </c>
    </row>
    <row r="6134" spans="1:7" x14ac:dyDescent="0.25">
      <c r="A6134" s="8">
        <v>81</v>
      </c>
      <c r="B6134" s="8">
        <v>57</v>
      </c>
      <c r="C6134" s="8">
        <v>11121.791015999999</v>
      </c>
      <c r="D6134" s="8">
        <v>159079.921875</v>
      </c>
      <c r="E6134" s="8">
        <v>159088.15625</v>
      </c>
      <c r="F6134" s="8">
        <f t="shared" si="190"/>
        <v>8.234375</v>
      </c>
      <c r="G6134" s="8">
        <f t="shared" si="191"/>
        <v>8.2343750000000004E-3</v>
      </c>
    </row>
    <row r="6135" spans="1:7" x14ac:dyDescent="0.25">
      <c r="A6135" s="8">
        <v>82</v>
      </c>
      <c r="B6135" s="8">
        <v>0</v>
      </c>
      <c r="C6135" s="8">
        <v>155.29463200000001</v>
      </c>
      <c r="D6135" s="8">
        <v>23128.556640999999</v>
      </c>
      <c r="E6135" s="8">
        <v>23139.712890999999</v>
      </c>
      <c r="F6135" s="8">
        <f t="shared" si="190"/>
        <v>11.15625</v>
      </c>
      <c r="G6135" s="8">
        <f t="shared" si="191"/>
        <v>1.115625E-2</v>
      </c>
    </row>
    <row r="6136" spans="1:7" x14ac:dyDescent="0.25">
      <c r="A6136" s="8">
        <v>82</v>
      </c>
      <c r="B6136" s="8">
        <v>1</v>
      </c>
      <c r="C6136" s="8">
        <v>2130.8320309999999</v>
      </c>
      <c r="D6136" s="8">
        <v>23300.46875</v>
      </c>
      <c r="E6136" s="8">
        <v>23324.169922000001</v>
      </c>
      <c r="F6136" s="8">
        <f t="shared" si="190"/>
        <v>23.701172000000952</v>
      </c>
      <c r="G6136" s="8">
        <f t="shared" si="191"/>
        <v>2.370117200000095E-2</v>
      </c>
    </row>
    <row r="6137" spans="1:7" x14ac:dyDescent="0.25">
      <c r="A6137" s="8">
        <v>82</v>
      </c>
      <c r="B6137" s="8">
        <v>2</v>
      </c>
      <c r="C6137" s="8">
        <v>1005.158081</v>
      </c>
      <c r="D6137" s="8">
        <v>25459.177734000001</v>
      </c>
      <c r="E6137" s="8">
        <v>25477.574218999998</v>
      </c>
      <c r="F6137" s="8">
        <f t="shared" si="190"/>
        <v>18.396484999997483</v>
      </c>
      <c r="G6137" s="8">
        <f t="shared" si="191"/>
        <v>1.8396484999997482E-2</v>
      </c>
    </row>
    <row r="6138" spans="1:7" x14ac:dyDescent="0.25">
      <c r="A6138" s="8">
        <v>82</v>
      </c>
      <c r="B6138" s="8">
        <v>3</v>
      </c>
      <c r="C6138" s="8">
        <v>1126.7226559999999</v>
      </c>
      <c r="D6138" s="8">
        <v>26493.085938</v>
      </c>
      <c r="E6138" s="8">
        <v>26635.222656000002</v>
      </c>
      <c r="F6138" s="8">
        <f t="shared" si="190"/>
        <v>142.13671800000157</v>
      </c>
      <c r="G6138" s="8">
        <f t="shared" si="191"/>
        <v>0.14213671800000158</v>
      </c>
    </row>
    <row r="6139" spans="1:7" x14ac:dyDescent="0.25">
      <c r="A6139" s="8">
        <v>82</v>
      </c>
      <c r="B6139" s="8">
        <v>4</v>
      </c>
      <c r="C6139" s="8">
        <v>6486.6865230000003</v>
      </c>
      <c r="D6139" s="8">
        <v>27775.302734000001</v>
      </c>
      <c r="E6139" s="8">
        <v>27792.277343999998</v>
      </c>
      <c r="F6139" s="8">
        <f t="shared" si="190"/>
        <v>16.974609999997483</v>
      </c>
      <c r="G6139" s="8">
        <f t="shared" si="191"/>
        <v>1.6974609999997482E-2</v>
      </c>
    </row>
    <row r="6140" spans="1:7" x14ac:dyDescent="0.25">
      <c r="A6140" s="8">
        <v>82</v>
      </c>
      <c r="B6140" s="8">
        <v>5</v>
      </c>
      <c r="C6140" s="8">
        <v>2819.2109380000002</v>
      </c>
      <c r="D6140" s="8">
        <v>34279.976562999997</v>
      </c>
      <c r="E6140" s="8">
        <v>34287.839844000002</v>
      </c>
      <c r="F6140" s="8">
        <f t="shared" si="190"/>
        <v>7.8632810000053723</v>
      </c>
      <c r="G6140" s="8">
        <f t="shared" si="191"/>
        <v>7.8632810000053722E-3</v>
      </c>
    </row>
    <row r="6141" spans="1:7" x14ac:dyDescent="0.25">
      <c r="A6141" s="8">
        <v>82</v>
      </c>
      <c r="B6141" s="8">
        <v>6</v>
      </c>
      <c r="C6141" s="8">
        <v>3459.3383789999998</v>
      </c>
      <c r="D6141" s="8">
        <v>37112.878905999998</v>
      </c>
      <c r="E6141" s="8">
        <v>37130.171875</v>
      </c>
      <c r="F6141" s="8">
        <f t="shared" si="190"/>
        <v>17.292969000001904</v>
      </c>
      <c r="G6141" s="8">
        <f t="shared" si="191"/>
        <v>1.7292969000001903E-2</v>
      </c>
    </row>
    <row r="6142" spans="1:7" x14ac:dyDescent="0.25">
      <c r="A6142" s="8">
        <v>82</v>
      </c>
      <c r="B6142" s="8">
        <v>7</v>
      </c>
      <c r="C6142" s="8">
        <v>5777.876953</v>
      </c>
      <c r="D6142" s="8">
        <v>40590.71875</v>
      </c>
      <c r="E6142" s="8">
        <v>40607.855469000002</v>
      </c>
      <c r="F6142" s="8">
        <f t="shared" si="190"/>
        <v>17.136719000001904</v>
      </c>
      <c r="G6142" s="8">
        <f t="shared" si="191"/>
        <v>1.7136719000001903E-2</v>
      </c>
    </row>
    <row r="6143" spans="1:7" x14ac:dyDescent="0.25">
      <c r="A6143" s="8">
        <v>82</v>
      </c>
      <c r="B6143" s="8">
        <v>8</v>
      </c>
      <c r="C6143" s="8">
        <v>174.11712600000001</v>
      </c>
      <c r="D6143" s="8">
        <v>46391.273437999997</v>
      </c>
      <c r="E6143" s="8">
        <v>46408.59375</v>
      </c>
      <c r="F6143" s="8">
        <f t="shared" si="190"/>
        <v>17.320312000003469</v>
      </c>
      <c r="G6143" s="8">
        <f t="shared" si="191"/>
        <v>1.732031200000347E-2</v>
      </c>
    </row>
    <row r="6144" spans="1:7" x14ac:dyDescent="0.25">
      <c r="A6144" s="8">
        <v>82</v>
      </c>
      <c r="B6144" s="8">
        <v>9</v>
      </c>
      <c r="C6144" s="8">
        <v>549.590149</v>
      </c>
      <c r="D6144" s="8">
        <v>46594.429687999997</v>
      </c>
      <c r="E6144" s="8">
        <v>46609.507812999997</v>
      </c>
      <c r="F6144" s="8">
        <f t="shared" si="190"/>
        <v>15.078125</v>
      </c>
      <c r="G6144" s="8">
        <f t="shared" si="191"/>
        <v>1.5078125E-2</v>
      </c>
    </row>
    <row r="6145" spans="1:7" x14ac:dyDescent="0.25">
      <c r="A6145" s="8">
        <v>82</v>
      </c>
      <c r="B6145" s="8">
        <v>10</v>
      </c>
      <c r="C6145" s="8">
        <v>680.04968299999996</v>
      </c>
      <c r="D6145" s="8">
        <v>47172.851562999997</v>
      </c>
      <c r="E6145" s="8">
        <v>47193.308594000002</v>
      </c>
      <c r="F6145" s="8">
        <f t="shared" si="190"/>
        <v>20.457031000005372</v>
      </c>
      <c r="G6145" s="8">
        <f t="shared" si="191"/>
        <v>2.0457031000005371E-2</v>
      </c>
    </row>
    <row r="6146" spans="1:7" x14ac:dyDescent="0.25">
      <c r="A6146" s="8">
        <v>82</v>
      </c>
      <c r="B6146" s="8">
        <v>11</v>
      </c>
      <c r="C6146" s="8">
        <v>912.01702899999998</v>
      </c>
      <c r="D6146" s="8">
        <v>47875.996094000002</v>
      </c>
      <c r="E6146" s="8">
        <v>47915.660155999998</v>
      </c>
      <c r="F6146" s="8">
        <f t="shared" si="190"/>
        <v>39.664061999996193</v>
      </c>
      <c r="G6146" s="8">
        <f t="shared" si="191"/>
        <v>3.966406199999619E-2</v>
      </c>
    </row>
    <row r="6147" spans="1:7" x14ac:dyDescent="0.25">
      <c r="A6147" s="8">
        <v>82</v>
      </c>
      <c r="B6147" s="8">
        <v>12</v>
      </c>
      <c r="C6147" s="8">
        <v>2006.6986079999999</v>
      </c>
      <c r="D6147" s="8">
        <v>48829.84375</v>
      </c>
      <c r="E6147" s="8">
        <v>48841.472655999998</v>
      </c>
      <c r="F6147" s="8">
        <f t="shared" si="190"/>
        <v>11.628905999998096</v>
      </c>
      <c r="G6147" s="8">
        <f t="shared" si="191"/>
        <v>1.1628905999998097E-2</v>
      </c>
    </row>
    <row r="6148" spans="1:7" x14ac:dyDescent="0.25">
      <c r="A6148" s="8">
        <v>82</v>
      </c>
      <c r="B6148" s="8">
        <v>13</v>
      </c>
      <c r="C6148" s="8">
        <v>799.21502699999996</v>
      </c>
      <c r="D6148" s="8">
        <v>50862.300780999998</v>
      </c>
      <c r="E6148" s="8">
        <v>50873.355469000002</v>
      </c>
      <c r="F6148" s="8">
        <f t="shared" si="190"/>
        <v>11.054688000003807</v>
      </c>
      <c r="G6148" s="8">
        <f t="shared" si="191"/>
        <v>1.1054688000003808E-2</v>
      </c>
    </row>
    <row r="6149" spans="1:7" x14ac:dyDescent="0.25">
      <c r="A6149" s="8">
        <v>82</v>
      </c>
      <c r="B6149" s="8">
        <v>14</v>
      </c>
      <c r="C6149" s="8">
        <v>568.07336399999997</v>
      </c>
      <c r="D6149" s="8">
        <v>51685.554687999997</v>
      </c>
      <c r="E6149" s="8">
        <v>51703.058594000002</v>
      </c>
      <c r="F6149" s="8">
        <f t="shared" si="190"/>
        <v>17.503906000005372</v>
      </c>
      <c r="G6149" s="8">
        <f t="shared" si="191"/>
        <v>1.7503906000005374E-2</v>
      </c>
    </row>
    <row r="6150" spans="1:7" x14ac:dyDescent="0.25">
      <c r="A6150" s="8">
        <v>82</v>
      </c>
      <c r="B6150" s="8">
        <v>15</v>
      </c>
      <c r="C6150" s="8">
        <v>1307.599365</v>
      </c>
      <c r="D6150" s="8">
        <v>52279.660155999998</v>
      </c>
      <c r="E6150" s="8">
        <v>52293.617187999997</v>
      </c>
      <c r="F6150" s="8">
        <f t="shared" si="190"/>
        <v>13.957031999998435</v>
      </c>
      <c r="G6150" s="8">
        <f t="shared" si="191"/>
        <v>1.3957031999998435E-2</v>
      </c>
    </row>
    <row r="6151" spans="1:7" x14ac:dyDescent="0.25">
      <c r="A6151" s="8">
        <v>82</v>
      </c>
      <c r="B6151" s="8">
        <v>16</v>
      </c>
      <c r="C6151" s="8">
        <v>742.50158699999997</v>
      </c>
      <c r="D6151" s="8">
        <v>53608.734375</v>
      </c>
      <c r="E6151" s="8">
        <v>53625.832030999998</v>
      </c>
      <c r="F6151" s="8">
        <f t="shared" si="190"/>
        <v>17.097655999998096</v>
      </c>
      <c r="G6151" s="8">
        <f t="shared" si="191"/>
        <v>1.7097655999998098E-2</v>
      </c>
    </row>
    <row r="6152" spans="1:7" x14ac:dyDescent="0.25">
      <c r="A6152" s="8">
        <v>82</v>
      </c>
      <c r="B6152" s="8">
        <v>17</v>
      </c>
      <c r="C6152" s="8">
        <v>641.23809800000004</v>
      </c>
      <c r="D6152" s="8">
        <v>54378.480469000002</v>
      </c>
      <c r="E6152" s="8">
        <v>54444.476562999997</v>
      </c>
      <c r="F6152" s="8">
        <f t="shared" si="190"/>
        <v>65.996093999994628</v>
      </c>
      <c r="G6152" s="8">
        <f t="shared" si="191"/>
        <v>6.5996093999994634E-2</v>
      </c>
    </row>
    <row r="6153" spans="1:7" x14ac:dyDescent="0.25">
      <c r="A6153" s="8">
        <v>82</v>
      </c>
      <c r="B6153" s="8">
        <v>18</v>
      </c>
      <c r="C6153" s="8">
        <v>1017.809509</v>
      </c>
      <c r="D6153" s="8">
        <v>55097.355469000002</v>
      </c>
      <c r="E6153" s="8">
        <v>55106.394530999998</v>
      </c>
      <c r="F6153" s="8">
        <f t="shared" si="190"/>
        <v>9.0390619999961928</v>
      </c>
      <c r="G6153" s="8">
        <f t="shared" si="191"/>
        <v>9.0390619999961928E-3</v>
      </c>
    </row>
    <row r="6154" spans="1:7" x14ac:dyDescent="0.25">
      <c r="A6154" s="8">
        <v>82</v>
      </c>
      <c r="B6154" s="8">
        <v>19</v>
      </c>
      <c r="C6154" s="8">
        <v>801.21844499999997</v>
      </c>
      <c r="D6154" s="8">
        <v>56128.664062999997</v>
      </c>
      <c r="E6154" s="8">
        <v>56148.472655999998</v>
      </c>
      <c r="F6154" s="8">
        <f t="shared" si="190"/>
        <v>19.808593000001565</v>
      </c>
      <c r="G6154" s="8">
        <f t="shared" si="191"/>
        <v>1.9808593000001564E-2</v>
      </c>
    </row>
    <row r="6155" spans="1:7" x14ac:dyDescent="0.25">
      <c r="A6155" s="8">
        <v>82</v>
      </c>
      <c r="B6155" s="8">
        <v>20</v>
      </c>
      <c r="C6155" s="8">
        <v>110.74044000000001</v>
      </c>
      <c r="D6155" s="8">
        <v>56957.589844000002</v>
      </c>
      <c r="E6155" s="8">
        <v>56972.75</v>
      </c>
      <c r="F6155" s="8">
        <f t="shared" ref="F6155:F6218" si="192">E6155-D6155</f>
        <v>15.160155999998096</v>
      </c>
      <c r="G6155" s="8">
        <f t="shared" ref="G6155:G6218" si="193">F6155/1000</f>
        <v>1.5160155999998096E-2</v>
      </c>
    </row>
    <row r="6156" spans="1:7" x14ac:dyDescent="0.25">
      <c r="A6156" s="8">
        <v>82</v>
      </c>
      <c r="B6156" s="8">
        <v>21</v>
      </c>
      <c r="C6156" s="8">
        <v>1524.8382570000001</v>
      </c>
      <c r="D6156" s="8">
        <v>57098.113280999998</v>
      </c>
      <c r="E6156" s="8">
        <v>57122.128905999998</v>
      </c>
      <c r="F6156" s="8">
        <f t="shared" si="192"/>
        <v>24.015625</v>
      </c>
      <c r="G6156" s="8">
        <f t="shared" si="193"/>
        <v>2.4015624999999999E-2</v>
      </c>
    </row>
    <row r="6157" spans="1:7" x14ac:dyDescent="0.25">
      <c r="A6157" s="8">
        <v>82</v>
      </c>
      <c r="B6157" s="8">
        <v>22</v>
      </c>
      <c r="C6157" s="8">
        <v>63.058383999999997</v>
      </c>
      <c r="D6157" s="8">
        <v>58653.542969000002</v>
      </c>
      <c r="E6157" s="8">
        <v>58671.546875</v>
      </c>
      <c r="F6157" s="8">
        <f t="shared" si="192"/>
        <v>18.003905999998096</v>
      </c>
      <c r="G6157" s="8">
        <f t="shared" si="193"/>
        <v>1.8003905999998095E-2</v>
      </c>
    </row>
    <row r="6158" spans="1:7" x14ac:dyDescent="0.25">
      <c r="A6158" s="8">
        <v>82</v>
      </c>
      <c r="B6158" s="8">
        <v>23</v>
      </c>
      <c r="C6158" s="8">
        <v>1650.36853</v>
      </c>
      <c r="D6158" s="8">
        <v>58747.359375</v>
      </c>
      <c r="E6158" s="8">
        <v>58758.671875</v>
      </c>
      <c r="F6158" s="8">
        <f t="shared" si="192"/>
        <v>11.3125</v>
      </c>
      <c r="G6158" s="8">
        <f t="shared" si="193"/>
        <v>1.13125E-2</v>
      </c>
    </row>
    <row r="6159" spans="1:7" x14ac:dyDescent="0.25">
      <c r="A6159" s="8">
        <v>82</v>
      </c>
      <c r="B6159" s="8">
        <v>24</v>
      </c>
      <c r="C6159" s="8">
        <v>4631.404297</v>
      </c>
      <c r="D6159" s="8">
        <v>60419.402344000002</v>
      </c>
      <c r="E6159" s="8">
        <v>60439.875</v>
      </c>
      <c r="F6159" s="8">
        <f t="shared" si="192"/>
        <v>20.472655999998096</v>
      </c>
      <c r="G6159" s="8">
        <f t="shared" si="193"/>
        <v>2.0472655999998098E-2</v>
      </c>
    </row>
    <row r="6160" spans="1:7" x14ac:dyDescent="0.25">
      <c r="A6160" s="8">
        <v>82</v>
      </c>
      <c r="B6160" s="8">
        <v>25</v>
      </c>
      <c r="C6160" s="8">
        <v>1736.1843260000001</v>
      </c>
      <c r="D6160" s="8">
        <v>65074.71875</v>
      </c>
      <c r="E6160" s="8">
        <v>65082.3125</v>
      </c>
      <c r="F6160" s="8">
        <f t="shared" si="192"/>
        <v>7.59375</v>
      </c>
      <c r="G6160" s="8">
        <f t="shared" si="193"/>
        <v>7.5937499999999998E-3</v>
      </c>
    </row>
    <row r="6161" spans="1:7" x14ac:dyDescent="0.25">
      <c r="A6161" s="8">
        <v>82</v>
      </c>
      <c r="B6161" s="8">
        <v>26</v>
      </c>
      <c r="C6161" s="8">
        <v>1282.2921140000001</v>
      </c>
      <c r="D6161" s="8">
        <v>66824.953125</v>
      </c>
      <c r="E6161" s="8">
        <v>66845.195313000004</v>
      </c>
      <c r="F6161" s="8">
        <f t="shared" si="192"/>
        <v>20.242188000003807</v>
      </c>
      <c r="G6161" s="8">
        <f t="shared" si="193"/>
        <v>2.0242188000003807E-2</v>
      </c>
    </row>
    <row r="6162" spans="1:7" x14ac:dyDescent="0.25">
      <c r="A6162" s="8">
        <v>82</v>
      </c>
      <c r="B6162" s="8">
        <v>27</v>
      </c>
      <c r="C6162" s="8">
        <v>1153.816284</v>
      </c>
      <c r="D6162" s="8">
        <v>68139.046875</v>
      </c>
      <c r="E6162" s="8">
        <v>68158.5625</v>
      </c>
      <c r="F6162" s="8">
        <f t="shared" si="192"/>
        <v>19.515625</v>
      </c>
      <c r="G6162" s="8">
        <f t="shared" si="193"/>
        <v>1.9515625000000002E-2</v>
      </c>
    </row>
    <row r="6163" spans="1:7" x14ac:dyDescent="0.25">
      <c r="A6163" s="8">
        <v>82</v>
      </c>
      <c r="B6163" s="8">
        <v>28</v>
      </c>
      <c r="C6163" s="8">
        <v>3303.7854000000002</v>
      </c>
      <c r="D6163" s="8">
        <v>69327.054688000004</v>
      </c>
      <c r="E6163" s="8">
        <v>69350.554688000004</v>
      </c>
      <c r="F6163" s="8">
        <f t="shared" si="192"/>
        <v>23.5</v>
      </c>
      <c r="G6163" s="8">
        <f t="shared" si="193"/>
        <v>2.35E-2</v>
      </c>
    </row>
    <row r="6164" spans="1:7" x14ac:dyDescent="0.25">
      <c r="A6164" s="8">
        <v>82</v>
      </c>
      <c r="B6164" s="8">
        <v>29</v>
      </c>
      <c r="C6164" s="8">
        <v>3321.6970209999999</v>
      </c>
      <c r="D6164" s="8">
        <v>72654.1875</v>
      </c>
      <c r="E6164" s="8">
        <v>72675.351563000004</v>
      </c>
      <c r="F6164" s="8">
        <f t="shared" si="192"/>
        <v>21.164063000003807</v>
      </c>
      <c r="G6164" s="8">
        <f t="shared" si="193"/>
        <v>2.1164063000003806E-2</v>
      </c>
    </row>
    <row r="6165" spans="1:7" x14ac:dyDescent="0.25">
      <c r="A6165" s="8">
        <v>82</v>
      </c>
      <c r="B6165" s="8">
        <v>30</v>
      </c>
      <c r="C6165" s="8">
        <v>575.54730199999995</v>
      </c>
      <c r="D6165" s="8">
        <v>76007.046875</v>
      </c>
      <c r="E6165" s="8">
        <v>76033.664063000004</v>
      </c>
      <c r="F6165" s="8">
        <f t="shared" si="192"/>
        <v>26.617188000003807</v>
      </c>
      <c r="G6165" s="8">
        <f t="shared" si="193"/>
        <v>2.6617188000003806E-2</v>
      </c>
    </row>
    <row r="6166" spans="1:7" x14ac:dyDescent="0.25">
      <c r="A6166" s="8">
        <v>82</v>
      </c>
      <c r="B6166" s="8">
        <v>31</v>
      </c>
      <c r="C6166" s="8">
        <v>2812.2258299999999</v>
      </c>
      <c r="D6166" s="8">
        <v>76616.414063000004</v>
      </c>
      <c r="E6166" s="8">
        <v>76624.84375</v>
      </c>
      <c r="F6166" s="8">
        <f t="shared" si="192"/>
        <v>8.4296869999961928</v>
      </c>
      <c r="G6166" s="8">
        <f t="shared" si="193"/>
        <v>8.4296869999961922E-3</v>
      </c>
    </row>
    <row r="6167" spans="1:7" x14ac:dyDescent="0.25">
      <c r="A6167" s="8">
        <v>82</v>
      </c>
      <c r="B6167" s="8">
        <v>32</v>
      </c>
      <c r="C6167" s="8">
        <v>3058.654297</v>
      </c>
      <c r="D6167" s="8">
        <v>79441.601563000004</v>
      </c>
      <c r="E6167" s="8">
        <v>79456.585938000004</v>
      </c>
      <c r="F6167" s="8">
        <f t="shared" si="192"/>
        <v>14.984375</v>
      </c>
      <c r="G6167" s="8">
        <f t="shared" si="193"/>
        <v>1.4984374999999999E-2</v>
      </c>
    </row>
    <row r="6168" spans="1:7" x14ac:dyDescent="0.25">
      <c r="A6168" s="8">
        <v>82</v>
      </c>
      <c r="B6168" s="8">
        <v>33</v>
      </c>
      <c r="C6168" s="8">
        <v>1449.1008300000001</v>
      </c>
      <c r="D6168" s="8">
        <v>82526.773438000004</v>
      </c>
      <c r="E6168" s="8">
        <v>82534.21875</v>
      </c>
      <c r="F6168" s="8">
        <f t="shared" si="192"/>
        <v>7.4453119999961928</v>
      </c>
      <c r="G6168" s="8">
        <f t="shared" si="193"/>
        <v>7.4453119999961931E-3</v>
      </c>
    </row>
    <row r="6169" spans="1:7" x14ac:dyDescent="0.25">
      <c r="A6169" s="8">
        <v>82</v>
      </c>
      <c r="B6169" s="8">
        <v>34</v>
      </c>
      <c r="C6169" s="8">
        <v>59.911228000000001</v>
      </c>
      <c r="D6169" s="8">
        <v>83984.195313000004</v>
      </c>
      <c r="E6169" s="8">
        <v>84002.03125</v>
      </c>
      <c r="F6169" s="8">
        <f t="shared" si="192"/>
        <v>17.835936999996193</v>
      </c>
      <c r="G6169" s="8">
        <f t="shared" si="193"/>
        <v>1.7835936999996194E-2</v>
      </c>
    </row>
    <row r="6170" spans="1:7" x14ac:dyDescent="0.25">
      <c r="A6170" s="8">
        <v>82</v>
      </c>
      <c r="B6170" s="8">
        <v>35</v>
      </c>
      <c r="C6170" s="8">
        <v>917.22418200000004</v>
      </c>
      <c r="D6170" s="8">
        <v>84062.359375</v>
      </c>
      <c r="E6170" s="8">
        <v>84079.65625</v>
      </c>
      <c r="F6170" s="8">
        <f t="shared" si="192"/>
        <v>17.296875</v>
      </c>
      <c r="G6170" s="8">
        <f t="shared" si="193"/>
        <v>1.7296875E-2</v>
      </c>
    </row>
    <row r="6171" spans="1:7" x14ac:dyDescent="0.25">
      <c r="A6171" s="8">
        <v>82</v>
      </c>
      <c r="B6171" s="8">
        <v>36</v>
      </c>
      <c r="C6171" s="8">
        <v>383.61764499999998</v>
      </c>
      <c r="D6171" s="8">
        <v>85001.070313000004</v>
      </c>
      <c r="E6171" s="8">
        <v>85008.960938000004</v>
      </c>
      <c r="F6171" s="8">
        <f t="shared" si="192"/>
        <v>7.890625</v>
      </c>
      <c r="G6171" s="8">
        <f t="shared" si="193"/>
        <v>7.8906250000000001E-3</v>
      </c>
    </row>
    <row r="6172" spans="1:7" x14ac:dyDescent="0.25">
      <c r="A6172" s="8">
        <v>82</v>
      </c>
      <c r="B6172" s="8">
        <v>37</v>
      </c>
      <c r="C6172" s="8">
        <v>1019.434692</v>
      </c>
      <c r="D6172" s="8">
        <v>85393.25</v>
      </c>
      <c r="E6172" s="8">
        <v>85407.265625</v>
      </c>
      <c r="F6172" s="8">
        <f t="shared" si="192"/>
        <v>14.015625</v>
      </c>
      <c r="G6172" s="8">
        <f t="shared" si="193"/>
        <v>1.4015625E-2</v>
      </c>
    </row>
    <row r="6173" spans="1:7" x14ac:dyDescent="0.25">
      <c r="A6173" s="8">
        <v>82</v>
      </c>
      <c r="B6173" s="8">
        <v>38</v>
      </c>
      <c r="C6173" s="8">
        <v>6475.7705079999996</v>
      </c>
      <c r="D6173" s="8">
        <v>86440.25</v>
      </c>
      <c r="E6173" s="8">
        <v>86460.828125</v>
      </c>
      <c r="F6173" s="8">
        <f t="shared" si="192"/>
        <v>20.578125</v>
      </c>
      <c r="G6173" s="8">
        <f t="shared" si="193"/>
        <v>2.0578124999999999E-2</v>
      </c>
    </row>
    <row r="6174" spans="1:7" x14ac:dyDescent="0.25">
      <c r="A6174" s="8">
        <v>82</v>
      </c>
      <c r="B6174" s="8">
        <v>39</v>
      </c>
      <c r="C6174" s="8">
        <v>1632.7545170000001</v>
      </c>
      <c r="D6174" s="8">
        <v>92950.9375</v>
      </c>
      <c r="E6174" s="8">
        <v>92972.796875</v>
      </c>
      <c r="F6174" s="8">
        <f t="shared" si="192"/>
        <v>21.859375</v>
      </c>
      <c r="G6174" s="8">
        <f t="shared" si="193"/>
        <v>2.1859375E-2</v>
      </c>
    </row>
    <row r="6175" spans="1:7" x14ac:dyDescent="0.25">
      <c r="A6175" s="8">
        <v>82</v>
      </c>
      <c r="B6175" s="8">
        <v>40</v>
      </c>
      <c r="C6175" s="8">
        <v>1216.630249</v>
      </c>
      <c r="D6175" s="8">
        <v>94608.320313000004</v>
      </c>
      <c r="E6175" s="8">
        <v>94622.171875</v>
      </c>
      <c r="F6175" s="8">
        <f t="shared" si="192"/>
        <v>13.851561999996193</v>
      </c>
      <c r="G6175" s="8">
        <f t="shared" si="193"/>
        <v>1.3851561999996194E-2</v>
      </c>
    </row>
    <row r="6176" spans="1:7" x14ac:dyDescent="0.25">
      <c r="A6176" s="8">
        <v>82</v>
      </c>
      <c r="B6176" s="8">
        <v>41</v>
      </c>
      <c r="C6176" s="8">
        <v>1797.309814</v>
      </c>
      <c r="D6176" s="8">
        <v>95850.273438000004</v>
      </c>
      <c r="E6176" s="8">
        <v>95858.84375</v>
      </c>
      <c r="F6176" s="8">
        <f t="shared" si="192"/>
        <v>8.5703119999961928</v>
      </c>
      <c r="G6176" s="8">
        <f t="shared" si="193"/>
        <v>8.5703119999961924E-3</v>
      </c>
    </row>
    <row r="6177" spans="1:7" x14ac:dyDescent="0.25">
      <c r="A6177" s="8">
        <v>82</v>
      </c>
      <c r="B6177" s="8">
        <v>42</v>
      </c>
      <c r="C6177" s="8">
        <v>1360.279419</v>
      </c>
      <c r="D6177" s="8">
        <v>97668.9375</v>
      </c>
      <c r="E6177" s="8">
        <v>97677.242188000004</v>
      </c>
      <c r="F6177" s="8">
        <f t="shared" si="192"/>
        <v>8.3046880000038072</v>
      </c>
      <c r="G6177" s="8">
        <f t="shared" si="193"/>
        <v>8.304688000003807E-3</v>
      </c>
    </row>
    <row r="6178" spans="1:7" x14ac:dyDescent="0.25">
      <c r="A6178" s="8">
        <v>82</v>
      </c>
      <c r="B6178" s="8">
        <v>43</v>
      </c>
      <c r="C6178" s="8">
        <v>5847.080078</v>
      </c>
      <c r="D6178" s="8">
        <v>99050.9375</v>
      </c>
      <c r="E6178" s="8">
        <v>99079.25</v>
      </c>
      <c r="F6178" s="8">
        <f t="shared" si="192"/>
        <v>28.3125</v>
      </c>
      <c r="G6178" s="8">
        <f t="shared" si="193"/>
        <v>2.8312500000000001E-2</v>
      </c>
    </row>
    <row r="6179" spans="1:7" x14ac:dyDescent="0.25">
      <c r="A6179" s="8">
        <v>82</v>
      </c>
      <c r="B6179" s="8">
        <v>44</v>
      </c>
      <c r="C6179" s="8">
        <v>871.78509499999996</v>
      </c>
      <c r="D6179" s="8">
        <v>104940.859375</v>
      </c>
      <c r="E6179" s="8">
        <v>104958.164063</v>
      </c>
      <c r="F6179" s="8">
        <f t="shared" si="192"/>
        <v>17.304688000003807</v>
      </c>
      <c r="G6179" s="8">
        <f t="shared" si="193"/>
        <v>1.7304688000003808E-2</v>
      </c>
    </row>
    <row r="6180" spans="1:7" x14ac:dyDescent="0.25">
      <c r="A6180" s="8">
        <v>82</v>
      </c>
      <c r="B6180" s="8">
        <v>45</v>
      </c>
      <c r="C6180" s="8">
        <v>2091.8901369999999</v>
      </c>
      <c r="D6180" s="8">
        <v>105843.8125</v>
      </c>
      <c r="E6180" s="8">
        <v>105867.492188</v>
      </c>
      <c r="F6180" s="8">
        <f t="shared" si="192"/>
        <v>23.679688000003807</v>
      </c>
      <c r="G6180" s="8">
        <f t="shared" si="193"/>
        <v>2.3679688000003807E-2</v>
      </c>
    </row>
    <row r="6181" spans="1:7" x14ac:dyDescent="0.25">
      <c r="A6181" s="8">
        <v>82</v>
      </c>
      <c r="B6181" s="8">
        <v>46</v>
      </c>
      <c r="C6181" s="8">
        <v>640.22906499999999</v>
      </c>
      <c r="D6181" s="8">
        <v>107969.859375</v>
      </c>
      <c r="E6181" s="8">
        <v>107984.132813</v>
      </c>
      <c r="F6181" s="8">
        <f t="shared" si="192"/>
        <v>14.273438000003807</v>
      </c>
      <c r="G6181" s="8">
        <f t="shared" si="193"/>
        <v>1.4273438000003807E-2</v>
      </c>
    </row>
    <row r="6182" spans="1:7" x14ac:dyDescent="0.25">
      <c r="A6182" s="8">
        <v>82</v>
      </c>
      <c r="B6182" s="8">
        <v>47</v>
      </c>
      <c r="C6182" s="8">
        <v>399.80252100000001</v>
      </c>
      <c r="D6182" s="8">
        <v>108626.117188</v>
      </c>
      <c r="E6182" s="8">
        <v>108637.882813</v>
      </c>
      <c r="F6182" s="8">
        <f t="shared" si="192"/>
        <v>11.765625</v>
      </c>
      <c r="G6182" s="8">
        <f t="shared" si="193"/>
        <v>1.1765625E-2</v>
      </c>
    </row>
    <row r="6183" spans="1:7" x14ac:dyDescent="0.25">
      <c r="A6183" s="8">
        <v>82</v>
      </c>
      <c r="B6183" s="8">
        <v>48</v>
      </c>
      <c r="C6183" s="8">
        <v>2153.6342770000001</v>
      </c>
      <c r="D6183" s="8">
        <v>109047.890625</v>
      </c>
      <c r="E6183" s="8">
        <v>109064.34375</v>
      </c>
      <c r="F6183" s="8">
        <f t="shared" si="192"/>
        <v>16.453125</v>
      </c>
      <c r="G6183" s="8">
        <f t="shared" si="193"/>
        <v>1.6453124999999999E-2</v>
      </c>
    </row>
    <row r="6184" spans="1:7" x14ac:dyDescent="0.25">
      <c r="A6184" s="8">
        <v>82</v>
      </c>
      <c r="B6184" s="8">
        <v>49</v>
      </c>
      <c r="C6184" s="8">
        <v>1297.1811520000001</v>
      </c>
      <c r="D6184" s="8">
        <v>111220.992188</v>
      </c>
      <c r="E6184" s="8">
        <v>111239.34375</v>
      </c>
      <c r="F6184" s="8">
        <f t="shared" si="192"/>
        <v>18.351561999996193</v>
      </c>
      <c r="G6184" s="8">
        <f t="shared" si="193"/>
        <v>1.8351561999996192E-2</v>
      </c>
    </row>
    <row r="6185" spans="1:7" x14ac:dyDescent="0.25">
      <c r="A6185" s="8">
        <v>82</v>
      </c>
      <c r="B6185" s="8">
        <v>50</v>
      </c>
      <c r="C6185" s="8">
        <v>473.44906600000002</v>
      </c>
      <c r="D6185" s="8">
        <v>112540.320313</v>
      </c>
      <c r="E6185" s="8">
        <v>112548.117188</v>
      </c>
      <c r="F6185" s="8">
        <f t="shared" si="192"/>
        <v>7.796875</v>
      </c>
      <c r="G6185" s="8">
        <f t="shared" si="193"/>
        <v>7.796875E-3</v>
      </c>
    </row>
    <row r="6186" spans="1:7" x14ac:dyDescent="0.25">
      <c r="A6186" s="8">
        <v>82</v>
      </c>
      <c r="B6186" s="8">
        <v>51</v>
      </c>
      <c r="C6186" s="8">
        <v>248.18708799999999</v>
      </c>
      <c r="D6186" s="8">
        <v>113025.539063</v>
      </c>
      <c r="E6186" s="8">
        <v>113037.242188</v>
      </c>
      <c r="F6186" s="8">
        <f t="shared" si="192"/>
        <v>11.703125</v>
      </c>
      <c r="G6186" s="8">
        <f t="shared" si="193"/>
        <v>1.1703125E-2</v>
      </c>
    </row>
    <row r="6187" spans="1:7" x14ac:dyDescent="0.25">
      <c r="A6187" s="8">
        <v>82</v>
      </c>
      <c r="B6187" s="8">
        <v>52</v>
      </c>
      <c r="C6187" s="8">
        <v>1704.446899</v>
      </c>
      <c r="D6187" s="8">
        <v>113300.015625</v>
      </c>
      <c r="E6187" s="8">
        <v>113431.976563</v>
      </c>
      <c r="F6187" s="8">
        <f t="shared" si="192"/>
        <v>131.96093800000381</v>
      </c>
      <c r="G6187" s="8">
        <f t="shared" si="193"/>
        <v>0.1319609380000038</v>
      </c>
    </row>
    <row r="6188" spans="1:7" x14ac:dyDescent="0.25">
      <c r="A6188" s="8">
        <v>82</v>
      </c>
      <c r="B6188" s="8">
        <v>53</v>
      </c>
      <c r="C6188" s="8">
        <v>2377.8779300000001</v>
      </c>
      <c r="D6188" s="8">
        <v>115145.492188</v>
      </c>
      <c r="E6188" s="8">
        <v>115157.257813</v>
      </c>
      <c r="F6188" s="8">
        <f t="shared" si="192"/>
        <v>11.765625</v>
      </c>
      <c r="G6188" s="8">
        <f t="shared" si="193"/>
        <v>1.1765625E-2</v>
      </c>
    </row>
    <row r="6189" spans="1:7" x14ac:dyDescent="0.25">
      <c r="A6189" s="8">
        <v>82</v>
      </c>
      <c r="B6189" s="8">
        <v>54</v>
      </c>
      <c r="C6189" s="8">
        <v>725.93688999999995</v>
      </c>
      <c r="D6189" s="8">
        <v>117541.179688</v>
      </c>
      <c r="E6189" s="8">
        <v>117564.390625</v>
      </c>
      <c r="F6189" s="8">
        <f t="shared" si="192"/>
        <v>23.210936999996193</v>
      </c>
      <c r="G6189" s="8">
        <f t="shared" si="193"/>
        <v>2.3210936999996191E-2</v>
      </c>
    </row>
    <row r="6190" spans="1:7" x14ac:dyDescent="0.25">
      <c r="A6190" s="8">
        <v>82</v>
      </c>
      <c r="B6190" s="8">
        <v>55</v>
      </c>
      <c r="C6190" s="8">
        <v>2397.2116700000001</v>
      </c>
      <c r="D6190" s="8">
        <v>118291.085938</v>
      </c>
      <c r="E6190" s="8">
        <v>118304.289063</v>
      </c>
      <c r="F6190" s="8">
        <f t="shared" si="192"/>
        <v>13.203125</v>
      </c>
      <c r="G6190" s="8">
        <f t="shared" si="193"/>
        <v>1.3203125E-2</v>
      </c>
    </row>
    <row r="6191" spans="1:7" x14ac:dyDescent="0.25">
      <c r="A6191" s="8">
        <v>82</v>
      </c>
      <c r="B6191" s="8">
        <v>56</v>
      </c>
      <c r="C6191" s="8">
        <v>5019.9370120000003</v>
      </c>
      <c r="D6191" s="8">
        <v>120703</v>
      </c>
      <c r="E6191" s="8">
        <v>120720.242188</v>
      </c>
      <c r="F6191" s="8">
        <f t="shared" si="192"/>
        <v>17.242188000003807</v>
      </c>
      <c r="G6191" s="8">
        <f t="shared" si="193"/>
        <v>1.7242188000003808E-2</v>
      </c>
    </row>
    <row r="6192" spans="1:7" x14ac:dyDescent="0.25">
      <c r="A6192" s="8">
        <v>82</v>
      </c>
      <c r="B6192" s="8">
        <v>57</v>
      </c>
      <c r="C6192" s="8">
        <v>880.10809300000005</v>
      </c>
      <c r="D6192" s="8">
        <v>125752.867188</v>
      </c>
      <c r="E6192" s="8">
        <v>125767.007813</v>
      </c>
      <c r="F6192" s="8">
        <f t="shared" si="192"/>
        <v>14.140625</v>
      </c>
      <c r="G6192" s="8">
        <f t="shared" si="193"/>
        <v>1.4140625E-2</v>
      </c>
    </row>
    <row r="6193" spans="1:7" x14ac:dyDescent="0.25">
      <c r="A6193" s="8">
        <v>82</v>
      </c>
      <c r="B6193" s="8">
        <v>58</v>
      </c>
      <c r="C6193" s="8">
        <v>812.36511199999995</v>
      </c>
      <c r="D6193" s="8">
        <v>126659.21875</v>
      </c>
      <c r="E6193" s="8">
        <v>126672.695313</v>
      </c>
      <c r="F6193" s="8">
        <f t="shared" si="192"/>
        <v>13.476563000003807</v>
      </c>
      <c r="G6193" s="8">
        <f t="shared" si="193"/>
        <v>1.3476563000003806E-2</v>
      </c>
    </row>
    <row r="6194" spans="1:7" x14ac:dyDescent="0.25">
      <c r="A6194" s="8">
        <v>82</v>
      </c>
      <c r="B6194" s="8">
        <v>59</v>
      </c>
      <c r="C6194" s="8">
        <v>651.441101</v>
      </c>
      <c r="D6194" s="8">
        <v>127487.382813</v>
      </c>
      <c r="E6194" s="8">
        <v>127503.742188</v>
      </c>
      <c r="F6194" s="8">
        <f t="shared" si="192"/>
        <v>16.359375</v>
      </c>
      <c r="G6194" s="8">
        <f t="shared" si="193"/>
        <v>1.6359374999999999E-2</v>
      </c>
    </row>
    <row r="6195" spans="1:7" x14ac:dyDescent="0.25">
      <c r="A6195" s="8">
        <v>82</v>
      </c>
      <c r="B6195" s="8">
        <v>60</v>
      </c>
      <c r="C6195" s="8">
        <v>150.945663</v>
      </c>
      <c r="D6195" s="8">
        <v>128159.351563</v>
      </c>
      <c r="E6195" s="8">
        <v>128179.523438</v>
      </c>
      <c r="F6195" s="8">
        <f t="shared" si="192"/>
        <v>20.171875</v>
      </c>
      <c r="G6195" s="8">
        <f t="shared" si="193"/>
        <v>2.0171874999999999E-2</v>
      </c>
    </row>
    <row r="6196" spans="1:7" x14ac:dyDescent="0.25">
      <c r="A6196" s="8">
        <v>82</v>
      </c>
      <c r="B6196" s="8">
        <v>61</v>
      </c>
      <c r="C6196" s="8">
        <v>1494.1982419999999</v>
      </c>
      <c r="D6196" s="8">
        <v>128332.5625</v>
      </c>
      <c r="E6196" s="8">
        <v>128350.078125</v>
      </c>
      <c r="F6196" s="8">
        <f t="shared" si="192"/>
        <v>17.515625</v>
      </c>
      <c r="G6196" s="8">
        <f t="shared" si="193"/>
        <v>1.7515625E-2</v>
      </c>
    </row>
    <row r="6197" spans="1:7" x14ac:dyDescent="0.25">
      <c r="A6197" s="8">
        <v>82</v>
      </c>
      <c r="B6197" s="8">
        <v>62</v>
      </c>
      <c r="C6197" s="8">
        <v>10558.367188</v>
      </c>
      <c r="D6197" s="8">
        <v>129848.34375</v>
      </c>
      <c r="E6197" s="8">
        <v>129856.03125</v>
      </c>
      <c r="F6197" s="8">
        <f t="shared" si="192"/>
        <v>7.6875</v>
      </c>
      <c r="G6197" s="8">
        <f t="shared" si="193"/>
        <v>7.6874999999999999E-3</v>
      </c>
    </row>
    <row r="6198" spans="1:7" x14ac:dyDescent="0.25">
      <c r="A6198" s="8">
        <v>82</v>
      </c>
      <c r="B6198" s="8">
        <v>63</v>
      </c>
      <c r="C6198" s="8">
        <v>1708.028198</v>
      </c>
      <c r="D6198" s="8">
        <v>140420.140625</v>
      </c>
      <c r="E6198" s="8">
        <v>140434.015625</v>
      </c>
      <c r="F6198" s="8">
        <f t="shared" si="192"/>
        <v>13.875</v>
      </c>
      <c r="G6198" s="8">
        <f t="shared" si="193"/>
        <v>1.3875E-2</v>
      </c>
    </row>
    <row r="6199" spans="1:7" x14ac:dyDescent="0.25">
      <c r="A6199" s="8">
        <v>82</v>
      </c>
      <c r="B6199" s="8">
        <v>64</v>
      </c>
      <c r="C6199" s="8">
        <v>6475.7705079999996</v>
      </c>
      <c r="D6199" s="8">
        <v>142155.8125</v>
      </c>
      <c r="E6199" s="8">
        <v>142163.40625</v>
      </c>
      <c r="F6199" s="8">
        <f t="shared" si="192"/>
        <v>7.59375</v>
      </c>
      <c r="G6199" s="8">
        <f t="shared" si="193"/>
        <v>7.5937499999999998E-3</v>
      </c>
    </row>
    <row r="6200" spans="1:7" x14ac:dyDescent="0.25">
      <c r="A6200" s="8">
        <v>82</v>
      </c>
      <c r="B6200" s="8">
        <v>65</v>
      </c>
      <c r="C6200" s="8">
        <v>2314.5561520000001</v>
      </c>
      <c r="D6200" s="8">
        <v>148650.390625</v>
      </c>
      <c r="E6200" s="8">
        <v>148663.9375</v>
      </c>
      <c r="F6200" s="8">
        <f t="shared" si="192"/>
        <v>13.546875</v>
      </c>
      <c r="G6200" s="8">
        <f t="shared" si="193"/>
        <v>1.3546875E-2</v>
      </c>
    </row>
    <row r="6201" spans="1:7" x14ac:dyDescent="0.25">
      <c r="A6201" s="8">
        <v>82</v>
      </c>
      <c r="B6201" s="8">
        <v>66</v>
      </c>
      <c r="C6201" s="8">
        <v>1749.7536620000001</v>
      </c>
      <c r="D6201" s="8">
        <v>150983.28125</v>
      </c>
      <c r="E6201" s="8">
        <v>150997.609375</v>
      </c>
      <c r="F6201" s="8">
        <f t="shared" si="192"/>
        <v>14.328125</v>
      </c>
      <c r="G6201" s="8">
        <f t="shared" si="193"/>
        <v>1.4328125000000001E-2</v>
      </c>
    </row>
    <row r="6202" spans="1:7" x14ac:dyDescent="0.25">
      <c r="A6202" s="8">
        <v>82</v>
      </c>
      <c r="B6202" s="8">
        <v>67</v>
      </c>
      <c r="C6202" s="8">
        <v>13862.882813</v>
      </c>
      <c r="D6202" s="8">
        <v>152750.109375</v>
      </c>
      <c r="E6202" s="8">
        <v>152765</v>
      </c>
      <c r="F6202" s="8">
        <f t="shared" si="192"/>
        <v>14.890625</v>
      </c>
      <c r="G6202" s="8">
        <f t="shared" si="193"/>
        <v>1.4890624999999999E-2</v>
      </c>
    </row>
    <row r="6203" spans="1:7" x14ac:dyDescent="0.25">
      <c r="A6203" s="8">
        <v>82</v>
      </c>
      <c r="B6203" s="8">
        <v>68</v>
      </c>
      <c r="C6203" s="8">
        <v>6097.1791990000002</v>
      </c>
      <c r="D6203" s="8">
        <v>166630.15625</v>
      </c>
      <c r="E6203" s="8">
        <v>166653.390625</v>
      </c>
      <c r="F6203" s="8">
        <f t="shared" si="192"/>
        <v>23.234375</v>
      </c>
      <c r="G6203" s="8">
        <f t="shared" si="193"/>
        <v>2.3234375000000002E-2</v>
      </c>
    </row>
    <row r="6204" spans="1:7" x14ac:dyDescent="0.25">
      <c r="A6204" s="8">
        <v>83</v>
      </c>
      <c r="B6204" s="8">
        <v>0</v>
      </c>
      <c r="C6204" s="8">
        <v>1747.7052000000001</v>
      </c>
      <c r="D6204" s="8">
        <v>20088.244140999999</v>
      </c>
      <c r="E6204" s="8">
        <v>20107.705077999999</v>
      </c>
      <c r="F6204" s="8">
        <f t="shared" si="192"/>
        <v>19.460936999999831</v>
      </c>
      <c r="G6204" s="8">
        <f t="shared" si="193"/>
        <v>1.9460936999999831E-2</v>
      </c>
    </row>
    <row r="6205" spans="1:7" x14ac:dyDescent="0.25">
      <c r="A6205" s="8">
        <v>83</v>
      </c>
      <c r="B6205" s="8">
        <v>1</v>
      </c>
      <c r="C6205" s="8">
        <v>1142.6538089999999</v>
      </c>
      <c r="D6205" s="8">
        <v>21859.988281000002</v>
      </c>
      <c r="E6205" s="8">
        <v>21872.675781000002</v>
      </c>
      <c r="F6205" s="8">
        <f t="shared" si="192"/>
        <v>12.6875</v>
      </c>
      <c r="G6205" s="8">
        <f t="shared" si="193"/>
        <v>1.2687500000000001E-2</v>
      </c>
    </row>
    <row r="6206" spans="1:7" x14ac:dyDescent="0.25">
      <c r="A6206" s="8">
        <v>83</v>
      </c>
      <c r="B6206" s="8">
        <v>2</v>
      </c>
      <c r="C6206" s="8">
        <v>6419.0400390000004</v>
      </c>
      <c r="D6206" s="8">
        <v>23016.273438</v>
      </c>
      <c r="E6206" s="8">
        <v>23089.609375</v>
      </c>
      <c r="F6206" s="8">
        <f t="shared" si="192"/>
        <v>73.335936999999831</v>
      </c>
      <c r="G6206" s="8">
        <f t="shared" si="193"/>
        <v>7.3335936999999837E-2</v>
      </c>
    </row>
    <row r="6207" spans="1:7" x14ac:dyDescent="0.25">
      <c r="A6207" s="8">
        <v>83</v>
      </c>
      <c r="B6207" s="8">
        <v>3</v>
      </c>
      <c r="C6207" s="8">
        <v>167.07107500000001</v>
      </c>
      <c r="D6207" s="8">
        <v>29512.146484000001</v>
      </c>
      <c r="E6207" s="8">
        <v>29535.505859000001</v>
      </c>
      <c r="F6207" s="8">
        <f t="shared" si="192"/>
        <v>23.359375</v>
      </c>
      <c r="G6207" s="8">
        <f t="shared" si="193"/>
        <v>2.3359375000000002E-2</v>
      </c>
    </row>
    <row r="6208" spans="1:7" x14ac:dyDescent="0.25">
      <c r="A6208" s="8">
        <v>83</v>
      </c>
      <c r="B6208" s="8">
        <v>4</v>
      </c>
      <c r="C6208" s="8">
        <v>764.56494099999998</v>
      </c>
      <c r="D6208" s="8">
        <v>29715.34375</v>
      </c>
      <c r="E6208" s="8">
        <v>29740.832031000002</v>
      </c>
      <c r="F6208" s="8">
        <f t="shared" si="192"/>
        <v>25.488281000001734</v>
      </c>
      <c r="G6208" s="8">
        <f t="shared" si="193"/>
        <v>2.5488281000001733E-2</v>
      </c>
    </row>
    <row r="6209" spans="1:7" x14ac:dyDescent="0.25">
      <c r="A6209" s="8">
        <v>83</v>
      </c>
      <c r="B6209" s="8">
        <v>5</v>
      </c>
      <c r="C6209" s="8">
        <v>621.48663299999998</v>
      </c>
      <c r="D6209" s="8">
        <v>30515.476563</v>
      </c>
      <c r="E6209" s="8">
        <v>30523.419922000001</v>
      </c>
      <c r="F6209" s="8">
        <f t="shared" si="192"/>
        <v>7.9433590000007825</v>
      </c>
      <c r="G6209" s="8">
        <f t="shared" si="193"/>
        <v>7.9433590000007829E-3</v>
      </c>
    </row>
    <row r="6210" spans="1:7" x14ac:dyDescent="0.25">
      <c r="A6210" s="8">
        <v>83</v>
      </c>
      <c r="B6210" s="8">
        <v>6</v>
      </c>
      <c r="C6210" s="8">
        <v>1616.1160890000001</v>
      </c>
      <c r="D6210" s="8">
        <v>31159.765625</v>
      </c>
      <c r="E6210" s="8">
        <v>31173.720702999999</v>
      </c>
      <c r="F6210" s="8">
        <f t="shared" si="192"/>
        <v>13.955077999999048</v>
      </c>
      <c r="G6210" s="8">
        <f t="shared" si="193"/>
        <v>1.3955077999999049E-2</v>
      </c>
    </row>
    <row r="6211" spans="1:7" x14ac:dyDescent="0.25">
      <c r="A6211" s="8">
        <v>83</v>
      </c>
      <c r="B6211" s="8">
        <v>7</v>
      </c>
      <c r="C6211" s="8">
        <v>1095.869263</v>
      </c>
      <c r="D6211" s="8">
        <v>32801.394530999998</v>
      </c>
      <c r="E6211" s="8">
        <v>32809.164062999997</v>
      </c>
      <c r="F6211" s="8">
        <f t="shared" si="192"/>
        <v>7.7695319999984349</v>
      </c>
      <c r="G6211" s="8">
        <f t="shared" si="193"/>
        <v>7.7695319999984353E-3</v>
      </c>
    </row>
    <row r="6212" spans="1:7" x14ac:dyDescent="0.25">
      <c r="A6212" s="8">
        <v>83</v>
      </c>
      <c r="B6212" s="8">
        <v>8</v>
      </c>
      <c r="C6212" s="8">
        <v>2589.0666500000002</v>
      </c>
      <c r="D6212" s="8">
        <v>33915.542969000002</v>
      </c>
      <c r="E6212" s="8">
        <v>33923.859375</v>
      </c>
      <c r="F6212" s="8">
        <f t="shared" si="192"/>
        <v>8.3164059999980964</v>
      </c>
      <c r="G6212" s="8">
        <f t="shared" si="193"/>
        <v>8.3164059999980972E-3</v>
      </c>
    </row>
    <row r="6213" spans="1:7" x14ac:dyDescent="0.25">
      <c r="A6213" s="8">
        <v>83</v>
      </c>
      <c r="B6213" s="8">
        <v>9</v>
      </c>
      <c r="C6213" s="8">
        <v>743.12103300000001</v>
      </c>
      <c r="D6213" s="8">
        <v>36519.019530999998</v>
      </c>
      <c r="E6213" s="8">
        <v>36529.9375</v>
      </c>
      <c r="F6213" s="8">
        <f t="shared" si="192"/>
        <v>10.917969000001904</v>
      </c>
      <c r="G6213" s="8">
        <f t="shared" si="193"/>
        <v>1.0917969000001904E-2</v>
      </c>
    </row>
    <row r="6214" spans="1:7" x14ac:dyDescent="0.25">
      <c r="A6214" s="8">
        <v>83</v>
      </c>
      <c r="B6214" s="8">
        <v>10</v>
      </c>
      <c r="C6214" s="8">
        <v>4940.4272460000002</v>
      </c>
      <c r="D6214" s="8">
        <v>37284.628905999998</v>
      </c>
      <c r="E6214" s="8">
        <v>37306.160155999998</v>
      </c>
      <c r="F6214" s="8">
        <f t="shared" si="192"/>
        <v>21.53125</v>
      </c>
      <c r="G6214" s="8">
        <f t="shared" si="193"/>
        <v>2.1531249999999998E-2</v>
      </c>
    </row>
    <row r="6215" spans="1:7" x14ac:dyDescent="0.25">
      <c r="A6215" s="8">
        <v>83</v>
      </c>
      <c r="B6215" s="8">
        <v>11</v>
      </c>
      <c r="C6215" s="8">
        <v>7931.6918949999999</v>
      </c>
      <c r="D6215" s="8">
        <v>42247.191405999998</v>
      </c>
      <c r="E6215" s="8">
        <v>42268.957030999998</v>
      </c>
      <c r="F6215" s="8">
        <f t="shared" si="192"/>
        <v>21.765625</v>
      </c>
      <c r="G6215" s="8">
        <f t="shared" si="193"/>
        <v>2.1765625E-2</v>
      </c>
    </row>
    <row r="6216" spans="1:7" x14ac:dyDescent="0.25">
      <c r="A6216" s="8">
        <v>83</v>
      </c>
      <c r="B6216" s="8">
        <v>12</v>
      </c>
      <c r="C6216" s="8">
        <v>2981.8386230000001</v>
      </c>
      <c r="D6216" s="8">
        <v>50205.964844000002</v>
      </c>
      <c r="E6216" s="8">
        <v>50217.597655999998</v>
      </c>
      <c r="F6216" s="8">
        <f t="shared" si="192"/>
        <v>11.632811999996193</v>
      </c>
      <c r="G6216" s="8">
        <f t="shared" si="193"/>
        <v>1.1632811999996193E-2</v>
      </c>
    </row>
    <row r="6217" spans="1:7" x14ac:dyDescent="0.25">
      <c r="A6217" s="8">
        <v>83</v>
      </c>
      <c r="B6217" s="8">
        <v>13</v>
      </c>
      <c r="C6217" s="8">
        <v>43.875061000000002</v>
      </c>
      <c r="D6217" s="8">
        <v>53202.472655999998</v>
      </c>
      <c r="E6217" s="8">
        <v>53222.390625</v>
      </c>
      <c r="F6217" s="8">
        <f t="shared" si="192"/>
        <v>19.917969000001904</v>
      </c>
      <c r="G6217" s="8">
        <f t="shared" si="193"/>
        <v>1.9917969000001902E-2</v>
      </c>
    </row>
    <row r="6218" spans="1:7" x14ac:dyDescent="0.25">
      <c r="A6218" s="8">
        <v>83</v>
      </c>
      <c r="B6218" s="8">
        <v>14</v>
      </c>
      <c r="C6218" s="8">
        <v>202.01170300000001</v>
      </c>
      <c r="D6218" s="8">
        <v>53280.574219000002</v>
      </c>
      <c r="E6218" s="8">
        <v>53295.882812999997</v>
      </c>
      <c r="F6218" s="8">
        <f t="shared" si="192"/>
        <v>15.308593999994628</v>
      </c>
      <c r="G6218" s="8">
        <f t="shared" si="193"/>
        <v>1.5308593999994628E-2</v>
      </c>
    </row>
    <row r="6219" spans="1:7" x14ac:dyDescent="0.25">
      <c r="A6219" s="8">
        <v>83</v>
      </c>
      <c r="B6219" s="8">
        <v>15</v>
      </c>
      <c r="C6219" s="8">
        <v>3528.3166500000002</v>
      </c>
      <c r="D6219" s="8">
        <v>53499.390625</v>
      </c>
      <c r="E6219" s="8">
        <v>53583.464844000002</v>
      </c>
      <c r="F6219" s="8">
        <f t="shared" ref="F6219:F6282" si="194">E6219-D6219</f>
        <v>84.074219000001904</v>
      </c>
      <c r="G6219" s="8">
        <f t="shared" ref="G6219:G6282" si="195">F6219/1000</f>
        <v>8.4074219000001907E-2</v>
      </c>
    </row>
    <row r="6220" spans="1:7" x14ac:dyDescent="0.25">
      <c r="A6220" s="8">
        <v>83</v>
      </c>
      <c r="B6220" s="8">
        <v>16</v>
      </c>
      <c r="C6220" s="8">
        <v>126.60855100000001</v>
      </c>
      <c r="D6220" s="8">
        <v>57113.882812999997</v>
      </c>
      <c r="E6220" s="8">
        <v>57135.089844000002</v>
      </c>
      <c r="F6220" s="8">
        <f t="shared" si="194"/>
        <v>21.207031000005372</v>
      </c>
      <c r="G6220" s="8">
        <f t="shared" si="195"/>
        <v>2.1207031000005372E-2</v>
      </c>
    </row>
    <row r="6221" spans="1:7" x14ac:dyDescent="0.25">
      <c r="A6221" s="8">
        <v>83</v>
      </c>
      <c r="B6221" s="8">
        <v>17</v>
      </c>
      <c r="C6221" s="8">
        <v>2277.8081050000001</v>
      </c>
      <c r="D6221" s="8">
        <v>57270.089844000002</v>
      </c>
      <c r="E6221" s="8">
        <v>57301.890625</v>
      </c>
      <c r="F6221" s="8">
        <f t="shared" si="194"/>
        <v>31.800780999998096</v>
      </c>
      <c r="G6221" s="8">
        <f t="shared" si="195"/>
        <v>3.1800780999998099E-2</v>
      </c>
    </row>
    <row r="6222" spans="1:7" x14ac:dyDescent="0.25">
      <c r="A6222" s="8">
        <v>83</v>
      </c>
      <c r="B6222" s="8">
        <v>18</v>
      </c>
      <c r="C6222" s="8">
        <v>1601.924683</v>
      </c>
      <c r="D6222" s="8">
        <v>59591.171875</v>
      </c>
      <c r="E6222" s="8">
        <v>59598.980469000002</v>
      </c>
      <c r="F6222" s="8">
        <f t="shared" si="194"/>
        <v>7.8085940000019036</v>
      </c>
      <c r="G6222" s="8">
        <f t="shared" si="195"/>
        <v>7.8085940000019033E-3</v>
      </c>
    </row>
    <row r="6223" spans="1:7" x14ac:dyDescent="0.25">
      <c r="A6223" s="8">
        <v>83</v>
      </c>
      <c r="B6223" s="8">
        <v>19</v>
      </c>
      <c r="C6223" s="8">
        <v>518.81671100000005</v>
      </c>
      <c r="D6223" s="8">
        <v>61200.699219000002</v>
      </c>
      <c r="E6223" s="8">
        <v>61212.039062999997</v>
      </c>
      <c r="F6223" s="8">
        <f t="shared" si="194"/>
        <v>11.339843999994628</v>
      </c>
      <c r="G6223" s="8">
        <f t="shared" si="195"/>
        <v>1.1339843999994628E-2</v>
      </c>
    </row>
    <row r="6224" spans="1:7" x14ac:dyDescent="0.25">
      <c r="A6224" s="8">
        <v>83</v>
      </c>
      <c r="B6224" s="8">
        <v>20</v>
      </c>
      <c r="C6224" s="8">
        <v>1051.7026370000001</v>
      </c>
      <c r="D6224" s="8">
        <v>61732.015625</v>
      </c>
      <c r="E6224" s="8">
        <v>61748.652344000002</v>
      </c>
      <c r="F6224" s="8">
        <f t="shared" si="194"/>
        <v>16.636719000001904</v>
      </c>
      <c r="G6224" s="8">
        <f t="shared" si="195"/>
        <v>1.6636719000001902E-2</v>
      </c>
    </row>
    <row r="6225" spans="1:7" x14ac:dyDescent="0.25">
      <c r="A6225" s="8">
        <v>83</v>
      </c>
      <c r="B6225" s="8">
        <v>21</v>
      </c>
      <c r="C6225" s="8">
        <v>1270.736938</v>
      </c>
      <c r="D6225" s="8">
        <v>62813.402344000002</v>
      </c>
      <c r="E6225" s="8">
        <v>62827.253905999998</v>
      </c>
      <c r="F6225" s="8">
        <f t="shared" si="194"/>
        <v>13.851561999996193</v>
      </c>
      <c r="G6225" s="8">
        <f t="shared" si="195"/>
        <v>1.3851561999996194E-2</v>
      </c>
    </row>
    <row r="6226" spans="1:7" x14ac:dyDescent="0.25">
      <c r="A6226" s="8">
        <v>83</v>
      </c>
      <c r="B6226" s="8">
        <v>22</v>
      </c>
      <c r="C6226" s="8">
        <v>592.055969</v>
      </c>
      <c r="D6226" s="8">
        <v>64105.125</v>
      </c>
      <c r="E6226" s="8">
        <v>64192.808594000002</v>
      </c>
      <c r="F6226" s="8">
        <f t="shared" si="194"/>
        <v>87.683594000001904</v>
      </c>
      <c r="G6226" s="8">
        <f t="shared" si="195"/>
        <v>8.7683594000001905E-2</v>
      </c>
    </row>
    <row r="6227" spans="1:7" x14ac:dyDescent="0.25">
      <c r="A6227" s="8">
        <v>83</v>
      </c>
      <c r="B6227" s="8">
        <v>23</v>
      </c>
      <c r="C6227" s="8">
        <v>337.06225599999999</v>
      </c>
      <c r="D6227" s="8">
        <v>64793.433594000002</v>
      </c>
      <c r="E6227" s="8">
        <v>64813.171875</v>
      </c>
      <c r="F6227" s="8">
        <f t="shared" si="194"/>
        <v>19.738280999998096</v>
      </c>
      <c r="G6227" s="8">
        <f t="shared" si="195"/>
        <v>1.9738280999998095E-2</v>
      </c>
    </row>
    <row r="6228" spans="1:7" x14ac:dyDescent="0.25">
      <c r="A6228" s="8">
        <v>83</v>
      </c>
      <c r="B6228" s="8">
        <v>24</v>
      </c>
      <c r="C6228" s="8">
        <v>2332.304443</v>
      </c>
      <c r="D6228" s="8">
        <v>65152.628905999998</v>
      </c>
      <c r="E6228" s="8">
        <v>65160.410155999998</v>
      </c>
      <c r="F6228" s="8">
        <f t="shared" si="194"/>
        <v>7.78125</v>
      </c>
      <c r="G6228" s="8">
        <f t="shared" si="195"/>
        <v>7.78125E-3</v>
      </c>
    </row>
    <row r="6229" spans="1:7" x14ac:dyDescent="0.25">
      <c r="A6229" s="8">
        <v>83</v>
      </c>
      <c r="B6229" s="8">
        <v>25</v>
      </c>
      <c r="C6229" s="8">
        <v>4551.3935549999997</v>
      </c>
      <c r="D6229" s="8">
        <v>67498.375</v>
      </c>
      <c r="E6229" s="8">
        <v>67519.328125</v>
      </c>
      <c r="F6229" s="8">
        <f t="shared" si="194"/>
        <v>20.953125</v>
      </c>
      <c r="G6229" s="8">
        <f t="shared" si="195"/>
        <v>2.0953125E-2</v>
      </c>
    </row>
    <row r="6230" spans="1:7" x14ac:dyDescent="0.25">
      <c r="A6230" s="8">
        <v>83</v>
      </c>
      <c r="B6230" s="8">
        <v>26</v>
      </c>
      <c r="C6230" s="8">
        <v>3777.242432</v>
      </c>
      <c r="D6230" s="8">
        <v>72076.03125</v>
      </c>
      <c r="E6230" s="8">
        <v>72086.21875</v>
      </c>
      <c r="F6230" s="8">
        <f t="shared" si="194"/>
        <v>10.1875</v>
      </c>
      <c r="G6230" s="8">
        <f t="shared" si="195"/>
        <v>1.01875E-2</v>
      </c>
    </row>
    <row r="6231" spans="1:7" x14ac:dyDescent="0.25">
      <c r="A6231" s="8">
        <v>83</v>
      </c>
      <c r="B6231" s="8">
        <v>27</v>
      </c>
      <c r="C6231" s="8">
        <v>2750.91626</v>
      </c>
      <c r="D6231" s="8">
        <v>75866.390625</v>
      </c>
      <c r="E6231" s="8">
        <v>75877.742188000004</v>
      </c>
      <c r="F6231" s="8">
        <f t="shared" si="194"/>
        <v>11.351563000003807</v>
      </c>
      <c r="G6231" s="8">
        <f t="shared" si="195"/>
        <v>1.1351563000003808E-2</v>
      </c>
    </row>
    <row r="6232" spans="1:7" x14ac:dyDescent="0.25">
      <c r="A6232" s="8">
        <v>83</v>
      </c>
      <c r="B6232" s="8">
        <v>28</v>
      </c>
      <c r="C6232" s="8">
        <v>3574.445068</v>
      </c>
      <c r="D6232" s="8">
        <v>78638.429688000004</v>
      </c>
      <c r="E6232" s="8">
        <v>78649.25</v>
      </c>
      <c r="F6232" s="8">
        <f t="shared" si="194"/>
        <v>10.820311999996193</v>
      </c>
      <c r="G6232" s="8">
        <f t="shared" si="195"/>
        <v>1.0820311999996193E-2</v>
      </c>
    </row>
    <row r="6233" spans="1:7" x14ac:dyDescent="0.25">
      <c r="A6233" s="8">
        <v>83</v>
      </c>
      <c r="B6233" s="8">
        <v>29</v>
      </c>
      <c r="C6233" s="8">
        <v>1909.8636469999999</v>
      </c>
      <c r="D6233" s="8">
        <v>82229.898438000004</v>
      </c>
      <c r="E6233" s="8">
        <v>82252.257813000004</v>
      </c>
      <c r="F6233" s="8">
        <f t="shared" si="194"/>
        <v>22.359375</v>
      </c>
      <c r="G6233" s="8">
        <f t="shared" si="195"/>
        <v>2.2359375000000001E-2</v>
      </c>
    </row>
    <row r="6234" spans="1:7" x14ac:dyDescent="0.25">
      <c r="A6234" s="8">
        <v>83</v>
      </c>
      <c r="B6234" s="8">
        <v>30</v>
      </c>
      <c r="C6234" s="8">
        <v>1417.854126</v>
      </c>
      <c r="D6234" s="8">
        <v>84171.742188000004</v>
      </c>
      <c r="E6234" s="8">
        <v>84188.953125</v>
      </c>
      <c r="F6234" s="8">
        <f t="shared" si="194"/>
        <v>17.210936999996193</v>
      </c>
      <c r="G6234" s="8">
        <f t="shared" si="195"/>
        <v>1.7210936999996193E-2</v>
      </c>
    </row>
    <row r="6235" spans="1:7" x14ac:dyDescent="0.25">
      <c r="A6235" s="8">
        <v>83</v>
      </c>
      <c r="B6235" s="8">
        <v>31</v>
      </c>
      <c r="C6235" s="8">
        <v>1556.353638</v>
      </c>
      <c r="D6235" s="8">
        <v>85612.0625</v>
      </c>
      <c r="E6235" s="8">
        <v>85626.851563000004</v>
      </c>
      <c r="F6235" s="8">
        <f t="shared" si="194"/>
        <v>14.789063000003807</v>
      </c>
      <c r="G6235" s="8">
        <f t="shared" si="195"/>
        <v>1.4789063000003808E-2</v>
      </c>
    </row>
    <row r="6236" spans="1:7" x14ac:dyDescent="0.25">
      <c r="A6236" s="8">
        <v>83</v>
      </c>
      <c r="B6236" s="8">
        <v>32</v>
      </c>
      <c r="C6236" s="8">
        <v>1438.1713870000001</v>
      </c>
      <c r="D6236" s="8">
        <v>87190.34375</v>
      </c>
      <c r="E6236" s="8">
        <v>87211.578125</v>
      </c>
      <c r="F6236" s="8">
        <f t="shared" si="194"/>
        <v>21.234375</v>
      </c>
      <c r="G6236" s="8">
        <f t="shared" si="195"/>
        <v>2.1234375E-2</v>
      </c>
    </row>
    <row r="6237" spans="1:7" x14ac:dyDescent="0.25">
      <c r="A6237" s="8">
        <v>83</v>
      </c>
      <c r="B6237" s="8">
        <v>33</v>
      </c>
      <c r="C6237" s="8">
        <v>638.38055399999996</v>
      </c>
      <c r="D6237" s="8">
        <v>88662.273438000004</v>
      </c>
      <c r="E6237" s="8">
        <v>88688.375</v>
      </c>
      <c r="F6237" s="8">
        <f t="shared" si="194"/>
        <v>26.101561999996193</v>
      </c>
      <c r="G6237" s="8">
        <f t="shared" si="195"/>
        <v>2.6101561999996192E-2</v>
      </c>
    </row>
    <row r="6238" spans="1:7" x14ac:dyDescent="0.25">
      <c r="A6238" s="8">
        <v>83</v>
      </c>
      <c r="B6238" s="8">
        <v>34</v>
      </c>
      <c r="C6238" s="8">
        <v>3166.5854490000002</v>
      </c>
      <c r="D6238" s="8">
        <v>89334.101563000004</v>
      </c>
      <c r="E6238" s="8">
        <v>89345.71875</v>
      </c>
      <c r="F6238" s="8">
        <f t="shared" si="194"/>
        <v>11.617186999996193</v>
      </c>
      <c r="G6238" s="8">
        <f t="shared" si="195"/>
        <v>1.1617186999996193E-2</v>
      </c>
    </row>
    <row r="6239" spans="1:7" x14ac:dyDescent="0.25">
      <c r="A6239" s="8">
        <v>83</v>
      </c>
      <c r="B6239" s="8">
        <v>35</v>
      </c>
      <c r="C6239" s="8">
        <v>3477.6635740000002</v>
      </c>
      <c r="D6239" s="8">
        <v>92526.9375</v>
      </c>
      <c r="E6239" s="8">
        <v>92536.28125</v>
      </c>
      <c r="F6239" s="8">
        <f t="shared" si="194"/>
        <v>9.34375</v>
      </c>
      <c r="G6239" s="8">
        <f t="shared" si="195"/>
        <v>9.3437499999999996E-3</v>
      </c>
    </row>
    <row r="6240" spans="1:7" x14ac:dyDescent="0.25">
      <c r="A6240" s="8">
        <v>83</v>
      </c>
      <c r="B6240" s="8">
        <v>36</v>
      </c>
      <c r="C6240" s="8">
        <v>1183.2666019999999</v>
      </c>
      <c r="D6240" s="8">
        <v>96022.164063000004</v>
      </c>
      <c r="E6240" s="8">
        <v>96030.515625</v>
      </c>
      <c r="F6240" s="8">
        <f t="shared" si="194"/>
        <v>8.3515619999961928</v>
      </c>
      <c r="G6240" s="8">
        <f t="shared" si="195"/>
        <v>8.3515619999961922E-3</v>
      </c>
    </row>
    <row r="6241" spans="1:7" x14ac:dyDescent="0.25">
      <c r="A6241" s="8">
        <v>83</v>
      </c>
      <c r="B6241" s="8">
        <v>37</v>
      </c>
      <c r="C6241" s="8">
        <v>1264.4097899999999</v>
      </c>
      <c r="D6241" s="8">
        <v>97216</v>
      </c>
      <c r="E6241" s="8">
        <v>97235.875</v>
      </c>
      <c r="F6241" s="8">
        <f t="shared" si="194"/>
        <v>19.875</v>
      </c>
      <c r="G6241" s="8">
        <f t="shared" si="195"/>
        <v>1.9875E-2</v>
      </c>
    </row>
    <row r="6242" spans="1:7" x14ac:dyDescent="0.25">
      <c r="A6242" s="8">
        <v>83</v>
      </c>
      <c r="B6242" s="8">
        <v>38</v>
      </c>
      <c r="C6242" s="8">
        <v>372.26284800000002</v>
      </c>
      <c r="D6242" s="8">
        <v>98503.953125</v>
      </c>
      <c r="E6242" s="8">
        <v>98530.640625</v>
      </c>
      <c r="F6242" s="8">
        <f t="shared" si="194"/>
        <v>26.6875</v>
      </c>
      <c r="G6242" s="8">
        <f t="shared" si="195"/>
        <v>2.6687499999999999E-2</v>
      </c>
    </row>
    <row r="6243" spans="1:7" x14ac:dyDescent="0.25">
      <c r="A6243" s="8">
        <v>83</v>
      </c>
      <c r="B6243" s="8">
        <v>39</v>
      </c>
      <c r="C6243" s="8">
        <v>6537.3627930000002</v>
      </c>
      <c r="D6243" s="8">
        <v>98910.289063000004</v>
      </c>
      <c r="E6243" s="8">
        <v>98926.492188000004</v>
      </c>
      <c r="F6243" s="8">
        <f t="shared" si="194"/>
        <v>16.203125</v>
      </c>
      <c r="G6243" s="8">
        <f t="shared" si="195"/>
        <v>1.6203124999999999E-2</v>
      </c>
    </row>
    <row r="6244" spans="1:7" x14ac:dyDescent="0.25">
      <c r="A6244" s="8">
        <v>83</v>
      </c>
      <c r="B6244" s="8">
        <v>40</v>
      </c>
      <c r="C6244" s="8">
        <v>3266.2478030000002</v>
      </c>
      <c r="D6244" s="8">
        <v>105478.0625</v>
      </c>
      <c r="E6244" s="8">
        <v>105495.632813</v>
      </c>
      <c r="F6244" s="8">
        <f t="shared" si="194"/>
        <v>17.570313000003807</v>
      </c>
      <c r="G6244" s="8">
        <f t="shared" si="195"/>
        <v>1.7570313000003807E-2</v>
      </c>
    </row>
    <row r="6245" spans="1:7" x14ac:dyDescent="0.25">
      <c r="A6245" s="8">
        <v>83</v>
      </c>
      <c r="B6245" s="8">
        <v>41</v>
      </c>
      <c r="C6245" s="8">
        <v>1019.637939</v>
      </c>
      <c r="D6245" s="8">
        <v>108766.867188</v>
      </c>
      <c r="E6245" s="8">
        <v>108785.984375</v>
      </c>
      <c r="F6245" s="8">
        <f t="shared" si="194"/>
        <v>19.117186999996193</v>
      </c>
      <c r="G6245" s="8">
        <f t="shared" si="195"/>
        <v>1.9117186999996191E-2</v>
      </c>
    </row>
    <row r="6246" spans="1:7" x14ac:dyDescent="0.25">
      <c r="A6246" s="8">
        <v>83</v>
      </c>
      <c r="B6246" s="8">
        <v>42</v>
      </c>
      <c r="C6246" s="8">
        <v>1045.207275</v>
      </c>
      <c r="D6246" s="8">
        <v>109814.539063</v>
      </c>
      <c r="E6246" s="8">
        <v>109825.851563</v>
      </c>
      <c r="F6246" s="8">
        <f t="shared" si="194"/>
        <v>11.3125</v>
      </c>
      <c r="G6246" s="8">
        <f t="shared" si="195"/>
        <v>1.13125E-2</v>
      </c>
    </row>
    <row r="6247" spans="1:7" x14ac:dyDescent="0.25">
      <c r="A6247" s="8">
        <v>83</v>
      </c>
      <c r="B6247" s="8">
        <v>43</v>
      </c>
      <c r="C6247" s="8">
        <v>53.882652</v>
      </c>
      <c r="D6247" s="8">
        <v>110877.179688</v>
      </c>
      <c r="E6247" s="8">
        <v>110888.640625</v>
      </c>
      <c r="F6247" s="8">
        <f t="shared" si="194"/>
        <v>11.460936999996193</v>
      </c>
      <c r="G6247" s="8">
        <f t="shared" si="195"/>
        <v>1.1460936999996193E-2</v>
      </c>
    </row>
    <row r="6248" spans="1:7" x14ac:dyDescent="0.25">
      <c r="A6248" s="8">
        <v>83</v>
      </c>
      <c r="B6248" s="8">
        <v>44</v>
      </c>
      <c r="C6248" s="8">
        <v>2319.41626</v>
      </c>
      <c r="D6248" s="8">
        <v>110955.320313</v>
      </c>
      <c r="E6248" s="8">
        <v>110972.773438</v>
      </c>
      <c r="F6248" s="8">
        <f t="shared" si="194"/>
        <v>17.453125</v>
      </c>
      <c r="G6248" s="8">
        <f t="shared" si="195"/>
        <v>1.7453125E-2</v>
      </c>
    </row>
    <row r="6249" spans="1:7" x14ac:dyDescent="0.25">
      <c r="A6249" s="8">
        <v>83</v>
      </c>
      <c r="B6249" s="8">
        <v>45</v>
      </c>
      <c r="C6249" s="8">
        <v>753.68078600000001</v>
      </c>
      <c r="D6249" s="8">
        <v>113300</v>
      </c>
      <c r="E6249" s="8">
        <v>113431.617188</v>
      </c>
      <c r="F6249" s="8">
        <f t="shared" si="194"/>
        <v>131.61718800000381</v>
      </c>
      <c r="G6249" s="8">
        <f t="shared" si="195"/>
        <v>0.1316171880000038</v>
      </c>
    </row>
    <row r="6250" spans="1:7" x14ac:dyDescent="0.25">
      <c r="A6250" s="8">
        <v>83</v>
      </c>
      <c r="B6250" s="8">
        <v>46</v>
      </c>
      <c r="C6250" s="8">
        <v>1947.8104249999999</v>
      </c>
      <c r="D6250" s="8">
        <v>114190.710938</v>
      </c>
      <c r="E6250" s="8">
        <v>114211.398438</v>
      </c>
      <c r="F6250" s="8">
        <f t="shared" si="194"/>
        <v>20.6875</v>
      </c>
      <c r="G6250" s="8">
        <f t="shared" si="195"/>
        <v>2.0687500000000001E-2</v>
      </c>
    </row>
    <row r="6251" spans="1:7" x14ac:dyDescent="0.25">
      <c r="A6251" s="8">
        <v>83</v>
      </c>
      <c r="B6251" s="8">
        <v>47</v>
      </c>
      <c r="C6251" s="8">
        <v>1769.7641599999999</v>
      </c>
      <c r="D6251" s="8">
        <v>116161.296875</v>
      </c>
      <c r="E6251" s="8">
        <v>116175.835938</v>
      </c>
      <c r="F6251" s="8">
        <f t="shared" si="194"/>
        <v>14.539063000003807</v>
      </c>
      <c r="G6251" s="8">
        <f t="shared" si="195"/>
        <v>1.4539063000003807E-2</v>
      </c>
    </row>
    <row r="6252" spans="1:7" x14ac:dyDescent="0.25">
      <c r="A6252" s="8">
        <v>83</v>
      </c>
      <c r="B6252" s="8">
        <v>48</v>
      </c>
      <c r="C6252" s="8">
        <v>284.23541299999999</v>
      </c>
      <c r="D6252" s="8">
        <v>117947.476563</v>
      </c>
      <c r="E6252" s="8">
        <v>117977.125</v>
      </c>
      <c r="F6252" s="8">
        <f t="shared" si="194"/>
        <v>29.648436999996193</v>
      </c>
      <c r="G6252" s="8">
        <f t="shared" si="195"/>
        <v>2.9648436999996194E-2</v>
      </c>
    </row>
    <row r="6253" spans="1:7" x14ac:dyDescent="0.25">
      <c r="A6253" s="8">
        <v>83</v>
      </c>
      <c r="B6253" s="8">
        <v>49</v>
      </c>
      <c r="C6253" s="8">
        <v>854.58697500000005</v>
      </c>
      <c r="D6253" s="8">
        <v>118275.554688</v>
      </c>
      <c r="E6253" s="8">
        <v>118290.421875</v>
      </c>
      <c r="F6253" s="8">
        <f t="shared" si="194"/>
        <v>14.867186999996193</v>
      </c>
      <c r="G6253" s="8">
        <f t="shared" si="195"/>
        <v>1.4867186999996193E-2</v>
      </c>
    </row>
    <row r="6254" spans="1:7" x14ac:dyDescent="0.25">
      <c r="A6254" s="8">
        <v>83</v>
      </c>
      <c r="B6254" s="8">
        <v>50</v>
      </c>
      <c r="C6254" s="8">
        <v>296.23211700000002</v>
      </c>
      <c r="D6254" s="8">
        <v>119157.226563</v>
      </c>
      <c r="E6254" s="8">
        <v>119180.507813</v>
      </c>
      <c r="F6254" s="8">
        <f t="shared" si="194"/>
        <v>23.28125</v>
      </c>
      <c r="G6254" s="8">
        <f t="shared" si="195"/>
        <v>2.328125E-2</v>
      </c>
    </row>
    <row r="6255" spans="1:7" x14ac:dyDescent="0.25">
      <c r="A6255" s="8">
        <v>83</v>
      </c>
      <c r="B6255" s="8">
        <v>51</v>
      </c>
      <c r="C6255" s="8">
        <v>10397.359375</v>
      </c>
      <c r="D6255" s="8">
        <v>119485.398438</v>
      </c>
      <c r="E6255" s="8">
        <v>119508.25</v>
      </c>
      <c r="F6255" s="8">
        <f t="shared" si="194"/>
        <v>22.851561999996193</v>
      </c>
      <c r="G6255" s="8">
        <f t="shared" si="195"/>
        <v>2.2851561999996193E-2</v>
      </c>
    </row>
    <row r="6256" spans="1:7" x14ac:dyDescent="0.25">
      <c r="A6256" s="8">
        <v>83</v>
      </c>
      <c r="B6256" s="8">
        <v>52</v>
      </c>
      <c r="C6256" s="8">
        <v>2061.0341800000001</v>
      </c>
      <c r="D6256" s="8">
        <v>129910.789063</v>
      </c>
      <c r="E6256" s="8">
        <v>129925.375</v>
      </c>
      <c r="F6256" s="8">
        <f t="shared" si="194"/>
        <v>14.585936999996193</v>
      </c>
      <c r="G6256" s="8">
        <f t="shared" si="195"/>
        <v>1.4585936999996192E-2</v>
      </c>
    </row>
    <row r="6257" spans="1:7" x14ac:dyDescent="0.25">
      <c r="A6257" s="8">
        <v>83</v>
      </c>
      <c r="B6257" s="8">
        <v>53</v>
      </c>
      <c r="C6257" s="8">
        <v>3702.7932129999999</v>
      </c>
      <c r="D6257" s="8">
        <v>131998.890625</v>
      </c>
      <c r="E6257" s="8">
        <v>132006.609375</v>
      </c>
      <c r="F6257" s="8">
        <f t="shared" si="194"/>
        <v>7.71875</v>
      </c>
      <c r="G6257" s="8">
        <f t="shared" si="195"/>
        <v>7.7187499999999999E-3</v>
      </c>
    </row>
    <row r="6258" spans="1:7" x14ac:dyDescent="0.25">
      <c r="A6258" s="8">
        <v>83</v>
      </c>
      <c r="B6258" s="8">
        <v>54</v>
      </c>
      <c r="C6258" s="8">
        <v>4530.1171880000002</v>
      </c>
      <c r="D6258" s="8">
        <v>135710.21875</v>
      </c>
      <c r="E6258" s="8">
        <v>135819.578125</v>
      </c>
      <c r="F6258" s="8">
        <f t="shared" si="194"/>
        <v>109.359375</v>
      </c>
      <c r="G6258" s="8">
        <f t="shared" si="195"/>
        <v>0.10935937499999999</v>
      </c>
    </row>
    <row r="6259" spans="1:7" x14ac:dyDescent="0.25">
      <c r="A6259" s="8">
        <v>83</v>
      </c>
      <c r="B6259" s="8">
        <v>55</v>
      </c>
      <c r="C6259" s="8">
        <v>15.994439</v>
      </c>
      <c r="D6259" s="8">
        <v>140350.171875</v>
      </c>
      <c r="E6259" s="8">
        <v>140357.625</v>
      </c>
      <c r="F6259" s="8">
        <f t="shared" si="194"/>
        <v>7.453125</v>
      </c>
      <c r="G6259" s="8">
        <f t="shared" si="195"/>
        <v>7.4531249999999997E-3</v>
      </c>
    </row>
    <row r="6260" spans="1:7" x14ac:dyDescent="0.25">
      <c r="A6260" s="8">
        <v>83</v>
      </c>
      <c r="B6260" s="8">
        <v>56</v>
      </c>
      <c r="C6260" s="8">
        <v>2226.6152339999999</v>
      </c>
      <c r="D6260" s="8">
        <v>140373.453125</v>
      </c>
      <c r="E6260" s="8">
        <v>140398.5625</v>
      </c>
      <c r="F6260" s="8">
        <f t="shared" si="194"/>
        <v>25.109375</v>
      </c>
      <c r="G6260" s="8">
        <f t="shared" si="195"/>
        <v>2.5109375E-2</v>
      </c>
    </row>
    <row r="6261" spans="1:7" x14ac:dyDescent="0.25">
      <c r="A6261" s="8">
        <v>83</v>
      </c>
      <c r="B6261" s="8">
        <v>57</v>
      </c>
      <c r="C6261" s="8">
        <v>2731.6877439999998</v>
      </c>
      <c r="D6261" s="8">
        <v>142640.234375</v>
      </c>
      <c r="E6261" s="8">
        <v>142660</v>
      </c>
      <c r="F6261" s="8">
        <f t="shared" si="194"/>
        <v>19.765625</v>
      </c>
      <c r="G6261" s="8">
        <f t="shared" si="195"/>
        <v>1.9765624999999998E-2</v>
      </c>
    </row>
    <row r="6262" spans="1:7" x14ac:dyDescent="0.25">
      <c r="A6262" s="8">
        <v>83</v>
      </c>
      <c r="B6262" s="8">
        <v>58</v>
      </c>
      <c r="C6262" s="8">
        <v>2099.1997070000002</v>
      </c>
      <c r="D6262" s="8">
        <v>145396.46875</v>
      </c>
      <c r="E6262" s="8">
        <v>145410.90625</v>
      </c>
      <c r="F6262" s="8">
        <f t="shared" si="194"/>
        <v>14.4375</v>
      </c>
      <c r="G6262" s="8">
        <f t="shared" si="195"/>
        <v>1.4437500000000001E-2</v>
      </c>
    </row>
    <row r="6263" spans="1:7" x14ac:dyDescent="0.25">
      <c r="A6263" s="8">
        <v>83</v>
      </c>
      <c r="B6263" s="8">
        <v>59</v>
      </c>
      <c r="C6263" s="8">
        <v>231.19146699999999</v>
      </c>
      <c r="D6263" s="8">
        <v>147521.734375</v>
      </c>
      <c r="E6263" s="8">
        <v>147542.796875</v>
      </c>
      <c r="F6263" s="8">
        <f t="shared" si="194"/>
        <v>21.0625</v>
      </c>
      <c r="G6263" s="8">
        <f t="shared" si="195"/>
        <v>2.1062500000000001E-2</v>
      </c>
    </row>
    <row r="6264" spans="1:7" x14ac:dyDescent="0.25">
      <c r="A6264" s="8">
        <v>83</v>
      </c>
      <c r="B6264" s="8">
        <v>60</v>
      </c>
      <c r="C6264" s="8">
        <v>123.100342</v>
      </c>
      <c r="D6264" s="8">
        <v>147787.390625</v>
      </c>
      <c r="E6264" s="8">
        <v>147806.578125</v>
      </c>
      <c r="F6264" s="8">
        <f t="shared" si="194"/>
        <v>19.1875</v>
      </c>
      <c r="G6264" s="8">
        <f t="shared" si="195"/>
        <v>1.91875E-2</v>
      </c>
    </row>
    <row r="6265" spans="1:7" x14ac:dyDescent="0.25">
      <c r="A6265" s="8">
        <v>83</v>
      </c>
      <c r="B6265" s="8">
        <v>61</v>
      </c>
      <c r="C6265" s="8">
        <v>365.21688799999998</v>
      </c>
      <c r="D6265" s="8">
        <v>147943.640625</v>
      </c>
      <c r="E6265" s="8">
        <v>147954.921875</v>
      </c>
      <c r="F6265" s="8">
        <f t="shared" si="194"/>
        <v>11.28125</v>
      </c>
      <c r="G6265" s="8">
        <f t="shared" si="195"/>
        <v>1.128125E-2</v>
      </c>
    </row>
    <row r="6266" spans="1:7" x14ac:dyDescent="0.25">
      <c r="A6266" s="8">
        <v>83</v>
      </c>
      <c r="B6266" s="8">
        <v>62</v>
      </c>
      <c r="C6266" s="8">
        <v>2029.6363530000001</v>
      </c>
      <c r="D6266" s="8">
        <v>148321.40625</v>
      </c>
      <c r="E6266" s="8">
        <v>148335.0625</v>
      </c>
      <c r="F6266" s="8">
        <f t="shared" si="194"/>
        <v>13.65625</v>
      </c>
      <c r="G6266" s="8">
        <f t="shared" si="195"/>
        <v>1.365625E-2</v>
      </c>
    </row>
    <row r="6267" spans="1:7" x14ac:dyDescent="0.25">
      <c r="A6267" s="8">
        <v>83</v>
      </c>
      <c r="B6267" s="8">
        <v>63</v>
      </c>
      <c r="C6267" s="8">
        <v>842.08691399999998</v>
      </c>
      <c r="D6267" s="8">
        <v>150373.90625</v>
      </c>
      <c r="E6267" s="8">
        <v>150395.765625</v>
      </c>
      <c r="F6267" s="8">
        <f t="shared" si="194"/>
        <v>21.859375</v>
      </c>
      <c r="G6267" s="8">
        <f t="shared" si="195"/>
        <v>2.1859375E-2</v>
      </c>
    </row>
    <row r="6268" spans="1:7" x14ac:dyDescent="0.25">
      <c r="A6268" s="8">
        <v>83</v>
      </c>
      <c r="B6268" s="8">
        <v>64</v>
      </c>
      <c r="C6268" s="8">
        <v>4369.2172849999997</v>
      </c>
      <c r="D6268" s="8">
        <v>151248.953125</v>
      </c>
      <c r="E6268" s="8">
        <v>151262.953125</v>
      </c>
      <c r="F6268" s="8">
        <f t="shared" si="194"/>
        <v>14</v>
      </c>
      <c r="G6268" s="8">
        <f t="shared" si="195"/>
        <v>1.4E-2</v>
      </c>
    </row>
    <row r="6269" spans="1:7" x14ac:dyDescent="0.25">
      <c r="A6269" s="8">
        <v>83</v>
      </c>
      <c r="B6269" s="8">
        <v>65</v>
      </c>
      <c r="C6269" s="8">
        <v>2553.0854490000002</v>
      </c>
      <c r="D6269" s="8">
        <v>155641.109375</v>
      </c>
      <c r="E6269" s="8">
        <v>155669.21875</v>
      </c>
      <c r="F6269" s="8">
        <f t="shared" si="194"/>
        <v>28.109375</v>
      </c>
      <c r="G6269" s="8">
        <f t="shared" si="195"/>
        <v>2.8109374999999999E-2</v>
      </c>
    </row>
    <row r="6270" spans="1:7" x14ac:dyDescent="0.25">
      <c r="A6270" s="8">
        <v>83</v>
      </c>
      <c r="B6270" s="8">
        <v>66</v>
      </c>
      <c r="C6270" s="8">
        <v>7056.3251950000003</v>
      </c>
      <c r="D6270" s="8">
        <v>158235.078125</v>
      </c>
      <c r="E6270" s="8">
        <v>158252.8125</v>
      </c>
      <c r="F6270" s="8">
        <f t="shared" si="194"/>
        <v>17.734375</v>
      </c>
      <c r="G6270" s="8">
        <f t="shared" si="195"/>
        <v>1.7734375E-2</v>
      </c>
    </row>
    <row r="6271" spans="1:7" x14ac:dyDescent="0.25">
      <c r="A6271" s="8">
        <v>83</v>
      </c>
      <c r="B6271" s="8">
        <v>67</v>
      </c>
      <c r="C6271" s="8">
        <v>73.479118</v>
      </c>
      <c r="D6271" s="8">
        <v>165311.640625</v>
      </c>
      <c r="E6271" s="8">
        <v>165339.109375</v>
      </c>
      <c r="F6271" s="8">
        <f t="shared" si="194"/>
        <v>27.46875</v>
      </c>
      <c r="G6271" s="8">
        <f t="shared" si="195"/>
        <v>2.746875E-2</v>
      </c>
    </row>
    <row r="6272" spans="1:7" x14ac:dyDescent="0.25">
      <c r="A6272" s="8">
        <v>83</v>
      </c>
      <c r="B6272" s="8">
        <v>68</v>
      </c>
      <c r="C6272" s="8">
        <v>2418.7783199999999</v>
      </c>
      <c r="D6272" s="8">
        <v>165421.015625</v>
      </c>
      <c r="E6272" s="8">
        <v>165441.390625</v>
      </c>
      <c r="F6272" s="8">
        <f t="shared" si="194"/>
        <v>20.375</v>
      </c>
      <c r="G6272" s="8">
        <f t="shared" si="195"/>
        <v>2.0375000000000001E-2</v>
      </c>
    </row>
    <row r="6273" spans="1:7" x14ac:dyDescent="0.25">
      <c r="A6273" s="8">
        <v>83</v>
      </c>
      <c r="B6273" s="8">
        <v>69</v>
      </c>
      <c r="C6273" s="8">
        <v>2432.53125</v>
      </c>
      <c r="D6273" s="8">
        <v>167869.265625</v>
      </c>
      <c r="E6273" s="8">
        <v>167887.015625</v>
      </c>
      <c r="F6273" s="8">
        <f t="shared" si="194"/>
        <v>17.75</v>
      </c>
      <c r="G6273" s="8">
        <f t="shared" si="195"/>
        <v>1.7749999999999998E-2</v>
      </c>
    </row>
    <row r="6274" spans="1:7" x14ac:dyDescent="0.25">
      <c r="A6274" s="8">
        <v>84</v>
      </c>
      <c r="B6274" s="8">
        <v>0</v>
      </c>
      <c r="C6274" s="8">
        <v>584.35687299999995</v>
      </c>
      <c r="D6274" s="8">
        <v>20453.613281000002</v>
      </c>
      <c r="E6274" s="8">
        <v>20472.150390999999</v>
      </c>
      <c r="F6274" s="8">
        <f t="shared" si="194"/>
        <v>18.537109999997483</v>
      </c>
      <c r="G6274" s="8">
        <f t="shared" si="195"/>
        <v>1.8537109999997484E-2</v>
      </c>
    </row>
    <row r="6275" spans="1:7" x14ac:dyDescent="0.25">
      <c r="A6275" s="8">
        <v>84</v>
      </c>
      <c r="B6275" s="8">
        <v>1</v>
      </c>
      <c r="C6275" s="8">
        <v>2086.1657709999999</v>
      </c>
      <c r="D6275" s="8">
        <v>21063.041015999999</v>
      </c>
      <c r="E6275" s="8">
        <v>21085.292968999998</v>
      </c>
      <c r="F6275" s="8">
        <f t="shared" si="194"/>
        <v>22.251952999999048</v>
      </c>
      <c r="G6275" s="8">
        <f t="shared" si="195"/>
        <v>2.2251952999999047E-2</v>
      </c>
    </row>
    <row r="6276" spans="1:7" x14ac:dyDescent="0.25">
      <c r="A6276" s="8">
        <v>84</v>
      </c>
      <c r="B6276" s="8">
        <v>2</v>
      </c>
      <c r="C6276" s="8">
        <v>2941.850586</v>
      </c>
      <c r="D6276" s="8">
        <v>23175.302734000001</v>
      </c>
      <c r="E6276" s="8">
        <v>23196.822265999999</v>
      </c>
      <c r="F6276" s="8">
        <f t="shared" si="194"/>
        <v>21.519531999998435</v>
      </c>
      <c r="G6276" s="8">
        <f t="shared" si="195"/>
        <v>2.1519531999998436E-2</v>
      </c>
    </row>
    <row r="6277" spans="1:7" x14ac:dyDescent="0.25">
      <c r="A6277" s="8">
        <v>84</v>
      </c>
      <c r="B6277" s="8">
        <v>3</v>
      </c>
      <c r="C6277" s="8">
        <v>1158.7128909999999</v>
      </c>
      <c r="D6277" s="8">
        <v>26148.492188</v>
      </c>
      <c r="E6277" s="8">
        <v>26165.027343999998</v>
      </c>
      <c r="F6277" s="8">
        <f t="shared" si="194"/>
        <v>16.535155999998096</v>
      </c>
      <c r="G6277" s="8">
        <f t="shared" si="195"/>
        <v>1.6535155999998098E-2</v>
      </c>
    </row>
    <row r="6278" spans="1:7" x14ac:dyDescent="0.25">
      <c r="A6278" s="8">
        <v>84</v>
      </c>
      <c r="B6278" s="8">
        <v>4</v>
      </c>
      <c r="C6278" s="8">
        <v>6353.6069340000004</v>
      </c>
      <c r="D6278" s="8">
        <v>27336.921875</v>
      </c>
      <c r="E6278" s="8">
        <v>27348.208984000001</v>
      </c>
      <c r="F6278" s="8">
        <f t="shared" si="194"/>
        <v>11.287109000000783</v>
      </c>
      <c r="G6278" s="8">
        <f t="shared" si="195"/>
        <v>1.1287109000000782E-2</v>
      </c>
    </row>
    <row r="6279" spans="1:7" x14ac:dyDescent="0.25">
      <c r="A6279" s="8">
        <v>84</v>
      </c>
      <c r="B6279" s="8">
        <v>5</v>
      </c>
      <c r="C6279" s="8">
        <v>1036.7845460000001</v>
      </c>
      <c r="D6279" s="8">
        <v>33712.53125</v>
      </c>
      <c r="E6279" s="8">
        <v>33732.566405999998</v>
      </c>
      <c r="F6279" s="8">
        <f t="shared" si="194"/>
        <v>20.035155999998096</v>
      </c>
      <c r="G6279" s="8">
        <f t="shared" si="195"/>
        <v>2.0035155999998097E-2</v>
      </c>
    </row>
    <row r="6280" spans="1:7" x14ac:dyDescent="0.25">
      <c r="A6280" s="8">
        <v>84</v>
      </c>
      <c r="B6280" s="8">
        <v>6</v>
      </c>
      <c r="C6280" s="8">
        <v>3350.4978030000002</v>
      </c>
      <c r="D6280" s="8">
        <v>34780.101562999997</v>
      </c>
      <c r="E6280" s="8">
        <v>34799.585937999997</v>
      </c>
      <c r="F6280" s="8">
        <f t="shared" si="194"/>
        <v>19.484375</v>
      </c>
      <c r="G6280" s="8">
        <f t="shared" si="195"/>
        <v>1.9484375000000002E-2</v>
      </c>
    </row>
    <row r="6281" spans="1:7" x14ac:dyDescent="0.25">
      <c r="A6281" s="8">
        <v>84</v>
      </c>
      <c r="B6281" s="8">
        <v>7</v>
      </c>
      <c r="C6281" s="8">
        <v>1782.5219729999999</v>
      </c>
      <c r="D6281" s="8">
        <v>38151.945312999997</v>
      </c>
      <c r="E6281" s="8">
        <v>38171.929687999997</v>
      </c>
      <c r="F6281" s="8">
        <f t="shared" si="194"/>
        <v>19.984375</v>
      </c>
      <c r="G6281" s="8">
        <f t="shared" si="195"/>
        <v>1.9984374999999999E-2</v>
      </c>
    </row>
    <row r="6282" spans="1:7" x14ac:dyDescent="0.25">
      <c r="A6282" s="8">
        <v>84</v>
      </c>
      <c r="B6282" s="8">
        <v>8</v>
      </c>
      <c r="C6282" s="8">
        <v>50.937710000000003</v>
      </c>
      <c r="D6282" s="8">
        <v>39964.878905999998</v>
      </c>
      <c r="E6282" s="8">
        <v>39979.066405999998</v>
      </c>
      <c r="F6282" s="8">
        <f t="shared" si="194"/>
        <v>14.1875</v>
      </c>
      <c r="G6282" s="8">
        <f t="shared" si="195"/>
        <v>1.41875E-2</v>
      </c>
    </row>
    <row r="6283" spans="1:7" x14ac:dyDescent="0.25">
      <c r="A6283" s="8">
        <v>84</v>
      </c>
      <c r="B6283" s="8">
        <v>9</v>
      </c>
      <c r="C6283" s="8">
        <v>1849.868408</v>
      </c>
      <c r="D6283" s="8">
        <v>40042.988280999998</v>
      </c>
      <c r="E6283" s="8">
        <v>40064.027344000002</v>
      </c>
      <c r="F6283" s="8">
        <f t="shared" ref="F6283:F6346" si="196">E6283-D6283</f>
        <v>21.039063000003807</v>
      </c>
      <c r="G6283" s="8">
        <f t="shared" ref="G6283:G6346" si="197">F6283/1000</f>
        <v>2.1039063000003806E-2</v>
      </c>
    </row>
    <row r="6284" spans="1:7" x14ac:dyDescent="0.25">
      <c r="A6284" s="8">
        <v>84</v>
      </c>
      <c r="B6284" s="8">
        <v>10</v>
      </c>
      <c r="C6284" s="8">
        <v>357.39291400000002</v>
      </c>
      <c r="D6284" s="8">
        <v>41918.988280999998</v>
      </c>
      <c r="E6284" s="8">
        <v>41943.035155999998</v>
      </c>
      <c r="F6284" s="8">
        <f t="shared" si="196"/>
        <v>24.046875</v>
      </c>
      <c r="G6284" s="8">
        <f t="shared" si="197"/>
        <v>2.4046874999999999E-2</v>
      </c>
    </row>
    <row r="6285" spans="1:7" x14ac:dyDescent="0.25">
      <c r="A6285" s="8">
        <v>84</v>
      </c>
      <c r="B6285" s="8">
        <v>11</v>
      </c>
      <c r="C6285" s="8">
        <v>587.30187999999998</v>
      </c>
      <c r="D6285" s="8">
        <v>42309.636719000002</v>
      </c>
      <c r="E6285" s="8">
        <v>42320.097655999998</v>
      </c>
      <c r="F6285" s="8">
        <f t="shared" si="196"/>
        <v>10.460936999996193</v>
      </c>
      <c r="G6285" s="8">
        <f t="shared" si="197"/>
        <v>1.0460936999996192E-2</v>
      </c>
    </row>
    <row r="6286" spans="1:7" x14ac:dyDescent="0.25">
      <c r="A6286" s="8">
        <v>84</v>
      </c>
      <c r="B6286" s="8">
        <v>12</v>
      </c>
      <c r="C6286" s="8">
        <v>440.010132</v>
      </c>
      <c r="D6286" s="8">
        <v>42908.328125</v>
      </c>
      <c r="E6286" s="8">
        <v>42935.558594000002</v>
      </c>
      <c r="F6286" s="8">
        <f t="shared" si="196"/>
        <v>27.230469000001904</v>
      </c>
      <c r="G6286" s="8">
        <f t="shared" si="197"/>
        <v>2.7230469000001905E-2</v>
      </c>
    </row>
    <row r="6287" spans="1:7" x14ac:dyDescent="0.25">
      <c r="A6287" s="8">
        <v>84</v>
      </c>
      <c r="B6287" s="8">
        <v>13</v>
      </c>
      <c r="C6287" s="8">
        <v>2003.0395510000001</v>
      </c>
      <c r="D6287" s="8">
        <v>43381.054687999997</v>
      </c>
      <c r="E6287" s="8">
        <v>43393.125</v>
      </c>
      <c r="F6287" s="8">
        <f t="shared" si="196"/>
        <v>12.070312000003469</v>
      </c>
      <c r="G6287" s="8">
        <f t="shared" si="197"/>
        <v>1.2070312000003469E-2</v>
      </c>
    </row>
    <row r="6288" spans="1:7" x14ac:dyDescent="0.25">
      <c r="A6288" s="8">
        <v>84</v>
      </c>
      <c r="B6288" s="8">
        <v>14</v>
      </c>
      <c r="C6288" s="8">
        <v>720.15405299999998</v>
      </c>
      <c r="D6288" s="8">
        <v>45396.976562999997</v>
      </c>
      <c r="E6288" s="8">
        <v>45417.609375</v>
      </c>
      <c r="F6288" s="8">
        <f t="shared" si="196"/>
        <v>20.632812000003469</v>
      </c>
      <c r="G6288" s="8">
        <f t="shared" si="197"/>
        <v>2.063281200000347E-2</v>
      </c>
    </row>
    <row r="6289" spans="1:7" x14ac:dyDescent="0.25">
      <c r="A6289" s="8">
        <v>84</v>
      </c>
      <c r="B6289" s="8">
        <v>15</v>
      </c>
      <c r="C6289" s="8">
        <v>1658.045044</v>
      </c>
      <c r="D6289" s="8">
        <v>46148.269530999998</v>
      </c>
      <c r="E6289" s="8">
        <v>46162.949219000002</v>
      </c>
      <c r="F6289" s="8">
        <f t="shared" si="196"/>
        <v>14.679688000003807</v>
      </c>
      <c r="G6289" s="8">
        <f t="shared" si="197"/>
        <v>1.4679688000003807E-2</v>
      </c>
    </row>
    <row r="6290" spans="1:7" x14ac:dyDescent="0.25">
      <c r="A6290" s="8">
        <v>84</v>
      </c>
      <c r="B6290" s="8">
        <v>16</v>
      </c>
      <c r="C6290" s="8">
        <v>4274.4033200000003</v>
      </c>
      <c r="D6290" s="8">
        <v>47829.210937999997</v>
      </c>
      <c r="E6290" s="8">
        <v>47921.339844000002</v>
      </c>
      <c r="F6290" s="8">
        <f t="shared" si="196"/>
        <v>92.128906000005372</v>
      </c>
      <c r="G6290" s="8">
        <f t="shared" si="197"/>
        <v>9.2128906000005367E-2</v>
      </c>
    </row>
    <row r="6291" spans="1:7" x14ac:dyDescent="0.25">
      <c r="A6291" s="8">
        <v>84</v>
      </c>
      <c r="B6291" s="8">
        <v>17</v>
      </c>
      <c r="C6291" s="8">
        <v>965.79614300000003</v>
      </c>
      <c r="D6291" s="8">
        <v>52201.316405999998</v>
      </c>
      <c r="E6291" s="8">
        <v>52208.835937999997</v>
      </c>
      <c r="F6291" s="8">
        <f t="shared" si="196"/>
        <v>7.5195319999984349</v>
      </c>
      <c r="G6291" s="8">
        <f t="shared" si="197"/>
        <v>7.5195319999984351E-3</v>
      </c>
    </row>
    <row r="6292" spans="1:7" x14ac:dyDescent="0.25">
      <c r="A6292" s="8">
        <v>84</v>
      </c>
      <c r="B6292" s="8">
        <v>18</v>
      </c>
      <c r="C6292" s="8">
        <v>2573.7561040000001</v>
      </c>
      <c r="D6292" s="8">
        <v>53186.769530999998</v>
      </c>
      <c r="E6292" s="8">
        <v>53194.636719000002</v>
      </c>
      <c r="F6292" s="8">
        <f t="shared" si="196"/>
        <v>7.8671880000038072</v>
      </c>
      <c r="G6292" s="8">
        <f t="shared" si="197"/>
        <v>7.8671880000038066E-3</v>
      </c>
    </row>
    <row r="6293" spans="1:7" x14ac:dyDescent="0.25">
      <c r="A6293" s="8">
        <v>84</v>
      </c>
      <c r="B6293" s="8">
        <v>19</v>
      </c>
      <c r="C6293" s="8">
        <v>59.911228000000001</v>
      </c>
      <c r="D6293" s="8">
        <v>55769.273437999997</v>
      </c>
      <c r="E6293" s="8">
        <v>55790.078125</v>
      </c>
      <c r="F6293" s="8">
        <f t="shared" si="196"/>
        <v>20.804687000003469</v>
      </c>
      <c r="G6293" s="8">
        <f t="shared" si="197"/>
        <v>2.0804687000003468E-2</v>
      </c>
    </row>
    <row r="6294" spans="1:7" x14ac:dyDescent="0.25">
      <c r="A6294" s="8">
        <v>84</v>
      </c>
      <c r="B6294" s="8">
        <v>20</v>
      </c>
      <c r="C6294" s="8">
        <v>98.969436999999999</v>
      </c>
      <c r="D6294" s="8">
        <v>55863.035155999998</v>
      </c>
      <c r="E6294" s="8">
        <v>55876.199219000002</v>
      </c>
      <c r="F6294" s="8">
        <f t="shared" si="196"/>
        <v>13.164063000003807</v>
      </c>
      <c r="G6294" s="8">
        <f t="shared" si="197"/>
        <v>1.3164063000003808E-2</v>
      </c>
    </row>
    <row r="6295" spans="1:7" x14ac:dyDescent="0.25">
      <c r="A6295" s="8">
        <v>84</v>
      </c>
      <c r="B6295" s="8">
        <v>21</v>
      </c>
      <c r="C6295" s="8">
        <v>5142.2661129999997</v>
      </c>
      <c r="D6295" s="8">
        <v>55988.003905999998</v>
      </c>
      <c r="E6295" s="8">
        <v>55996.019530999998</v>
      </c>
      <c r="F6295" s="8">
        <f t="shared" si="196"/>
        <v>8.015625</v>
      </c>
      <c r="G6295" s="8">
        <f t="shared" si="197"/>
        <v>8.0156250000000002E-3</v>
      </c>
    </row>
    <row r="6296" spans="1:7" x14ac:dyDescent="0.25">
      <c r="A6296" s="8">
        <v>84</v>
      </c>
      <c r="B6296" s="8">
        <v>22</v>
      </c>
      <c r="C6296" s="8">
        <v>3091.6000979999999</v>
      </c>
      <c r="D6296" s="8">
        <v>61153.792969000002</v>
      </c>
      <c r="E6296" s="8">
        <v>61163.035155999998</v>
      </c>
      <c r="F6296" s="8">
        <f t="shared" si="196"/>
        <v>9.2421869999961928</v>
      </c>
      <c r="G6296" s="8">
        <f t="shared" si="197"/>
        <v>9.2421869999961929E-3</v>
      </c>
    </row>
    <row r="6297" spans="1:7" x14ac:dyDescent="0.25">
      <c r="A6297" s="8">
        <v>84</v>
      </c>
      <c r="B6297" s="8">
        <v>23</v>
      </c>
      <c r="C6297" s="8">
        <v>951.797729</v>
      </c>
      <c r="D6297" s="8">
        <v>64262.070312999997</v>
      </c>
      <c r="E6297" s="8">
        <v>64275.78125</v>
      </c>
      <c r="F6297" s="8">
        <f t="shared" si="196"/>
        <v>13.710937000003469</v>
      </c>
      <c r="G6297" s="8">
        <f t="shared" si="197"/>
        <v>1.3710937000003469E-2</v>
      </c>
    </row>
    <row r="6298" spans="1:7" x14ac:dyDescent="0.25">
      <c r="A6298" s="8">
        <v>84</v>
      </c>
      <c r="B6298" s="8">
        <v>24</v>
      </c>
      <c r="C6298" s="8">
        <v>1889.350586</v>
      </c>
      <c r="D6298" s="8">
        <v>65231.027344000002</v>
      </c>
      <c r="E6298" s="8">
        <v>65248.582030999998</v>
      </c>
      <c r="F6298" s="8">
        <f t="shared" si="196"/>
        <v>17.554686999996193</v>
      </c>
      <c r="G6298" s="8">
        <f t="shared" si="197"/>
        <v>1.7554686999996193E-2</v>
      </c>
    </row>
    <row r="6299" spans="1:7" x14ac:dyDescent="0.25">
      <c r="A6299" s="8">
        <v>84</v>
      </c>
      <c r="B6299" s="8">
        <v>25</v>
      </c>
      <c r="C6299" s="8">
        <v>2618.4609380000002</v>
      </c>
      <c r="D6299" s="8">
        <v>67138.148438000004</v>
      </c>
      <c r="E6299" s="8">
        <v>67155.390625</v>
      </c>
      <c r="F6299" s="8">
        <f t="shared" si="196"/>
        <v>17.242186999996193</v>
      </c>
      <c r="G6299" s="8">
        <f t="shared" si="197"/>
        <v>1.7242186999996193E-2</v>
      </c>
    </row>
    <row r="6300" spans="1:7" x14ac:dyDescent="0.25">
      <c r="A6300" s="8">
        <v>84</v>
      </c>
      <c r="B6300" s="8">
        <v>26</v>
      </c>
      <c r="C6300" s="8">
        <v>4677.6997069999998</v>
      </c>
      <c r="D6300" s="8">
        <v>69780.203125</v>
      </c>
      <c r="E6300" s="8">
        <v>69800.335938000004</v>
      </c>
      <c r="F6300" s="8">
        <f t="shared" si="196"/>
        <v>20.132813000003807</v>
      </c>
      <c r="G6300" s="8">
        <f t="shared" si="197"/>
        <v>2.0132813000003809E-2</v>
      </c>
    </row>
    <row r="6301" spans="1:7" x14ac:dyDescent="0.25">
      <c r="A6301" s="8">
        <v>84</v>
      </c>
      <c r="B6301" s="8">
        <v>27</v>
      </c>
      <c r="C6301" s="8">
        <v>880.67687999999998</v>
      </c>
      <c r="D6301" s="8">
        <v>74492.53125</v>
      </c>
      <c r="E6301" s="8">
        <v>74503.828125</v>
      </c>
      <c r="F6301" s="8">
        <f t="shared" si="196"/>
        <v>11.296875</v>
      </c>
      <c r="G6301" s="8">
        <f t="shared" si="197"/>
        <v>1.1296875E-2</v>
      </c>
    </row>
    <row r="6302" spans="1:7" x14ac:dyDescent="0.25">
      <c r="A6302" s="8">
        <v>84</v>
      </c>
      <c r="B6302" s="8">
        <v>28</v>
      </c>
      <c r="C6302" s="8">
        <v>4399.2768550000001</v>
      </c>
      <c r="D6302" s="8">
        <v>75393.296875</v>
      </c>
      <c r="E6302" s="8">
        <v>75474.40625</v>
      </c>
      <c r="F6302" s="8">
        <f t="shared" si="196"/>
        <v>81.109375</v>
      </c>
      <c r="G6302" s="8">
        <f t="shared" si="197"/>
        <v>8.1109374999999997E-2</v>
      </c>
    </row>
    <row r="6303" spans="1:7" x14ac:dyDescent="0.25">
      <c r="A6303" s="8">
        <v>84</v>
      </c>
      <c r="B6303" s="8">
        <v>29</v>
      </c>
      <c r="C6303" s="8">
        <v>2307.3845209999999</v>
      </c>
      <c r="D6303" s="8">
        <v>79879.132813000004</v>
      </c>
      <c r="E6303" s="8">
        <v>79891.117188000004</v>
      </c>
      <c r="F6303" s="8">
        <f t="shared" si="196"/>
        <v>11.984375</v>
      </c>
      <c r="G6303" s="8">
        <f t="shared" si="197"/>
        <v>1.1984375E-2</v>
      </c>
    </row>
    <row r="6304" spans="1:7" x14ac:dyDescent="0.25">
      <c r="A6304" s="8">
        <v>84</v>
      </c>
      <c r="B6304" s="8">
        <v>30</v>
      </c>
      <c r="C6304" s="8">
        <v>1072.4638669999999</v>
      </c>
      <c r="D6304" s="8">
        <v>82198.640625</v>
      </c>
      <c r="E6304" s="8">
        <v>82213.664063000004</v>
      </c>
      <c r="F6304" s="8">
        <f t="shared" si="196"/>
        <v>15.023438000003807</v>
      </c>
      <c r="G6304" s="8">
        <f t="shared" si="197"/>
        <v>1.5023438000003808E-2</v>
      </c>
    </row>
    <row r="6305" spans="1:7" x14ac:dyDescent="0.25">
      <c r="A6305" s="8">
        <v>84</v>
      </c>
      <c r="B6305" s="8">
        <v>31</v>
      </c>
      <c r="C6305" s="8">
        <v>1290.304443</v>
      </c>
      <c r="D6305" s="8">
        <v>83292.515625</v>
      </c>
      <c r="E6305" s="8">
        <v>83315.15625</v>
      </c>
      <c r="F6305" s="8">
        <f t="shared" si="196"/>
        <v>22.640625</v>
      </c>
      <c r="G6305" s="8">
        <f t="shared" si="197"/>
        <v>2.2640625000000001E-2</v>
      </c>
    </row>
    <row r="6306" spans="1:7" x14ac:dyDescent="0.25">
      <c r="A6306" s="8">
        <v>84</v>
      </c>
      <c r="B6306" s="8">
        <v>32</v>
      </c>
      <c r="C6306" s="8">
        <v>528.73046899999997</v>
      </c>
      <c r="D6306" s="8">
        <v>84610.289063000004</v>
      </c>
      <c r="E6306" s="8">
        <v>84632.648438000004</v>
      </c>
      <c r="F6306" s="8">
        <f t="shared" si="196"/>
        <v>22.359375</v>
      </c>
      <c r="G6306" s="8">
        <f t="shared" si="197"/>
        <v>2.2359375000000001E-2</v>
      </c>
    </row>
    <row r="6307" spans="1:7" x14ac:dyDescent="0.25">
      <c r="A6307" s="8">
        <v>84</v>
      </c>
      <c r="B6307" s="8">
        <v>33</v>
      </c>
      <c r="C6307" s="8">
        <v>1669.685669</v>
      </c>
      <c r="D6307" s="8">
        <v>85173.0625</v>
      </c>
      <c r="E6307" s="8">
        <v>85184.125</v>
      </c>
      <c r="F6307" s="8">
        <f t="shared" si="196"/>
        <v>11.0625</v>
      </c>
      <c r="G6307" s="8">
        <f t="shared" si="197"/>
        <v>1.1062499999999999E-2</v>
      </c>
    </row>
    <row r="6308" spans="1:7" x14ac:dyDescent="0.25">
      <c r="A6308" s="8">
        <v>84</v>
      </c>
      <c r="B6308" s="8">
        <v>34</v>
      </c>
      <c r="C6308" s="8">
        <v>11074.729492</v>
      </c>
      <c r="D6308" s="8">
        <v>86862.148438000004</v>
      </c>
      <c r="E6308" s="8">
        <v>86880.601563000004</v>
      </c>
      <c r="F6308" s="8">
        <f t="shared" si="196"/>
        <v>18.453125</v>
      </c>
      <c r="G6308" s="8">
        <f t="shared" si="197"/>
        <v>1.8453125000000001E-2</v>
      </c>
    </row>
    <row r="6309" spans="1:7" x14ac:dyDescent="0.25">
      <c r="A6309" s="8">
        <v>84</v>
      </c>
      <c r="B6309" s="8">
        <v>35</v>
      </c>
      <c r="C6309" s="8">
        <v>393.62487800000002</v>
      </c>
      <c r="D6309" s="8">
        <v>97957.085938000004</v>
      </c>
      <c r="E6309" s="8">
        <v>97974.5625</v>
      </c>
      <c r="F6309" s="8">
        <f t="shared" si="196"/>
        <v>17.476561999996193</v>
      </c>
      <c r="G6309" s="8">
        <f t="shared" si="197"/>
        <v>1.7476561999996192E-2</v>
      </c>
    </row>
    <row r="6310" spans="1:7" x14ac:dyDescent="0.25">
      <c r="A6310" s="8">
        <v>84</v>
      </c>
      <c r="B6310" s="8">
        <v>36</v>
      </c>
      <c r="C6310" s="8">
        <v>1071.7333980000001</v>
      </c>
      <c r="D6310" s="8">
        <v>98378.96875</v>
      </c>
      <c r="E6310" s="8">
        <v>98389.78125</v>
      </c>
      <c r="F6310" s="8">
        <f t="shared" si="196"/>
        <v>10.8125</v>
      </c>
      <c r="G6310" s="8">
        <f t="shared" si="197"/>
        <v>1.0812499999999999E-2</v>
      </c>
    </row>
    <row r="6311" spans="1:7" x14ac:dyDescent="0.25">
      <c r="A6311" s="8">
        <v>84</v>
      </c>
      <c r="B6311" s="8">
        <v>37</v>
      </c>
      <c r="C6311" s="8">
        <v>573.18841599999996</v>
      </c>
      <c r="D6311" s="8">
        <v>99463.828125</v>
      </c>
      <c r="E6311" s="8">
        <v>99490.960938000004</v>
      </c>
      <c r="F6311" s="8">
        <f t="shared" si="196"/>
        <v>27.132813000003807</v>
      </c>
      <c r="G6311" s="8">
        <f t="shared" si="197"/>
        <v>2.7132813000003808E-2</v>
      </c>
    </row>
    <row r="6312" spans="1:7" x14ac:dyDescent="0.25">
      <c r="A6312" s="8">
        <v>84</v>
      </c>
      <c r="B6312" s="8">
        <v>38</v>
      </c>
      <c r="C6312" s="8">
        <v>5389.2421880000002</v>
      </c>
      <c r="D6312" s="8">
        <v>100073.34375</v>
      </c>
      <c r="E6312" s="8">
        <v>100091.28125</v>
      </c>
      <c r="F6312" s="8">
        <f t="shared" si="196"/>
        <v>17.9375</v>
      </c>
      <c r="G6312" s="8">
        <f t="shared" si="197"/>
        <v>1.7937499999999999E-2</v>
      </c>
    </row>
    <row r="6313" spans="1:7" x14ac:dyDescent="0.25">
      <c r="A6313" s="8">
        <v>84</v>
      </c>
      <c r="B6313" s="8">
        <v>39</v>
      </c>
      <c r="C6313" s="8">
        <v>953.37005599999998</v>
      </c>
      <c r="D6313" s="8">
        <v>105493.710938</v>
      </c>
      <c r="E6313" s="8">
        <v>105511.3125</v>
      </c>
      <c r="F6313" s="8">
        <f t="shared" si="196"/>
        <v>17.601561999996193</v>
      </c>
      <c r="G6313" s="8">
        <f t="shared" si="197"/>
        <v>1.7601561999996192E-2</v>
      </c>
    </row>
    <row r="6314" spans="1:7" x14ac:dyDescent="0.25">
      <c r="A6314" s="8">
        <v>84</v>
      </c>
      <c r="B6314" s="8">
        <v>40</v>
      </c>
      <c r="C6314" s="8">
        <v>4307.7895509999998</v>
      </c>
      <c r="D6314" s="8">
        <v>106469.085938</v>
      </c>
      <c r="E6314" s="8">
        <v>106490.390625</v>
      </c>
      <c r="F6314" s="8">
        <f t="shared" si="196"/>
        <v>21.304686999996193</v>
      </c>
      <c r="G6314" s="8">
        <f t="shared" si="197"/>
        <v>2.1304686999996193E-2</v>
      </c>
    </row>
    <row r="6315" spans="1:7" x14ac:dyDescent="0.25">
      <c r="A6315" s="8">
        <v>84</v>
      </c>
      <c r="B6315" s="8">
        <v>41</v>
      </c>
      <c r="C6315" s="8">
        <v>803.95361300000002</v>
      </c>
      <c r="D6315" s="8">
        <v>110799</v>
      </c>
      <c r="E6315" s="8">
        <v>110814.242188</v>
      </c>
      <c r="F6315" s="8">
        <f t="shared" si="196"/>
        <v>15.242188000003807</v>
      </c>
      <c r="G6315" s="8">
        <f t="shared" si="197"/>
        <v>1.5242188000003808E-2</v>
      </c>
    </row>
    <row r="6316" spans="1:7" x14ac:dyDescent="0.25">
      <c r="A6316" s="8">
        <v>84</v>
      </c>
      <c r="B6316" s="8">
        <v>42</v>
      </c>
      <c r="C6316" s="8">
        <v>246.322159</v>
      </c>
      <c r="D6316" s="8">
        <v>111627.179688</v>
      </c>
      <c r="E6316" s="8">
        <v>111635.796875</v>
      </c>
      <c r="F6316" s="8">
        <f t="shared" si="196"/>
        <v>8.6171869999961928</v>
      </c>
      <c r="G6316" s="8">
        <f t="shared" si="197"/>
        <v>8.6171869999961924E-3</v>
      </c>
    </row>
    <row r="6317" spans="1:7" x14ac:dyDescent="0.25">
      <c r="A6317" s="8">
        <v>84</v>
      </c>
      <c r="B6317" s="8">
        <v>43</v>
      </c>
      <c r="C6317" s="8">
        <v>3829.1508789999998</v>
      </c>
      <c r="D6317" s="8">
        <v>111895.492188</v>
      </c>
      <c r="E6317" s="8">
        <v>111910.484375</v>
      </c>
      <c r="F6317" s="8">
        <f t="shared" si="196"/>
        <v>14.992186999996193</v>
      </c>
      <c r="G6317" s="8">
        <f t="shared" si="197"/>
        <v>1.4992186999996193E-2</v>
      </c>
    </row>
    <row r="6318" spans="1:7" x14ac:dyDescent="0.25">
      <c r="A6318" s="8">
        <v>84</v>
      </c>
      <c r="B6318" s="8">
        <v>44</v>
      </c>
      <c r="C6318" s="8">
        <v>1235.1072999999999</v>
      </c>
      <c r="D6318" s="8">
        <v>115755.007813</v>
      </c>
      <c r="E6318" s="8">
        <v>115763.90625</v>
      </c>
      <c r="F6318" s="8">
        <f t="shared" si="196"/>
        <v>8.8984369999961928</v>
      </c>
      <c r="G6318" s="8">
        <f t="shared" si="197"/>
        <v>8.8984369999961926E-3</v>
      </c>
    </row>
    <row r="6319" spans="1:7" x14ac:dyDescent="0.25">
      <c r="A6319" s="8">
        <v>84</v>
      </c>
      <c r="B6319" s="8">
        <v>45</v>
      </c>
      <c r="C6319" s="8">
        <v>1036.8869629999999</v>
      </c>
      <c r="D6319" s="8">
        <v>117012.851563</v>
      </c>
      <c r="E6319" s="8">
        <v>117031.820313</v>
      </c>
      <c r="F6319" s="8">
        <f t="shared" si="196"/>
        <v>18.96875</v>
      </c>
      <c r="G6319" s="8">
        <f t="shared" si="197"/>
        <v>1.896875E-2</v>
      </c>
    </row>
    <row r="6320" spans="1:7" x14ac:dyDescent="0.25">
      <c r="A6320" s="8">
        <v>84</v>
      </c>
      <c r="B6320" s="8">
        <v>46</v>
      </c>
      <c r="C6320" s="8">
        <v>208.23367300000001</v>
      </c>
      <c r="D6320" s="8">
        <v>118072.460938</v>
      </c>
      <c r="E6320" s="8">
        <v>118100.0625</v>
      </c>
      <c r="F6320" s="8">
        <f t="shared" si="196"/>
        <v>27.601561999996193</v>
      </c>
      <c r="G6320" s="8">
        <f t="shared" si="197"/>
        <v>2.7601561999996194E-2</v>
      </c>
    </row>
    <row r="6321" spans="1:7" x14ac:dyDescent="0.25">
      <c r="A6321" s="8">
        <v>84</v>
      </c>
      <c r="B6321" s="8">
        <v>47</v>
      </c>
      <c r="C6321" s="8">
        <v>1183.928467</v>
      </c>
      <c r="D6321" s="8">
        <v>118322.460938</v>
      </c>
      <c r="E6321" s="8">
        <v>118344.796875</v>
      </c>
      <c r="F6321" s="8">
        <f t="shared" si="196"/>
        <v>22.335936999996193</v>
      </c>
      <c r="G6321" s="8">
        <f t="shared" si="197"/>
        <v>2.2335936999996194E-2</v>
      </c>
    </row>
    <row r="6322" spans="1:7" x14ac:dyDescent="0.25">
      <c r="A6322" s="8">
        <v>84</v>
      </c>
      <c r="B6322" s="8">
        <v>48</v>
      </c>
      <c r="C6322" s="8">
        <v>1761.205933</v>
      </c>
      <c r="D6322" s="8">
        <v>119533.226563</v>
      </c>
      <c r="E6322" s="8">
        <v>119555.695313</v>
      </c>
      <c r="F6322" s="8">
        <f t="shared" si="196"/>
        <v>22.46875</v>
      </c>
      <c r="G6322" s="8">
        <f t="shared" si="197"/>
        <v>2.2468749999999999E-2</v>
      </c>
    </row>
    <row r="6323" spans="1:7" x14ac:dyDescent="0.25">
      <c r="A6323" s="8">
        <v>84</v>
      </c>
      <c r="B6323" s="8">
        <v>49</v>
      </c>
      <c r="C6323" s="8">
        <v>2389.7380370000001</v>
      </c>
      <c r="D6323" s="8">
        <v>121330.09375</v>
      </c>
      <c r="E6323" s="8">
        <v>121345.023438</v>
      </c>
      <c r="F6323" s="8">
        <f t="shared" si="196"/>
        <v>14.929688000003807</v>
      </c>
      <c r="G6323" s="8">
        <f t="shared" si="197"/>
        <v>1.4929688000003808E-2</v>
      </c>
    </row>
    <row r="6324" spans="1:7" x14ac:dyDescent="0.25">
      <c r="A6324" s="8">
        <v>84</v>
      </c>
      <c r="B6324" s="8">
        <v>50</v>
      </c>
      <c r="C6324" s="8">
        <v>111.385643</v>
      </c>
      <c r="D6324" s="8">
        <v>123746.398438</v>
      </c>
      <c r="E6324" s="8">
        <v>123773.921875</v>
      </c>
      <c r="F6324" s="8">
        <f t="shared" si="196"/>
        <v>27.523436999996193</v>
      </c>
      <c r="G6324" s="8">
        <f t="shared" si="197"/>
        <v>2.7523436999996192E-2</v>
      </c>
    </row>
    <row r="6325" spans="1:7" x14ac:dyDescent="0.25">
      <c r="A6325" s="8">
        <v>84</v>
      </c>
      <c r="B6325" s="8">
        <v>51</v>
      </c>
      <c r="C6325" s="8">
        <v>1729.0720209999999</v>
      </c>
      <c r="D6325" s="8">
        <v>123887.039063</v>
      </c>
      <c r="E6325" s="8">
        <v>124023.726563</v>
      </c>
      <c r="F6325" s="8">
        <f t="shared" si="196"/>
        <v>136.6875</v>
      </c>
      <c r="G6325" s="8">
        <f t="shared" si="197"/>
        <v>0.13668749999999999</v>
      </c>
    </row>
    <row r="6326" spans="1:7" x14ac:dyDescent="0.25">
      <c r="A6326" s="8">
        <v>84</v>
      </c>
      <c r="B6326" s="8">
        <v>52</v>
      </c>
      <c r="C6326" s="8">
        <v>2420.2109380000002</v>
      </c>
      <c r="D6326" s="8">
        <v>125768.375</v>
      </c>
      <c r="E6326" s="8">
        <v>125789.492188</v>
      </c>
      <c r="F6326" s="8">
        <f t="shared" si="196"/>
        <v>21.117188000003807</v>
      </c>
      <c r="G6326" s="8">
        <f t="shared" si="197"/>
        <v>2.1117188000003808E-2</v>
      </c>
    </row>
    <row r="6327" spans="1:7" x14ac:dyDescent="0.25">
      <c r="A6327" s="8">
        <v>84</v>
      </c>
      <c r="B6327" s="8">
        <v>53</v>
      </c>
      <c r="C6327" s="8">
        <v>694.85418700000002</v>
      </c>
      <c r="D6327" s="8">
        <v>128223.140625</v>
      </c>
      <c r="E6327" s="8">
        <v>128245.789063</v>
      </c>
      <c r="F6327" s="8">
        <f t="shared" si="196"/>
        <v>22.648438000003807</v>
      </c>
      <c r="G6327" s="8">
        <f t="shared" si="197"/>
        <v>2.2648438000003806E-2</v>
      </c>
    </row>
    <row r="6328" spans="1:7" x14ac:dyDescent="0.25">
      <c r="A6328" s="8">
        <v>84</v>
      </c>
      <c r="B6328" s="8">
        <v>54</v>
      </c>
      <c r="C6328" s="8">
        <v>8034.1088870000003</v>
      </c>
      <c r="D6328" s="8">
        <v>128941.9375</v>
      </c>
      <c r="E6328" s="8">
        <v>128962.46875</v>
      </c>
      <c r="F6328" s="8">
        <f t="shared" si="196"/>
        <v>20.53125</v>
      </c>
      <c r="G6328" s="8">
        <f t="shared" si="197"/>
        <v>2.0531250000000001E-2</v>
      </c>
    </row>
    <row r="6329" spans="1:7" x14ac:dyDescent="0.25">
      <c r="A6329" s="8">
        <v>84</v>
      </c>
      <c r="B6329" s="8">
        <v>55</v>
      </c>
      <c r="C6329" s="8">
        <v>8776.7275389999995</v>
      </c>
      <c r="D6329" s="8">
        <v>136997.375</v>
      </c>
      <c r="E6329" s="8">
        <v>137006.515625</v>
      </c>
      <c r="F6329" s="8">
        <f t="shared" si="196"/>
        <v>9.140625</v>
      </c>
      <c r="G6329" s="8">
        <f t="shared" si="197"/>
        <v>9.1406249999999994E-3</v>
      </c>
    </row>
    <row r="6330" spans="1:7" x14ac:dyDescent="0.25">
      <c r="A6330" s="8">
        <v>84</v>
      </c>
      <c r="B6330" s="8">
        <v>56</v>
      </c>
      <c r="C6330" s="8">
        <v>4136.4858400000003</v>
      </c>
      <c r="D6330" s="8">
        <v>145787.140625</v>
      </c>
      <c r="E6330" s="8">
        <v>145805.765625</v>
      </c>
      <c r="F6330" s="8">
        <f t="shared" si="196"/>
        <v>18.625</v>
      </c>
      <c r="G6330" s="8">
        <f t="shared" si="197"/>
        <v>1.8624999999999999E-2</v>
      </c>
    </row>
    <row r="6331" spans="1:7" x14ac:dyDescent="0.25">
      <c r="A6331" s="8">
        <v>84</v>
      </c>
      <c r="B6331" s="8">
        <v>57</v>
      </c>
      <c r="C6331" s="8">
        <v>2157.2209469999998</v>
      </c>
      <c r="D6331" s="8">
        <v>149951.9375</v>
      </c>
      <c r="E6331" s="8">
        <v>149966.140625</v>
      </c>
      <c r="F6331" s="8">
        <f t="shared" si="196"/>
        <v>14.203125</v>
      </c>
      <c r="G6331" s="8">
        <f t="shared" si="197"/>
        <v>1.4203125E-2</v>
      </c>
    </row>
    <row r="6332" spans="1:7" x14ac:dyDescent="0.25">
      <c r="A6332" s="8">
        <v>84</v>
      </c>
      <c r="B6332" s="8">
        <v>58</v>
      </c>
      <c r="C6332" s="8">
        <v>18.518684</v>
      </c>
      <c r="D6332" s="8">
        <v>152124.046875</v>
      </c>
      <c r="E6332" s="8">
        <v>152146.015625</v>
      </c>
      <c r="F6332" s="8">
        <f t="shared" si="196"/>
        <v>21.96875</v>
      </c>
      <c r="G6332" s="8">
        <f t="shared" si="197"/>
        <v>2.1968749999999999E-2</v>
      </c>
    </row>
    <row r="6333" spans="1:7" x14ac:dyDescent="0.25">
      <c r="A6333" s="8">
        <v>84</v>
      </c>
      <c r="B6333" s="8">
        <v>59</v>
      </c>
      <c r="C6333" s="8">
        <v>475.53826900000001</v>
      </c>
      <c r="D6333" s="8">
        <v>152171.734375</v>
      </c>
      <c r="E6333" s="8">
        <v>152189.484375</v>
      </c>
      <c r="F6333" s="8">
        <f t="shared" si="196"/>
        <v>17.75</v>
      </c>
      <c r="G6333" s="8">
        <f t="shared" si="197"/>
        <v>1.7749999999999998E-2</v>
      </c>
    </row>
    <row r="6334" spans="1:7" x14ac:dyDescent="0.25">
      <c r="A6334" s="8">
        <v>84</v>
      </c>
      <c r="B6334" s="8">
        <v>60</v>
      </c>
      <c r="C6334" s="8">
        <v>515.18072500000005</v>
      </c>
      <c r="D6334" s="8">
        <v>152671.96875</v>
      </c>
      <c r="E6334" s="8">
        <v>152703.453125</v>
      </c>
      <c r="F6334" s="8">
        <f t="shared" si="196"/>
        <v>31.484375</v>
      </c>
      <c r="G6334" s="8">
        <f t="shared" si="197"/>
        <v>3.1484375000000002E-2</v>
      </c>
    </row>
    <row r="6335" spans="1:7" x14ac:dyDescent="0.25">
      <c r="A6335" s="8">
        <v>84</v>
      </c>
      <c r="B6335" s="8">
        <v>61</v>
      </c>
      <c r="C6335" s="8">
        <v>2356.150635</v>
      </c>
      <c r="D6335" s="8">
        <v>153218.6875</v>
      </c>
      <c r="E6335" s="8">
        <v>153233.8125</v>
      </c>
      <c r="F6335" s="8">
        <f t="shared" si="196"/>
        <v>15.125</v>
      </c>
      <c r="G6335" s="8">
        <f t="shared" si="197"/>
        <v>1.5125E-2</v>
      </c>
    </row>
    <row r="6336" spans="1:7" x14ac:dyDescent="0.25">
      <c r="A6336" s="8">
        <v>84</v>
      </c>
      <c r="B6336" s="8">
        <v>62</v>
      </c>
      <c r="C6336" s="8">
        <v>265.95575000000002</v>
      </c>
      <c r="D6336" s="8">
        <v>155594.1875</v>
      </c>
      <c r="E6336" s="8">
        <v>155615.203125</v>
      </c>
      <c r="F6336" s="8">
        <f t="shared" si="196"/>
        <v>21.015625</v>
      </c>
      <c r="G6336" s="8">
        <f t="shared" si="197"/>
        <v>2.1015625E-2</v>
      </c>
    </row>
    <row r="6337" spans="1:7" x14ac:dyDescent="0.25">
      <c r="A6337" s="8">
        <v>84</v>
      </c>
      <c r="B6337" s="8">
        <v>63</v>
      </c>
      <c r="C6337" s="8">
        <v>2850.4418949999999</v>
      </c>
      <c r="D6337" s="8">
        <v>155891.109375</v>
      </c>
      <c r="E6337" s="8">
        <v>155911.21875</v>
      </c>
      <c r="F6337" s="8">
        <f t="shared" si="196"/>
        <v>20.109375</v>
      </c>
      <c r="G6337" s="8">
        <f t="shared" si="197"/>
        <v>2.0109374999999999E-2</v>
      </c>
    </row>
    <row r="6338" spans="1:7" x14ac:dyDescent="0.25">
      <c r="A6338" s="8">
        <v>84</v>
      </c>
      <c r="B6338" s="8">
        <v>64</v>
      </c>
      <c r="C6338" s="8">
        <v>754.57067900000004</v>
      </c>
      <c r="D6338" s="8">
        <v>158767.15625</v>
      </c>
      <c r="E6338" s="8">
        <v>158781.875</v>
      </c>
      <c r="F6338" s="8">
        <f t="shared" si="196"/>
        <v>14.71875</v>
      </c>
      <c r="G6338" s="8">
        <f t="shared" si="197"/>
        <v>1.4718749999999999E-2</v>
      </c>
    </row>
    <row r="6339" spans="1:7" x14ac:dyDescent="0.25">
      <c r="A6339" s="8">
        <v>84</v>
      </c>
      <c r="B6339" s="8">
        <v>65</v>
      </c>
      <c r="C6339" s="8">
        <v>3.2376019999999999</v>
      </c>
      <c r="D6339" s="8">
        <v>159548.703125</v>
      </c>
      <c r="E6339" s="8">
        <v>159573.796875</v>
      </c>
      <c r="F6339" s="8">
        <f t="shared" si="196"/>
        <v>25.09375</v>
      </c>
      <c r="G6339" s="8">
        <f t="shared" si="197"/>
        <v>2.5093750000000001E-2</v>
      </c>
    </row>
    <row r="6340" spans="1:7" x14ac:dyDescent="0.25">
      <c r="A6340" s="8">
        <v>84</v>
      </c>
      <c r="B6340" s="8">
        <v>66</v>
      </c>
      <c r="C6340" s="8">
        <v>425.98880000000003</v>
      </c>
      <c r="D6340" s="8">
        <v>159579.96875</v>
      </c>
      <c r="E6340" s="8">
        <v>159593.375</v>
      </c>
      <c r="F6340" s="8">
        <f t="shared" si="196"/>
        <v>13.40625</v>
      </c>
      <c r="G6340" s="8">
        <f t="shared" si="197"/>
        <v>1.340625E-2</v>
      </c>
    </row>
    <row r="6341" spans="1:7" x14ac:dyDescent="0.25">
      <c r="A6341" s="8">
        <v>84</v>
      </c>
      <c r="B6341" s="8">
        <v>67</v>
      </c>
      <c r="C6341" s="8">
        <v>1170.184937</v>
      </c>
      <c r="D6341" s="8">
        <v>160033.125</v>
      </c>
      <c r="E6341" s="8">
        <v>160053.296875</v>
      </c>
      <c r="F6341" s="8">
        <f t="shared" si="196"/>
        <v>20.171875</v>
      </c>
      <c r="G6341" s="8">
        <f t="shared" si="197"/>
        <v>2.0171874999999999E-2</v>
      </c>
    </row>
    <row r="6342" spans="1:7" x14ac:dyDescent="0.25">
      <c r="A6342" s="8">
        <v>84</v>
      </c>
      <c r="B6342" s="8">
        <v>68</v>
      </c>
      <c r="C6342" s="8">
        <v>8967.3476559999999</v>
      </c>
      <c r="D6342" s="8">
        <v>161236.4375</v>
      </c>
      <c r="E6342" s="8">
        <v>161250.328125</v>
      </c>
      <c r="F6342" s="8">
        <f t="shared" si="196"/>
        <v>13.890625</v>
      </c>
      <c r="G6342" s="8">
        <f t="shared" si="197"/>
        <v>1.3890625E-2</v>
      </c>
    </row>
    <row r="6343" spans="1:7" x14ac:dyDescent="0.25">
      <c r="A6343" s="8">
        <v>85</v>
      </c>
      <c r="B6343" s="8">
        <v>0</v>
      </c>
      <c r="C6343" s="8">
        <v>1174.9019780000001</v>
      </c>
      <c r="D6343" s="8">
        <v>22907.019531000002</v>
      </c>
      <c r="E6343" s="8">
        <v>22923.130859000001</v>
      </c>
      <c r="F6343" s="8">
        <f t="shared" si="196"/>
        <v>16.111327999999048</v>
      </c>
      <c r="G6343" s="8">
        <f t="shared" si="197"/>
        <v>1.6111327999999047E-2</v>
      </c>
    </row>
    <row r="6344" spans="1:7" x14ac:dyDescent="0.25">
      <c r="A6344" s="8">
        <v>85</v>
      </c>
      <c r="B6344" s="8">
        <v>1</v>
      </c>
      <c r="C6344" s="8">
        <v>6290.2465819999998</v>
      </c>
      <c r="D6344" s="8">
        <v>24099.884765999999</v>
      </c>
      <c r="E6344" s="8">
        <v>24112.378906000002</v>
      </c>
      <c r="F6344" s="8">
        <f t="shared" si="196"/>
        <v>12.494140000002517</v>
      </c>
      <c r="G6344" s="8">
        <f t="shared" si="197"/>
        <v>1.2494140000002516E-2</v>
      </c>
    </row>
    <row r="6345" spans="1:7" x14ac:dyDescent="0.25">
      <c r="A6345" s="8">
        <v>85</v>
      </c>
      <c r="B6345" s="8">
        <v>2</v>
      </c>
      <c r="C6345" s="8">
        <v>2610.5649410000001</v>
      </c>
      <c r="D6345" s="8">
        <v>30406.009765999999</v>
      </c>
      <c r="E6345" s="8">
        <v>30428.03125</v>
      </c>
      <c r="F6345" s="8">
        <f t="shared" si="196"/>
        <v>22.021484000000783</v>
      </c>
      <c r="G6345" s="8">
        <f t="shared" si="197"/>
        <v>2.2021484000000782E-2</v>
      </c>
    </row>
    <row r="6346" spans="1:7" x14ac:dyDescent="0.25">
      <c r="A6346" s="8">
        <v>85</v>
      </c>
      <c r="B6346" s="8">
        <v>3</v>
      </c>
      <c r="C6346" s="8">
        <v>735.70062299999995</v>
      </c>
      <c r="D6346" s="8">
        <v>33051.402344000002</v>
      </c>
      <c r="E6346" s="8">
        <v>33065.96875</v>
      </c>
      <c r="F6346" s="8">
        <f t="shared" si="196"/>
        <v>14.566405999998096</v>
      </c>
      <c r="G6346" s="8">
        <f t="shared" si="197"/>
        <v>1.4566405999998096E-2</v>
      </c>
    </row>
    <row r="6347" spans="1:7" x14ac:dyDescent="0.25">
      <c r="A6347" s="8">
        <v>85</v>
      </c>
      <c r="B6347" s="8">
        <v>4</v>
      </c>
      <c r="C6347" s="8">
        <v>4874.4052730000003</v>
      </c>
      <c r="D6347" s="8">
        <v>33806.347655999998</v>
      </c>
      <c r="E6347" s="8">
        <v>33814.984375</v>
      </c>
      <c r="F6347" s="8">
        <f t="shared" ref="F6347:F6410" si="198">E6347-D6347</f>
        <v>8.6367190000019036</v>
      </c>
      <c r="G6347" s="8">
        <f t="shared" ref="G6347:G6410" si="199">F6347/1000</f>
        <v>8.636719000001904E-3</v>
      </c>
    </row>
    <row r="6348" spans="1:7" x14ac:dyDescent="0.25">
      <c r="A6348" s="8">
        <v>85</v>
      </c>
      <c r="B6348" s="8">
        <v>5</v>
      </c>
      <c r="C6348" s="8">
        <v>1370.5478519999999</v>
      </c>
      <c r="D6348" s="8">
        <v>38698.871094000002</v>
      </c>
      <c r="E6348" s="8">
        <v>38715.949219000002</v>
      </c>
      <c r="F6348" s="8">
        <f t="shared" si="198"/>
        <v>17.078125</v>
      </c>
      <c r="G6348" s="8">
        <f t="shared" si="199"/>
        <v>1.7078125E-2</v>
      </c>
    </row>
    <row r="6349" spans="1:7" x14ac:dyDescent="0.25">
      <c r="A6349" s="8">
        <v>85</v>
      </c>
      <c r="B6349" s="8">
        <v>6</v>
      </c>
      <c r="C6349" s="8">
        <v>3074.4914549999999</v>
      </c>
      <c r="D6349" s="8">
        <v>40089.882812999997</v>
      </c>
      <c r="E6349" s="8">
        <v>40104.164062999997</v>
      </c>
      <c r="F6349" s="8">
        <f t="shared" si="198"/>
        <v>14.28125</v>
      </c>
      <c r="G6349" s="8">
        <f t="shared" si="199"/>
        <v>1.4281250000000001E-2</v>
      </c>
    </row>
    <row r="6350" spans="1:7" x14ac:dyDescent="0.25">
      <c r="A6350" s="8">
        <v>85</v>
      </c>
      <c r="B6350" s="8">
        <v>7</v>
      </c>
      <c r="C6350" s="8">
        <v>1839.4293210000001</v>
      </c>
      <c r="D6350" s="8">
        <v>43193.558594000002</v>
      </c>
      <c r="E6350" s="8">
        <v>43241.71875</v>
      </c>
      <c r="F6350" s="8">
        <f t="shared" si="198"/>
        <v>48.160155999998096</v>
      </c>
      <c r="G6350" s="8">
        <f t="shared" si="199"/>
        <v>4.8160155999998094E-2</v>
      </c>
    </row>
    <row r="6351" spans="1:7" x14ac:dyDescent="0.25">
      <c r="A6351" s="8">
        <v>85</v>
      </c>
      <c r="B6351" s="8">
        <v>8</v>
      </c>
      <c r="C6351" s="8">
        <v>442.75012199999998</v>
      </c>
      <c r="D6351" s="8">
        <v>45084.492187999997</v>
      </c>
      <c r="E6351" s="8">
        <v>45105.308594000002</v>
      </c>
      <c r="F6351" s="8">
        <f t="shared" si="198"/>
        <v>20.816406000005372</v>
      </c>
      <c r="G6351" s="8">
        <f t="shared" si="199"/>
        <v>2.0816406000005373E-2</v>
      </c>
    </row>
    <row r="6352" spans="1:7" x14ac:dyDescent="0.25">
      <c r="A6352" s="8">
        <v>85</v>
      </c>
      <c r="B6352" s="8">
        <v>9</v>
      </c>
      <c r="C6352" s="8">
        <v>1306.3089600000001</v>
      </c>
      <c r="D6352" s="8">
        <v>45553.203125</v>
      </c>
      <c r="E6352" s="8">
        <v>45570.492187999997</v>
      </c>
      <c r="F6352" s="8">
        <f t="shared" si="198"/>
        <v>17.289062999996531</v>
      </c>
      <c r="G6352" s="8">
        <f t="shared" si="199"/>
        <v>1.7289062999996531E-2</v>
      </c>
    </row>
    <row r="6353" spans="1:7" x14ac:dyDescent="0.25">
      <c r="A6353" s="8">
        <v>85</v>
      </c>
      <c r="B6353" s="8">
        <v>10</v>
      </c>
      <c r="C6353" s="8">
        <v>668.93231200000002</v>
      </c>
      <c r="D6353" s="8">
        <v>46891.351562999997</v>
      </c>
      <c r="E6353" s="8">
        <v>46912.789062999997</v>
      </c>
      <c r="F6353" s="8">
        <f t="shared" si="198"/>
        <v>21.4375</v>
      </c>
      <c r="G6353" s="8">
        <f t="shared" si="199"/>
        <v>2.1437500000000002E-2</v>
      </c>
    </row>
    <row r="6354" spans="1:7" x14ac:dyDescent="0.25">
      <c r="A6354" s="8">
        <v>85</v>
      </c>
      <c r="B6354" s="8">
        <v>11</v>
      </c>
      <c r="C6354" s="8">
        <v>3543.335693</v>
      </c>
      <c r="D6354" s="8">
        <v>47594.566405999998</v>
      </c>
      <c r="E6354" s="8">
        <v>47624.679687999997</v>
      </c>
      <c r="F6354" s="8">
        <f t="shared" si="198"/>
        <v>30.113281999998435</v>
      </c>
      <c r="G6354" s="8">
        <f t="shared" si="199"/>
        <v>3.0113281999998433E-2</v>
      </c>
    </row>
    <row r="6355" spans="1:7" x14ac:dyDescent="0.25">
      <c r="A6355" s="8">
        <v>85</v>
      </c>
      <c r="B6355" s="8">
        <v>12</v>
      </c>
      <c r="C6355" s="8">
        <v>222.50872799999999</v>
      </c>
      <c r="D6355" s="8">
        <v>51174.800780999998</v>
      </c>
      <c r="E6355" s="8">
        <v>51195.285155999998</v>
      </c>
      <c r="F6355" s="8">
        <f t="shared" si="198"/>
        <v>20.484375</v>
      </c>
      <c r="G6355" s="8">
        <f t="shared" si="199"/>
        <v>2.0484374999999999E-2</v>
      </c>
    </row>
    <row r="6356" spans="1:7" x14ac:dyDescent="0.25">
      <c r="A6356" s="8">
        <v>85</v>
      </c>
      <c r="B6356" s="8">
        <v>13</v>
      </c>
      <c r="C6356" s="8">
        <v>2204.8076169999999</v>
      </c>
      <c r="D6356" s="8">
        <v>51428.457030999998</v>
      </c>
      <c r="E6356" s="8">
        <v>51454.617187999997</v>
      </c>
      <c r="F6356" s="8">
        <f t="shared" si="198"/>
        <v>26.160156999998435</v>
      </c>
      <c r="G6356" s="8">
        <f t="shared" si="199"/>
        <v>2.6160156999998435E-2</v>
      </c>
    </row>
    <row r="6357" spans="1:7" x14ac:dyDescent="0.25">
      <c r="A6357" s="8">
        <v>85</v>
      </c>
      <c r="B6357" s="8">
        <v>14</v>
      </c>
      <c r="C6357" s="8">
        <v>5541.2138670000004</v>
      </c>
      <c r="D6357" s="8">
        <v>53671.289062999997</v>
      </c>
      <c r="E6357" s="8">
        <v>53681.804687999997</v>
      </c>
      <c r="F6357" s="8">
        <f t="shared" si="198"/>
        <v>10.515625</v>
      </c>
      <c r="G6357" s="8">
        <f t="shared" si="199"/>
        <v>1.0515625000000001E-2</v>
      </c>
    </row>
    <row r="6358" spans="1:7" x14ac:dyDescent="0.25">
      <c r="A6358" s="8">
        <v>85</v>
      </c>
      <c r="B6358" s="8">
        <v>15</v>
      </c>
      <c r="C6358" s="8">
        <v>976.70782499999996</v>
      </c>
      <c r="D6358" s="8">
        <v>59231.722655999998</v>
      </c>
      <c r="E6358" s="8">
        <v>59252.570312999997</v>
      </c>
      <c r="F6358" s="8">
        <f t="shared" si="198"/>
        <v>20.847656999998435</v>
      </c>
      <c r="G6358" s="8">
        <f t="shared" si="199"/>
        <v>2.0847656999998434E-2</v>
      </c>
    </row>
    <row r="6359" spans="1:7" x14ac:dyDescent="0.25">
      <c r="A6359" s="8">
        <v>85</v>
      </c>
      <c r="B6359" s="8">
        <v>16</v>
      </c>
      <c r="C6359" s="8">
        <v>953.56664999999998</v>
      </c>
      <c r="D6359" s="8">
        <v>60231.773437999997</v>
      </c>
      <c r="E6359" s="8">
        <v>60248.496094000002</v>
      </c>
      <c r="F6359" s="8">
        <f t="shared" si="198"/>
        <v>16.722656000005372</v>
      </c>
      <c r="G6359" s="8">
        <f t="shared" si="199"/>
        <v>1.6722656000005373E-2</v>
      </c>
    </row>
    <row r="6360" spans="1:7" x14ac:dyDescent="0.25">
      <c r="A6360" s="8">
        <v>85</v>
      </c>
      <c r="B6360" s="8">
        <v>17</v>
      </c>
      <c r="C6360" s="8">
        <v>1577.061279</v>
      </c>
      <c r="D6360" s="8">
        <v>61216.351562999997</v>
      </c>
      <c r="E6360" s="8">
        <v>61227.214844000002</v>
      </c>
      <c r="F6360" s="8">
        <f t="shared" si="198"/>
        <v>10.863281000005372</v>
      </c>
      <c r="G6360" s="8">
        <f t="shared" si="199"/>
        <v>1.0863281000005373E-2</v>
      </c>
    </row>
    <row r="6361" spans="1:7" x14ac:dyDescent="0.25">
      <c r="A6361" s="8">
        <v>85</v>
      </c>
      <c r="B6361" s="8">
        <v>18</v>
      </c>
      <c r="C6361" s="8">
        <v>1927.7064210000001</v>
      </c>
      <c r="D6361" s="8">
        <v>62813.347655999998</v>
      </c>
      <c r="E6361" s="8">
        <v>62830.730469000002</v>
      </c>
      <c r="F6361" s="8">
        <f t="shared" si="198"/>
        <v>17.382813000003807</v>
      </c>
      <c r="G6361" s="8">
        <f t="shared" si="199"/>
        <v>1.7382813000003806E-2</v>
      </c>
    </row>
    <row r="6362" spans="1:7" x14ac:dyDescent="0.25">
      <c r="A6362" s="8">
        <v>85</v>
      </c>
      <c r="B6362" s="8">
        <v>19</v>
      </c>
      <c r="C6362" s="8">
        <v>360.02179000000001</v>
      </c>
      <c r="D6362" s="8">
        <v>64762.195312999997</v>
      </c>
      <c r="E6362" s="8">
        <v>64769.457030999998</v>
      </c>
      <c r="F6362" s="8">
        <f t="shared" si="198"/>
        <v>7.2617180000015651</v>
      </c>
      <c r="G6362" s="8">
        <f t="shared" si="199"/>
        <v>7.2617180000015651E-3</v>
      </c>
    </row>
    <row r="6363" spans="1:7" x14ac:dyDescent="0.25">
      <c r="A6363" s="8">
        <v>85</v>
      </c>
      <c r="B6363" s="8">
        <v>20</v>
      </c>
      <c r="C6363" s="8">
        <v>676.79351799999995</v>
      </c>
      <c r="D6363" s="8">
        <v>65137.234375</v>
      </c>
      <c r="E6363" s="8">
        <v>65151.785155999998</v>
      </c>
      <c r="F6363" s="8">
        <f t="shared" si="198"/>
        <v>14.550780999998096</v>
      </c>
      <c r="G6363" s="8">
        <f t="shared" si="199"/>
        <v>1.4550780999998096E-2</v>
      </c>
    </row>
    <row r="6364" spans="1:7" x14ac:dyDescent="0.25">
      <c r="A6364" s="8">
        <v>85</v>
      </c>
      <c r="B6364" s="8">
        <v>21</v>
      </c>
      <c r="C6364" s="8">
        <v>6773.7309569999998</v>
      </c>
      <c r="D6364" s="8">
        <v>65840.25</v>
      </c>
      <c r="E6364" s="8">
        <v>65862.992188000004</v>
      </c>
      <c r="F6364" s="8">
        <f t="shared" si="198"/>
        <v>22.742188000003807</v>
      </c>
      <c r="G6364" s="8">
        <f t="shared" si="199"/>
        <v>2.2742188000003806E-2</v>
      </c>
    </row>
    <row r="6365" spans="1:7" x14ac:dyDescent="0.25">
      <c r="A6365" s="8">
        <v>85</v>
      </c>
      <c r="B6365" s="8">
        <v>22</v>
      </c>
      <c r="C6365" s="8">
        <v>727.16570999999999</v>
      </c>
      <c r="D6365" s="8">
        <v>72638.625</v>
      </c>
      <c r="E6365" s="8">
        <v>72658.1875</v>
      </c>
      <c r="F6365" s="8">
        <f t="shared" si="198"/>
        <v>19.5625</v>
      </c>
      <c r="G6365" s="8">
        <f t="shared" si="199"/>
        <v>1.95625E-2</v>
      </c>
    </row>
    <row r="6366" spans="1:7" x14ac:dyDescent="0.25">
      <c r="A6366" s="8">
        <v>85</v>
      </c>
      <c r="B6366" s="8">
        <v>23</v>
      </c>
      <c r="C6366" s="8">
        <v>252.61447100000001</v>
      </c>
      <c r="D6366" s="8">
        <v>73388.757813000004</v>
      </c>
      <c r="E6366" s="8">
        <v>73401.875</v>
      </c>
      <c r="F6366" s="8">
        <f t="shared" si="198"/>
        <v>13.117186999996193</v>
      </c>
      <c r="G6366" s="8">
        <f t="shared" si="199"/>
        <v>1.3117186999996193E-2</v>
      </c>
    </row>
    <row r="6367" spans="1:7" x14ac:dyDescent="0.25">
      <c r="A6367" s="8">
        <v>85</v>
      </c>
      <c r="B6367" s="8">
        <v>24</v>
      </c>
      <c r="C6367" s="8">
        <v>3376.0842290000001</v>
      </c>
      <c r="D6367" s="8">
        <v>73654.351563000004</v>
      </c>
      <c r="E6367" s="8">
        <v>73674.304688000004</v>
      </c>
      <c r="F6367" s="8">
        <f t="shared" si="198"/>
        <v>19.953125</v>
      </c>
      <c r="G6367" s="8">
        <f t="shared" si="199"/>
        <v>1.9953124999999999E-2</v>
      </c>
    </row>
    <row r="6368" spans="1:7" x14ac:dyDescent="0.25">
      <c r="A6368" s="8">
        <v>85</v>
      </c>
      <c r="B6368" s="8">
        <v>25</v>
      </c>
      <c r="C6368" s="8">
        <v>5306.0810549999997</v>
      </c>
      <c r="D6368" s="8">
        <v>77053.945313000004</v>
      </c>
      <c r="E6368" s="8">
        <v>77070.804688000004</v>
      </c>
      <c r="F6368" s="8">
        <f t="shared" si="198"/>
        <v>16.859375</v>
      </c>
      <c r="G6368" s="8">
        <f t="shared" si="199"/>
        <v>1.6859374999999999E-2</v>
      </c>
    </row>
    <row r="6369" spans="1:7" x14ac:dyDescent="0.25">
      <c r="A6369" s="8">
        <v>85</v>
      </c>
      <c r="B6369" s="8">
        <v>26</v>
      </c>
      <c r="C6369" s="8">
        <v>1944.580322</v>
      </c>
      <c r="D6369" s="8">
        <v>82386.140625</v>
      </c>
      <c r="E6369" s="8">
        <v>82403.023438000004</v>
      </c>
      <c r="F6369" s="8">
        <f t="shared" si="198"/>
        <v>16.882813000003807</v>
      </c>
      <c r="G6369" s="8">
        <f t="shared" si="199"/>
        <v>1.6882813000003806E-2</v>
      </c>
    </row>
    <row r="6370" spans="1:7" x14ac:dyDescent="0.25">
      <c r="A6370" s="8">
        <v>85</v>
      </c>
      <c r="B6370" s="8">
        <v>27</v>
      </c>
      <c r="C6370" s="8">
        <v>12030.300781</v>
      </c>
      <c r="D6370" s="8">
        <v>84360.296875</v>
      </c>
      <c r="E6370" s="8">
        <v>84379.210938000004</v>
      </c>
      <c r="F6370" s="8">
        <f t="shared" si="198"/>
        <v>18.914063000003807</v>
      </c>
      <c r="G6370" s="8">
        <f t="shared" si="199"/>
        <v>1.8914063000003808E-2</v>
      </c>
    </row>
    <row r="6371" spans="1:7" x14ac:dyDescent="0.25">
      <c r="A6371" s="8">
        <v>85</v>
      </c>
      <c r="B6371" s="8">
        <v>28</v>
      </c>
      <c r="C6371" s="8">
        <v>817.96185300000002</v>
      </c>
      <c r="D6371" s="8">
        <v>96412.835938000004</v>
      </c>
      <c r="E6371" s="8">
        <v>96432.351563000004</v>
      </c>
      <c r="F6371" s="8">
        <f t="shared" si="198"/>
        <v>19.515625</v>
      </c>
      <c r="G6371" s="8">
        <f t="shared" si="199"/>
        <v>1.9515625000000002E-2</v>
      </c>
    </row>
    <row r="6372" spans="1:7" x14ac:dyDescent="0.25">
      <c r="A6372" s="8">
        <v>85</v>
      </c>
      <c r="B6372" s="8">
        <v>29</v>
      </c>
      <c r="C6372" s="8">
        <v>6285.9990230000003</v>
      </c>
      <c r="D6372" s="8">
        <v>97262.796875</v>
      </c>
      <c r="E6372" s="8">
        <v>97271.320313000004</v>
      </c>
      <c r="F6372" s="8">
        <f t="shared" si="198"/>
        <v>8.5234380000038072</v>
      </c>
      <c r="G6372" s="8">
        <f t="shared" si="199"/>
        <v>8.5234380000038072E-3</v>
      </c>
    </row>
    <row r="6373" spans="1:7" x14ac:dyDescent="0.25">
      <c r="A6373" s="8">
        <v>85</v>
      </c>
      <c r="B6373" s="8">
        <v>30</v>
      </c>
      <c r="C6373" s="8">
        <v>1789.9769289999999</v>
      </c>
      <c r="D6373" s="8">
        <v>103559.835938</v>
      </c>
      <c r="E6373" s="8">
        <v>103582.140625</v>
      </c>
      <c r="F6373" s="8">
        <f t="shared" si="198"/>
        <v>22.304686999996193</v>
      </c>
      <c r="G6373" s="8">
        <f t="shared" si="199"/>
        <v>2.2304686999996194E-2</v>
      </c>
    </row>
    <row r="6374" spans="1:7" x14ac:dyDescent="0.25">
      <c r="A6374" s="8">
        <v>85</v>
      </c>
      <c r="B6374" s="8">
        <v>31</v>
      </c>
      <c r="C6374" s="8">
        <v>1305.1362300000001</v>
      </c>
      <c r="D6374" s="8">
        <v>105384.328125</v>
      </c>
      <c r="E6374" s="8">
        <v>105400.210938</v>
      </c>
      <c r="F6374" s="8">
        <f t="shared" si="198"/>
        <v>15.882813000003807</v>
      </c>
      <c r="G6374" s="8">
        <f t="shared" si="199"/>
        <v>1.5882813000003809E-2</v>
      </c>
    </row>
    <row r="6375" spans="1:7" x14ac:dyDescent="0.25">
      <c r="A6375" s="8">
        <v>85</v>
      </c>
      <c r="B6375" s="8">
        <v>32</v>
      </c>
      <c r="C6375" s="8">
        <v>175.58256499999999</v>
      </c>
      <c r="D6375" s="8">
        <v>106719.132813</v>
      </c>
      <c r="E6375" s="8">
        <v>106729.171875</v>
      </c>
      <c r="F6375" s="8">
        <f t="shared" si="198"/>
        <v>10.039061999996193</v>
      </c>
      <c r="G6375" s="8">
        <f t="shared" si="199"/>
        <v>1.0039061999996192E-2</v>
      </c>
    </row>
    <row r="6376" spans="1:7" x14ac:dyDescent="0.25">
      <c r="A6376" s="8">
        <v>85</v>
      </c>
      <c r="B6376" s="8">
        <v>33</v>
      </c>
      <c r="C6376" s="8">
        <v>71.200919999999996</v>
      </c>
      <c r="D6376" s="8">
        <v>106906.460938</v>
      </c>
      <c r="E6376" s="8">
        <v>106916.257813</v>
      </c>
      <c r="F6376" s="8">
        <f t="shared" si="198"/>
        <v>9.796875</v>
      </c>
      <c r="G6376" s="8">
        <f t="shared" si="199"/>
        <v>9.796875E-3</v>
      </c>
    </row>
    <row r="6377" spans="1:7" x14ac:dyDescent="0.25">
      <c r="A6377" s="8">
        <v>85</v>
      </c>
      <c r="B6377" s="8">
        <v>34</v>
      </c>
      <c r="C6377" s="8">
        <v>2242.2854000000002</v>
      </c>
      <c r="D6377" s="8">
        <v>107000.414063</v>
      </c>
      <c r="E6377" s="8">
        <v>107014.546875</v>
      </c>
      <c r="F6377" s="8">
        <f t="shared" si="198"/>
        <v>14.132811999996193</v>
      </c>
      <c r="G6377" s="8">
        <f t="shared" si="199"/>
        <v>1.4132811999996192E-2</v>
      </c>
    </row>
    <row r="6378" spans="1:7" x14ac:dyDescent="0.25">
      <c r="A6378" s="8">
        <v>85</v>
      </c>
      <c r="B6378" s="8">
        <v>35</v>
      </c>
      <c r="C6378" s="8">
        <v>1083.4501949999999</v>
      </c>
      <c r="D6378" s="8">
        <v>109266.867188</v>
      </c>
      <c r="E6378" s="8">
        <v>109290.007813</v>
      </c>
      <c r="F6378" s="8">
        <f t="shared" si="198"/>
        <v>23.140625</v>
      </c>
      <c r="G6378" s="8">
        <f t="shared" si="199"/>
        <v>2.3140625000000001E-2</v>
      </c>
    </row>
    <row r="6379" spans="1:7" x14ac:dyDescent="0.25">
      <c r="A6379" s="8">
        <v>85</v>
      </c>
      <c r="B6379" s="8">
        <v>36</v>
      </c>
      <c r="C6379" s="8">
        <v>684.34191899999996</v>
      </c>
      <c r="D6379" s="8">
        <v>110377.117188</v>
      </c>
      <c r="E6379" s="8">
        <v>110390.523438</v>
      </c>
      <c r="F6379" s="8">
        <f t="shared" si="198"/>
        <v>13.40625</v>
      </c>
      <c r="G6379" s="8">
        <f t="shared" si="199"/>
        <v>1.340625E-2</v>
      </c>
    </row>
    <row r="6380" spans="1:7" x14ac:dyDescent="0.25">
      <c r="A6380" s="8">
        <v>85</v>
      </c>
      <c r="B6380" s="8">
        <v>37</v>
      </c>
      <c r="C6380" s="8">
        <v>1823.1125489999999</v>
      </c>
      <c r="D6380" s="8">
        <v>111080.414063</v>
      </c>
      <c r="E6380" s="8">
        <v>111094.75</v>
      </c>
      <c r="F6380" s="8">
        <f t="shared" si="198"/>
        <v>14.335936999996193</v>
      </c>
      <c r="G6380" s="8">
        <f t="shared" si="199"/>
        <v>1.4335936999996192E-2</v>
      </c>
    </row>
    <row r="6381" spans="1:7" x14ac:dyDescent="0.25">
      <c r="A6381" s="8">
        <v>85</v>
      </c>
      <c r="B6381" s="8">
        <v>38</v>
      </c>
      <c r="C6381" s="8">
        <v>2408.3728030000002</v>
      </c>
      <c r="D6381" s="8">
        <v>112931.765625</v>
      </c>
      <c r="E6381" s="8">
        <v>112944.929688</v>
      </c>
      <c r="F6381" s="8">
        <f t="shared" si="198"/>
        <v>13.164063000003807</v>
      </c>
      <c r="G6381" s="8">
        <f t="shared" si="199"/>
        <v>1.3164063000003808E-2</v>
      </c>
    </row>
    <row r="6382" spans="1:7" x14ac:dyDescent="0.25">
      <c r="A6382" s="8">
        <v>85</v>
      </c>
      <c r="B6382" s="8">
        <v>39</v>
      </c>
      <c r="C6382" s="8">
        <v>1114.004639</v>
      </c>
      <c r="D6382" s="8">
        <v>115364.367188</v>
      </c>
      <c r="E6382" s="8">
        <v>115374.65625</v>
      </c>
      <c r="F6382" s="8">
        <f t="shared" si="198"/>
        <v>10.289061999996193</v>
      </c>
      <c r="G6382" s="8">
        <f t="shared" si="199"/>
        <v>1.0289061999996192E-2</v>
      </c>
    </row>
    <row r="6383" spans="1:7" x14ac:dyDescent="0.25">
      <c r="A6383" s="8">
        <v>85</v>
      </c>
      <c r="B6383" s="8">
        <v>40</v>
      </c>
      <c r="C6383" s="8">
        <v>729.88946499999997</v>
      </c>
      <c r="D6383" s="8">
        <v>116489.476563</v>
      </c>
      <c r="E6383" s="8">
        <v>116514.976563</v>
      </c>
      <c r="F6383" s="8">
        <f t="shared" si="198"/>
        <v>25.5</v>
      </c>
      <c r="G6383" s="8">
        <f t="shared" si="199"/>
        <v>2.5499999999999998E-2</v>
      </c>
    </row>
    <row r="6384" spans="1:7" x14ac:dyDescent="0.25">
      <c r="A6384" s="8">
        <v>85</v>
      </c>
      <c r="B6384" s="8">
        <v>41</v>
      </c>
      <c r="C6384" s="8">
        <v>1444.9482419999999</v>
      </c>
      <c r="D6384" s="8">
        <v>117254.15625</v>
      </c>
      <c r="E6384" s="8">
        <v>117269.445313</v>
      </c>
      <c r="F6384" s="8">
        <f t="shared" si="198"/>
        <v>15.289063000003807</v>
      </c>
      <c r="G6384" s="8">
        <f t="shared" si="199"/>
        <v>1.5289063000003808E-2</v>
      </c>
    </row>
    <row r="6385" spans="1:7" x14ac:dyDescent="0.25">
      <c r="A6385" s="8">
        <v>85</v>
      </c>
      <c r="B6385" s="8">
        <v>42</v>
      </c>
      <c r="C6385" s="8">
        <v>3051.34375</v>
      </c>
      <c r="D6385" s="8">
        <v>118728.835938</v>
      </c>
      <c r="E6385" s="8">
        <v>118747.070313</v>
      </c>
      <c r="F6385" s="8">
        <f t="shared" si="198"/>
        <v>18.234375</v>
      </c>
      <c r="G6385" s="8">
        <f t="shared" si="199"/>
        <v>1.8234375000000001E-2</v>
      </c>
    </row>
    <row r="6386" spans="1:7" x14ac:dyDescent="0.25">
      <c r="A6386" s="8">
        <v>85</v>
      </c>
      <c r="B6386" s="8">
        <v>43</v>
      </c>
      <c r="C6386" s="8">
        <v>1432.4167480000001</v>
      </c>
      <c r="D6386" s="8">
        <v>121798.929688</v>
      </c>
      <c r="E6386" s="8">
        <v>121816.984375</v>
      </c>
      <c r="F6386" s="8">
        <f t="shared" si="198"/>
        <v>18.054686999996193</v>
      </c>
      <c r="G6386" s="8">
        <f t="shared" si="199"/>
        <v>1.8054686999996194E-2</v>
      </c>
    </row>
    <row r="6387" spans="1:7" x14ac:dyDescent="0.25">
      <c r="A6387" s="8">
        <v>85</v>
      </c>
      <c r="B6387" s="8">
        <v>44</v>
      </c>
      <c r="C6387" s="8">
        <v>1732.8426509999999</v>
      </c>
      <c r="D6387" s="8">
        <v>123261.984375</v>
      </c>
      <c r="E6387" s="8">
        <v>123279.210938</v>
      </c>
      <c r="F6387" s="8">
        <f t="shared" si="198"/>
        <v>17.226563000003807</v>
      </c>
      <c r="G6387" s="8">
        <f t="shared" si="199"/>
        <v>1.7226563000003806E-2</v>
      </c>
    </row>
    <row r="6388" spans="1:7" x14ac:dyDescent="0.25">
      <c r="A6388" s="8">
        <v>85</v>
      </c>
      <c r="B6388" s="8">
        <v>45</v>
      </c>
      <c r="C6388" s="8">
        <v>1590.5356449999999</v>
      </c>
      <c r="D6388" s="8">
        <v>125017.75</v>
      </c>
      <c r="E6388" s="8">
        <v>125031.960938</v>
      </c>
      <c r="F6388" s="8">
        <f t="shared" si="198"/>
        <v>14.210938000003807</v>
      </c>
      <c r="G6388" s="8">
        <f t="shared" si="199"/>
        <v>1.4210938000003807E-2</v>
      </c>
    </row>
    <row r="6389" spans="1:7" x14ac:dyDescent="0.25">
      <c r="A6389" s="8">
        <v>85</v>
      </c>
      <c r="B6389" s="8">
        <v>46</v>
      </c>
      <c r="C6389" s="8">
        <v>3293.304932</v>
      </c>
      <c r="D6389" s="8">
        <v>126627.9375</v>
      </c>
      <c r="E6389" s="8">
        <v>126641.515625</v>
      </c>
      <c r="F6389" s="8">
        <f t="shared" si="198"/>
        <v>13.578125</v>
      </c>
      <c r="G6389" s="8">
        <f t="shared" si="199"/>
        <v>1.3578125E-2</v>
      </c>
    </row>
    <row r="6390" spans="1:7" x14ac:dyDescent="0.25">
      <c r="A6390" s="8">
        <v>85</v>
      </c>
      <c r="B6390" s="8">
        <v>47</v>
      </c>
      <c r="C6390" s="8">
        <v>7452.8217770000001</v>
      </c>
      <c r="D6390" s="8">
        <v>129942.007813</v>
      </c>
      <c r="E6390" s="8">
        <v>129964.492188</v>
      </c>
      <c r="F6390" s="8">
        <f t="shared" si="198"/>
        <v>22.484375</v>
      </c>
      <c r="G6390" s="8">
        <f t="shared" si="199"/>
        <v>2.2484375000000001E-2</v>
      </c>
    </row>
    <row r="6391" spans="1:7" x14ac:dyDescent="0.25">
      <c r="A6391" s="8">
        <v>85</v>
      </c>
      <c r="B6391" s="8">
        <v>48</v>
      </c>
      <c r="C6391" s="8">
        <v>3319.1281739999999</v>
      </c>
      <c r="D6391" s="8">
        <v>137421.71875</v>
      </c>
      <c r="E6391" s="8">
        <v>137429.109375</v>
      </c>
      <c r="F6391" s="8">
        <f t="shared" si="198"/>
        <v>7.390625</v>
      </c>
      <c r="G6391" s="8">
        <f t="shared" si="199"/>
        <v>7.3906249999999996E-3</v>
      </c>
    </row>
    <row r="6392" spans="1:7" x14ac:dyDescent="0.25">
      <c r="A6392" s="8">
        <v>85</v>
      </c>
      <c r="B6392" s="8">
        <v>49</v>
      </c>
      <c r="C6392" s="8">
        <v>618.49066200000004</v>
      </c>
      <c r="D6392" s="8">
        <v>140748.46875</v>
      </c>
      <c r="E6392" s="8">
        <v>140759.953125</v>
      </c>
      <c r="F6392" s="8">
        <f t="shared" si="198"/>
        <v>11.484375</v>
      </c>
      <c r="G6392" s="8">
        <f t="shared" si="199"/>
        <v>1.1484375E-2</v>
      </c>
    </row>
    <row r="6393" spans="1:7" x14ac:dyDescent="0.25">
      <c r="A6393" s="8">
        <v>85</v>
      </c>
      <c r="B6393" s="8">
        <v>50</v>
      </c>
      <c r="C6393" s="8">
        <v>1795.6613769999999</v>
      </c>
      <c r="D6393" s="8">
        <v>141391.734375</v>
      </c>
      <c r="E6393" s="8">
        <v>141403.859375</v>
      </c>
      <c r="F6393" s="8">
        <f t="shared" si="198"/>
        <v>12.125</v>
      </c>
      <c r="G6393" s="8">
        <f t="shared" si="199"/>
        <v>1.2125E-2</v>
      </c>
    </row>
    <row r="6394" spans="1:7" x14ac:dyDescent="0.25">
      <c r="A6394" s="8">
        <v>85</v>
      </c>
      <c r="B6394" s="8">
        <v>51</v>
      </c>
      <c r="C6394" s="8">
        <v>773.53063999999995</v>
      </c>
      <c r="D6394" s="8">
        <v>143202.796875</v>
      </c>
      <c r="E6394" s="8">
        <v>143217.8125</v>
      </c>
      <c r="F6394" s="8">
        <f t="shared" si="198"/>
        <v>15.015625</v>
      </c>
      <c r="G6394" s="8">
        <f t="shared" si="199"/>
        <v>1.5015624999999999E-2</v>
      </c>
    </row>
    <row r="6395" spans="1:7" x14ac:dyDescent="0.25">
      <c r="A6395" s="8">
        <v>85</v>
      </c>
      <c r="B6395" s="8">
        <v>52</v>
      </c>
      <c r="C6395" s="8">
        <v>283.46163899999999</v>
      </c>
      <c r="D6395" s="8">
        <v>143994.328125</v>
      </c>
      <c r="E6395" s="8">
        <v>144016.046875</v>
      </c>
      <c r="F6395" s="8">
        <f t="shared" si="198"/>
        <v>21.71875</v>
      </c>
      <c r="G6395" s="8">
        <f t="shared" si="199"/>
        <v>2.1718749999999998E-2</v>
      </c>
    </row>
    <row r="6396" spans="1:7" x14ac:dyDescent="0.25">
      <c r="A6396" s="8">
        <v>85</v>
      </c>
      <c r="B6396" s="8">
        <v>53</v>
      </c>
      <c r="C6396" s="8">
        <v>3807.7341310000002</v>
      </c>
      <c r="D6396" s="8">
        <v>144306.875</v>
      </c>
      <c r="E6396" s="8">
        <v>144320.453125</v>
      </c>
      <c r="F6396" s="8">
        <f t="shared" si="198"/>
        <v>13.578125</v>
      </c>
      <c r="G6396" s="8">
        <f t="shared" si="199"/>
        <v>1.3578125E-2</v>
      </c>
    </row>
    <row r="6397" spans="1:7" x14ac:dyDescent="0.25">
      <c r="A6397" s="8">
        <v>85</v>
      </c>
      <c r="B6397" s="8">
        <v>54</v>
      </c>
      <c r="C6397" s="8">
        <v>747.63983199999996</v>
      </c>
      <c r="D6397" s="8">
        <v>148133.875</v>
      </c>
      <c r="E6397" s="8">
        <v>148156.46875</v>
      </c>
      <c r="F6397" s="8">
        <f t="shared" si="198"/>
        <v>22.59375</v>
      </c>
      <c r="G6397" s="8">
        <f t="shared" si="199"/>
        <v>2.2593749999999999E-2</v>
      </c>
    </row>
    <row r="6398" spans="1:7" x14ac:dyDescent="0.25">
      <c r="A6398" s="8">
        <v>85</v>
      </c>
      <c r="B6398" s="8">
        <v>55</v>
      </c>
      <c r="C6398" s="8">
        <v>852.15551800000003</v>
      </c>
      <c r="D6398" s="8">
        <v>148916.03125</v>
      </c>
      <c r="E6398" s="8">
        <v>148930</v>
      </c>
      <c r="F6398" s="8">
        <f t="shared" si="198"/>
        <v>13.96875</v>
      </c>
      <c r="G6398" s="8">
        <f t="shared" si="199"/>
        <v>1.396875E-2</v>
      </c>
    </row>
    <row r="6399" spans="1:7" x14ac:dyDescent="0.25">
      <c r="A6399" s="8">
        <v>85</v>
      </c>
      <c r="B6399" s="8">
        <v>56</v>
      </c>
      <c r="C6399" s="8">
        <v>2269.248047</v>
      </c>
      <c r="D6399" s="8">
        <v>149795.640625</v>
      </c>
      <c r="E6399" s="8">
        <v>149815.875</v>
      </c>
      <c r="F6399" s="8">
        <f t="shared" si="198"/>
        <v>20.234375</v>
      </c>
      <c r="G6399" s="8">
        <f t="shared" si="199"/>
        <v>2.0234374999999999E-2</v>
      </c>
    </row>
    <row r="6400" spans="1:7" x14ac:dyDescent="0.25">
      <c r="A6400" s="8">
        <v>85</v>
      </c>
      <c r="B6400" s="8">
        <v>57</v>
      </c>
      <c r="C6400" s="8">
        <v>3262.501221</v>
      </c>
      <c r="D6400" s="8">
        <v>152092.8125</v>
      </c>
      <c r="E6400" s="8">
        <v>152106.390625</v>
      </c>
      <c r="F6400" s="8">
        <f t="shared" si="198"/>
        <v>13.578125</v>
      </c>
      <c r="G6400" s="8">
        <f t="shared" si="199"/>
        <v>1.3578125E-2</v>
      </c>
    </row>
    <row r="6401" spans="1:7" x14ac:dyDescent="0.25">
      <c r="A6401" s="8">
        <v>85</v>
      </c>
      <c r="B6401" s="8">
        <v>58</v>
      </c>
      <c r="C6401" s="8">
        <v>643.34198000000004</v>
      </c>
      <c r="D6401" s="8">
        <v>155375.359375</v>
      </c>
      <c r="E6401" s="8">
        <v>155397.75</v>
      </c>
      <c r="F6401" s="8">
        <f t="shared" si="198"/>
        <v>22.390625</v>
      </c>
      <c r="G6401" s="8">
        <f t="shared" si="199"/>
        <v>2.2390625000000001E-2</v>
      </c>
    </row>
    <row r="6402" spans="1:7" x14ac:dyDescent="0.25">
      <c r="A6402" s="8">
        <v>85</v>
      </c>
      <c r="B6402" s="8">
        <v>59</v>
      </c>
      <c r="C6402" s="8">
        <v>419.80529799999999</v>
      </c>
      <c r="D6402" s="8">
        <v>156047.296875</v>
      </c>
      <c r="E6402" s="8">
        <v>156060.203125</v>
      </c>
      <c r="F6402" s="8">
        <f t="shared" si="198"/>
        <v>12.90625</v>
      </c>
      <c r="G6402" s="8">
        <f t="shared" si="199"/>
        <v>1.2906249999999999E-2</v>
      </c>
    </row>
    <row r="6403" spans="1:7" x14ac:dyDescent="0.25">
      <c r="A6403" s="8">
        <v>85</v>
      </c>
      <c r="B6403" s="8">
        <v>60</v>
      </c>
      <c r="C6403" s="8">
        <v>868.20159899999999</v>
      </c>
      <c r="D6403" s="8">
        <v>156484.84375</v>
      </c>
      <c r="E6403" s="8">
        <v>156499.140625</v>
      </c>
      <c r="F6403" s="8">
        <f t="shared" si="198"/>
        <v>14.296875</v>
      </c>
      <c r="G6403" s="8">
        <f t="shared" si="199"/>
        <v>1.4296875000000001E-2</v>
      </c>
    </row>
    <row r="6404" spans="1:7" x14ac:dyDescent="0.25">
      <c r="A6404" s="8">
        <v>85</v>
      </c>
      <c r="B6404" s="8">
        <v>61</v>
      </c>
      <c r="C6404" s="8">
        <v>9434.0097659999992</v>
      </c>
      <c r="D6404" s="8">
        <v>157375.359375</v>
      </c>
      <c r="E6404" s="8">
        <v>157393.671875</v>
      </c>
      <c r="F6404" s="8">
        <f t="shared" si="198"/>
        <v>18.3125</v>
      </c>
      <c r="G6404" s="8">
        <f t="shared" si="199"/>
        <v>1.8312499999999999E-2</v>
      </c>
    </row>
    <row r="6405" spans="1:7" x14ac:dyDescent="0.25">
      <c r="A6405" s="8">
        <v>85</v>
      </c>
      <c r="B6405" s="8">
        <v>62</v>
      </c>
      <c r="C6405" s="8">
        <v>2155.4267580000001</v>
      </c>
      <c r="D6405" s="8">
        <v>166833.28125</v>
      </c>
      <c r="E6405" s="8">
        <v>166846.65625</v>
      </c>
      <c r="F6405" s="8">
        <f t="shared" si="198"/>
        <v>13.375</v>
      </c>
      <c r="G6405" s="8">
        <f t="shared" si="199"/>
        <v>1.3375E-2</v>
      </c>
    </row>
    <row r="6406" spans="1:7" x14ac:dyDescent="0.25">
      <c r="A6406" s="8">
        <v>85</v>
      </c>
      <c r="B6406" s="8">
        <v>63</v>
      </c>
      <c r="C6406" s="8">
        <v>1371.395996</v>
      </c>
      <c r="D6406" s="8">
        <v>169017</v>
      </c>
      <c r="E6406" s="8">
        <v>169030.4375</v>
      </c>
      <c r="F6406" s="8">
        <f t="shared" si="198"/>
        <v>13.4375</v>
      </c>
      <c r="G6406" s="8">
        <f t="shared" si="199"/>
        <v>1.34375E-2</v>
      </c>
    </row>
    <row r="6407" spans="1:7" x14ac:dyDescent="0.25">
      <c r="A6407" s="8">
        <v>86</v>
      </c>
      <c r="B6407" s="8">
        <v>0</v>
      </c>
      <c r="C6407" s="8">
        <v>8152.8178710000002</v>
      </c>
      <c r="D6407" s="8">
        <v>22109.994140999999</v>
      </c>
      <c r="E6407" s="8">
        <v>22131.417968999998</v>
      </c>
      <c r="F6407" s="8">
        <f t="shared" si="198"/>
        <v>21.423827999999048</v>
      </c>
      <c r="G6407" s="8">
        <f t="shared" si="199"/>
        <v>2.1423827999999048E-2</v>
      </c>
    </row>
    <row r="6408" spans="1:7" x14ac:dyDescent="0.25">
      <c r="A6408" s="8">
        <v>86</v>
      </c>
      <c r="B6408" s="8">
        <v>1</v>
      </c>
      <c r="C6408" s="8">
        <v>1561.1441649999999</v>
      </c>
      <c r="D6408" s="8">
        <v>30296.644531000002</v>
      </c>
      <c r="E6408" s="8">
        <v>30313.560547000001</v>
      </c>
      <c r="F6408" s="8">
        <f t="shared" si="198"/>
        <v>16.916015999999217</v>
      </c>
      <c r="G6408" s="8">
        <f t="shared" si="199"/>
        <v>1.6916015999999218E-2</v>
      </c>
    </row>
    <row r="6409" spans="1:7" x14ac:dyDescent="0.25">
      <c r="A6409" s="8">
        <v>86</v>
      </c>
      <c r="B6409" s="8">
        <v>2</v>
      </c>
      <c r="C6409" s="8">
        <v>1131.4456789999999</v>
      </c>
      <c r="D6409" s="8">
        <v>31879.396484000001</v>
      </c>
      <c r="E6409" s="8">
        <v>31896.535156000002</v>
      </c>
      <c r="F6409" s="8">
        <f t="shared" si="198"/>
        <v>17.138672000000952</v>
      </c>
      <c r="G6409" s="8">
        <f t="shared" si="199"/>
        <v>1.7138672000000951E-2</v>
      </c>
    </row>
    <row r="6410" spans="1:7" x14ac:dyDescent="0.25">
      <c r="A6410" s="8">
        <v>86</v>
      </c>
      <c r="B6410" s="8">
        <v>3</v>
      </c>
      <c r="C6410" s="8">
        <v>2042.47522</v>
      </c>
      <c r="D6410" s="8">
        <v>33035.773437999997</v>
      </c>
      <c r="E6410" s="8">
        <v>33048.300780999998</v>
      </c>
      <c r="F6410" s="8">
        <f t="shared" si="198"/>
        <v>12.527343000001565</v>
      </c>
      <c r="G6410" s="8">
        <f t="shared" si="199"/>
        <v>1.2527343000001565E-2</v>
      </c>
    </row>
    <row r="6411" spans="1:7" x14ac:dyDescent="0.25">
      <c r="A6411" s="8">
        <v>86</v>
      </c>
      <c r="B6411" s="8">
        <v>4</v>
      </c>
      <c r="C6411" s="8">
        <v>314.50628699999999</v>
      </c>
      <c r="D6411" s="8">
        <v>35092.523437999997</v>
      </c>
      <c r="E6411" s="8">
        <v>35110.613280999998</v>
      </c>
      <c r="F6411" s="8">
        <f t="shared" ref="F6411:F6474" si="200">E6411-D6411</f>
        <v>18.089843000001565</v>
      </c>
      <c r="G6411" s="8">
        <f t="shared" ref="G6411:G6474" si="201">F6411/1000</f>
        <v>1.8089843000001566E-2</v>
      </c>
    </row>
    <row r="6412" spans="1:7" x14ac:dyDescent="0.25">
      <c r="A6412" s="8">
        <v>86</v>
      </c>
      <c r="B6412" s="8">
        <v>5</v>
      </c>
      <c r="C6412" s="8">
        <v>1191.2232670000001</v>
      </c>
      <c r="D6412" s="8">
        <v>35436.386719000002</v>
      </c>
      <c r="E6412" s="8">
        <v>35447.226562999997</v>
      </c>
      <c r="F6412" s="8">
        <f t="shared" si="200"/>
        <v>10.839843999994628</v>
      </c>
      <c r="G6412" s="8">
        <f t="shared" si="201"/>
        <v>1.0839843999994627E-2</v>
      </c>
    </row>
    <row r="6413" spans="1:7" x14ac:dyDescent="0.25">
      <c r="A6413" s="8">
        <v>86</v>
      </c>
      <c r="B6413" s="8">
        <v>6</v>
      </c>
      <c r="C6413" s="8">
        <v>6228.8315430000002</v>
      </c>
      <c r="D6413" s="8">
        <v>36644.046875</v>
      </c>
      <c r="E6413" s="8">
        <v>36652.769530999998</v>
      </c>
      <c r="F6413" s="8">
        <f t="shared" si="200"/>
        <v>8.7226559999980964</v>
      </c>
      <c r="G6413" s="8">
        <f t="shared" si="201"/>
        <v>8.7226559999980958E-3</v>
      </c>
    </row>
    <row r="6414" spans="1:7" x14ac:dyDescent="0.25">
      <c r="A6414" s="8">
        <v>86</v>
      </c>
      <c r="B6414" s="8">
        <v>7</v>
      </c>
      <c r="C6414" s="8">
        <v>109.450523</v>
      </c>
      <c r="D6414" s="8">
        <v>42892.699219000002</v>
      </c>
      <c r="E6414" s="8">
        <v>42903.703125</v>
      </c>
      <c r="F6414" s="8">
        <f t="shared" si="200"/>
        <v>11.003905999998096</v>
      </c>
      <c r="G6414" s="8">
        <f t="shared" si="201"/>
        <v>1.1003905999998096E-2</v>
      </c>
    </row>
    <row r="6415" spans="1:7" x14ac:dyDescent="0.25">
      <c r="A6415" s="8">
        <v>86</v>
      </c>
      <c r="B6415" s="8">
        <v>8</v>
      </c>
      <c r="C6415" s="8">
        <v>3247.584961</v>
      </c>
      <c r="D6415" s="8">
        <v>43021.609375</v>
      </c>
      <c r="E6415" s="8">
        <v>43032.667969000002</v>
      </c>
      <c r="F6415" s="8">
        <f t="shared" si="200"/>
        <v>11.058594000001904</v>
      </c>
      <c r="G6415" s="8">
        <f t="shared" si="201"/>
        <v>1.1058594000001904E-2</v>
      </c>
    </row>
    <row r="6416" spans="1:7" x14ac:dyDescent="0.25">
      <c r="A6416" s="8">
        <v>86</v>
      </c>
      <c r="B6416" s="8">
        <v>9</v>
      </c>
      <c r="C6416" s="8">
        <v>536.61712599999998</v>
      </c>
      <c r="D6416" s="8">
        <v>46280.074219000002</v>
      </c>
      <c r="E6416" s="8">
        <v>46303.648437999997</v>
      </c>
      <c r="F6416" s="8">
        <f t="shared" si="200"/>
        <v>23.574218999994628</v>
      </c>
      <c r="G6416" s="8">
        <f t="shared" si="201"/>
        <v>2.3574218999994626E-2</v>
      </c>
    </row>
    <row r="6417" spans="1:7" x14ac:dyDescent="0.25">
      <c r="A6417" s="8">
        <v>86</v>
      </c>
      <c r="B6417" s="8">
        <v>10</v>
      </c>
      <c r="C6417" s="8">
        <v>6819.3735349999997</v>
      </c>
      <c r="D6417" s="8">
        <v>46844.742187999997</v>
      </c>
      <c r="E6417" s="8">
        <v>46856.214844000002</v>
      </c>
      <c r="F6417" s="8">
        <f t="shared" si="200"/>
        <v>11.472656000005372</v>
      </c>
      <c r="G6417" s="8">
        <f t="shared" si="201"/>
        <v>1.1472656000005372E-2</v>
      </c>
    </row>
    <row r="6418" spans="1:7" x14ac:dyDescent="0.25">
      <c r="A6418" s="8">
        <v>86</v>
      </c>
      <c r="B6418" s="8">
        <v>11</v>
      </c>
      <c r="C6418" s="8">
        <v>6799.1625979999999</v>
      </c>
      <c r="D6418" s="8">
        <v>53686.878905999998</v>
      </c>
      <c r="E6418" s="8">
        <v>53709.839844000002</v>
      </c>
      <c r="F6418" s="8">
        <f t="shared" si="200"/>
        <v>22.960938000003807</v>
      </c>
      <c r="G6418" s="8">
        <f t="shared" si="201"/>
        <v>2.2960938000003806E-2</v>
      </c>
    </row>
    <row r="6419" spans="1:7" x14ac:dyDescent="0.25">
      <c r="A6419" s="8">
        <v>86</v>
      </c>
      <c r="B6419" s="8">
        <v>12</v>
      </c>
      <c r="C6419" s="8">
        <v>79.694298000000003</v>
      </c>
      <c r="D6419" s="8">
        <v>60513.121094000002</v>
      </c>
      <c r="E6419" s="8">
        <v>60527.625</v>
      </c>
      <c r="F6419" s="8">
        <f t="shared" si="200"/>
        <v>14.503905999998096</v>
      </c>
      <c r="G6419" s="8">
        <f t="shared" si="201"/>
        <v>1.4503905999998096E-2</v>
      </c>
    </row>
    <row r="6420" spans="1:7" x14ac:dyDescent="0.25">
      <c r="A6420" s="8">
        <v>86</v>
      </c>
      <c r="B6420" s="8">
        <v>13</v>
      </c>
      <c r="C6420" s="8">
        <v>307.94534299999998</v>
      </c>
      <c r="D6420" s="8">
        <v>60606.894530999998</v>
      </c>
      <c r="E6420" s="8">
        <v>60631.113280999998</v>
      </c>
      <c r="F6420" s="8">
        <f t="shared" si="200"/>
        <v>24.21875</v>
      </c>
      <c r="G6420" s="8">
        <f t="shared" si="201"/>
        <v>2.4218750000000001E-2</v>
      </c>
    </row>
    <row r="6421" spans="1:7" x14ac:dyDescent="0.25">
      <c r="A6421" s="8">
        <v>86</v>
      </c>
      <c r="B6421" s="8">
        <v>14</v>
      </c>
      <c r="C6421" s="8">
        <v>2868.290039</v>
      </c>
      <c r="D6421" s="8">
        <v>60950.667969000002</v>
      </c>
      <c r="E6421" s="8">
        <v>60964.136719000002</v>
      </c>
      <c r="F6421" s="8">
        <f t="shared" si="200"/>
        <v>13.46875</v>
      </c>
      <c r="G6421" s="8">
        <f t="shared" si="201"/>
        <v>1.346875E-2</v>
      </c>
    </row>
    <row r="6422" spans="1:7" x14ac:dyDescent="0.25">
      <c r="A6422" s="8">
        <v>86</v>
      </c>
      <c r="B6422" s="8">
        <v>15</v>
      </c>
      <c r="C6422" s="8">
        <v>5495.9213870000003</v>
      </c>
      <c r="D6422" s="8">
        <v>63839.445312999997</v>
      </c>
      <c r="E6422" s="8">
        <v>63857.753905999998</v>
      </c>
      <c r="F6422" s="8">
        <f t="shared" si="200"/>
        <v>18.308593000001565</v>
      </c>
      <c r="G6422" s="8">
        <f t="shared" si="201"/>
        <v>1.8308593000001566E-2</v>
      </c>
    </row>
    <row r="6423" spans="1:7" x14ac:dyDescent="0.25">
      <c r="A6423" s="8">
        <v>86</v>
      </c>
      <c r="B6423" s="8">
        <v>16</v>
      </c>
      <c r="C6423" s="8">
        <v>884.75769000000003</v>
      </c>
      <c r="D6423" s="8">
        <v>69358.3125</v>
      </c>
      <c r="E6423" s="8">
        <v>69365.054688000004</v>
      </c>
      <c r="F6423" s="8">
        <f t="shared" si="200"/>
        <v>6.7421880000038072</v>
      </c>
      <c r="G6423" s="8">
        <f t="shared" si="201"/>
        <v>6.7421880000038074E-3</v>
      </c>
    </row>
    <row r="6424" spans="1:7" x14ac:dyDescent="0.25">
      <c r="A6424" s="8">
        <v>86</v>
      </c>
      <c r="B6424" s="8">
        <v>17</v>
      </c>
      <c r="C6424" s="8">
        <v>2083.0502929999998</v>
      </c>
      <c r="D6424" s="8">
        <v>70264.640625</v>
      </c>
      <c r="E6424" s="8">
        <v>70291.789063000004</v>
      </c>
      <c r="F6424" s="8">
        <f t="shared" si="200"/>
        <v>27.148438000003807</v>
      </c>
      <c r="G6424" s="8">
        <f t="shared" si="201"/>
        <v>2.7148438000003806E-2</v>
      </c>
    </row>
    <row r="6425" spans="1:7" x14ac:dyDescent="0.25">
      <c r="A6425" s="8">
        <v>86</v>
      </c>
      <c r="B6425" s="8">
        <v>18</v>
      </c>
      <c r="C6425" s="8">
        <v>1209.801025</v>
      </c>
      <c r="D6425" s="8">
        <v>72388.484375</v>
      </c>
      <c r="E6425" s="8">
        <v>72408.1875</v>
      </c>
      <c r="F6425" s="8">
        <f t="shared" si="200"/>
        <v>19.703125</v>
      </c>
      <c r="G6425" s="8">
        <f t="shared" si="201"/>
        <v>1.9703124999999998E-2</v>
      </c>
    </row>
    <row r="6426" spans="1:7" x14ac:dyDescent="0.25">
      <c r="A6426" s="8">
        <v>86</v>
      </c>
      <c r="B6426" s="8">
        <v>19</v>
      </c>
      <c r="C6426" s="8">
        <v>1353.4228519999999</v>
      </c>
      <c r="D6426" s="8">
        <v>73623.148438000004</v>
      </c>
      <c r="E6426" s="8">
        <v>73645.476563000004</v>
      </c>
      <c r="F6426" s="8">
        <f t="shared" si="200"/>
        <v>22.328125</v>
      </c>
      <c r="G6426" s="8">
        <f t="shared" si="201"/>
        <v>2.2328125000000001E-2</v>
      </c>
    </row>
    <row r="6427" spans="1:7" x14ac:dyDescent="0.25">
      <c r="A6427" s="8">
        <v>86</v>
      </c>
      <c r="B6427" s="8">
        <v>20</v>
      </c>
      <c r="C6427" s="8">
        <v>100.25248000000001</v>
      </c>
      <c r="D6427" s="8">
        <v>75009.484375</v>
      </c>
      <c r="E6427" s="8">
        <v>75018.015625</v>
      </c>
      <c r="F6427" s="8">
        <f t="shared" si="200"/>
        <v>8.53125</v>
      </c>
      <c r="G6427" s="8">
        <f t="shared" si="201"/>
        <v>8.5312500000000006E-3</v>
      </c>
    </row>
    <row r="6428" spans="1:7" x14ac:dyDescent="0.25">
      <c r="A6428" s="8">
        <v>86</v>
      </c>
      <c r="B6428" s="8">
        <v>21</v>
      </c>
      <c r="C6428" s="8">
        <v>2611.0153810000002</v>
      </c>
      <c r="D6428" s="8">
        <v>75118.921875</v>
      </c>
      <c r="E6428" s="8">
        <v>75139.234375</v>
      </c>
      <c r="F6428" s="8">
        <f t="shared" si="200"/>
        <v>20.3125</v>
      </c>
      <c r="G6428" s="8">
        <f t="shared" si="201"/>
        <v>2.0312500000000001E-2</v>
      </c>
    </row>
    <row r="6429" spans="1:7" x14ac:dyDescent="0.25">
      <c r="A6429" s="8">
        <v>86</v>
      </c>
      <c r="B6429" s="8">
        <v>22</v>
      </c>
      <c r="C6429" s="8">
        <v>87.267311000000007</v>
      </c>
      <c r="D6429" s="8">
        <v>77757.765625</v>
      </c>
      <c r="E6429" s="8">
        <v>77773.53125</v>
      </c>
      <c r="F6429" s="8">
        <f t="shared" si="200"/>
        <v>15.765625</v>
      </c>
      <c r="G6429" s="8">
        <f t="shared" si="201"/>
        <v>1.5765624999999998E-2</v>
      </c>
    </row>
    <row r="6430" spans="1:7" x14ac:dyDescent="0.25">
      <c r="A6430" s="8">
        <v>86</v>
      </c>
      <c r="B6430" s="8">
        <v>23</v>
      </c>
      <c r="C6430" s="8">
        <v>752.61340299999995</v>
      </c>
      <c r="D6430" s="8">
        <v>77869.625</v>
      </c>
      <c r="E6430" s="8">
        <v>77881.515625</v>
      </c>
      <c r="F6430" s="8">
        <f t="shared" si="200"/>
        <v>11.890625</v>
      </c>
      <c r="G6430" s="8">
        <f t="shared" si="201"/>
        <v>1.1890625E-2</v>
      </c>
    </row>
    <row r="6431" spans="1:7" x14ac:dyDescent="0.25">
      <c r="A6431" s="8">
        <v>86</v>
      </c>
      <c r="B6431" s="8">
        <v>24</v>
      </c>
      <c r="C6431" s="8">
        <v>1564.610962</v>
      </c>
      <c r="D6431" s="8">
        <v>78638.429688000004</v>
      </c>
      <c r="E6431" s="8">
        <v>78653.304688000004</v>
      </c>
      <c r="F6431" s="8">
        <f t="shared" si="200"/>
        <v>14.875</v>
      </c>
      <c r="G6431" s="8">
        <f t="shared" si="201"/>
        <v>1.4874999999999999E-2</v>
      </c>
    </row>
    <row r="6432" spans="1:7" x14ac:dyDescent="0.25">
      <c r="A6432" s="8">
        <v>86</v>
      </c>
      <c r="B6432" s="8">
        <v>25</v>
      </c>
      <c r="C6432" s="8">
        <v>435.07251000000002</v>
      </c>
      <c r="D6432" s="8">
        <v>80222.921875</v>
      </c>
      <c r="E6432" s="8">
        <v>80230.859375</v>
      </c>
      <c r="F6432" s="8">
        <f t="shared" si="200"/>
        <v>7.9375</v>
      </c>
      <c r="G6432" s="8">
        <f t="shared" si="201"/>
        <v>7.9375000000000001E-3</v>
      </c>
    </row>
    <row r="6433" spans="1:7" x14ac:dyDescent="0.25">
      <c r="A6433" s="8">
        <v>86</v>
      </c>
      <c r="B6433" s="8">
        <v>26</v>
      </c>
      <c r="C6433" s="8">
        <v>774.60919200000001</v>
      </c>
      <c r="D6433" s="8">
        <v>80676.976563000004</v>
      </c>
      <c r="E6433" s="8">
        <v>80689.882813000004</v>
      </c>
      <c r="F6433" s="8">
        <f t="shared" si="200"/>
        <v>12.90625</v>
      </c>
      <c r="G6433" s="8">
        <f t="shared" si="201"/>
        <v>1.2906249999999999E-2</v>
      </c>
    </row>
    <row r="6434" spans="1:7" x14ac:dyDescent="0.25">
      <c r="A6434" s="8">
        <v>86</v>
      </c>
      <c r="B6434" s="8">
        <v>27</v>
      </c>
      <c r="C6434" s="8">
        <v>4235.4672849999997</v>
      </c>
      <c r="D6434" s="8">
        <v>81473.882813000004</v>
      </c>
      <c r="E6434" s="8">
        <v>81494.921875</v>
      </c>
      <c r="F6434" s="8">
        <f t="shared" si="200"/>
        <v>21.039061999996193</v>
      </c>
      <c r="G6434" s="8">
        <f t="shared" si="201"/>
        <v>2.1039061999996191E-2</v>
      </c>
    </row>
    <row r="6435" spans="1:7" x14ac:dyDescent="0.25">
      <c r="A6435" s="8">
        <v>86</v>
      </c>
      <c r="B6435" s="8">
        <v>28</v>
      </c>
      <c r="C6435" s="8">
        <v>812.27349900000002</v>
      </c>
      <c r="D6435" s="8">
        <v>85737.039063000004</v>
      </c>
      <c r="E6435" s="8">
        <v>85754.960938000004</v>
      </c>
      <c r="F6435" s="8">
        <f t="shared" si="200"/>
        <v>17.921875</v>
      </c>
      <c r="G6435" s="8">
        <f t="shared" si="201"/>
        <v>1.7921875E-2</v>
      </c>
    </row>
    <row r="6436" spans="1:7" x14ac:dyDescent="0.25">
      <c r="A6436" s="8">
        <v>86</v>
      </c>
      <c r="B6436" s="8">
        <v>29</v>
      </c>
      <c r="C6436" s="8">
        <v>640.48132299999997</v>
      </c>
      <c r="D6436" s="8">
        <v>86580.890625</v>
      </c>
      <c r="E6436" s="8">
        <v>86605.960938000004</v>
      </c>
      <c r="F6436" s="8">
        <f t="shared" si="200"/>
        <v>25.070313000003807</v>
      </c>
      <c r="G6436" s="8">
        <f t="shared" si="201"/>
        <v>2.5070313000003806E-2</v>
      </c>
    </row>
    <row r="6437" spans="1:7" x14ac:dyDescent="0.25">
      <c r="A6437" s="8">
        <v>86</v>
      </c>
      <c r="B6437" s="8">
        <v>30</v>
      </c>
      <c r="C6437" s="8">
        <v>7013.1357420000004</v>
      </c>
      <c r="D6437" s="8">
        <v>87254.492188000004</v>
      </c>
      <c r="E6437" s="8">
        <v>87265.78125</v>
      </c>
      <c r="F6437" s="8">
        <f t="shared" si="200"/>
        <v>11.289061999996193</v>
      </c>
      <c r="G6437" s="8">
        <f t="shared" si="201"/>
        <v>1.1289061999996193E-2</v>
      </c>
    </row>
    <row r="6438" spans="1:7" x14ac:dyDescent="0.25">
      <c r="A6438" s="8">
        <v>86</v>
      </c>
      <c r="B6438" s="8">
        <v>31</v>
      </c>
      <c r="C6438" s="8">
        <v>1637.731812</v>
      </c>
      <c r="D6438" s="8">
        <v>94279.492188000004</v>
      </c>
      <c r="E6438" s="8">
        <v>94292.765625</v>
      </c>
      <c r="F6438" s="8">
        <f t="shared" si="200"/>
        <v>13.273436999996193</v>
      </c>
      <c r="G6438" s="8">
        <f t="shared" si="201"/>
        <v>1.3273436999996193E-2</v>
      </c>
    </row>
    <row r="6439" spans="1:7" x14ac:dyDescent="0.25">
      <c r="A6439" s="8">
        <v>86</v>
      </c>
      <c r="B6439" s="8">
        <v>32</v>
      </c>
      <c r="C6439" s="8">
        <v>1735.1667480000001</v>
      </c>
      <c r="D6439" s="8">
        <v>95944.007813000004</v>
      </c>
      <c r="E6439" s="8">
        <v>95955.085938000004</v>
      </c>
      <c r="F6439" s="8">
        <f t="shared" si="200"/>
        <v>11.078125</v>
      </c>
      <c r="G6439" s="8">
        <f t="shared" si="201"/>
        <v>1.1078124999999999E-2</v>
      </c>
    </row>
    <row r="6440" spans="1:7" x14ac:dyDescent="0.25">
      <c r="A6440" s="8">
        <v>86</v>
      </c>
      <c r="B6440" s="8">
        <v>33</v>
      </c>
      <c r="C6440" s="8">
        <v>436.13494900000001</v>
      </c>
      <c r="D6440" s="8">
        <v>97700.375</v>
      </c>
      <c r="E6440" s="8">
        <v>97711.882813000004</v>
      </c>
      <c r="F6440" s="8">
        <f t="shared" si="200"/>
        <v>11.507813000003807</v>
      </c>
      <c r="G6440" s="8">
        <f t="shared" si="201"/>
        <v>1.1507813000003806E-2</v>
      </c>
    </row>
    <row r="6441" spans="1:7" x14ac:dyDescent="0.25">
      <c r="A6441" s="8">
        <v>86</v>
      </c>
      <c r="B6441" s="8">
        <v>34</v>
      </c>
      <c r="C6441" s="8">
        <v>2287.3630370000001</v>
      </c>
      <c r="D6441" s="8">
        <v>98160.234375</v>
      </c>
      <c r="E6441" s="8">
        <v>98171.773438000004</v>
      </c>
      <c r="F6441" s="8">
        <f t="shared" si="200"/>
        <v>11.539063000003807</v>
      </c>
      <c r="G6441" s="8">
        <f t="shared" si="201"/>
        <v>1.1539063000003806E-2</v>
      </c>
    </row>
    <row r="6442" spans="1:7" x14ac:dyDescent="0.25">
      <c r="A6442" s="8">
        <v>86</v>
      </c>
      <c r="B6442" s="8">
        <v>35</v>
      </c>
      <c r="C6442" s="8">
        <v>1917.8093260000001</v>
      </c>
      <c r="D6442" s="8">
        <v>100463.960938</v>
      </c>
      <c r="E6442" s="8">
        <v>100487.0625</v>
      </c>
      <c r="F6442" s="8">
        <f t="shared" si="200"/>
        <v>23.101561999996193</v>
      </c>
      <c r="G6442" s="8">
        <f t="shared" si="201"/>
        <v>2.3101561999996193E-2</v>
      </c>
    </row>
    <row r="6443" spans="1:7" x14ac:dyDescent="0.25">
      <c r="A6443" s="8">
        <v>86</v>
      </c>
      <c r="B6443" s="8">
        <v>36</v>
      </c>
      <c r="C6443" s="8">
        <v>6569.6992190000001</v>
      </c>
      <c r="D6443" s="8">
        <v>102406.710938</v>
      </c>
      <c r="E6443" s="8">
        <v>102423.671875</v>
      </c>
      <c r="F6443" s="8">
        <f t="shared" si="200"/>
        <v>16.960936999996193</v>
      </c>
      <c r="G6443" s="8">
        <f t="shared" si="201"/>
        <v>1.6960936999996193E-2</v>
      </c>
    </row>
    <row r="6444" spans="1:7" x14ac:dyDescent="0.25">
      <c r="A6444" s="8">
        <v>86</v>
      </c>
      <c r="B6444" s="8">
        <v>37</v>
      </c>
      <c r="C6444" s="8">
        <v>9107.265625</v>
      </c>
      <c r="D6444" s="8">
        <v>109001.203125</v>
      </c>
      <c r="E6444" s="8">
        <v>109013.398438</v>
      </c>
      <c r="F6444" s="8">
        <f t="shared" si="200"/>
        <v>12.195313000003807</v>
      </c>
      <c r="G6444" s="8">
        <f t="shared" si="201"/>
        <v>1.2195313000003807E-2</v>
      </c>
    </row>
    <row r="6445" spans="1:7" x14ac:dyDescent="0.25">
      <c r="A6445" s="8">
        <v>86</v>
      </c>
      <c r="B6445" s="8">
        <v>38</v>
      </c>
      <c r="C6445" s="8">
        <v>2129.4152829999998</v>
      </c>
      <c r="D6445" s="8">
        <v>118135</v>
      </c>
      <c r="E6445" s="8">
        <v>118148.710938</v>
      </c>
      <c r="F6445" s="8">
        <f t="shared" si="200"/>
        <v>13.710938000003807</v>
      </c>
      <c r="G6445" s="8">
        <f t="shared" si="201"/>
        <v>1.3710938000003807E-2</v>
      </c>
    </row>
    <row r="6446" spans="1:7" x14ac:dyDescent="0.25">
      <c r="A6446" s="8">
        <v>86</v>
      </c>
      <c r="B6446" s="8">
        <v>39</v>
      </c>
      <c r="C6446" s="8">
        <v>208.50462300000001</v>
      </c>
      <c r="D6446" s="8">
        <v>120281.101563</v>
      </c>
      <c r="E6446" s="8">
        <v>120291.992188</v>
      </c>
      <c r="F6446" s="8">
        <f t="shared" si="200"/>
        <v>10.890625</v>
      </c>
      <c r="G6446" s="8">
        <f t="shared" si="201"/>
        <v>1.0890624999999999E-2</v>
      </c>
    </row>
    <row r="6447" spans="1:7" x14ac:dyDescent="0.25">
      <c r="A6447" s="8">
        <v>86</v>
      </c>
      <c r="B6447" s="8">
        <v>40</v>
      </c>
      <c r="C6447" s="8">
        <v>4689.1245120000003</v>
      </c>
      <c r="D6447" s="8">
        <v>120515.445313</v>
      </c>
      <c r="E6447" s="8">
        <v>120529.125</v>
      </c>
      <c r="F6447" s="8">
        <f t="shared" si="200"/>
        <v>13.679686999996193</v>
      </c>
      <c r="G6447" s="8">
        <f t="shared" si="201"/>
        <v>1.3679686999996193E-2</v>
      </c>
    </row>
    <row r="6448" spans="1:7" x14ac:dyDescent="0.25">
      <c r="A6448" s="8">
        <v>86</v>
      </c>
      <c r="B6448" s="8">
        <v>41</v>
      </c>
      <c r="C6448" s="8">
        <v>447.172394</v>
      </c>
      <c r="D6448" s="8">
        <v>125220.734375</v>
      </c>
      <c r="E6448" s="8">
        <v>125237.546875</v>
      </c>
      <c r="F6448" s="8">
        <f t="shared" si="200"/>
        <v>16.8125</v>
      </c>
      <c r="G6448" s="8">
        <f t="shared" si="201"/>
        <v>1.6812500000000001E-2</v>
      </c>
    </row>
    <row r="6449" spans="1:7" x14ac:dyDescent="0.25">
      <c r="A6449" s="8">
        <v>86</v>
      </c>
      <c r="B6449" s="8">
        <v>42</v>
      </c>
      <c r="C6449" s="8">
        <v>748.52703899999995</v>
      </c>
      <c r="D6449" s="8">
        <v>125689.726563</v>
      </c>
      <c r="E6449" s="8">
        <v>125700.085938</v>
      </c>
      <c r="F6449" s="8">
        <f t="shared" si="200"/>
        <v>10.359375</v>
      </c>
      <c r="G6449" s="8">
        <f t="shared" si="201"/>
        <v>1.0359375000000001E-2</v>
      </c>
    </row>
    <row r="6450" spans="1:7" x14ac:dyDescent="0.25">
      <c r="A6450" s="8">
        <v>86</v>
      </c>
      <c r="B6450" s="8">
        <v>43</v>
      </c>
      <c r="C6450" s="8">
        <v>143.25926200000001</v>
      </c>
      <c r="D6450" s="8">
        <v>126456.039063</v>
      </c>
      <c r="E6450" s="8">
        <v>126479.476563</v>
      </c>
      <c r="F6450" s="8">
        <f t="shared" si="200"/>
        <v>23.4375</v>
      </c>
      <c r="G6450" s="8">
        <f t="shared" si="201"/>
        <v>2.34375E-2</v>
      </c>
    </row>
    <row r="6451" spans="1:7" x14ac:dyDescent="0.25">
      <c r="A6451" s="8">
        <v>86</v>
      </c>
      <c r="B6451" s="8">
        <v>44</v>
      </c>
      <c r="C6451" s="8">
        <v>2681.141846</v>
      </c>
      <c r="D6451" s="8">
        <v>126627.953125</v>
      </c>
      <c r="E6451" s="8">
        <v>126653.851563</v>
      </c>
      <c r="F6451" s="8">
        <f t="shared" si="200"/>
        <v>25.898438000003807</v>
      </c>
      <c r="G6451" s="8">
        <f t="shared" si="201"/>
        <v>2.5898438000003809E-2</v>
      </c>
    </row>
    <row r="6452" spans="1:7" x14ac:dyDescent="0.25">
      <c r="A6452" s="8">
        <v>86</v>
      </c>
      <c r="B6452" s="8">
        <v>45</v>
      </c>
      <c r="C6452" s="8">
        <v>2845.6247560000002</v>
      </c>
      <c r="D6452" s="8">
        <v>129348.140625</v>
      </c>
      <c r="E6452" s="8">
        <v>129387.84375</v>
      </c>
      <c r="F6452" s="8">
        <f t="shared" si="200"/>
        <v>39.703125</v>
      </c>
      <c r="G6452" s="8">
        <f t="shared" si="201"/>
        <v>3.9703124999999999E-2</v>
      </c>
    </row>
    <row r="6453" spans="1:7" x14ac:dyDescent="0.25">
      <c r="A6453" s="8">
        <v>86</v>
      </c>
      <c r="B6453" s="8">
        <v>46</v>
      </c>
      <c r="C6453" s="8">
        <v>1679.414673</v>
      </c>
      <c r="D6453" s="8">
        <v>132233.15625</v>
      </c>
      <c r="E6453" s="8">
        <v>132257.734375</v>
      </c>
      <c r="F6453" s="8">
        <f t="shared" si="200"/>
        <v>24.578125</v>
      </c>
      <c r="G6453" s="8">
        <f t="shared" si="201"/>
        <v>2.4578124999999999E-2</v>
      </c>
    </row>
    <row r="6454" spans="1:7" x14ac:dyDescent="0.25">
      <c r="A6454" s="8">
        <v>86</v>
      </c>
      <c r="B6454" s="8">
        <v>47</v>
      </c>
      <c r="C6454" s="8">
        <v>349.74465900000001</v>
      </c>
      <c r="D6454" s="8">
        <v>133941.28125</v>
      </c>
      <c r="E6454" s="8">
        <v>133959.265625</v>
      </c>
      <c r="F6454" s="8">
        <f t="shared" si="200"/>
        <v>17.984375</v>
      </c>
      <c r="G6454" s="8">
        <f t="shared" si="201"/>
        <v>1.7984375E-2</v>
      </c>
    </row>
    <row r="6455" spans="1:7" x14ac:dyDescent="0.25">
      <c r="A6455" s="8">
        <v>86</v>
      </c>
      <c r="B6455" s="8">
        <v>48</v>
      </c>
      <c r="C6455" s="8">
        <v>5151.0683589999999</v>
      </c>
      <c r="D6455" s="8">
        <v>134316.328125</v>
      </c>
      <c r="E6455" s="8">
        <v>134327.546875</v>
      </c>
      <c r="F6455" s="8">
        <f t="shared" si="200"/>
        <v>11.21875</v>
      </c>
      <c r="G6455" s="8">
        <f t="shared" si="201"/>
        <v>1.121875E-2</v>
      </c>
    </row>
    <row r="6456" spans="1:7" x14ac:dyDescent="0.25">
      <c r="A6456" s="8">
        <v>86</v>
      </c>
      <c r="B6456" s="8">
        <v>49</v>
      </c>
      <c r="C6456" s="8">
        <v>2491.8999020000001</v>
      </c>
      <c r="D6456" s="8">
        <v>139490.703125</v>
      </c>
      <c r="E6456" s="8">
        <v>139511.625</v>
      </c>
      <c r="F6456" s="8">
        <f t="shared" si="200"/>
        <v>20.921875</v>
      </c>
      <c r="G6456" s="8">
        <f t="shared" si="201"/>
        <v>2.0921875E-2</v>
      </c>
    </row>
    <row r="6457" spans="1:7" x14ac:dyDescent="0.25">
      <c r="A6457" s="8">
        <v>86</v>
      </c>
      <c r="B6457" s="8">
        <v>50</v>
      </c>
      <c r="C6457" s="8">
        <v>1433.2913820000001</v>
      </c>
      <c r="D6457" s="8">
        <v>142015.171875</v>
      </c>
      <c r="E6457" s="8">
        <v>142038.765625</v>
      </c>
      <c r="F6457" s="8">
        <f t="shared" si="200"/>
        <v>23.59375</v>
      </c>
      <c r="G6457" s="8">
        <f t="shared" si="201"/>
        <v>2.359375E-2</v>
      </c>
    </row>
    <row r="6458" spans="1:7" x14ac:dyDescent="0.25">
      <c r="A6458" s="8">
        <v>86</v>
      </c>
      <c r="B6458" s="8">
        <v>51</v>
      </c>
      <c r="C6458" s="8">
        <v>4985.6845700000003</v>
      </c>
      <c r="D6458" s="8">
        <v>143478.65625</v>
      </c>
      <c r="E6458" s="8">
        <v>143489.984375</v>
      </c>
      <c r="F6458" s="8">
        <f t="shared" si="200"/>
        <v>11.328125</v>
      </c>
      <c r="G6458" s="8">
        <f t="shared" si="201"/>
        <v>1.1328125E-2</v>
      </c>
    </row>
    <row r="6459" spans="1:7" x14ac:dyDescent="0.25">
      <c r="A6459" s="8">
        <v>86</v>
      </c>
      <c r="B6459" s="8">
        <v>52</v>
      </c>
      <c r="C6459" s="8">
        <v>4557.9404299999997</v>
      </c>
      <c r="D6459" s="8">
        <v>148478.484375</v>
      </c>
      <c r="E6459" s="8">
        <v>148499.03125</v>
      </c>
      <c r="F6459" s="8">
        <f t="shared" si="200"/>
        <v>20.546875</v>
      </c>
      <c r="G6459" s="8">
        <f t="shared" si="201"/>
        <v>2.0546874999999999E-2</v>
      </c>
    </row>
    <row r="6460" spans="1:7" x14ac:dyDescent="0.25">
      <c r="A6460" s="8">
        <v>86</v>
      </c>
      <c r="B6460" s="8">
        <v>53</v>
      </c>
      <c r="C6460" s="8">
        <v>83.318138000000005</v>
      </c>
      <c r="D6460" s="8">
        <v>153062.625</v>
      </c>
      <c r="E6460" s="8">
        <v>153087.8125</v>
      </c>
      <c r="F6460" s="8">
        <f t="shared" si="200"/>
        <v>25.1875</v>
      </c>
      <c r="G6460" s="8">
        <f t="shared" si="201"/>
        <v>2.5187500000000002E-2</v>
      </c>
    </row>
    <row r="6461" spans="1:7" x14ac:dyDescent="0.25">
      <c r="A6461" s="8">
        <v>86</v>
      </c>
      <c r="B6461" s="8">
        <v>54</v>
      </c>
      <c r="C6461" s="8">
        <v>3545.8498540000001</v>
      </c>
      <c r="D6461" s="8">
        <v>153172.03125</v>
      </c>
      <c r="E6461" s="8">
        <v>153180.75</v>
      </c>
      <c r="F6461" s="8">
        <f t="shared" si="200"/>
        <v>8.71875</v>
      </c>
      <c r="G6461" s="8">
        <f t="shared" si="201"/>
        <v>8.7187500000000008E-3</v>
      </c>
    </row>
    <row r="6462" spans="1:7" x14ac:dyDescent="0.25">
      <c r="A6462" s="8">
        <v>86</v>
      </c>
      <c r="B6462" s="8">
        <v>55</v>
      </c>
      <c r="C6462" s="8">
        <v>4443.8222660000001</v>
      </c>
      <c r="D6462" s="8">
        <v>156734.9375</v>
      </c>
      <c r="E6462" s="8">
        <v>156756.8125</v>
      </c>
      <c r="F6462" s="8">
        <f t="shared" si="200"/>
        <v>21.875</v>
      </c>
      <c r="G6462" s="8">
        <f t="shared" si="201"/>
        <v>2.1874999999999999E-2</v>
      </c>
    </row>
    <row r="6463" spans="1:7" x14ac:dyDescent="0.25">
      <c r="A6463" s="8">
        <v>86</v>
      </c>
      <c r="B6463" s="8">
        <v>56</v>
      </c>
      <c r="C6463" s="8">
        <v>2154.8889159999999</v>
      </c>
      <c r="D6463" s="8">
        <v>161205.140625</v>
      </c>
      <c r="E6463" s="8">
        <v>161222.296875</v>
      </c>
      <c r="F6463" s="8">
        <f t="shared" si="200"/>
        <v>17.15625</v>
      </c>
      <c r="G6463" s="8">
        <f t="shared" si="201"/>
        <v>1.7156250000000001E-2</v>
      </c>
    </row>
    <row r="6464" spans="1:7" x14ac:dyDescent="0.25">
      <c r="A6464" s="8">
        <v>86</v>
      </c>
      <c r="B6464" s="8">
        <v>57</v>
      </c>
      <c r="C6464" s="8">
        <v>647.97820999999999</v>
      </c>
      <c r="D6464" s="8">
        <v>163377.765625</v>
      </c>
      <c r="E6464" s="8">
        <v>163400.953125</v>
      </c>
      <c r="F6464" s="8">
        <f t="shared" si="200"/>
        <v>23.1875</v>
      </c>
      <c r="G6464" s="8">
        <f t="shared" si="201"/>
        <v>2.31875E-2</v>
      </c>
    </row>
    <row r="6465" spans="1:7" x14ac:dyDescent="0.25">
      <c r="A6465" s="8">
        <v>86</v>
      </c>
      <c r="B6465" s="8">
        <v>58</v>
      </c>
      <c r="C6465" s="8">
        <v>3525.46875</v>
      </c>
      <c r="D6465" s="8">
        <v>164049.765625</v>
      </c>
      <c r="E6465" s="8">
        <v>164067.921875</v>
      </c>
      <c r="F6465" s="8">
        <f t="shared" si="200"/>
        <v>18.15625</v>
      </c>
      <c r="G6465" s="8">
        <f t="shared" si="201"/>
        <v>1.8156249999999999E-2</v>
      </c>
    </row>
    <row r="6466" spans="1:7" x14ac:dyDescent="0.25">
      <c r="A6466" s="8">
        <v>86</v>
      </c>
      <c r="B6466" s="8">
        <v>59</v>
      </c>
      <c r="C6466" s="8">
        <v>6642.736328</v>
      </c>
      <c r="D6466" s="8">
        <v>167603.609375</v>
      </c>
      <c r="E6466" s="8">
        <v>167611.515625</v>
      </c>
      <c r="F6466" s="8">
        <f t="shared" si="200"/>
        <v>7.90625</v>
      </c>
      <c r="G6466" s="8">
        <f t="shared" si="201"/>
        <v>7.9062500000000001E-3</v>
      </c>
    </row>
    <row r="6467" spans="1:7" x14ac:dyDescent="0.25">
      <c r="A6467" s="8">
        <v>87</v>
      </c>
      <c r="B6467" s="8">
        <v>0</v>
      </c>
      <c r="C6467" s="8">
        <v>1473.6892089999999</v>
      </c>
      <c r="D6467" s="8">
        <v>20281.714843999998</v>
      </c>
      <c r="E6467" s="8">
        <v>20315.755859000001</v>
      </c>
      <c r="F6467" s="8">
        <f t="shared" si="200"/>
        <v>34.041015000002517</v>
      </c>
      <c r="G6467" s="8">
        <f t="shared" si="201"/>
        <v>3.404101500000252E-2</v>
      </c>
    </row>
    <row r="6468" spans="1:7" x14ac:dyDescent="0.25">
      <c r="A6468" s="8">
        <v>87</v>
      </c>
      <c r="B6468" s="8">
        <v>1</v>
      </c>
      <c r="C6468" s="8">
        <v>292.201752</v>
      </c>
      <c r="D6468" s="8">
        <v>21797.533202999999</v>
      </c>
      <c r="E6468" s="8">
        <v>21808.433593999998</v>
      </c>
      <c r="F6468" s="8">
        <f t="shared" si="200"/>
        <v>10.900390999999217</v>
      </c>
      <c r="G6468" s="8">
        <f t="shared" si="201"/>
        <v>1.0900390999999218E-2</v>
      </c>
    </row>
    <row r="6469" spans="1:7" x14ac:dyDescent="0.25">
      <c r="A6469" s="8">
        <v>87</v>
      </c>
      <c r="B6469" s="8">
        <v>2</v>
      </c>
      <c r="C6469" s="8">
        <v>810.35052499999995</v>
      </c>
      <c r="D6469" s="8">
        <v>22109.998047000001</v>
      </c>
      <c r="E6469" s="8">
        <v>22124.605468999998</v>
      </c>
      <c r="F6469" s="8">
        <f t="shared" si="200"/>
        <v>14.607421999997314</v>
      </c>
      <c r="G6469" s="8">
        <f t="shared" si="201"/>
        <v>1.4607421999997313E-2</v>
      </c>
    </row>
    <row r="6470" spans="1:7" x14ac:dyDescent="0.25">
      <c r="A6470" s="8">
        <v>87</v>
      </c>
      <c r="B6470" s="8">
        <v>3</v>
      </c>
      <c r="C6470" s="8">
        <v>1207.6788329999999</v>
      </c>
      <c r="D6470" s="8">
        <v>22938.269531000002</v>
      </c>
      <c r="E6470" s="8">
        <v>22949.431640999999</v>
      </c>
      <c r="F6470" s="8">
        <f t="shared" si="200"/>
        <v>11.162109999997483</v>
      </c>
      <c r="G6470" s="8">
        <f t="shared" si="201"/>
        <v>1.1162109999997482E-2</v>
      </c>
    </row>
    <row r="6471" spans="1:7" x14ac:dyDescent="0.25">
      <c r="A6471" s="8">
        <v>87</v>
      </c>
      <c r="B6471" s="8">
        <v>4</v>
      </c>
      <c r="C6471" s="8">
        <v>6169.2470700000003</v>
      </c>
      <c r="D6471" s="8">
        <v>24162.361327999999</v>
      </c>
      <c r="E6471" s="8">
        <v>24176.410156000002</v>
      </c>
      <c r="F6471" s="8">
        <f t="shared" si="200"/>
        <v>14.048828000002686</v>
      </c>
      <c r="G6471" s="8">
        <f t="shared" si="201"/>
        <v>1.4048828000002686E-2</v>
      </c>
    </row>
    <row r="6472" spans="1:7" x14ac:dyDescent="0.25">
      <c r="A6472" s="8">
        <v>87</v>
      </c>
      <c r="B6472" s="8">
        <v>5</v>
      </c>
      <c r="C6472" s="8">
        <v>948.46032700000001</v>
      </c>
      <c r="D6472" s="8">
        <v>30359.125</v>
      </c>
      <c r="E6472" s="8">
        <v>30380.849609000001</v>
      </c>
      <c r="F6472" s="8">
        <f t="shared" si="200"/>
        <v>21.724609000000783</v>
      </c>
      <c r="G6472" s="8">
        <f t="shared" si="201"/>
        <v>2.1724609000000783E-2</v>
      </c>
    </row>
    <row r="6473" spans="1:7" x14ac:dyDescent="0.25">
      <c r="A6473" s="8">
        <v>87</v>
      </c>
      <c r="B6473" s="8">
        <v>6</v>
      </c>
      <c r="C6473" s="8">
        <v>707.24688700000002</v>
      </c>
      <c r="D6473" s="8">
        <v>31331.648438</v>
      </c>
      <c r="E6473" s="8">
        <v>31343.613281000002</v>
      </c>
      <c r="F6473" s="8">
        <f t="shared" si="200"/>
        <v>11.964843000001565</v>
      </c>
      <c r="G6473" s="8">
        <f t="shared" si="201"/>
        <v>1.1964843000001566E-2</v>
      </c>
    </row>
    <row r="6474" spans="1:7" x14ac:dyDescent="0.25">
      <c r="A6474" s="8">
        <v>87</v>
      </c>
      <c r="B6474" s="8">
        <v>7</v>
      </c>
      <c r="C6474" s="8">
        <v>1633.3070070000001</v>
      </c>
      <c r="D6474" s="8">
        <v>32051.296875</v>
      </c>
      <c r="E6474" s="8">
        <v>32058.960938</v>
      </c>
      <c r="F6474" s="8">
        <f t="shared" si="200"/>
        <v>7.6640630000001693</v>
      </c>
      <c r="G6474" s="8">
        <f t="shared" si="201"/>
        <v>7.6640630000001696E-3</v>
      </c>
    </row>
    <row r="6475" spans="1:7" x14ac:dyDescent="0.25">
      <c r="A6475" s="8">
        <v>87</v>
      </c>
      <c r="B6475" s="8">
        <v>8</v>
      </c>
      <c r="C6475" s="8">
        <v>1151.861206</v>
      </c>
      <c r="D6475" s="8">
        <v>33697.03125</v>
      </c>
      <c r="E6475" s="8">
        <v>33713.769530999998</v>
      </c>
      <c r="F6475" s="8">
        <f t="shared" ref="F6475:F6538" si="202">E6475-D6475</f>
        <v>16.738280999998096</v>
      </c>
      <c r="G6475" s="8">
        <f t="shared" ref="G6475:G6538" si="203">F6475/1000</f>
        <v>1.6738280999998096E-2</v>
      </c>
    </row>
    <row r="6476" spans="1:7" x14ac:dyDescent="0.25">
      <c r="A6476" s="8">
        <v>87</v>
      </c>
      <c r="B6476" s="8">
        <v>9</v>
      </c>
      <c r="C6476" s="8">
        <v>320.73043799999999</v>
      </c>
      <c r="D6476" s="8">
        <v>34873.796875</v>
      </c>
      <c r="E6476" s="8">
        <v>34883.175780999998</v>
      </c>
      <c r="F6476" s="8">
        <f t="shared" si="202"/>
        <v>9.3789059999980964</v>
      </c>
      <c r="G6476" s="8">
        <f t="shared" si="203"/>
        <v>9.3789059999980964E-3</v>
      </c>
    </row>
    <row r="6477" spans="1:7" x14ac:dyDescent="0.25">
      <c r="A6477" s="8">
        <v>87</v>
      </c>
      <c r="B6477" s="8">
        <v>10</v>
      </c>
      <c r="C6477" s="8">
        <v>1295.547241</v>
      </c>
      <c r="D6477" s="8">
        <v>35217.527344000002</v>
      </c>
      <c r="E6477" s="8">
        <v>35238.765625</v>
      </c>
      <c r="F6477" s="8">
        <f t="shared" si="202"/>
        <v>21.238280999998096</v>
      </c>
      <c r="G6477" s="8">
        <f t="shared" si="203"/>
        <v>2.1238280999998096E-2</v>
      </c>
    </row>
    <row r="6478" spans="1:7" x14ac:dyDescent="0.25">
      <c r="A6478" s="8">
        <v>87</v>
      </c>
      <c r="B6478" s="8">
        <v>11</v>
      </c>
      <c r="C6478" s="8">
        <v>181.72261</v>
      </c>
      <c r="D6478" s="8">
        <v>36534.414062999997</v>
      </c>
      <c r="E6478" s="8">
        <v>36551.761719000002</v>
      </c>
      <c r="F6478" s="8">
        <f t="shared" si="202"/>
        <v>17.347656000005372</v>
      </c>
      <c r="G6478" s="8">
        <f t="shared" si="203"/>
        <v>1.7347656000005374E-2</v>
      </c>
    </row>
    <row r="6479" spans="1:7" x14ac:dyDescent="0.25">
      <c r="A6479" s="8">
        <v>87</v>
      </c>
      <c r="B6479" s="8">
        <v>12</v>
      </c>
      <c r="C6479" s="8">
        <v>89.436233999999999</v>
      </c>
      <c r="D6479" s="8">
        <v>36737.773437999997</v>
      </c>
      <c r="E6479" s="8">
        <v>36752.1875</v>
      </c>
      <c r="F6479" s="8">
        <f t="shared" si="202"/>
        <v>14.414062000003469</v>
      </c>
      <c r="G6479" s="8">
        <f t="shared" si="203"/>
        <v>1.441406200000347E-2</v>
      </c>
    </row>
    <row r="6480" spans="1:7" x14ac:dyDescent="0.25">
      <c r="A6480" s="8">
        <v>87</v>
      </c>
      <c r="B6480" s="8">
        <v>13</v>
      </c>
      <c r="C6480" s="8">
        <v>1771.24353</v>
      </c>
      <c r="D6480" s="8">
        <v>36847.175780999998</v>
      </c>
      <c r="E6480" s="8">
        <v>36866.679687999997</v>
      </c>
      <c r="F6480" s="8">
        <f t="shared" si="202"/>
        <v>19.503906999998435</v>
      </c>
      <c r="G6480" s="8">
        <f t="shared" si="203"/>
        <v>1.9503906999998436E-2</v>
      </c>
    </row>
    <row r="6481" spans="1:7" x14ac:dyDescent="0.25">
      <c r="A6481" s="8">
        <v>87</v>
      </c>
      <c r="B6481" s="8">
        <v>14</v>
      </c>
      <c r="C6481" s="8">
        <v>4326.8168949999999</v>
      </c>
      <c r="D6481" s="8">
        <v>38652.210937999997</v>
      </c>
      <c r="E6481" s="8">
        <v>38675.121094000002</v>
      </c>
      <c r="F6481" s="8">
        <f t="shared" si="202"/>
        <v>22.910156000005372</v>
      </c>
      <c r="G6481" s="8">
        <f t="shared" si="203"/>
        <v>2.2910156000005372E-2</v>
      </c>
    </row>
    <row r="6482" spans="1:7" x14ac:dyDescent="0.25">
      <c r="A6482" s="8">
        <v>87</v>
      </c>
      <c r="B6482" s="8">
        <v>15</v>
      </c>
      <c r="C6482" s="8">
        <v>418.60101300000002</v>
      </c>
      <c r="D6482" s="8">
        <v>43006.097655999998</v>
      </c>
      <c r="E6482" s="8">
        <v>43017.976562999997</v>
      </c>
      <c r="F6482" s="8">
        <f t="shared" si="202"/>
        <v>11.878906999998435</v>
      </c>
      <c r="G6482" s="8">
        <f t="shared" si="203"/>
        <v>1.1878906999998435E-2</v>
      </c>
    </row>
    <row r="6483" spans="1:7" x14ac:dyDescent="0.25">
      <c r="A6483" s="8">
        <v>87</v>
      </c>
      <c r="B6483" s="8">
        <v>16</v>
      </c>
      <c r="C6483" s="8">
        <v>548.30523700000003</v>
      </c>
      <c r="D6483" s="8">
        <v>43443.542969000002</v>
      </c>
      <c r="E6483" s="8">
        <v>43454.789062999997</v>
      </c>
      <c r="F6483" s="8">
        <f t="shared" si="202"/>
        <v>11.246093999994628</v>
      </c>
      <c r="G6483" s="8">
        <f t="shared" si="203"/>
        <v>1.1246093999994627E-2</v>
      </c>
    </row>
    <row r="6484" spans="1:7" x14ac:dyDescent="0.25">
      <c r="A6484" s="8">
        <v>87</v>
      </c>
      <c r="B6484" s="8">
        <v>17</v>
      </c>
      <c r="C6484" s="8">
        <v>94.293189999999996</v>
      </c>
      <c r="D6484" s="8">
        <v>44006.121094000002</v>
      </c>
      <c r="E6484" s="8">
        <v>44018.976562999997</v>
      </c>
      <c r="F6484" s="8">
        <f t="shared" si="202"/>
        <v>12.855468999994628</v>
      </c>
      <c r="G6484" s="8">
        <f t="shared" si="203"/>
        <v>1.2855468999994627E-2</v>
      </c>
    </row>
    <row r="6485" spans="1:7" x14ac:dyDescent="0.25">
      <c r="A6485" s="8">
        <v>87</v>
      </c>
      <c r="B6485" s="8">
        <v>18</v>
      </c>
      <c r="C6485" s="8">
        <v>2485.5446780000002</v>
      </c>
      <c r="D6485" s="8">
        <v>44115.542969000002</v>
      </c>
      <c r="E6485" s="8">
        <v>44133.03125</v>
      </c>
      <c r="F6485" s="8">
        <f t="shared" si="202"/>
        <v>17.488280999998096</v>
      </c>
      <c r="G6485" s="8">
        <f t="shared" si="203"/>
        <v>1.7488280999998097E-2</v>
      </c>
    </row>
    <row r="6486" spans="1:7" x14ac:dyDescent="0.25">
      <c r="A6486" s="8">
        <v>87</v>
      </c>
      <c r="B6486" s="8">
        <v>19</v>
      </c>
      <c r="C6486" s="8">
        <v>163.82231100000001</v>
      </c>
      <c r="D6486" s="8">
        <v>46625.902344000002</v>
      </c>
      <c r="E6486" s="8">
        <v>46633.582030999998</v>
      </c>
      <c r="F6486" s="8">
        <f t="shared" si="202"/>
        <v>7.6796869999961928</v>
      </c>
      <c r="G6486" s="8">
        <f t="shared" si="203"/>
        <v>7.6796869999961924E-3</v>
      </c>
    </row>
    <row r="6487" spans="1:7" x14ac:dyDescent="0.25">
      <c r="A6487" s="8">
        <v>87</v>
      </c>
      <c r="B6487" s="8">
        <v>20</v>
      </c>
      <c r="C6487" s="8">
        <v>1552.63562</v>
      </c>
      <c r="D6487" s="8">
        <v>46797.777344000002</v>
      </c>
      <c r="E6487" s="8">
        <v>46821.886719000002</v>
      </c>
      <c r="F6487" s="8">
        <f t="shared" si="202"/>
        <v>24.109375</v>
      </c>
      <c r="G6487" s="8">
        <f t="shared" si="203"/>
        <v>2.4109374999999999E-2</v>
      </c>
    </row>
    <row r="6488" spans="1:7" x14ac:dyDescent="0.25">
      <c r="A6488" s="8">
        <v>87</v>
      </c>
      <c r="B6488" s="8">
        <v>21</v>
      </c>
      <c r="C6488" s="8">
        <v>17.348452000000002</v>
      </c>
      <c r="D6488" s="8">
        <v>48376.820312999997</v>
      </c>
      <c r="E6488" s="8">
        <v>48399.453125</v>
      </c>
      <c r="F6488" s="8">
        <f t="shared" si="202"/>
        <v>22.632812000003469</v>
      </c>
      <c r="G6488" s="8">
        <f t="shared" si="203"/>
        <v>2.2632812000003468E-2</v>
      </c>
    </row>
    <row r="6489" spans="1:7" x14ac:dyDescent="0.25">
      <c r="A6489" s="8">
        <v>87</v>
      </c>
      <c r="B6489" s="8">
        <v>22</v>
      </c>
      <c r="C6489" s="8">
        <v>5065.5146480000003</v>
      </c>
      <c r="D6489" s="8">
        <v>48423.734375</v>
      </c>
      <c r="E6489" s="8">
        <v>48443.375</v>
      </c>
      <c r="F6489" s="8">
        <f t="shared" si="202"/>
        <v>19.640625</v>
      </c>
      <c r="G6489" s="8">
        <f t="shared" si="203"/>
        <v>1.9640624999999998E-2</v>
      </c>
    </row>
    <row r="6490" spans="1:7" x14ac:dyDescent="0.25">
      <c r="A6490" s="8">
        <v>87</v>
      </c>
      <c r="B6490" s="8">
        <v>23</v>
      </c>
      <c r="C6490" s="8">
        <v>219.441147</v>
      </c>
      <c r="D6490" s="8">
        <v>53514.988280999998</v>
      </c>
      <c r="E6490" s="8">
        <v>53574.515625</v>
      </c>
      <c r="F6490" s="8">
        <f t="shared" si="202"/>
        <v>59.527344000001904</v>
      </c>
      <c r="G6490" s="8">
        <f t="shared" si="203"/>
        <v>5.9527344000001904E-2</v>
      </c>
    </row>
    <row r="6491" spans="1:7" x14ac:dyDescent="0.25">
      <c r="A6491" s="8">
        <v>87</v>
      </c>
      <c r="B6491" s="8">
        <v>24</v>
      </c>
      <c r="C6491" s="8">
        <v>2254.4960940000001</v>
      </c>
      <c r="D6491" s="8">
        <v>53796.257812999997</v>
      </c>
      <c r="E6491" s="8">
        <v>53810.085937999997</v>
      </c>
      <c r="F6491" s="8">
        <f t="shared" si="202"/>
        <v>13.828125</v>
      </c>
      <c r="G6491" s="8">
        <f t="shared" si="203"/>
        <v>1.3828125E-2</v>
      </c>
    </row>
    <row r="6492" spans="1:7" x14ac:dyDescent="0.25">
      <c r="A6492" s="8">
        <v>87</v>
      </c>
      <c r="B6492" s="8">
        <v>25</v>
      </c>
      <c r="C6492" s="8">
        <v>1212.261475</v>
      </c>
      <c r="D6492" s="8">
        <v>56066.222655999998</v>
      </c>
      <c r="E6492" s="8">
        <v>56089.492187999997</v>
      </c>
      <c r="F6492" s="8">
        <f t="shared" si="202"/>
        <v>23.269531999998435</v>
      </c>
      <c r="G6492" s="8">
        <f t="shared" si="203"/>
        <v>2.3269531999998434E-2</v>
      </c>
    </row>
    <row r="6493" spans="1:7" x14ac:dyDescent="0.25">
      <c r="A6493" s="8">
        <v>87</v>
      </c>
      <c r="B6493" s="8">
        <v>26</v>
      </c>
      <c r="C6493" s="8">
        <v>1592.1586910000001</v>
      </c>
      <c r="D6493" s="8">
        <v>57317.019530999998</v>
      </c>
      <c r="E6493" s="8">
        <v>57334.535155999998</v>
      </c>
      <c r="F6493" s="8">
        <f t="shared" si="202"/>
        <v>17.515625</v>
      </c>
      <c r="G6493" s="8">
        <f t="shared" si="203"/>
        <v>1.7515625E-2</v>
      </c>
    </row>
    <row r="6494" spans="1:7" x14ac:dyDescent="0.25">
      <c r="A6494" s="8">
        <v>87</v>
      </c>
      <c r="B6494" s="8">
        <v>27</v>
      </c>
      <c r="C6494" s="8">
        <v>2640.7365719999998</v>
      </c>
      <c r="D6494" s="8">
        <v>58934.878905999998</v>
      </c>
      <c r="E6494" s="8">
        <v>58955.46875</v>
      </c>
      <c r="F6494" s="8">
        <f t="shared" si="202"/>
        <v>20.589844000001904</v>
      </c>
      <c r="G6494" s="8">
        <f t="shared" si="203"/>
        <v>2.0589844000001904E-2</v>
      </c>
    </row>
    <row r="6495" spans="1:7" x14ac:dyDescent="0.25">
      <c r="A6495" s="8">
        <v>87</v>
      </c>
      <c r="B6495" s="8">
        <v>28</v>
      </c>
      <c r="C6495" s="8">
        <v>20.860966000000001</v>
      </c>
      <c r="D6495" s="8">
        <v>61607.015625</v>
      </c>
      <c r="E6495" s="8">
        <v>61618.21875</v>
      </c>
      <c r="F6495" s="8">
        <f t="shared" si="202"/>
        <v>11.203125</v>
      </c>
      <c r="G6495" s="8">
        <f t="shared" si="203"/>
        <v>1.1203125E-2</v>
      </c>
    </row>
    <row r="6496" spans="1:7" x14ac:dyDescent="0.25">
      <c r="A6496" s="8">
        <v>87</v>
      </c>
      <c r="B6496" s="8">
        <v>29</v>
      </c>
      <c r="C6496" s="8">
        <v>1371.6383060000001</v>
      </c>
      <c r="D6496" s="8">
        <v>61653.851562999997</v>
      </c>
      <c r="E6496" s="8">
        <v>61672.847655999998</v>
      </c>
      <c r="F6496" s="8">
        <f t="shared" si="202"/>
        <v>18.996093000001565</v>
      </c>
      <c r="G6496" s="8">
        <f t="shared" si="203"/>
        <v>1.8996093000001567E-2</v>
      </c>
    </row>
    <row r="6497" spans="1:7" x14ac:dyDescent="0.25">
      <c r="A6497" s="8">
        <v>87</v>
      </c>
      <c r="B6497" s="8">
        <v>30</v>
      </c>
      <c r="C6497" s="8">
        <v>354.62152099999997</v>
      </c>
      <c r="D6497" s="8">
        <v>63047.945312999997</v>
      </c>
      <c r="E6497" s="8">
        <v>63061.820312999997</v>
      </c>
      <c r="F6497" s="8">
        <f t="shared" si="202"/>
        <v>13.875</v>
      </c>
      <c r="G6497" s="8">
        <f t="shared" si="203"/>
        <v>1.3875E-2</v>
      </c>
    </row>
    <row r="6498" spans="1:7" x14ac:dyDescent="0.25">
      <c r="A6498" s="8">
        <v>87</v>
      </c>
      <c r="B6498" s="8">
        <v>31</v>
      </c>
      <c r="C6498" s="8">
        <v>115.649345</v>
      </c>
      <c r="D6498" s="8">
        <v>63430.617187999997</v>
      </c>
      <c r="E6498" s="8">
        <v>63452.460937999997</v>
      </c>
      <c r="F6498" s="8">
        <f t="shared" si="202"/>
        <v>21.84375</v>
      </c>
      <c r="G6498" s="8">
        <f t="shared" si="203"/>
        <v>2.1843749999999999E-2</v>
      </c>
    </row>
    <row r="6499" spans="1:7" x14ac:dyDescent="0.25">
      <c r="A6499" s="8">
        <v>87</v>
      </c>
      <c r="B6499" s="8">
        <v>32</v>
      </c>
      <c r="C6499" s="8">
        <v>1041.299683</v>
      </c>
      <c r="D6499" s="8">
        <v>63571.269530999998</v>
      </c>
      <c r="E6499" s="8">
        <v>63582.792969000002</v>
      </c>
      <c r="F6499" s="8">
        <f t="shared" si="202"/>
        <v>11.523438000003807</v>
      </c>
      <c r="G6499" s="8">
        <f t="shared" si="203"/>
        <v>1.1523438000003806E-2</v>
      </c>
    </row>
    <row r="6500" spans="1:7" x14ac:dyDescent="0.25">
      <c r="A6500" s="8">
        <v>87</v>
      </c>
      <c r="B6500" s="8">
        <v>33</v>
      </c>
      <c r="C6500" s="8">
        <v>2054.3740229999999</v>
      </c>
      <c r="D6500" s="8">
        <v>64637.164062999997</v>
      </c>
      <c r="E6500" s="8">
        <v>64655.5</v>
      </c>
      <c r="F6500" s="8">
        <f t="shared" si="202"/>
        <v>18.335937000003469</v>
      </c>
      <c r="G6500" s="8">
        <f t="shared" si="203"/>
        <v>1.833593700000347E-2</v>
      </c>
    </row>
    <row r="6501" spans="1:7" x14ac:dyDescent="0.25">
      <c r="A6501" s="8">
        <v>87</v>
      </c>
      <c r="B6501" s="8">
        <v>34</v>
      </c>
      <c r="C6501" s="8">
        <v>1180.5111079999999</v>
      </c>
      <c r="D6501" s="8">
        <v>66715.523438000004</v>
      </c>
      <c r="E6501" s="8">
        <v>66740.992188000004</v>
      </c>
      <c r="F6501" s="8">
        <f t="shared" si="202"/>
        <v>25.46875</v>
      </c>
      <c r="G6501" s="8">
        <f t="shared" si="203"/>
        <v>2.5468749999999998E-2</v>
      </c>
    </row>
    <row r="6502" spans="1:7" x14ac:dyDescent="0.25">
      <c r="A6502" s="8">
        <v>87</v>
      </c>
      <c r="B6502" s="8">
        <v>35</v>
      </c>
      <c r="C6502" s="8">
        <v>4504.9956050000001</v>
      </c>
      <c r="D6502" s="8">
        <v>67935.96875</v>
      </c>
      <c r="E6502" s="8">
        <v>67946.992188000004</v>
      </c>
      <c r="F6502" s="8">
        <f t="shared" si="202"/>
        <v>11.023438000003807</v>
      </c>
      <c r="G6502" s="8">
        <f t="shared" si="203"/>
        <v>1.1023438000003808E-2</v>
      </c>
    </row>
    <row r="6503" spans="1:7" x14ac:dyDescent="0.25">
      <c r="A6503" s="8">
        <v>87</v>
      </c>
      <c r="B6503" s="8">
        <v>36</v>
      </c>
      <c r="C6503" s="8">
        <v>644.015625</v>
      </c>
      <c r="D6503" s="8">
        <v>72466.507813000004</v>
      </c>
      <c r="E6503" s="8">
        <v>72476.898438000004</v>
      </c>
      <c r="F6503" s="8">
        <f t="shared" si="202"/>
        <v>10.390625</v>
      </c>
      <c r="G6503" s="8">
        <f t="shared" si="203"/>
        <v>1.0390625000000001E-2</v>
      </c>
    </row>
    <row r="6504" spans="1:7" x14ac:dyDescent="0.25">
      <c r="A6504" s="8">
        <v>87</v>
      </c>
      <c r="B6504" s="8">
        <v>37</v>
      </c>
      <c r="C6504" s="8">
        <v>1484.430298</v>
      </c>
      <c r="D6504" s="8">
        <v>73123.039063000004</v>
      </c>
      <c r="E6504" s="8">
        <v>73141.117188000004</v>
      </c>
      <c r="F6504" s="8">
        <f t="shared" si="202"/>
        <v>18.078125</v>
      </c>
      <c r="G6504" s="8">
        <f t="shared" si="203"/>
        <v>1.8078125E-2</v>
      </c>
    </row>
    <row r="6505" spans="1:7" x14ac:dyDescent="0.25">
      <c r="A6505" s="8">
        <v>87</v>
      </c>
      <c r="B6505" s="8">
        <v>38</v>
      </c>
      <c r="C6505" s="8">
        <v>988.37957800000004</v>
      </c>
      <c r="D6505" s="8">
        <v>74633.335938000004</v>
      </c>
      <c r="E6505" s="8">
        <v>74645.28125</v>
      </c>
      <c r="F6505" s="8">
        <f t="shared" si="202"/>
        <v>11.945311999996193</v>
      </c>
      <c r="G6505" s="8">
        <f t="shared" si="203"/>
        <v>1.1945311999996194E-2</v>
      </c>
    </row>
    <row r="6506" spans="1:7" x14ac:dyDescent="0.25">
      <c r="A6506" s="8">
        <v>87</v>
      </c>
      <c r="B6506" s="8">
        <v>39</v>
      </c>
      <c r="C6506" s="8">
        <v>235.23805200000001</v>
      </c>
      <c r="D6506" s="8">
        <v>75643.265625</v>
      </c>
      <c r="E6506" s="8">
        <v>75660.007813000004</v>
      </c>
      <c r="F6506" s="8">
        <f t="shared" si="202"/>
        <v>16.742188000003807</v>
      </c>
      <c r="G6506" s="8">
        <f t="shared" si="203"/>
        <v>1.6742188000003808E-2</v>
      </c>
    </row>
    <row r="6507" spans="1:7" x14ac:dyDescent="0.25">
      <c r="A6507" s="8">
        <v>87</v>
      </c>
      <c r="B6507" s="8">
        <v>40</v>
      </c>
      <c r="C6507" s="8">
        <v>53.318291000000002</v>
      </c>
      <c r="D6507" s="8">
        <v>75897.609375</v>
      </c>
      <c r="E6507" s="8">
        <v>75917.570313000004</v>
      </c>
      <c r="F6507" s="8">
        <f t="shared" si="202"/>
        <v>19.960938000003807</v>
      </c>
      <c r="G6507" s="8">
        <f t="shared" si="203"/>
        <v>1.9960938000003807E-2</v>
      </c>
    </row>
    <row r="6508" spans="1:7" x14ac:dyDescent="0.25">
      <c r="A6508" s="8">
        <v>87</v>
      </c>
      <c r="B6508" s="8">
        <v>41</v>
      </c>
      <c r="C6508" s="8">
        <v>1153.2729489999999</v>
      </c>
      <c r="D6508" s="8">
        <v>75975.757813000004</v>
      </c>
      <c r="E6508" s="8">
        <v>75995.648438000004</v>
      </c>
      <c r="F6508" s="8">
        <f t="shared" si="202"/>
        <v>19.890625</v>
      </c>
      <c r="G6508" s="8">
        <f t="shared" si="203"/>
        <v>1.9890624999999999E-2</v>
      </c>
    </row>
    <row r="6509" spans="1:7" x14ac:dyDescent="0.25">
      <c r="A6509" s="8">
        <v>87</v>
      </c>
      <c r="B6509" s="8">
        <v>42</v>
      </c>
      <c r="C6509" s="8">
        <v>101.536339</v>
      </c>
      <c r="D6509" s="8">
        <v>77163.351563000004</v>
      </c>
      <c r="E6509" s="8">
        <v>77185.570313000004</v>
      </c>
      <c r="F6509" s="8">
        <f t="shared" si="202"/>
        <v>22.21875</v>
      </c>
      <c r="G6509" s="8">
        <f t="shared" si="203"/>
        <v>2.2218749999999999E-2</v>
      </c>
    </row>
    <row r="6510" spans="1:7" x14ac:dyDescent="0.25">
      <c r="A6510" s="8">
        <v>87</v>
      </c>
      <c r="B6510" s="8">
        <v>43</v>
      </c>
      <c r="C6510" s="8">
        <v>476.77749599999999</v>
      </c>
      <c r="D6510" s="8">
        <v>77288.367188000004</v>
      </c>
      <c r="E6510" s="8">
        <v>77311.257813000004</v>
      </c>
      <c r="F6510" s="8">
        <f t="shared" si="202"/>
        <v>22.890625</v>
      </c>
      <c r="G6510" s="8">
        <f t="shared" si="203"/>
        <v>2.2890625000000001E-2</v>
      </c>
    </row>
    <row r="6511" spans="1:7" x14ac:dyDescent="0.25">
      <c r="A6511" s="8">
        <v>87</v>
      </c>
      <c r="B6511" s="8">
        <v>44</v>
      </c>
      <c r="C6511" s="8">
        <v>1945.064453</v>
      </c>
      <c r="D6511" s="8">
        <v>77789.054688000004</v>
      </c>
      <c r="E6511" s="8">
        <v>77806</v>
      </c>
      <c r="F6511" s="8">
        <f t="shared" si="202"/>
        <v>16.945311999996193</v>
      </c>
      <c r="G6511" s="8">
        <f t="shared" si="203"/>
        <v>1.6945311999996191E-2</v>
      </c>
    </row>
    <row r="6512" spans="1:7" x14ac:dyDescent="0.25">
      <c r="A6512" s="8">
        <v>87</v>
      </c>
      <c r="B6512" s="8">
        <v>45</v>
      </c>
      <c r="C6512" s="8">
        <v>1546.1457519999999</v>
      </c>
      <c r="D6512" s="8">
        <v>79754.164063000004</v>
      </c>
      <c r="E6512" s="8">
        <v>79767.96875</v>
      </c>
      <c r="F6512" s="8">
        <f t="shared" si="202"/>
        <v>13.804686999996193</v>
      </c>
      <c r="G6512" s="8">
        <f t="shared" si="203"/>
        <v>1.3804686999996194E-2</v>
      </c>
    </row>
    <row r="6513" spans="1:7" x14ac:dyDescent="0.25">
      <c r="A6513" s="8">
        <v>87</v>
      </c>
      <c r="B6513" s="8">
        <v>46</v>
      </c>
      <c r="C6513" s="8">
        <v>820.07611099999997</v>
      </c>
      <c r="D6513" s="8">
        <v>81317.460938000004</v>
      </c>
      <c r="E6513" s="8">
        <v>81334.898438000004</v>
      </c>
      <c r="F6513" s="8">
        <f t="shared" si="202"/>
        <v>17.4375</v>
      </c>
      <c r="G6513" s="8">
        <f t="shared" si="203"/>
        <v>1.7437500000000002E-2</v>
      </c>
    </row>
    <row r="6514" spans="1:7" x14ac:dyDescent="0.25">
      <c r="A6514" s="8">
        <v>87</v>
      </c>
      <c r="B6514" s="8">
        <v>47</v>
      </c>
      <c r="C6514" s="8">
        <v>3730.1906739999999</v>
      </c>
      <c r="D6514" s="8">
        <v>82167.429688000004</v>
      </c>
      <c r="E6514" s="8">
        <v>82178.632813000004</v>
      </c>
      <c r="F6514" s="8">
        <f t="shared" si="202"/>
        <v>11.203125</v>
      </c>
      <c r="G6514" s="8">
        <f t="shared" si="203"/>
        <v>1.1203125E-2</v>
      </c>
    </row>
    <row r="6515" spans="1:7" x14ac:dyDescent="0.25">
      <c r="A6515" s="8">
        <v>87</v>
      </c>
      <c r="B6515" s="8">
        <v>48</v>
      </c>
      <c r="C6515" s="8">
        <v>1287.5139160000001</v>
      </c>
      <c r="D6515" s="8">
        <v>85908.929688000004</v>
      </c>
      <c r="E6515" s="8">
        <v>85990.5625</v>
      </c>
      <c r="F6515" s="8">
        <f t="shared" si="202"/>
        <v>81.632811999996193</v>
      </c>
      <c r="G6515" s="8">
        <f t="shared" si="203"/>
        <v>8.1632811999996197E-2</v>
      </c>
    </row>
    <row r="6516" spans="1:7" x14ac:dyDescent="0.25">
      <c r="A6516" s="8">
        <v>87</v>
      </c>
      <c r="B6516" s="8">
        <v>49</v>
      </c>
      <c r="C6516" s="8">
        <v>55.388061999999998</v>
      </c>
      <c r="D6516" s="8">
        <v>87285.71875</v>
      </c>
      <c r="E6516" s="8">
        <v>87305.617188000004</v>
      </c>
      <c r="F6516" s="8">
        <f t="shared" si="202"/>
        <v>19.898438000003807</v>
      </c>
      <c r="G6516" s="8">
        <f t="shared" si="203"/>
        <v>1.9898438000003807E-2</v>
      </c>
    </row>
    <row r="6517" spans="1:7" x14ac:dyDescent="0.25">
      <c r="A6517" s="8">
        <v>87</v>
      </c>
      <c r="B6517" s="8">
        <v>50</v>
      </c>
      <c r="C6517" s="8">
        <v>3421.8330080000001</v>
      </c>
      <c r="D6517" s="8">
        <v>87363.859375</v>
      </c>
      <c r="E6517" s="8">
        <v>87374.765625</v>
      </c>
      <c r="F6517" s="8">
        <f t="shared" si="202"/>
        <v>10.90625</v>
      </c>
      <c r="G6517" s="8">
        <f t="shared" si="203"/>
        <v>1.0906249999999999E-2</v>
      </c>
    </row>
    <row r="6518" spans="1:7" x14ac:dyDescent="0.25">
      <c r="A6518" s="8">
        <v>87</v>
      </c>
      <c r="B6518" s="8">
        <v>51</v>
      </c>
      <c r="C6518" s="8">
        <v>634.43695100000002</v>
      </c>
      <c r="D6518" s="8">
        <v>90808.046875</v>
      </c>
      <c r="E6518" s="8">
        <v>90819.59375</v>
      </c>
      <c r="F6518" s="8">
        <f t="shared" si="202"/>
        <v>11.546875</v>
      </c>
      <c r="G6518" s="8">
        <f t="shared" si="203"/>
        <v>1.1546875E-2</v>
      </c>
    </row>
    <row r="6519" spans="1:7" x14ac:dyDescent="0.25">
      <c r="A6519" s="8">
        <v>87</v>
      </c>
      <c r="B6519" s="8">
        <v>52</v>
      </c>
      <c r="C6519" s="8">
        <v>1002.738098</v>
      </c>
      <c r="D6519" s="8">
        <v>91464.328125</v>
      </c>
      <c r="E6519" s="8">
        <v>91580</v>
      </c>
      <c r="F6519" s="8">
        <f t="shared" si="202"/>
        <v>115.671875</v>
      </c>
      <c r="G6519" s="8">
        <f t="shared" si="203"/>
        <v>0.11567187499999999</v>
      </c>
    </row>
    <row r="6520" spans="1:7" x14ac:dyDescent="0.25">
      <c r="A6520" s="8">
        <v>87</v>
      </c>
      <c r="B6520" s="8">
        <v>53</v>
      </c>
      <c r="C6520" s="8">
        <v>422.97015399999998</v>
      </c>
      <c r="D6520" s="8">
        <v>92591.429688000004</v>
      </c>
      <c r="E6520" s="8">
        <v>92620.492188000004</v>
      </c>
      <c r="F6520" s="8">
        <f t="shared" si="202"/>
        <v>29.0625</v>
      </c>
      <c r="G6520" s="8">
        <f t="shared" si="203"/>
        <v>2.9062500000000002E-2</v>
      </c>
    </row>
    <row r="6521" spans="1:7" x14ac:dyDescent="0.25">
      <c r="A6521" s="8">
        <v>87</v>
      </c>
      <c r="B6521" s="8">
        <v>54</v>
      </c>
      <c r="C6521" s="8">
        <v>12779.6875</v>
      </c>
      <c r="D6521" s="8">
        <v>93044.742188000004</v>
      </c>
      <c r="E6521" s="8">
        <v>93067.59375</v>
      </c>
      <c r="F6521" s="8">
        <f t="shared" si="202"/>
        <v>22.851561999996193</v>
      </c>
      <c r="G6521" s="8">
        <f t="shared" si="203"/>
        <v>2.2851561999996193E-2</v>
      </c>
    </row>
    <row r="6522" spans="1:7" x14ac:dyDescent="0.25">
      <c r="A6522" s="8">
        <v>87</v>
      </c>
      <c r="B6522" s="8">
        <v>55</v>
      </c>
      <c r="C6522" s="8">
        <v>1094.180908</v>
      </c>
      <c r="D6522" s="8">
        <v>105859.695313</v>
      </c>
      <c r="E6522" s="8">
        <v>105880.757813</v>
      </c>
      <c r="F6522" s="8">
        <f t="shared" si="202"/>
        <v>21.0625</v>
      </c>
      <c r="G6522" s="8">
        <f t="shared" si="203"/>
        <v>2.1062500000000001E-2</v>
      </c>
    </row>
    <row r="6523" spans="1:7" x14ac:dyDescent="0.25">
      <c r="A6523" s="8">
        <v>87</v>
      </c>
      <c r="B6523" s="8">
        <v>56</v>
      </c>
      <c r="C6523" s="8">
        <v>3278.4726559999999</v>
      </c>
      <c r="D6523" s="8">
        <v>106984.765625</v>
      </c>
      <c r="E6523" s="8">
        <v>107005.546875</v>
      </c>
      <c r="F6523" s="8">
        <f t="shared" si="202"/>
        <v>20.78125</v>
      </c>
      <c r="G6523" s="8">
        <f t="shared" si="203"/>
        <v>2.0781250000000001E-2</v>
      </c>
    </row>
    <row r="6524" spans="1:7" x14ac:dyDescent="0.25">
      <c r="A6524" s="8">
        <v>87</v>
      </c>
      <c r="B6524" s="8">
        <v>57</v>
      </c>
      <c r="C6524" s="8">
        <v>1913.514893</v>
      </c>
      <c r="D6524" s="8">
        <v>110299</v>
      </c>
      <c r="E6524" s="8">
        <v>110319.3125</v>
      </c>
      <c r="F6524" s="8">
        <f t="shared" si="202"/>
        <v>20.3125</v>
      </c>
      <c r="G6524" s="8">
        <f t="shared" si="203"/>
        <v>2.0312500000000001E-2</v>
      </c>
    </row>
    <row r="6525" spans="1:7" x14ac:dyDescent="0.25">
      <c r="A6525" s="8">
        <v>87</v>
      </c>
      <c r="B6525" s="8">
        <v>58</v>
      </c>
      <c r="C6525" s="8">
        <v>45.185657999999997</v>
      </c>
      <c r="D6525" s="8">
        <v>112240.882813</v>
      </c>
      <c r="E6525" s="8">
        <v>112263.734375</v>
      </c>
      <c r="F6525" s="8">
        <f t="shared" si="202"/>
        <v>22.851561999996193</v>
      </c>
      <c r="G6525" s="8">
        <f t="shared" si="203"/>
        <v>2.2851561999996193E-2</v>
      </c>
    </row>
    <row r="6526" spans="1:7" x14ac:dyDescent="0.25">
      <c r="A6526" s="8">
        <v>87</v>
      </c>
      <c r="B6526" s="8">
        <v>59</v>
      </c>
      <c r="C6526" s="8">
        <v>1894.0657960000001</v>
      </c>
      <c r="D6526" s="8">
        <v>112318.976563</v>
      </c>
      <c r="E6526" s="8">
        <v>112329.609375</v>
      </c>
      <c r="F6526" s="8">
        <f t="shared" si="202"/>
        <v>10.632811999996193</v>
      </c>
      <c r="G6526" s="8">
        <f t="shared" si="203"/>
        <v>1.0632811999996192E-2</v>
      </c>
    </row>
    <row r="6527" spans="1:7" x14ac:dyDescent="0.25">
      <c r="A6527" s="8">
        <v>87</v>
      </c>
      <c r="B6527" s="8">
        <v>60</v>
      </c>
      <c r="C6527" s="8">
        <v>6375.673828</v>
      </c>
      <c r="D6527" s="8">
        <v>114237.640625</v>
      </c>
      <c r="E6527" s="8">
        <v>114256.375</v>
      </c>
      <c r="F6527" s="8">
        <f t="shared" si="202"/>
        <v>18.734375</v>
      </c>
      <c r="G6527" s="8">
        <f t="shared" si="203"/>
        <v>1.8734375000000001E-2</v>
      </c>
    </row>
    <row r="6528" spans="1:7" x14ac:dyDescent="0.25">
      <c r="A6528" s="8">
        <v>87</v>
      </c>
      <c r="B6528" s="8">
        <v>61</v>
      </c>
      <c r="C6528" s="8">
        <v>1163.075439</v>
      </c>
      <c r="D6528" s="8">
        <v>120640.4375</v>
      </c>
      <c r="E6528" s="8">
        <v>120665.015625</v>
      </c>
      <c r="F6528" s="8">
        <f t="shared" si="202"/>
        <v>24.578125</v>
      </c>
      <c r="G6528" s="8">
        <f t="shared" si="203"/>
        <v>2.4578124999999999E-2</v>
      </c>
    </row>
    <row r="6529" spans="1:7" x14ac:dyDescent="0.25">
      <c r="A6529" s="8">
        <v>87</v>
      </c>
      <c r="B6529" s="8">
        <v>62</v>
      </c>
      <c r="C6529" s="8">
        <v>768.32556199999999</v>
      </c>
      <c r="D6529" s="8">
        <v>121830.210938</v>
      </c>
      <c r="E6529" s="8">
        <v>121846.796875</v>
      </c>
      <c r="F6529" s="8">
        <f t="shared" si="202"/>
        <v>16.585936999996193</v>
      </c>
      <c r="G6529" s="8">
        <f t="shared" si="203"/>
        <v>1.6585936999996193E-2</v>
      </c>
    </row>
    <row r="6530" spans="1:7" x14ac:dyDescent="0.25">
      <c r="A6530" s="8">
        <v>87</v>
      </c>
      <c r="B6530" s="8">
        <v>63</v>
      </c>
      <c r="C6530" s="8">
        <v>1541.786865</v>
      </c>
      <c r="D6530" s="8">
        <v>122627.164063</v>
      </c>
      <c r="E6530" s="8">
        <v>122643.820313</v>
      </c>
      <c r="F6530" s="8">
        <f t="shared" si="202"/>
        <v>16.65625</v>
      </c>
      <c r="G6530" s="8">
        <f t="shared" si="203"/>
        <v>1.6656250000000001E-2</v>
      </c>
    </row>
    <row r="6531" spans="1:7" x14ac:dyDescent="0.25">
      <c r="A6531" s="8">
        <v>87</v>
      </c>
      <c r="B6531" s="8">
        <v>64</v>
      </c>
      <c r="C6531" s="8">
        <v>844.97167999999999</v>
      </c>
      <c r="D6531" s="8">
        <v>124189.570313</v>
      </c>
      <c r="E6531" s="8">
        <v>124202.101563</v>
      </c>
      <c r="F6531" s="8">
        <f t="shared" si="202"/>
        <v>12.53125</v>
      </c>
      <c r="G6531" s="8">
        <f t="shared" si="203"/>
        <v>1.2531250000000001E-2</v>
      </c>
    </row>
    <row r="6532" spans="1:7" x14ac:dyDescent="0.25">
      <c r="A6532" s="8">
        <v>87</v>
      </c>
      <c r="B6532" s="8">
        <v>65</v>
      </c>
      <c r="C6532" s="8">
        <v>7427.6323240000002</v>
      </c>
      <c r="D6532" s="8">
        <v>125048.992188</v>
      </c>
      <c r="E6532" s="8">
        <v>125078.4375</v>
      </c>
      <c r="F6532" s="8">
        <f t="shared" si="202"/>
        <v>29.445311999996193</v>
      </c>
      <c r="G6532" s="8">
        <f t="shared" si="203"/>
        <v>2.9445311999996192E-2</v>
      </c>
    </row>
    <row r="6533" spans="1:7" x14ac:dyDescent="0.25">
      <c r="A6533" s="8">
        <v>87</v>
      </c>
      <c r="B6533" s="8">
        <v>66</v>
      </c>
      <c r="C6533" s="8">
        <v>221.894867</v>
      </c>
      <c r="D6533" s="8">
        <v>132514.5625</v>
      </c>
      <c r="E6533" s="8">
        <v>132527.6875</v>
      </c>
      <c r="F6533" s="8">
        <f t="shared" si="202"/>
        <v>13.125</v>
      </c>
      <c r="G6533" s="8">
        <f t="shared" si="203"/>
        <v>1.3125E-2</v>
      </c>
    </row>
    <row r="6534" spans="1:7" x14ac:dyDescent="0.25">
      <c r="A6534" s="8">
        <v>87</v>
      </c>
      <c r="B6534" s="8">
        <v>67</v>
      </c>
      <c r="C6534" s="8">
        <v>1877.1429439999999</v>
      </c>
      <c r="D6534" s="8">
        <v>132748.953125</v>
      </c>
      <c r="E6534" s="8">
        <v>132760.265625</v>
      </c>
      <c r="F6534" s="8">
        <f t="shared" si="202"/>
        <v>11.3125</v>
      </c>
      <c r="G6534" s="8">
        <f t="shared" si="203"/>
        <v>1.13125E-2</v>
      </c>
    </row>
    <row r="6535" spans="1:7" x14ac:dyDescent="0.25">
      <c r="A6535" s="8">
        <v>87</v>
      </c>
      <c r="B6535" s="8">
        <v>68</v>
      </c>
      <c r="C6535" s="8">
        <v>87.649887000000007</v>
      </c>
      <c r="D6535" s="8">
        <v>134644.375</v>
      </c>
      <c r="E6535" s="8">
        <v>134675.390625</v>
      </c>
      <c r="F6535" s="8">
        <f t="shared" si="202"/>
        <v>31.015625</v>
      </c>
      <c r="G6535" s="8">
        <f t="shared" si="203"/>
        <v>3.1015625000000002E-2</v>
      </c>
    </row>
    <row r="6536" spans="1:7" x14ac:dyDescent="0.25">
      <c r="A6536" s="8">
        <v>87</v>
      </c>
      <c r="B6536" s="8">
        <v>69</v>
      </c>
      <c r="C6536" s="8">
        <v>1551.442139</v>
      </c>
      <c r="D6536" s="8">
        <v>134769.46875</v>
      </c>
      <c r="E6536" s="8">
        <v>134794</v>
      </c>
      <c r="F6536" s="8">
        <f t="shared" si="202"/>
        <v>24.53125</v>
      </c>
      <c r="G6536" s="8">
        <f t="shared" si="203"/>
        <v>2.4531250000000001E-2</v>
      </c>
    </row>
    <row r="6537" spans="1:7" x14ac:dyDescent="0.25">
      <c r="A6537" s="8">
        <v>87</v>
      </c>
      <c r="B6537" s="8">
        <v>70</v>
      </c>
      <c r="C6537" s="8">
        <v>566.93841599999996</v>
      </c>
      <c r="D6537" s="8">
        <v>136350.921875</v>
      </c>
      <c r="E6537" s="8">
        <v>136371.203125</v>
      </c>
      <c r="F6537" s="8">
        <f t="shared" si="202"/>
        <v>20.28125</v>
      </c>
      <c r="G6537" s="8">
        <f t="shared" si="203"/>
        <v>2.0281250000000001E-2</v>
      </c>
    </row>
    <row r="6538" spans="1:7" x14ac:dyDescent="0.25">
      <c r="A6538" s="8">
        <v>87</v>
      </c>
      <c r="B6538" s="8">
        <v>71</v>
      </c>
      <c r="C6538" s="8">
        <v>576.11706500000003</v>
      </c>
      <c r="D6538" s="8">
        <v>136950.4375</v>
      </c>
      <c r="E6538" s="8">
        <v>136978.921875</v>
      </c>
      <c r="F6538" s="8">
        <f t="shared" si="202"/>
        <v>28.484375</v>
      </c>
      <c r="G6538" s="8">
        <f t="shared" si="203"/>
        <v>2.8484374999999999E-2</v>
      </c>
    </row>
    <row r="6539" spans="1:7" x14ac:dyDescent="0.25">
      <c r="A6539" s="8">
        <v>87</v>
      </c>
      <c r="B6539" s="8">
        <v>72</v>
      </c>
      <c r="C6539" s="8">
        <v>478.79263300000002</v>
      </c>
      <c r="D6539" s="8">
        <v>137562.453125</v>
      </c>
      <c r="E6539" s="8">
        <v>137582.578125</v>
      </c>
      <c r="F6539" s="8">
        <f t="shared" ref="F6539:F6602" si="204">E6539-D6539</f>
        <v>20.125</v>
      </c>
      <c r="G6539" s="8">
        <f t="shared" ref="G6539:G6602" si="205">F6539/1000</f>
        <v>2.0125000000000001E-2</v>
      </c>
    </row>
    <row r="6540" spans="1:7" x14ac:dyDescent="0.25">
      <c r="A6540" s="8">
        <v>87</v>
      </c>
      <c r="B6540" s="8">
        <v>73</v>
      </c>
      <c r="C6540" s="8">
        <v>3956.0759280000002</v>
      </c>
      <c r="D6540" s="8">
        <v>138062.453125</v>
      </c>
      <c r="E6540" s="8">
        <v>138085.453125</v>
      </c>
      <c r="F6540" s="8">
        <f t="shared" si="204"/>
        <v>23</v>
      </c>
      <c r="G6540" s="8">
        <f t="shared" si="205"/>
        <v>2.3E-2</v>
      </c>
    </row>
    <row r="6541" spans="1:7" x14ac:dyDescent="0.25">
      <c r="A6541" s="8">
        <v>87</v>
      </c>
      <c r="B6541" s="8">
        <v>74</v>
      </c>
      <c r="C6541" s="8">
        <v>1155.338501</v>
      </c>
      <c r="D6541" s="8">
        <v>142046.421875</v>
      </c>
      <c r="E6541" s="8">
        <v>142054.5625</v>
      </c>
      <c r="F6541" s="8">
        <f t="shared" si="204"/>
        <v>8.140625</v>
      </c>
      <c r="G6541" s="8">
        <f t="shared" si="205"/>
        <v>8.1406250000000003E-3</v>
      </c>
    </row>
    <row r="6542" spans="1:7" x14ac:dyDescent="0.25">
      <c r="A6542" s="8">
        <v>87</v>
      </c>
      <c r="B6542" s="8">
        <v>75</v>
      </c>
      <c r="C6542" s="8">
        <v>542.05242899999996</v>
      </c>
      <c r="D6542" s="8">
        <v>143218.25</v>
      </c>
      <c r="E6542" s="8">
        <v>143244.109375</v>
      </c>
      <c r="F6542" s="8">
        <f t="shared" si="204"/>
        <v>25.859375</v>
      </c>
      <c r="G6542" s="8">
        <f t="shared" si="205"/>
        <v>2.5859375E-2</v>
      </c>
    </row>
    <row r="6543" spans="1:7" x14ac:dyDescent="0.25">
      <c r="A6543" s="8">
        <v>87</v>
      </c>
      <c r="B6543" s="8">
        <v>76</v>
      </c>
      <c r="C6543" s="8">
        <v>1199.7677000000001</v>
      </c>
      <c r="D6543" s="8">
        <v>143791.171875</v>
      </c>
      <c r="E6543" s="8">
        <v>143803.828125</v>
      </c>
      <c r="F6543" s="8">
        <f t="shared" si="204"/>
        <v>12.65625</v>
      </c>
      <c r="G6543" s="8">
        <f t="shared" si="205"/>
        <v>1.2656250000000001E-2</v>
      </c>
    </row>
    <row r="6544" spans="1:7" x14ac:dyDescent="0.25">
      <c r="A6544" s="8">
        <v>87</v>
      </c>
      <c r="B6544" s="8">
        <v>77</v>
      </c>
      <c r="C6544" s="8">
        <v>4279.064453</v>
      </c>
      <c r="D6544" s="8">
        <v>145004.0625</v>
      </c>
      <c r="E6544" s="8">
        <v>145018.03125</v>
      </c>
      <c r="F6544" s="8">
        <f t="shared" si="204"/>
        <v>13.96875</v>
      </c>
      <c r="G6544" s="8">
        <f t="shared" si="205"/>
        <v>1.396875E-2</v>
      </c>
    </row>
    <row r="6545" spans="1:7" x14ac:dyDescent="0.25">
      <c r="A6545" s="8">
        <v>87</v>
      </c>
      <c r="B6545" s="8">
        <v>78</v>
      </c>
      <c r="C6545" s="8">
        <v>370.57254</v>
      </c>
      <c r="D6545" s="8">
        <v>149306.6875</v>
      </c>
      <c r="E6545" s="8">
        <v>149331</v>
      </c>
      <c r="F6545" s="8">
        <f t="shared" si="204"/>
        <v>24.3125</v>
      </c>
      <c r="G6545" s="8">
        <f t="shared" si="205"/>
        <v>2.4312500000000001E-2</v>
      </c>
    </row>
    <row r="6546" spans="1:7" x14ac:dyDescent="0.25">
      <c r="A6546" s="8">
        <v>87</v>
      </c>
      <c r="B6546" s="8">
        <v>79</v>
      </c>
      <c r="C6546" s="8">
        <v>2250.3549800000001</v>
      </c>
      <c r="D6546" s="8">
        <v>149701.75</v>
      </c>
      <c r="E6546" s="8">
        <v>149723.09375</v>
      </c>
      <c r="F6546" s="8">
        <f t="shared" si="204"/>
        <v>21.34375</v>
      </c>
      <c r="G6546" s="8">
        <f t="shared" si="205"/>
        <v>2.1343750000000002E-2</v>
      </c>
    </row>
    <row r="6547" spans="1:7" x14ac:dyDescent="0.25">
      <c r="A6547" s="8">
        <v>87</v>
      </c>
      <c r="B6547" s="8">
        <v>80</v>
      </c>
      <c r="C6547" s="8">
        <v>528.96899399999995</v>
      </c>
      <c r="D6547" s="8">
        <v>151983.453125</v>
      </c>
      <c r="E6547" s="8">
        <v>152010.265625</v>
      </c>
      <c r="F6547" s="8">
        <f t="shared" si="204"/>
        <v>26.8125</v>
      </c>
      <c r="G6547" s="8">
        <f t="shared" si="205"/>
        <v>2.68125E-2</v>
      </c>
    </row>
    <row r="6548" spans="1:7" x14ac:dyDescent="0.25">
      <c r="A6548" s="8">
        <v>87</v>
      </c>
      <c r="B6548" s="8">
        <v>81</v>
      </c>
      <c r="C6548" s="8">
        <v>728.48309300000005</v>
      </c>
      <c r="D6548" s="8">
        <v>152547.03125</v>
      </c>
      <c r="E6548" s="8">
        <v>152555.28125</v>
      </c>
      <c r="F6548" s="8">
        <f t="shared" si="204"/>
        <v>8.25</v>
      </c>
      <c r="G6548" s="8">
        <f t="shared" si="205"/>
        <v>8.2500000000000004E-3</v>
      </c>
    </row>
    <row r="6549" spans="1:7" x14ac:dyDescent="0.25">
      <c r="A6549" s="8">
        <v>87</v>
      </c>
      <c r="B6549" s="8">
        <v>82</v>
      </c>
      <c r="C6549" s="8">
        <v>1164.7138669999999</v>
      </c>
      <c r="D6549" s="8">
        <v>153297.0625</v>
      </c>
      <c r="E6549" s="8">
        <v>153311.203125</v>
      </c>
      <c r="F6549" s="8">
        <f t="shared" si="204"/>
        <v>14.140625</v>
      </c>
      <c r="G6549" s="8">
        <f t="shared" si="205"/>
        <v>1.4140625E-2</v>
      </c>
    </row>
    <row r="6550" spans="1:7" x14ac:dyDescent="0.25">
      <c r="A6550" s="8">
        <v>87</v>
      </c>
      <c r="B6550" s="8">
        <v>83</v>
      </c>
      <c r="C6550" s="8">
        <v>2471.633789</v>
      </c>
      <c r="D6550" s="8">
        <v>154484.6875</v>
      </c>
      <c r="E6550" s="8">
        <v>154504.578125</v>
      </c>
      <c r="F6550" s="8">
        <f t="shared" si="204"/>
        <v>19.890625</v>
      </c>
      <c r="G6550" s="8">
        <f t="shared" si="205"/>
        <v>1.9890624999999999E-2</v>
      </c>
    </row>
    <row r="6551" spans="1:7" x14ac:dyDescent="0.25">
      <c r="A6551" s="8">
        <v>87</v>
      </c>
      <c r="B6551" s="8">
        <v>84</v>
      </c>
      <c r="C6551" s="8">
        <v>334.75195300000001</v>
      </c>
      <c r="D6551" s="8">
        <v>156984.984375</v>
      </c>
      <c r="E6551" s="8">
        <v>156995.84375</v>
      </c>
      <c r="F6551" s="8">
        <f t="shared" si="204"/>
        <v>10.859375</v>
      </c>
      <c r="G6551" s="8">
        <f t="shared" si="205"/>
        <v>1.0859374999999999E-2</v>
      </c>
    </row>
    <row r="6552" spans="1:7" x14ac:dyDescent="0.25">
      <c r="A6552" s="8">
        <v>87</v>
      </c>
      <c r="B6552" s="8">
        <v>85</v>
      </c>
      <c r="C6552" s="8">
        <v>2697.5351559999999</v>
      </c>
      <c r="D6552" s="8">
        <v>157344.375</v>
      </c>
      <c r="E6552" s="8">
        <v>157362.5</v>
      </c>
      <c r="F6552" s="8">
        <f t="shared" si="204"/>
        <v>18.125</v>
      </c>
      <c r="G6552" s="8">
        <f t="shared" si="205"/>
        <v>1.8124999999999999E-2</v>
      </c>
    </row>
    <row r="6553" spans="1:7" x14ac:dyDescent="0.25">
      <c r="A6553" s="8">
        <v>87</v>
      </c>
      <c r="B6553" s="8">
        <v>86</v>
      </c>
      <c r="C6553" s="8">
        <v>2550.6804200000001</v>
      </c>
      <c r="D6553" s="8">
        <v>160064.390625</v>
      </c>
      <c r="E6553" s="8">
        <v>160084.3125</v>
      </c>
      <c r="F6553" s="8">
        <f t="shared" si="204"/>
        <v>19.921875</v>
      </c>
      <c r="G6553" s="8">
        <f t="shared" si="205"/>
        <v>1.9921874999999999E-2</v>
      </c>
    </row>
    <row r="6554" spans="1:7" x14ac:dyDescent="0.25">
      <c r="A6554" s="8">
        <v>87</v>
      </c>
      <c r="B6554" s="8">
        <v>87</v>
      </c>
      <c r="C6554" s="8">
        <v>1646.332764</v>
      </c>
      <c r="D6554" s="8">
        <v>162643.34375</v>
      </c>
      <c r="E6554" s="8">
        <v>162666</v>
      </c>
      <c r="F6554" s="8">
        <f t="shared" si="204"/>
        <v>22.65625</v>
      </c>
      <c r="G6554" s="8">
        <f t="shared" si="205"/>
        <v>2.2656249999999999E-2</v>
      </c>
    </row>
    <row r="6555" spans="1:7" x14ac:dyDescent="0.25">
      <c r="A6555" s="8">
        <v>87</v>
      </c>
      <c r="B6555" s="8">
        <v>88</v>
      </c>
      <c r="C6555" s="8">
        <v>450.22781400000002</v>
      </c>
      <c r="D6555" s="8">
        <v>164315.40625</v>
      </c>
      <c r="E6555" s="8">
        <v>164326.234375</v>
      </c>
      <c r="F6555" s="8">
        <f t="shared" si="204"/>
        <v>10.828125</v>
      </c>
      <c r="G6555" s="8">
        <f t="shared" si="205"/>
        <v>1.0828124999999999E-2</v>
      </c>
    </row>
    <row r="6556" spans="1:7" x14ac:dyDescent="0.25">
      <c r="A6556" s="8">
        <v>87</v>
      </c>
      <c r="B6556" s="8">
        <v>89</v>
      </c>
      <c r="C6556" s="8">
        <v>3047.4184570000002</v>
      </c>
      <c r="D6556" s="8">
        <v>164780.328125</v>
      </c>
      <c r="E6556" s="8">
        <v>164797.3125</v>
      </c>
      <c r="F6556" s="8">
        <f t="shared" si="204"/>
        <v>16.984375</v>
      </c>
      <c r="G6556" s="8">
        <f t="shared" si="205"/>
        <v>1.6984374999999999E-2</v>
      </c>
    </row>
    <row r="6557" spans="1:7" x14ac:dyDescent="0.25">
      <c r="A6557" s="8">
        <v>87</v>
      </c>
      <c r="B6557" s="8">
        <v>90</v>
      </c>
      <c r="C6557" s="8">
        <v>151.53813199999999</v>
      </c>
      <c r="D6557" s="8">
        <v>167853.640625</v>
      </c>
      <c r="E6557" s="8">
        <v>167861.375</v>
      </c>
      <c r="F6557" s="8">
        <f t="shared" si="204"/>
        <v>7.734375</v>
      </c>
      <c r="G6557" s="8">
        <f t="shared" si="205"/>
        <v>7.7343749999999999E-3</v>
      </c>
    </row>
    <row r="6558" spans="1:7" x14ac:dyDescent="0.25">
      <c r="A6558" s="8">
        <v>87</v>
      </c>
      <c r="B6558" s="8">
        <v>91</v>
      </c>
      <c r="C6558" s="8">
        <v>8317.7050780000009</v>
      </c>
      <c r="D6558" s="8">
        <v>168026.140625</v>
      </c>
      <c r="E6558" s="8">
        <v>168037.4375</v>
      </c>
      <c r="F6558" s="8">
        <f t="shared" si="204"/>
        <v>11.296875</v>
      </c>
      <c r="G6558" s="8">
        <f t="shared" si="205"/>
        <v>1.1296875E-2</v>
      </c>
    </row>
    <row r="6559" spans="1:7" x14ac:dyDescent="0.25">
      <c r="A6559" s="8">
        <v>88</v>
      </c>
      <c r="B6559" s="8">
        <v>0</v>
      </c>
      <c r="C6559" s="8">
        <v>1471.267578</v>
      </c>
      <c r="D6559" s="8">
        <v>21047.408202999999</v>
      </c>
      <c r="E6559" s="8">
        <v>21056.822265999999</v>
      </c>
      <c r="F6559" s="8">
        <f t="shared" si="204"/>
        <v>9.4140630000001693</v>
      </c>
      <c r="G6559" s="8">
        <f t="shared" si="205"/>
        <v>9.4140630000001686E-3</v>
      </c>
    </row>
    <row r="6560" spans="1:7" x14ac:dyDescent="0.25">
      <c r="A6560" s="8">
        <v>88</v>
      </c>
      <c r="B6560" s="8">
        <v>1</v>
      </c>
      <c r="C6560" s="8">
        <v>1224.2707519999999</v>
      </c>
      <c r="D6560" s="8">
        <v>22531.947265999999</v>
      </c>
      <c r="E6560" s="8">
        <v>22546.185547000001</v>
      </c>
      <c r="F6560" s="8">
        <f t="shared" si="204"/>
        <v>14.238281000001734</v>
      </c>
      <c r="G6560" s="8">
        <f t="shared" si="205"/>
        <v>1.4238281000001735E-2</v>
      </c>
    </row>
    <row r="6561" spans="1:7" x14ac:dyDescent="0.25">
      <c r="A6561" s="8">
        <v>88</v>
      </c>
      <c r="B6561" s="8">
        <v>2</v>
      </c>
      <c r="C6561" s="8">
        <v>6111.3867190000001</v>
      </c>
      <c r="D6561" s="8">
        <v>23771.683593999998</v>
      </c>
      <c r="E6561" s="8">
        <v>23805.021484000001</v>
      </c>
      <c r="F6561" s="8">
        <f t="shared" si="204"/>
        <v>33.337890000002517</v>
      </c>
      <c r="G6561" s="8">
        <f t="shared" si="205"/>
        <v>3.3337890000002514E-2</v>
      </c>
    </row>
    <row r="6562" spans="1:7" x14ac:dyDescent="0.25">
      <c r="A6562" s="8">
        <v>88</v>
      </c>
      <c r="B6562" s="8">
        <v>3</v>
      </c>
      <c r="C6562" s="8">
        <v>2421.4396969999998</v>
      </c>
      <c r="D6562" s="8">
        <v>29918.417968999998</v>
      </c>
      <c r="E6562" s="8">
        <v>29930.34375</v>
      </c>
      <c r="F6562" s="8">
        <f t="shared" si="204"/>
        <v>11.925781000001734</v>
      </c>
      <c r="G6562" s="8">
        <f t="shared" si="205"/>
        <v>1.1925781000001735E-2</v>
      </c>
    </row>
    <row r="6563" spans="1:7" x14ac:dyDescent="0.25">
      <c r="A6563" s="8">
        <v>88</v>
      </c>
      <c r="B6563" s="8">
        <v>4</v>
      </c>
      <c r="C6563" s="8">
        <v>3149.4152829999998</v>
      </c>
      <c r="D6563" s="8">
        <v>32363.810547000001</v>
      </c>
      <c r="E6563" s="8">
        <v>32373.777343999998</v>
      </c>
      <c r="F6563" s="8">
        <f t="shared" si="204"/>
        <v>9.9667969999973138</v>
      </c>
      <c r="G6563" s="8">
        <f t="shared" si="205"/>
        <v>9.9667969999973141E-3</v>
      </c>
    </row>
    <row r="6564" spans="1:7" x14ac:dyDescent="0.25">
      <c r="A6564" s="8">
        <v>88</v>
      </c>
      <c r="B6564" s="8">
        <v>5</v>
      </c>
      <c r="C6564" s="8">
        <v>4254.8403319999998</v>
      </c>
      <c r="D6564" s="8">
        <v>35530.175780999998</v>
      </c>
      <c r="E6564" s="8">
        <v>35550.1875</v>
      </c>
      <c r="F6564" s="8">
        <f t="shared" si="204"/>
        <v>20.011719000001904</v>
      </c>
      <c r="G6564" s="8">
        <f t="shared" si="205"/>
        <v>2.0011719000001902E-2</v>
      </c>
    </row>
    <row r="6565" spans="1:7" x14ac:dyDescent="0.25">
      <c r="A6565" s="8">
        <v>88</v>
      </c>
      <c r="B6565" s="8">
        <v>6</v>
      </c>
      <c r="C6565" s="8">
        <v>4786.9594729999999</v>
      </c>
      <c r="D6565" s="8">
        <v>39808.453125</v>
      </c>
      <c r="E6565" s="8">
        <v>39833.167969000002</v>
      </c>
      <c r="F6565" s="8">
        <f t="shared" si="204"/>
        <v>24.714844000001904</v>
      </c>
      <c r="G6565" s="8">
        <f t="shared" si="205"/>
        <v>2.4714844000001904E-2</v>
      </c>
    </row>
    <row r="6566" spans="1:7" x14ac:dyDescent="0.25">
      <c r="A6566" s="8">
        <v>88</v>
      </c>
      <c r="B6566" s="8">
        <v>7</v>
      </c>
      <c r="C6566" s="8">
        <v>800.21649200000002</v>
      </c>
      <c r="D6566" s="8">
        <v>44631.226562999997</v>
      </c>
      <c r="E6566" s="8">
        <v>44641.976562999997</v>
      </c>
      <c r="F6566" s="8">
        <f t="shared" si="204"/>
        <v>10.75</v>
      </c>
      <c r="G6566" s="8">
        <f t="shared" si="205"/>
        <v>1.0749999999999999E-2</v>
      </c>
    </row>
    <row r="6567" spans="1:7" x14ac:dyDescent="0.25">
      <c r="A6567" s="8">
        <v>88</v>
      </c>
      <c r="B6567" s="8">
        <v>8</v>
      </c>
      <c r="C6567" s="8">
        <v>4918.8911129999997</v>
      </c>
      <c r="D6567" s="8">
        <v>45443.636719000002</v>
      </c>
      <c r="E6567" s="8">
        <v>45451.328125</v>
      </c>
      <c r="F6567" s="8">
        <f t="shared" si="204"/>
        <v>7.6914059999980964</v>
      </c>
      <c r="G6567" s="8">
        <f t="shared" si="205"/>
        <v>7.6914059999980966E-3</v>
      </c>
    </row>
    <row r="6568" spans="1:7" x14ac:dyDescent="0.25">
      <c r="A6568" s="8">
        <v>88</v>
      </c>
      <c r="B6568" s="8">
        <v>9</v>
      </c>
      <c r="C6568" s="8">
        <v>62.932411000000002</v>
      </c>
      <c r="D6568" s="8">
        <v>50377.824219000002</v>
      </c>
      <c r="E6568" s="8">
        <v>50402.914062999997</v>
      </c>
      <c r="F6568" s="8">
        <f t="shared" si="204"/>
        <v>25.089843999994628</v>
      </c>
      <c r="G6568" s="8">
        <f t="shared" si="205"/>
        <v>2.5089843999994629E-2</v>
      </c>
    </row>
    <row r="6569" spans="1:7" x14ac:dyDescent="0.25">
      <c r="A6569" s="8">
        <v>88</v>
      </c>
      <c r="B6569" s="8">
        <v>10</v>
      </c>
      <c r="C6569" s="8">
        <v>788.59381099999996</v>
      </c>
      <c r="D6569" s="8">
        <v>50471.585937999997</v>
      </c>
      <c r="E6569" s="8">
        <v>50491.441405999998</v>
      </c>
      <c r="F6569" s="8">
        <f t="shared" si="204"/>
        <v>19.855468000001565</v>
      </c>
      <c r="G6569" s="8">
        <f t="shared" si="205"/>
        <v>1.9855468000001566E-2</v>
      </c>
    </row>
    <row r="6570" spans="1:7" x14ac:dyDescent="0.25">
      <c r="A6570" s="8">
        <v>88</v>
      </c>
      <c r="B6570" s="8">
        <v>11</v>
      </c>
      <c r="C6570" s="8">
        <v>546.69995100000006</v>
      </c>
      <c r="D6570" s="8">
        <v>51287.800780999998</v>
      </c>
      <c r="E6570" s="8">
        <v>51308.082030999998</v>
      </c>
      <c r="F6570" s="8">
        <f t="shared" si="204"/>
        <v>20.28125</v>
      </c>
      <c r="G6570" s="8">
        <f t="shared" si="205"/>
        <v>2.0281250000000001E-2</v>
      </c>
    </row>
    <row r="6571" spans="1:7" x14ac:dyDescent="0.25">
      <c r="A6571" s="8">
        <v>88</v>
      </c>
      <c r="B6571" s="8">
        <v>12</v>
      </c>
      <c r="C6571" s="8">
        <v>1064.133423</v>
      </c>
      <c r="D6571" s="8">
        <v>51857.699219000002</v>
      </c>
      <c r="E6571" s="8">
        <v>51865.46875</v>
      </c>
      <c r="F6571" s="8">
        <f t="shared" si="204"/>
        <v>7.7695309999980964</v>
      </c>
      <c r="G6571" s="8">
        <f t="shared" si="205"/>
        <v>7.7695309999980967E-3</v>
      </c>
    </row>
    <row r="6572" spans="1:7" x14ac:dyDescent="0.25">
      <c r="A6572" s="8">
        <v>88</v>
      </c>
      <c r="B6572" s="8">
        <v>13</v>
      </c>
      <c r="C6572" s="8">
        <v>2623.4399410000001</v>
      </c>
      <c r="D6572" s="8">
        <v>52935.988280999998</v>
      </c>
      <c r="E6572" s="8">
        <v>52946.859375</v>
      </c>
      <c r="F6572" s="8">
        <f t="shared" si="204"/>
        <v>10.871094000001904</v>
      </c>
      <c r="G6572" s="8">
        <f t="shared" si="205"/>
        <v>1.0871094000001904E-2</v>
      </c>
    </row>
    <row r="6573" spans="1:7" x14ac:dyDescent="0.25">
      <c r="A6573" s="8">
        <v>88</v>
      </c>
      <c r="B6573" s="8">
        <v>14</v>
      </c>
      <c r="C6573" s="8">
        <v>52.127643999999997</v>
      </c>
      <c r="D6573" s="8">
        <v>55581.800780999998</v>
      </c>
      <c r="E6573" s="8">
        <v>55594.957030999998</v>
      </c>
      <c r="F6573" s="8">
        <f t="shared" si="204"/>
        <v>13.15625</v>
      </c>
      <c r="G6573" s="8">
        <f t="shared" si="205"/>
        <v>1.315625E-2</v>
      </c>
    </row>
    <row r="6574" spans="1:7" x14ac:dyDescent="0.25">
      <c r="A6574" s="8">
        <v>88</v>
      </c>
      <c r="B6574" s="8">
        <v>15</v>
      </c>
      <c r="C6574" s="8">
        <v>1834.6884769999999</v>
      </c>
      <c r="D6574" s="8">
        <v>55659.796875</v>
      </c>
      <c r="E6574" s="8">
        <v>55677.894530999998</v>
      </c>
      <c r="F6574" s="8">
        <f t="shared" si="204"/>
        <v>18.097655999998096</v>
      </c>
      <c r="G6574" s="8">
        <f t="shared" si="205"/>
        <v>1.8097655999998095E-2</v>
      </c>
    </row>
    <row r="6575" spans="1:7" x14ac:dyDescent="0.25">
      <c r="A6575" s="8">
        <v>88</v>
      </c>
      <c r="B6575" s="8">
        <v>16</v>
      </c>
      <c r="C6575" s="8">
        <v>936.53106700000001</v>
      </c>
      <c r="D6575" s="8">
        <v>57523.425780999998</v>
      </c>
      <c r="E6575" s="8">
        <v>57544.171875</v>
      </c>
      <c r="F6575" s="8">
        <f t="shared" si="204"/>
        <v>20.746094000001904</v>
      </c>
      <c r="G6575" s="8">
        <f t="shared" si="205"/>
        <v>2.0746094000001904E-2</v>
      </c>
    </row>
    <row r="6576" spans="1:7" x14ac:dyDescent="0.25">
      <c r="A6576" s="8">
        <v>88</v>
      </c>
      <c r="B6576" s="8">
        <v>17</v>
      </c>
      <c r="C6576" s="8">
        <v>1118.590698</v>
      </c>
      <c r="D6576" s="8">
        <v>58481.433594000002</v>
      </c>
      <c r="E6576" s="8">
        <v>58497.828125</v>
      </c>
      <c r="F6576" s="8">
        <f t="shared" si="204"/>
        <v>16.394530999998096</v>
      </c>
      <c r="G6576" s="8">
        <f t="shared" si="205"/>
        <v>1.6394530999998096E-2</v>
      </c>
    </row>
    <row r="6577" spans="1:7" x14ac:dyDescent="0.25">
      <c r="A6577" s="8">
        <v>88</v>
      </c>
      <c r="B6577" s="8">
        <v>18</v>
      </c>
      <c r="C6577" s="8">
        <v>75.569869999999995</v>
      </c>
      <c r="D6577" s="8">
        <v>59622.378905999998</v>
      </c>
      <c r="E6577" s="8">
        <v>59635.863280999998</v>
      </c>
      <c r="F6577" s="8">
        <f t="shared" si="204"/>
        <v>13.484375</v>
      </c>
      <c r="G6577" s="8">
        <f t="shared" si="205"/>
        <v>1.3484375E-2</v>
      </c>
    </row>
    <row r="6578" spans="1:7" x14ac:dyDescent="0.25">
      <c r="A6578" s="8">
        <v>88</v>
      </c>
      <c r="B6578" s="8">
        <v>19</v>
      </c>
      <c r="C6578" s="8">
        <v>2432.7373050000001</v>
      </c>
      <c r="D6578" s="8">
        <v>59716.152344000002</v>
      </c>
      <c r="E6578" s="8">
        <v>59736.652344000002</v>
      </c>
      <c r="F6578" s="8">
        <f t="shared" si="204"/>
        <v>20.5</v>
      </c>
      <c r="G6578" s="8">
        <f t="shared" si="205"/>
        <v>2.0500000000000001E-2</v>
      </c>
    </row>
    <row r="6579" spans="1:7" x14ac:dyDescent="0.25">
      <c r="A6579" s="8">
        <v>88</v>
      </c>
      <c r="B6579" s="8">
        <v>20</v>
      </c>
      <c r="C6579" s="8">
        <v>708.89917000000003</v>
      </c>
      <c r="D6579" s="8">
        <v>62169.511719000002</v>
      </c>
      <c r="E6579" s="8">
        <v>62184.039062999997</v>
      </c>
      <c r="F6579" s="8">
        <f t="shared" si="204"/>
        <v>14.527343999994628</v>
      </c>
      <c r="G6579" s="8">
        <f t="shared" si="205"/>
        <v>1.4527343999994627E-2</v>
      </c>
    </row>
    <row r="6580" spans="1:7" x14ac:dyDescent="0.25">
      <c r="A6580" s="8">
        <v>88</v>
      </c>
      <c r="B6580" s="8">
        <v>21</v>
      </c>
      <c r="C6580" s="8">
        <v>24.812194999999999</v>
      </c>
      <c r="D6580" s="8">
        <v>62907.199219000002</v>
      </c>
      <c r="E6580" s="8">
        <v>62924.632812999997</v>
      </c>
      <c r="F6580" s="8">
        <f t="shared" si="204"/>
        <v>17.433593999994628</v>
      </c>
      <c r="G6580" s="8">
        <f t="shared" si="205"/>
        <v>1.7433593999994626E-2</v>
      </c>
    </row>
    <row r="6581" spans="1:7" x14ac:dyDescent="0.25">
      <c r="A6581" s="8">
        <v>88</v>
      </c>
      <c r="B6581" s="8">
        <v>22</v>
      </c>
      <c r="C6581" s="8">
        <v>62.995396</v>
      </c>
      <c r="D6581" s="8">
        <v>62953.996094000002</v>
      </c>
      <c r="E6581" s="8">
        <v>62968.484375</v>
      </c>
      <c r="F6581" s="8">
        <f t="shared" si="204"/>
        <v>14.488280999998096</v>
      </c>
      <c r="G6581" s="8">
        <f t="shared" si="205"/>
        <v>1.4488280999998096E-2</v>
      </c>
    </row>
    <row r="6582" spans="1:7" x14ac:dyDescent="0.25">
      <c r="A6582" s="8">
        <v>88</v>
      </c>
      <c r="B6582" s="8">
        <v>23</v>
      </c>
      <c r="C6582" s="8">
        <v>59.659683000000001</v>
      </c>
      <c r="D6582" s="8">
        <v>63032.300780999998</v>
      </c>
      <c r="E6582" s="8">
        <v>63049.265625</v>
      </c>
      <c r="F6582" s="8">
        <f t="shared" si="204"/>
        <v>16.964844000001904</v>
      </c>
      <c r="G6582" s="8">
        <f t="shared" si="205"/>
        <v>1.6964844000001904E-2</v>
      </c>
    </row>
    <row r="6583" spans="1:7" x14ac:dyDescent="0.25">
      <c r="A6583" s="8">
        <v>88</v>
      </c>
      <c r="B6583" s="8">
        <v>24</v>
      </c>
      <c r="C6583" s="8">
        <v>2887.8500979999999</v>
      </c>
      <c r="D6583" s="8">
        <v>63110.421875</v>
      </c>
      <c r="E6583" s="8">
        <v>63118.328125</v>
      </c>
      <c r="F6583" s="8">
        <f t="shared" si="204"/>
        <v>7.90625</v>
      </c>
      <c r="G6583" s="8">
        <f t="shared" si="205"/>
        <v>7.9062500000000001E-3</v>
      </c>
    </row>
    <row r="6584" spans="1:7" x14ac:dyDescent="0.25">
      <c r="A6584" s="8">
        <v>88</v>
      </c>
      <c r="B6584" s="8">
        <v>25</v>
      </c>
      <c r="C6584" s="8">
        <v>426.064301</v>
      </c>
      <c r="D6584" s="8">
        <v>66012.328125</v>
      </c>
      <c r="E6584" s="8">
        <v>66032.875</v>
      </c>
      <c r="F6584" s="8">
        <f t="shared" si="204"/>
        <v>20.546875</v>
      </c>
      <c r="G6584" s="8">
        <f t="shared" si="205"/>
        <v>2.0546874999999999E-2</v>
      </c>
    </row>
    <row r="6585" spans="1:7" x14ac:dyDescent="0.25">
      <c r="A6585" s="8">
        <v>88</v>
      </c>
      <c r="B6585" s="8">
        <v>26</v>
      </c>
      <c r="C6585" s="8">
        <v>104.235268</v>
      </c>
      <c r="D6585" s="8">
        <v>66465.640625</v>
      </c>
      <c r="E6585" s="8">
        <v>66485.523438000004</v>
      </c>
      <c r="F6585" s="8">
        <f t="shared" si="204"/>
        <v>19.882813000003807</v>
      </c>
      <c r="G6585" s="8">
        <f t="shared" si="205"/>
        <v>1.9882813000003809E-2</v>
      </c>
    </row>
    <row r="6586" spans="1:7" x14ac:dyDescent="0.25">
      <c r="A6586" s="8">
        <v>88</v>
      </c>
      <c r="B6586" s="8">
        <v>27</v>
      </c>
      <c r="C6586" s="8">
        <v>1136.8264160000001</v>
      </c>
      <c r="D6586" s="8">
        <v>66590.523438000004</v>
      </c>
      <c r="E6586" s="8">
        <v>66612.9375</v>
      </c>
      <c r="F6586" s="8">
        <f t="shared" si="204"/>
        <v>22.414061999996193</v>
      </c>
      <c r="G6586" s="8">
        <f t="shared" si="205"/>
        <v>2.2414061999996193E-2</v>
      </c>
    </row>
    <row r="6587" spans="1:7" x14ac:dyDescent="0.25">
      <c r="A6587" s="8">
        <v>88</v>
      </c>
      <c r="B6587" s="8">
        <v>28</v>
      </c>
      <c r="C6587" s="8">
        <v>2732.8842770000001</v>
      </c>
      <c r="D6587" s="8">
        <v>67764.015625</v>
      </c>
      <c r="E6587" s="8">
        <v>67788.28125</v>
      </c>
      <c r="F6587" s="8">
        <f t="shared" si="204"/>
        <v>24.265625</v>
      </c>
      <c r="G6587" s="8">
        <f t="shared" si="205"/>
        <v>2.4265624999999999E-2</v>
      </c>
    </row>
    <row r="6588" spans="1:7" x14ac:dyDescent="0.25">
      <c r="A6588" s="8">
        <v>88</v>
      </c>
      <c r="B6588" s="8">
        <v>29</v>
      </c>
      <c r="C6588" s="8">
        <v>4965.1186520000001</v>
      </c>
      <c r="D6588" s="8">
        <v>70523.117188000004</v>
      </c>
      <c r="E6588" s="8">
        <v>70543.109375</v>
      </c>
      <c r="F6588" s="8">
        <f t="shared" si="204"/>
        <v>19.992186999996193</v>
      </c>
      <c r="G6588" s="8">
        <f t="shared" si="205"/>
        <v>1.9992186999996192E-2</v>
      </c>
    </row>
    <row r="6589" spans="1:7" x14ac:dyDescent="0.25">
      <c r="A6589" s="8">
        <v>88</v>
      </c>
      <c r="B6589" s="8">
        <v>30</v>
      </c>
      <c r="C6589" s="8">
        <v>279.38656600000002</v>
      </c>
      <c r="D6589" s="8">
        <v>75518.351563000004</v>
      </c>
      <c r="E6589" s="8">
        <v>75545.085938000004</v>
      </c>
      <c r="F6589" s="8">
        <f t="shared" si="204"/>
        <v>26.734375</v>
      </c>
      <c r="G6589" s="8">
        <f t="shared" si="205"/>
        <v>2.6734375000000001E-2</v>
      </c>
    </row>
    <row r="6590" spans="1:7" x14ac:dyDescent="0.25">
      <c r="A6590" s="8">
        <v>88</v>
      </c>
      <c r="B6590" s="8">
        <v>31</v>
      </c>
      <c r="C6590" s="8">
        <v>2201.1347660000001</v>
      </c>
      <c r="D6590" s="8">
        <v>75835.054688000004</v>
      </c>
      <c r="E6590" s="8">
        <v>75866.6875</v>
      </c>
      <c r="F6590" s="8">
        <f t="shared" si="204"/>
        <v>31.632811999996193</v>
      </c>
      <c r="G6590" s="8">
        <f t="shared" si="205"/>
        <v>3.1632811999996194E-2</v>
      </c>
    </row>
    <row r="6591" spans="1:7" x14ac:dyDescent="0.25">
      <c r="A6591" s="8">
        <v>88</v>
      </c>
      <c r="B6591" s="8">
        <v>32</v>
      </c>
      <c r="C6591" s="8">
        <v>5292.2641599999997</v>
      </c>
      <c r="D6591" s="8">
        <v>78072.703125</v>
      </c>
      <c r="E6591" s="8">
        <v>78082.734375</v>
      </c>
      <c r="F6591" s="8">
        <f t="shared" si="204"/>
        <v>10.03125</v>
      </c>
      <c r="G6591" s="8">
        <f t="shared" si="205"/>
        <v>1.003125E-2</v>
      </c>
    </row>
    <row r="6592" spans="1:7" x14ac:dyDescent="0.25">
      <c r="A6592" s="8">
        <v>88</v>
      </c>
      <c r="B6592" s="8">
        <v>33</v>
      </c>
      <c r="C6592" s="8">
        <v>3221.7465820000002</v>
      </c>
      <c r="D6592" s="8">
        <v>83390.421875</v>
      </c>
      <c r="E6592" s="8">
        <v>83410.976563000004</v>
      </c>
      <c r="F6592" s="8">
        <f t="shared" si="204"/>
        <v>20.554688000003807</v>
      </c>
      <c r="G6592" s="8">
        <f t="shared" si="205"/>
        <v>2.0554688000003807E-2</v>
      </c>
    </row>
    <row r="6593" spans="1:7" x14ac:dyDescent="0.25">
      <c r="A6593" s="8">
        <v>88</v>
      </c>
      <c r="B6593" s="8">
        <v>34</v>
      </c>
      <c r="C6593" s="8">
        <v>4516.640625</v>
      </c>
      <c r="D6593" s="8">
        <v>86643.375</v>
      </c>
      <c r="E6593" s="8">
        <v>86654.5</v>
      </c>
      <c r="F6593" s="8">
        <f t="shared" si="204"/>
        <v>11.125</v>
      </c>
      <c r="G6593" s="8">
        <f t="shared" si="205"/>
        <v>1.1124999999999999E-2</v>
      </c>
    </row>
    <row r="6594" spans="1:7" x14ac:dyDescent="0.25">
      <c r="A6594" s="8">
        <v>88</v>
      </c>
      <c r="B6594" s="8">
        <v>35</v>
      </c>
      <c r="C6594" s="8">
        <v>5946.0239259999998</v>
      </c>
      <c r="D6594" s="8">
        <v>91182.984375</v>
      </c>
      <c r="E6594" s="8">
        <v>91192.125</v>
      </c>
      <c r="F6594" s="8">
        <f t="shared" si="204"/>
        <v>9.140625</v>
      </c>
      <c r="G6594" s="8">
        <f t="shared" si="205"/>
        <v>9.1406249999999994E-3</v>
      </c>
    </row>
    <row r="6595" spans="1:7" x14ac:dyDescent="0.25">
      <c r="A6595" s="8">
        <v>88</v>
      </c>
      <c r="B6595" s="8">
        <v>36</v>
      </c>
      <c r="C6595" s="8">
        <v>4172.048828</v>
      </c>
      <c r="D6595" s="8">
        <v>97149.835938000004</v>
      </c>
      <c r="E6595" s="8">
        <v>97179.890625</v>
      </c>
      <c r="F6595" s="8">
        <f t="shared" si="204"/>
        <v>30.054686999996193</v>
      </c>
      <c r="G6595" s="8">
        <f t="shared" si="205"/>
        <v>3.0054686999996194E-2</v>
      </c>
    </row>
    <row r="6596" spans="1:7" x14ac:dyDescent="0.25">
      <c r="A6596" s="8">
        <v>88</v>
      </c>
      <c r="B6596" s="8">
        <v>37</v>
      </c>
      <c r="C6596" s="8">
        <v>43.563141000000002</v>
      </c>
      <c r="D6596" s="8">
        <v>101362.867188</v>
      </c>
      <c r="E6596" s="8">
        <v>101380.054688</v>
      </c>
      <c r="F6596" s="8">
        <f t="shared" si="204"/>
        <v>17.1875</v>
      </c>
      <c r="G6596" s="8">
        <f t="shared" si="205"/>
        <v>1.7187500000000001E-2</v>
      </c>
    </row>
    <row r="6597" spans="1:7" x14ac:dyDescent="0.25">
      <c r="A6597" s="8">
        <v>88</v>
      </c>
      <c r="B6597" s="8">
        <v>38</v>
      </c>
      <c r="C6597" s="8">
        <v>2697.5351559999999</v>
      </c>
      <c r="D6597" s="8">
        <v>101425.398438</v>
      </c>
      <c r="E6597" s="8">
        <v>101443.1875</v>
      </c>
      <c r="F6597" s="8">
        <f t="shared" si="204"/>
        <v>17.789061999996193</v>
      </c>
      <c r="G6597" s="8">
        <f t="shared" si="205"/>
        <v>1.7789061999996192E-2</v>
      </c>
    </row>
    <row r="6598" spans="1:7" x14ac:dyDescent="0.25">
      <c r="A6598" s="8">
        <v>88</v>
      </c>
      <c r="B6598" s="8">
        <v>39</v>
      </c>
      <c r="C6598" s="8">
        <v>3292.9882809999999</v>
      </c>
      <c r="D6598" s="8">
        <v>104143.929688</v>
      </c>
      <c r="E6598" s="8">
        <v>104159.40625</v>
      </c>
      <c r="F6598" s="8">
        <f t="shared" si="204"/>
        <v>15.476561999996193</v>
      </c>
      <c r="G6598" s="8">
        <f t="shared" si="205"/>
        <v>1.5476561999996193E-2</v>
      </c>
    </row>
    <row r="6599" spans="1:7" x14ac:dyDescent="0.25">
      <c r="A6599" s="8">
        <v>88</v>
      </c>
      <c r="B6599" s="8">
        <v>40</v>
      </c>
      <c r="C6599" s="8">
        <v>894.85296600000004</v>
      </c>
      <c r="D6599" s="8">
        <v>107454.1875</v>
      </c>
      <c r="E6599" s="8">
        <v>107471.390625</v>
      </c>
      <c r="F6599" s="8">
        <f t="shared" si="204"/>
        <v>17.203125</v>
      </c>
      <c r="G6599" s="8">
        <f t="shared" si="205"/>
        <v>1.7203125E-2</v>
      </c>
    </row>
    <row r="6600" spans="1:7" x14ac:dyDescent="0.25">
      <c r="A6600" s="8">
        <v>88</v>
      </c>
      <c r="B6600" s="8">
        <v>41</v>
      </c>
      <c r="C6600" s="8">
        <v>2189.0622560000002</v>
      </c>
      <c r="D6600" s="8">
        <v>108376.15625</v>
      </c>
      <c r="E6600" s="8">
        <v>108399.601563</v>
      </c>
      <c r="F6600" s="8">
        <f t="shared" si="204"/>
        <v>23.445313000003807</v>
      </c>
      <c r="G6600" s="8">
        <f t="shared" si="205"/>
        <v>2.3445313000003808E-2</v>
      </c>
    </row>
    <row r="6601" spans="1:7" x14ac:dyDescent="0.25">
      <c r="A6601" s="8">
        <v>88</v>
      </c>
      <c r="B6601" s="8">
        <v>42</v>
      </c>
      <c r="C6601" s="8">
        <v>2251.4833979999999</v>
      </c>
      <c r="D6601" s="8">
        <v>110595.859375</v>
      </c>
      <c r="E6601" s="8">
        <v>110617.046875</v>
      </c>
      <c r="F6601" s="8">
        <f t="shared" si="204"/>
        <v>21.1875</v>
      </c>
      <c r="G6601" s="8">
        <f t="shared" si="205"/>
        <v>2.1187500000000001E-2</v>
      </c>
    </row>
    <row r="6602" spans="1:7" x14ac:dyDescent="0.25">
      <c r="A6602" s="8">
        <v>88</v>
      </c>
      <c r="B6602" s="8">
        <v>43</v>
      </c>
      <c r="C6602" s="8">
        <v>4962.9277339999999</v>
      </c>
      <c r="D6602" s="8">
        <v>112869.226563</v>
      </c>
      <c r="E6602" s="8">
        <v>112888.429688</v>
      </c>
      <c r="F6602" s="8">
        <f t="shared" si="204"/>
        <v>19.203125</v>
      </c>
      <c r="G6602" s="8">
        <f t="shared" si="205"/>
        <v>1.9203125000000001E-2</v>
      </c>
    </row>
    <row r="6603" spans="1:7" x14ac:dyDescent="0.25">
      <c r="A6603" s="8">
        <v>88</v>
      </c>
      <c r="B6603" s="8">
        <v>44</v>
      </c>
      <c r="C6603" s="8">
        <v>2763.5146479999999</v>
      </c>
      <c r="D6603" s="8">
        <v>117853.6875</v>
      </c>
      <c r="E6603" s="8">
        <v>117868.320313</v>
      </c>
      <c r="F6603" s="8">
        <f t="shared" ref="F6603:F6666" si="206">E6603-D6603</f>
        <v>14.632813000003807</v>
      </c>
      <c r="G6603" s="8">
        <f t="shared" ref="G6603:G6666" si="207">F6603/1000</f>
        <v>1.4632813000003807E-2</v>
      </c>
    </row>
    <row r="6604" spans="1:7" x14ac:dyDescent="0.25">
      <c r="A6604" s="8">
        <v>88</v>
      </c>
      <c r="B6604" s="8">
        <v>45</v>
      </c>
      <c r="C6604" s="8">
        <v>7624.7714839999999</v>
      </c>
      <c r="D6604" s="8">
        <v>120640.460938</v>
      </c>
      <c r="E6604" s="8">
        <v>120665</v>
      </c>
      <c r="F6604" s="8">
        <f t="shared" si="206"/>
        <v>24.539061999996193</v>
      </c>
      <c r="G6604" s="8">
        <f t="shared" si="207"/>
        <v>2.4539061999996194E-2</v>
      </c>
    </row>
    <row r="6605" spans="1:7" x14ac:dyDescent="0.25">
      <c r="A6605" s="8">
        <v>88</v>
      </c>
      <c r="B6605" s="8">
        <v>46</v>
      </c>
      <c r="C6605" s="8">
        <v>1151.644043</v>
      </c>
      <c r="D6605" s="8">
        <v>128301.335938</v>
      </c>
      <c r="E6605" s="8">
        <v>128308.875</v>
      </c>
      <c r="F6605" s="8">
        <f t="shared" si="206"/>
        <v>7.5390619999961928</v>
      </c>
      <c r="G6605" s="8">
        <f t="shared" si="207"/>
        <v>7.5390619999961932E-3</v>
      </c>
    </row>
    <row r="6606" spans="1:7" x14ac:dyDescent="0.25">
      <c r="A6606" s="8">
        <v>88</v>
      </c>
      <c r="B6606" s="8">
        <v>47</v>
      </c>
      <c r="C6606" s="8">
        <v>295.45370500000001</v>
      </c>
      <c r="D6606" s="8">
        <v>129473.273438</v>
      </c>
      <c r="E6606" s="8">
        <v>129598.914063</v>
      </c>
      <c r="F6606" s="8">
        <f t="shared" si="206"/>
        <v>125.640625</v>
      </c>
      <c r="G6606" s="8">
        <f t="shared" si="207"/>
        <v>0.12564062500000001</v>
      </c>
    </row>
    <row r="6607" spans="1:7" x14ac:dyDescent="0.25">
      <c r="A6607" s="8">
        <v>88</v>
      </c>
      <c r="B6607" s="8">
        <v>48</v>
      </c>
      <c r="C6607" s="8">
        <v>2702.0085450000001</v>
      </c>
      <c r="D6607" s="8">
        <v>129895.21875</v>
      </c>
      <c r="E6607" s="8">
        <v>129913.867188</v>
      </c>
      <c r="F6607" s="8">
        <f t="shared" si="206"/>
        <v>18.648438000003807</v>
      </c>
      <c r="G6607" s="8">
        <f t="shared" si="207"/>
        <v>1.8648438000003806E-2</v>
      </c>
    </row>
    <row r="6608" spans="1:7" x14ac:dyDescent="0.25">
      <c r="A6608" s="8">
        <v>88</v>
      </c>
      <c r="B6608" s="8">
        <v>49</v>
      </c>
      <c r="C6608" s="8">
        <v>1397.740967</v>
      </c>
      <c r="D6608" s="8">
        <v>132623.984375</v>
      </c>
      <c r="E6608" s="8">
        <v>132640.15625</v>
      </c>
      <c r="F6608" s="8">
        <f t="shared" si="206"/>
        <v>16.171875</v>
      </c>
      <c r="G6608" s="8">
        <f t="shared" si="207"/>
        <v>1.6171874999999999E-2</v>
      </c>
    </row>
    <row r="6609" spans="1:7" x14ac:dyDescent="0.25">
      <c r="A6609" s="8">
        <v>88</v>
      </c>
      <c r="B6609" s="8">
        <v>50</v>
      </c>
      <c r="C6609" s="8">
        <v>6363.8745120000003</v>
      </c>
      <c r="D6609" s="8">
        <v>134050.640625</v>
      </c>
      <c r="E6609" s="8">
        <v>134073.09375</v>
      </c>
      <c r="F6609" s="8">
        <f t="shared" si="206"/>
        <v>22.453125</v>
      </c>
      <c r="G6609" s="8">
        <f t="shared" si="207"/>
        <v>2.2453125000000001E-2</v>
      </c>
    </row>
    <row r="6610" spans="1:7" x14ac:dyDescent="0.25">
      <c r="A6610" s="8">
        <v>88</v>
      </c>
      <c r="B6610" s="8">
        <v>51</v>
      </c>
      <c r="C6610" s="8">
        <v>1345.393433</v>
      </c>
      <c r="D6610" s="8">
        <v>140451.640625</v>
      </c>
      <c r="E6610" s="8">
        <v>140468.703125</v>
      </c>
      <c r="F6610" s="8">
        <f t="shared" si="206"/>
        <v>17.0625</v>
      </c>
      <c r="G6610" s="8">
        <f t="shared" si="207"/>
        <v>1.7062500000000001E-2</v>
      </c>
    </row>
    <row r="6611" spans="1:7" x14ac:dyDescent="0.25">
      <c r="A6611" s="8">
        <v>88</v>
      </c>
      <c r="B6611" s="8">
        <v>52</v>
      </c>
      <c r="C6611" s="8">
        <v>822.28479000000004</v>
      </c>
      <c r="D6611" s="8">
        <v>141822.109375</v>
      </c>
      <c r="E6611" s="8">
        <v>141842.359375</v>
      </c>
      <c r="F6611" s="8">
        <f t="shared" si="206"/>
        <v>20.25</v>
      </c>
      <c r="G6611" s="8">
        <f t="shared" si="207"/>
        <v>2.0250000000000001E-2</v>
      </c>
    </row>
    <row r="6612" spans="1:7" x14ac:dyDescent="0.25">
      <c r="A6612" s="8">
        <v>88</v>
      </c>
      <c r="B6612" s="8">
        <v>53</v>
      </c>
      <c r="C6612" s="8">
        <v>1669.263672</v>
      </c>
      <c r="D6612" s="8">
        <v>142671.46875</v>
      </c>
      <c r="E6612" s="8">
        <v>142727.765625</v>
      </c>
      <c r="F6612" s="8">
        <f t="shared" si="206"/>
        <v>56.296875</v>
      </c>
      <c r="G6612" s="8">
        <f t="shared" si="207"/>
        <v>5.6296875000000003E-2</v>
      </c>
    </row>
    <row r="6613" spans="1:7" x14ac:dyDescent="0.25">
      <c r="A6613" s="8">
        <v>88</v>
      </c>
      <c r="B6613" s="8">
        <v>54</v>
      </c>
      <c r="C6613" s="8">
        <v>3058.3725589999999</v>
      </c>
      <c r="D6613" s="8">
        <v>144400.375</v>
      </c>
      <c r="E6613" s="8">
        <v>144408.953125</v>
      </c>
      <c r="F6613" s="8">
        <f t="shared" si="206"/>
        <v>8.578125</v>
      </c>
      <c r="G6613" s="8">
        <f t="shared" si="207"/>
        <v>8.5781250000000007E-3</v>
      </c>
    </row>
    <row r="6614" spans="1:7" x14ac:dyDescent="0.25">
      <c r="A6614" s="8">
        <v>88</v>
      </c>
      <c r="B6614" s="8">
        <v>55</v>
      </c>
      <c r="C6614" s="8">
        <v>623.486267</v>
      </c>
      <c r="D6614" s="8">
        <v>147474.703125</v>
      </c>
      <c r="E6614" s="8">
        <v>147492.09375</v>
      </c>
      <c r="F6614" s="8">
        <f t="shared" si="206"/>
        <v>17.390625</v>
      </c>
      <c r="G6614" s="8">
        <f t="shared" si="207"/>
        <v>1.7390625E-2</v>
      </c>
    </row>
    <row r="6615" spans="1:7" x14ac:dyDescent="0.25">
      <c r="A6615" s="8">
        <v>88</v>
      </c>
      <c r="B6615" s="8">
        <v>56</v>
      </c>
      <c r="C6615" s="8">
        <v>892.75341800000001</v>
      </c>
      <c r="D6615" s="8">
        <v>148118.25</v>
      </c>
      <c r="E6615" s="8">
        <v>148137.0625</v>
      </c>
      <c r="F6615" s="8">
        <f t="shared" si="206"/>
        <v>18.8125</v>
      </c>
      <c r="G6615" s="8">
        <f t="shared" si="207"/>
        <v>1.8812499999999999E-2</v>
      </c>
    </row>
    <row r="6616" spans="1:7" x14ac:dyDescent="0.25">
      <c r="A6616" s="8">
        <v>88</v>
      </c>
      <c r="B6616" s="8">
        <v>57</v>
      </c>
      <c r="C6616" s="8">
        <v>164.35232500000001</v>
      </c>
      <c r="D6616" s="8">
        <v>149041.015625</v>
      </c>
      <c r="E6616" s="8">
        <v>149054.75</v>
      </c>
      <c r="F6616" s="8">
        <f t="shared" si="206"/>
        <v>13.734375</v>
      </c>
      <c r="G6616" s="8">
        <f t="shared" si="207"/>
        <v>1.3734375E-2</v>
      </c>
    </row>
    <row r="6617" spans="1:7" x14ac:dyDescent="0.25">
      <c r="A6617" s="8">
        <v>88</v>
      </c>
      <c r="B6617" s="8">
        <v>58</v>
      </c>
      <c r="C6617" s="8">
        <v>1535.463745</v>
      </c>
      <c r="D6617" s="8">
        <v>149228.53125</v>
      </c>
      <c r="E6617" s="8">
        <v>149244.296875</v>
      </c>
      <c r="F6617" s="8">
        <f t="shared" si="206"/>
        <v>15.765625</v>
      </c>
      <c r="G6617" s="8">
        <f t="shared" si="207"/>
        <v>1.5765624999999998E-2</v>
      </c>
    </row>
    <row r="6618" spans="1:7" x14ac:dyDescent="0.25">
      <c r="A6618" s="8">
        <v>88</v>
      </c>
      <c r="B6618" s="8">
        <v>59</v>
      </c>
      <c r="C6618" s="8">
        <v>48.372238000000003</v>
      </c>
      <c r="D6618" s="8">
        <v>150780.15625</v>
      </c>
      <c r="E6618" s="8">
        <v>150798.1875</v>
      </c>
      <c r="F6618" s="8">
        <f t="shared" si="206"/>
        <v>18.03125</v>
      </c>
      <c r="G6618" s="8">
        <f t="shared" si="207"/>
        <v>1.8031249999999999E-2</v>
      </c>
    </row>
    <row r="6619" spans="1:7" x14ac:dyDescent="0.25">
      <c r="A6619" s="8">
        <v>88</v>
      </c>
      <c r="B6619" s="8">
        <v>60</v>
      </c>
      <c r="C6619" s="8">
        <v>968.36999500000002</v>
      </c>
      <c r="D6619" s="8">
        <v>150858.3125</v>
      </c>
      <c r="E6619" s="8">
        <v>150875.875</v>
      </c>
      <c r="F6619" s="8">
        <f t="shared" si="206"/>
        <v>17.5625</v>
      </c>
      <c r="G6619" s="8">
        <f t="shared" si="207"/>
        <v>1.7562500000000002E-2</v>
      </c>
    </row>
    <row r="6620" spans="1:7" x14ac:dyDescent="0.25">
      <c r="A6620" s="8">
        <v>88</v>
      </c>
      <c r="B6620" s="8">
        <v>61</v>
      </c>
      <c r="C6620" s="8">
        <v>278.61468500000001</v>
      </c>
      <c r="D6620" s="8">
        <v>151858.21875</v>
      </c>
      <c r="E6620" s="8">
        <v>151961.71875</v>
      </c>
      <c r="F6620" s="8">
        <f t="shared" si="206"/>
        <v>103.5</v>
      </c>
      <c r="G6620" s="8">
        <f t="shared" si="207"/>
        <v>0.10349999999999999</v>
      </c>
    </row>
    <row r="6621" spans="1:7" x14ac:dyDescent="0.25">
      <c r="A6621" s="8">
        <v>88</v>
      </c>
      <c r="B6621" s="8">
        <v>62</v>
      </c>
      <c r="C6621" s="8">
        <v>43.188904000000001</v>
      </c>
      <c r="D6621" s="8">
        <v>152250.125</v>
      </c>
      <c r="E6621" s="8">
        <v>152268.125</v>
      </c>
      <c r="F6621" s="8">
        <f t="shared" si="206"/>
        <v>18</v>
      </c>
      <c r="G6621" s="8">
        <f t="shared" si="207"/>
        <v>1.7999999999999999E-2</v>
      </c>
    </row>
    <row r="6622" spans="1:7" x14ac:dyDescent="0.25">
      <c r="A6622" s="8">
        <v>88</v>
      </c>
      <c r="B6622" s="8">
        <v>63</v>
      </c>
      <c r="C6622" s="8">
        <v>2008.030884</v>
      </c>
      <c r="D6622" s="8">
        <v>152312.609375</v>
      </c>
      <c r="E6622" s="8">
        <v>152334.171875</v>
      </c>
      <c r="F6622" s="8">
        <f t="shared" si="206"/>
        <v>21.5625</v>
      </c>
      <c r="G6622" s="8">
        <f t="shared" si="207"/>
        <v>2.1562499999999998E-2</v>
      </c>
    </row>
    <row r="6623" spans="1:7" x14ac:dyDescent="0.25">
      <c r="A6623" s="8">
        <v>88</v>
      </c>
      <c r="B6623" s="8">
        <v>64</v>
      </c>
      <c r="C6623" s="8">
        <v>1053.3557129999999</v>
      </c>
      <c r="D6623" s="8">
        <v>154344.03125</v>
      </c>
      <c r="E6623" s="8">
        <v>154365.25</v>
      </c>
      <c r="F6623" s="8">
        <f t="shared" si="206"/>
        <v>21.21875</v>
      </c>
      <c r="G6623" s="8">
        <f t="shared" si="207"/>
        <v>2.1218750000000001E-2</v>
      </c>
    </row>
    <row r="6624" spans="1:7" x14ac:dyDescent="0.25">
      <c r="A6624" s="8">
        <v>88</v>
      </c>
      <c r="B6624" s="8">
        <v>65</v>
      </c>
      <c r="C6624" s="8">
        <v>803.31506300000001</v>
      </c>
      <c r="D6624" s="8">
        <v>155422.28125</v>
      </c>
      <c r="E6624" s="8">
        <v>155431</v>
      </c>
      <c r="F6624" s="8">
        <f t="shared" si="206"/>
        <v>8.71875</v>
      </c>
      <c r="G6624" s="8">
        <f t="shared" si="207"/>
        <v>8.7187500000000008E-3</v>
      </c>
    </row>
    <row r="6625" spans="1:7" x14ac:dyDescent="0.25">
      <c r="A6625" s="8">
        <v>88</v>
      </c>
      <c r="B6625" s="8">
        <v>66</v>
      </c>
      <c r="C6625" s="8">
        <v>125.763412</v>
      </c>
      <c r="D6625" s="8">
        <v>156234.84375</v>
      </c>
      <c r="E6625" s="8">
        <v>156256.015625</v>
      </c>
      <c r="F6625" s="8">
        <f t="shared" si="206"/>
        <v>21.171875</v>
      </c>
      <c r="G6625" s="8">
        <f t="shared" si="207"/>
        <v>2.1171875E-2</v>
      </c>
    </row>
    <row r="6626" spans="1:7" x14ac:dyDescent="0.25">
      <c r="A6626" s="8">
        <v>88</v>
      </c>
      <c r="B6626" s="8">
        <v>67</v>
      </c>
      <c r="C6626" s="8">
        <v>361.84960899999999</v>
      </c>
      <c r="D6626" s="8">
        <v>156390.90625</v>
      </c>
      <c r="E6626" s="8">
        <v>156416.078125</v>
      </c>
      <c r="F6626" s="8">
        <f t="shared" si="206"/>
        <v>25.171875</v>
      </c>
      <c r="G6626" s="8">
        <f t="shared" si="207"/>
        <v>2.5171875E-2</v>
      </c>
    </row>
    <row r="6627" spans="1:7" x14ac:dyDescent="0.25">
      <c r="A6627" s="8">
        <v>88</v>
      </c>
      <c r="B6627" s="8">
        <v>68</v>
      </c>
      <c r="C6627" s="8">
        <v>285.71343999999999</v>
      </c>
      <c r="D6627" s="8">
        <v>156781.796875</v>
      </c>
      <c r="E6627" s="8">
        <v>156806.109375</v>
      </c>
      <c r="F6627" s="8">
        <f t="shared" si="206"/>
        <v>24.3125</v>
      </c>
      <c r="G6627" s="8">
        <f t="shared" si="207"/>
        <v>2.4312500000000001E-2</v>
      </c>
    </row>
    <row r="6628" spans="1:7" x14ac:dyDescent="0.25">
      <c r="A6628" s="8">
        <v>88</v>
      </c>
      <c r="B6628" s="8">
        <v>69</v>
      </c>
      <c r="C6628" s="8">
        <v>978.49902299999997</v>
      </c>
      <c r="D6628" s="8">
        <v>157094.28125</v>
      </c>
      <c r="E6628" s="8">
        <v>157105.390625</v>
      </c>
      <c r="F6628" s="8">
        <f t="shared" si="206"/>
        <v>11.109375</v>
      </c>
      <c r="G6628" s="8">
        <f t="shared" si="207"/>
        <v>1.1109374999999999E-2</v>
      </c>
    </row>
    <row r="6629" spans="1:7" x14ac:dyDescent="0.25">
      <c r="A6629" s="8">
        <v>88</v>
      </c>
      <c r="B6629" s="8">
        <v>70</v>
      </c>
      <c r="C6629" s="8">
        <v>2123.0532229999999</v>
      </c>
      <c r="D6629" s="8">
        <v>158094.4375</v>
      </c>
      <c r="E6629" s="8">
        <v>158107.359375</v>
      </c>
      <c r="F6629" s="8">
        <f t="shared" si="206"/>
        <v>12.921875</v>
      </c>
      <c r="G6629" s="8">
        <f t="shared" si="207"/>
        <v>1.2921874999999999E-2</v>
      </c>
    </row>
    <row r="6630" spans="1:7" x14ac:dyDescent="0.25">
      <c r="A6630" s="8">
        <v>88</v>
      </c>
      <c r="B6630" s="8">
        <v>71</v>
      </c>
      <c r="C6630" s="8">
        <v>2951.9731449999999</v>
      </c>
      <c r="D6630" s="8">
        <v>160236.28125</v>
      </c>
      <c r="E6630" s="8">
        <v>160249.328125</v>
      </c>
      <c r="F6630" s="8">
        <f t="shared" si="206"/>
        <v>13.046875</v>
      </c>
      <c r="G6630" s="8">
        <f t="shared" si="207"/>
        <v>1.3046874999999999E-2</v>
      </c>
    </row>
    <row r="6631" spans="1:7" x14ac:dyDescent="0.25">
      <c r="A6631" s="8">
        <v>88</v>
      </c>
      <c r="B6631" s="8">
        <v>72</v>
      </c>
      <c r="C6631" s="8">
        <v>324.45992999999999</v>
      </c>
      <c r="D6631" s="8">
        <v>163205.875</v>
      </c>
      <c r="E6631" s="8">
        <v>163236.890625</v>
      </c>
      <c r="F6631" s="8">
        <f t="shared" si="206"/>
        <v>31.015625</v>
      </c>
      <c r="G6631" s="8">
        <f t="shared" si="207"/>
        <v>3.1015625000000002E-2</v>
      </c>
    </row>
    <row r="6632" spans="1:7" x14ac:dyDescent="0.25">
      <c r="A6632" s="8">
        <v>88</v>
      </c>
      <c r="B6632" s="8">
        <v>73</v>
      </c>
      <c r="C6632" s="8">
        <v>3977.366943</v>
      </c>
      <c r="D6632" s="8">
        <v>163565.3125</v>
      </c>
      <c r="E6632" s="8">
        <v>163580.9375</v>
      </c>
      <c r="F6632" s="8">
        <f t="shared" si="206"/>
        <v>15.625</v>
      </c>
      <c r="G6632" s="8">
        <f t="shared" si="207"/>
        <v>1.5625E-2</v>
      </c>
    </row>
    <row r="6633" spans="1:7" x14ac:dyDescent="0.25">
      <c r="A6633" s="8">
        <v>88</v>
      </c>
      <c r="B6633" s="8">
        <v>74</v>
      </c>
      <c r="C6633" s="8">
        <v>1639.5322269999999</v>
      </c>
      <c r="D6633" s="8">
        <v>167572.328125</v>
      </c>
      <c r="E6633" s="8">
        <v>167588.71875</v>
      </c>
      <c r="F6633" s="8">
        <f t="shared" si="206"/>
        <v>16.390625</v>
      </c>
      <c r="G6633" s="8">
        <f t="shared" si="207"/>
        <v>1.6390624999999999E-2</v>
      </c>
    </row>
    <row r="6634" spans="1:7" x14ac:dyDescent="0.25">
      <c r="A6634" s="8">
        <v>88</v>
      </c>
      <c r="B6634" s="8">
        <v>75</v>
      </c>
      <c r="C6634" s="8">
        <v>763.13403300000004</v>
      </c>
      <c r="D6634" s="8">
        <v>169235.953125</v>
      </c>
      <c r="E6634" s="8">
        <v>169243.671875</v>
      </c>
      <c r="F6634" s="8">
        <f t="shared" si="206"/>
        <v>7.71875</v>
      </c>
      <c r="G6634" s="8">
        <f t="shared" si="207"/>
        <v>7.7187499999999999E-3</v>
      </c>
    </row>
    <row r="6635" spans="1:7" x14ac:dyDescent="0.25">
      <c r="A6635" s="8">
        <v>89</v>
      </c>
      <c r="B6635" s="8">
        <v>0</v>
      </c>
      <c r="C6635" s="8">
        <v>274.26947000000001</v>
      </c>
      <c r="D6635" s="8">
        <v>21891.292968999998</v>
      </c>
      <c r="E6635" s="8">
        <v>21898.738281000002</v>
      </c>
      <c r="F6635" s="8">
        <f t="shared" si="206"/>
        <v>7.4453120000034687</v>
      </c>
      <c r="G6635" s="8">
        <f t="shared" si="207"/>
        <v>7.4453120000034685E-3</v>
      </c>
    </row>
    <row r="6636" spans="1:7" x14ac:dyDescent="0.25">
      <c r="A6636" s="8">
        <v>89</v>
      </c>
      <c r="B6636" s="8">
        <v>1</v>
      </c>
      <c r="C6636" s="8">
        <v>2464.923828</v>
      </c>
      <c r="D6636" s="8">
        <v>22188.232422000001</v>
      </c>
      <c r="E6636" s="8">
        <v>22206.947265999999</v>
      </c>
      <c r="F6636" s="8">
        <f t="shared" si="206"/>
        <v>18.714843999998266</v>
      </c>
      <c r="G6636" s="8">
        <f t="shared" si="207"/>
        <v>1.8714843999998267E-2</v>
      </c>
    </row>
    <row r="6637" spans="1:7" x14ac:dyDescent="0.25">
      <c r="A6637" s="8">
        <v>89</v>
      </c>
      <c r="B6637" s="8">
        <v>2</v>
      </c>
      <c r="C6637" s="8">
        <v>1241.0017089999999</v>
      </c>
      <c r="D6637" s="8">
        <v>24678.078125</v>
      </c>
      <c r="E6637" s="8">
        <v>24704.382813</v>
      </c>
      <c r="F6637" s="8">
        <f t="shared" si="206"/>
        <v>26.304688000000169</v>
      </c>
      <c r="G6637" s="8">
        <f t="shared" si="207"/>
        <v>2.630468800000017E-2</v>
      </c>
    </row>
    <row r="6638" spans="1:7" x14ac:dyDescent="0.25">
      <c r="A6638" s="8">
        <v>89</v>
      </c>
      <c r="B6638" s="8">
        <v>3</v>
      </c>
      <c r="C6638" s="8">
        <v>6055.1528319999998</v>
      </c>
      <c r="D6638" s="8">
        <v>25959.498047000001</v>
      </c>
      <c r="E6638" s="8">
        <v>25973.052734000001</v>
      </c>
      <c r="F6638" s="8">
        <f t="shared" si="206"/>
        <v>13.554686999999831</v>
      </c>
      <c r="G6638" s="8">
        <f t="shared" si="207"/>
        <v>1.3554686999999831E-2</v>
      </c>
    </row>
    <row r="6639" spans="1:7" x14ac:dyDescent="0.25">
      <c r="A6639" s="8">
        <v>89</v>
      </c>
      <c r="B6639" s="8">
        <v>4</v>
      </c>
      <c r="C6639" s="8">
        <v>53.443787</v>
      </c>
      <c r="D6639" s="8">
        <v>32035.658202999999</v>
      </c>
      <c r="E6639" s="8">
        <v>32046.244140999999</v>
      </c>
      <c r="F6639" s="8">
        <f t="shared" si="206"/>
        <v>10.585938000000169</v>
      </c>
      <c r="G6639" s="8">
        <f t="shared" si="207"/>
        <v>1.058593800000017E-2</v>
      </c>
    </row>
    <row r="6640" spans="1:7" x14ac:dyDescent="0.25">
      <c r="A6640" s="8">
        <v>89</v>
      </c>
      <c r="B6640" s="8">
        <v>5</v>
      </c>
      <c r="C6640" s="8">
        <v>679.27783199999999</v>
      </c>
      <c r="D6640" s="8">
        <v>32113.789063</v>
      </c>
      <c r="E6640" s="8">
        <v>32239.982422000001</v>
      </c>
      <c r="F6640" s="8">
        <f t="shared" si="206"/>
        <v>126.19335900000078</v>
      </c>
      <c r="G6640" s="8">
        <f t="shared" si="207"/>
        <v>0.12619335900000078</v>
      </c>
    </row>
    <row r="6641" spans="1:7" x14ac:dyDescent="0.25">
      <c r="A6641" s="8">
        <v>89</v>
      </c>
      <c r="B6641" s="8">
        <v>6</v>
      </c>
      <c r="C6641" s="8">
        <v>455.27969400000001</v>
      </c>
      <c r="D6641" s="8">
        <v>32926.363280999998</v>
      </c>
      <c r="E6641" s="8">
        <v>32939.589844000002</v>
      </c>
      <c r="F6641" s="8">
        <f t="shared" si="206"/>
        <v>13.226563000003807</v>
      </c>
      <c r="G6641" s="8">
        <f t="shared" si="207"/>
        <v>1.3226563000003808E-2</v>
      </c>
    </row>
    <row r="6642" spans="1:7" x14ac:dyDescent="0.25">
      <c r="A6642" s="8">
        <v>89</v>
      </c>
      <c r="B6642" s="8">
        <v>7</v>
      </c>
      <c r="C6642" s="8">
        <v>954.64849900000002</v>
      </c>
      <c r="D6642" s="8">
        <v>33395.226562999997</v>
      </c>
      <c r="E6642" s="8">
        <v>33417.40625</v>
      </c>
      <c r="F6642" s="8">
        <f t="shared" si="206"/>
        <v>22.179687000003469</v>
      </c>
      <c r="G6642" s="8">
        <f t="shared" si="207"/>
        <v>2.2179687000003469E-2</v>
      </c>
    </row>
    <row r="6643" spans="1:7" x14ac:dyDescent="0.25">
      <c r="A6643" s="8">
        <v>89</v>
      </c>
      <c r="B6643" s="8">
        <v>8</v>
      </c>
      <c r="C6643" s="8">
        <v>1432.1669919999999</v>
      </c>
      <c r="D6643" s="8">
        <v>34373.730469000002</v>
      </c>
      <c r="E6643" s="8">
        <v>34384.007812999997</v>
      </c>
      <c r="F6643" s="8">
        <f t="shared" si="206"/>
        <v>10.277343999994628</v>
      </c>
      <c r="G6643" s="8">
        <f t="shared" si="207"/>
        <v>1.0277343999994628E-2</v>
      </c>
    </row>
    <row r="6644" spans="1:7" x14ac:dyDescent="0.25">
      <c r="A6644" s="8">
        <v>89</v>
      </c>
      <c r="B6644" s="8">
        <v>9</v>
      </c>
      <c r="C6644" s="8">
        <v>868.29583700000001</v>
      </c>
      <c r="D6644" s="8">
        <v>35827.0625</v>
      </c>
      <c r="E6644" s="8">
        <v>35852.480469000002</v>
      </c>
      <c r="F6644" s="8">
        <f t="shared" si="206"/>
        <v>25.417969000001904</v>
      </c>
      <c r="G6644" s="8">
        <f t="shared" si="207"/>
        <v>2.5417969000001903E-2</v>
      </c>
    </row>
    <row r="6645" spans="1:7" x14ac:dyDescent="0.25">
      <c r="A6645" s="8">
        <v>89</v>
      </c>
      <c r="B6645" s="8">
        <v>10</v>
      </c>
      <c r="C6645" s="8">
        <v>7387.9780270000001</v>
      </c>
      <c r="D6645" s="8">
        <v>36722.207030999998</v>
      </c>
      <c r="E6645" s="8">
        <v>36734.394530999998</v>
      </c>
      <c r="F6645" s="8">
        <f t="shared" si="206"/>
        <v>12.1875</v>
      </c>
      <c r="G6645" s="8">
        <f t="shared" si="207"/>
        <v>1.21875E-2</v>
      </c>
    </row>
    <row r="6646" spans="1:7" x14ac:dyDescent="0.25">
      <c r="A6646" s="8">
        <v>89</v>
      </c>
      <c r="B6646" s="8">
        <v>11</v>
      </c>
      <c r="C6646" s="8">
        <v>1872.623169</v>
      </c>
      <c r="D6646" s="8">
        <v>44131.160155999998</v>
      </c>
      <c r="E6646" s="8">
        <v>44144.621094000002</v>
      </c>
      <c r="F6646" s="8">
        <f t="shared" si="206"/>
        <v>13.460938000003807</v>
      </c>
      <c r="G6646" s="8">
        <f t="shared" si="207"/>
        <v>1.3460938000003806E-2</v>
      </c>
    </row>
    <row r="6647" spans="1:7" x14ac:dyDescent="0.25">
      <c r="A6647" s="8">
        <v>89</v>
      </c>
      <c r="B6647" s="8">
        <v>12</v>
      </c>
      <c r="C6647" s="8">
        <v>4429.2358400000003</v>
      </c>
      <c r="D6647" s="8">
        <v>46023.203125</v>
      </c>
      <c r="E6647" s="8">
        <v>46044.726562999997</v>
      </c>
      <c r="F6647" s="8">
        <f t="shared" si="206"/>
        <v>21.523437999996531</v>
      </c>
      <c r="G6647" s="8">
        <f t="shared" si="207"/>
        <v>2.1523437999996533E-2</v>
      </c>
    </row>
    <row r="6648" spans="1:7" x14ac:dyDescent="0.25">
      <c r="A6648" s="8">
        <v>89</v>
      </c>
      <c r="B6648" s="8">
        <v>13</v>
      </c>
      <c r="C6648" s="8">
        <v>5632.955078</v>
      </c>
      <c r="D6648" s="8">
        <v>50487.023437999997</v>
      </c>
      <c r="E6648" s="8">
        <v>50506.925780999998</v>
      </c>
      <c r="F6648" s="8">
        <f t="shared" si="206"/>
        <v>19.902343000001565</v>
      </c>
      <c r="G6648" s="8">
        <f t="shared" si="207"/>
        <v>1.9902343000001564E-2</v>
      </c>
    </row>
    <row r="6649" spans="1:7" x14ac:dyDescent="0.25">
      <c r="A6649" s="8">
        <v>89</v>
      </c>
      <c r="B6649" s="8">
        <v>14</v>
      </c>
      <c r="C6649" s="8">
        <v>636.03021200000001</v>
      </c>
      <c r="D6649" s="8">
        <v>56144.289062999997</v>
      </c>
      <c r="E6649" s="8">
        <v>56160.953125</v>
      </c>
      <c r="F6649" s="8">
        <f t="shared" si="206"/>
        <v>16.664062000003469</v>
      </c>
      <c r="G6649" s="8">
        <f t="shared" si="207"/>
        <v>1.666406200000347E-2</v>
      </c>
    </row>
    <row r="6650" spans="1:7" x14ac:dyDescent="0.25">
      <c r="A6650" s="8">
        <v>89</v>
      </c>
      <c r="B6650" s="8">
        <v>15</v>
      </c>
      <c r="C6650" s="8">
        <v>3339.1220699999999</v>
      </c>
      <c r="D6650" s="8">
        <v>56800.601562999997</v>
      </c>
      <c r="E6650" s="8">
        <v>56823.660155999998</v>
      </c>
      <c r="F6650" s="8">
        <f t="shared" si="206"/>
        <v>23.058593000001565</v>
      </c>
      <c r="G6650" s="8">
        <f t="shared" si="207"/>
        <v>2.3058593000001563E-2</v>
      </c>
    </row>
    <row r="6651" spans="1:7" x14ac:dyDescent="0.25">
      <c r="A6651" s="8">
        <v>89</v>
      </c>
      <c r="B6651" s="8">
        <v>16</v>
      </c>
      <c r="C6651" s="8">
        <v>336.26779199999999</v>
      </c>
      <c r="D6651" s="8">
        <v>60169.28125</v>
      </c>
      <c r="E6651" s="8">
        <v>60176.648437999997</v>
      </c>
      <c r="F6651" s="8">
        <f t="shared" si="206"/>
        <v>7.3671879999965313</v>
      </c>
      <c r="G6651" s="8">
        <f t="shared" si="207"/>
        <v>7.3671879999965316E-3</v>
      </c>
    </row>
    <row r="6652" spans="1:7" x14ac:dyDescent="0.25">
      <c r="A6652" s="8">
        <v>89</v>
      </c>
      <c r="B6652" s="8">
        <v>17</v>
      </c>
      <c r="C6652" s="8">
        <v>74.175872999999996</v>
      </c>
      <c r="D6652" s="8">
        <v>60513.132812999997</v>
      </c>
      <c r="E6652" s="8">
        <v>60532.019530999998</v>
      </c>
      <c r="F6652" s="8">
        <f t="shared" si="206"/>
        <v>18.886718000001565</v>
      </c>
      <c r="G6652" s="8">
        <f t="shared" si="207"/>
        <v>1.8886718000001565E-2</v>
      </c>
    </row>
    <row r="6653" spans="1:7" x14ac:dyDescent="0.25">
      <c r="A6653" s="8">
        <v>89</v>
      </c>
      <c r="B6653" s="8">
        <v>18</v>
      </c>
      <c r="C6653" s="8">
        <v>3011.0561520000001</v>
      </c>
      <c r="D6653" s="8">
        <v>60606.886719000002</v>
      </c>
      <c r="E6653" s="8">
        <v>60627.90625</v>
      </c>
      <c r="F6653" s="8">
        <f t="shared" si="206"/>
        <v>21.019530999998096</v>
      </c>
      <c r="G6653" s="8">
        <f t="shared" si="207"/>
        <v>2.1019530999998096E-2</v>
      </c>
    </row>
    <row r="6654" spans="1:7" x14ac:dyDescent="0.25">
      <c r="A6654" s="8">
        <v>89</v>
      </c>
      <c r="B6654" s="8">
        <v>19</v>
      </c>
      <c r="C6654" s="8">
        <v>1528.373779</v>
      </c>
      <c r="D6654" s="8">
        <v>63649.34375</v>
      </c>
      <c r="E6654" s="8">
        <v>63672.40625</v>
      </c>
      <c r="F6654" s="8">
        <f t="shared" si="206"/>
        <v>23.0625</v>
      </c>
      <c r="G6654" s="8">
        <f t="shared" si="207"/>
        <v>2.30625E-2</v>
      </c>
    </row>
    <row r="6655" spans="1:7" x14ac:dyDescent="0.25">
      <c r="A6655" s="8">
        <v>89</v>
      </c>
      <c r="B6655" s="8">
        <v>20</v>
      </c>
      <c r="C6655" s="8">
        <v>1017.403503</v>
      </c>
      <c r="D6655" s="8">
        <v>65215.355469000002</v>
      </c>
      <c r="E6655" s="8">
        <v>65232.535155999998</v>
      </c>
      <c r="F6655" s="8">
        <f t="shared" si="206"/>
        <v>17.179686999996193</v>
      </c>
      <c r="G6655" s="8">
        <f t="shared" si="207"/>
        <v>1.7179686999996193E-2</v>
      </c>
    </row>
    <row r="6656" spans="1:7" x14ac:dyDescent="0.25">
      <c r="A6656" s="8">
        <v>89</v>
      </c>
      <c r="B6656" s="8">
        <v>21</v>
      </c>
      <c r="C6656" s="8">
        <v>2256.1926269999999</v>
      </c>
      <c r="D6656" s="8">
        <v>66262.351563000004</v>
      </c>
      <c r="E6656" s="8">
        <v>66270.734375</v>
      </c>
      <c r="F6656" s="8">
        <f t="shared" si="206"/>
        <v>8.3828119999961928</v>
      </c>
      <c r="G6656" s="8">
        <f t="shared" si="207"/>
        <v>8.3828119999961922E-3</v>
      </c>
    </row>
    <row r="6657" spans="1:7" x14ac:dyDescent="0.25">
      <c r="A6657" s="8">
        <v>89</v>
      </c>
      <c r="B6657" s="8">
        <v>22</v>
      </c>
      <c r="C6657" s="8">
        <v>5070.8999020000001</v>
      </c>
      <c r="D6657" s="8">
        <v>68529.742188000004</v>
      </c>
      <c r="E6657" s="8">
        <v>68556</v>
      </c>
      <c r="F6657" s="8">
        <f t="shared" si="206"/>
        <v>26.257811999996193</v>
      </c>
      <c r="G6657" s="8">
        <f t="shared" si="207"/>
        <v>2.6257811999996192E-2</v>
      </c>
    </row>
    <row r="6658" spans="1:7" x14ac:dyDescent="0.25">
      <c r="A6658" s="8">
        <v>89</v>
      </c>
      <c r="B6658" s="8">
        <v>23</v>
      </c>
      <c r="C6658" s="8">
        <v>975.51458700000001</v>
      </c>
      <c r="D6658" s="8">
        <v>73638.734375</v>
      </c>
      <c r="E6658" s="8">
        <v>73648.375</v>
      </c>
      <c r="F6658" s="8">
        <f t="shared" si="206"/>
        <v>9.640625</v>
      </c>
      <c r="G6658" s="8">
        <f t="shared" si="207"/>
        <v>9.6406249999999999E-3</v>
      </c>
    </row>
    <row r="6659" spans="1:7" x14ac:dyDescent="0.25">
      <c r="A6659" s="8">
        <v>89</v>
      </c>
      <c r="B6659" s="8">
        <v>24</v>
      </c>
      <c r="C6659" s="8">
        <v>1854.028442</v>
      </c>
      <c r="D6659" s="8">
        <v>74633.335938000004</v>
      </c>
      <c r="E6659" s="8">
        <v>74660.046875</v>
      </c>
      <c r="F6659" s="8">
        <f t="shared" si="206"/>
        <v>26.710936999996193</v>
      </c>
      <c r="G6659" s="8">
        <f t="shared" si="207"/>
        <v>2.6710936999996191E-2</v>
      </c>
    </row>
    <row r="6660" spans="1:7" x14ac:dyDescent="0.25">
      <c r="A6660" s="8">
        <v>89</v>
      </c>
      <c r="B6660" s="8">
        <v>25</v>
      </c>
      <c r="C6660" s="8">
        <v>7738.4384769999997</v>
      </c>
      <c r="D6660" s="8">
        <v>76522.65625</v>
      </c>
      <c r="E6660" s="8">
        <v>76529.898438000004</v>
      </c>
      <c r="F6660" s="8">
        <f t="shared" si="206"/>
        <v>7.2421880000038072</v>
      </c>
      <c r="G6660" s="8">
        <f t="shared" si="207"/>
        <v>7.2421880000038069E-3</v>
      </c>
    </row>
    <row r="6661" spans="1:7" x14ac:dyDescent="0.25">
      <c r="A6661" s="8">
        <v>89</v>
      </c>
      <c r="B6661" s="8">
        <v>26</v>
      </c>
      <c r="C6661" s="8">
        <v>2104.2622070000002</v>
      </c>
      <c r="D6661" s="8">
        <v>84281</v>
      </c>
      <c r="E6661" s="8">
        <v>84288.15625</v>
      </c>
      <c r="F6661" s="8">
        <f t="shared" si="206"/>
        <v>7.15625</v>
      </c>
      <c r="G6661" s="8">
        <f t="shared" si="207"/>
        <v>7.1562500000000003E-3</v>
      </c>
    </row>
    <row r="6662" spans="1:7" x14ac:dyDescent="0.25">
      <c r="A6662" s="8">
        <v>89</v>
      </c>
      <c r="B6662" s="8">
        <v>27</v>
      </c>
      <c r="C6662" s="8">
        <v>191.30413799999999</v>
      </c>
      <c r="D6662" s="8">
        <v>86393.179688000004</v>
      </c>
      <c r="E6662" s="8">
        <v>86406.023438000004</v>
      </c>
      <c r="F6662" s="8">
        <f t="shared" si="206"/>
        <v>12.84375</v>
      </c>
      <c r="G6662" s="8">
        <f t="shared" si="207"/>
        <v>1.2843749999999999E-2</v>
      </c>
    </row>
    <row r="6663" spans="1:7" x14ac:dyDescent="0.25">
      <c r="A6663" s="8">
        <v>89</v>
      </c>
      <c r="B6663" s="8">
        <v>28</v>
      </c>
      <c r="C6663" s="8">
        <v>926.70886199999995</v>
      </c>
      <c r="D6663" s="8">
        <v>86612.210938000004</v>
      </c>
      <c r="E6663" s="8">
        <v>86620.195313000004</v>
      </c>
      <c r="F6663" s="8">
        <f t="shared" si="206"/>
        <v>7.984375</v>
      </c>
      <c r="G6663" s="8">
        <f t="shared" si="207"/>
        <v>7.9843750000000002E-3</v>
      </c>
    </row>
    <row r="6664" spans="1:7" x14ac:dyDescent="0.25">
      <c r="A6664" s="8">
        <v>89</v>
      </c>
      <c r="B6664" s="8">
        <v>29</v>
      </c>
      <c r="C6664" s="8">
        <v>793.39813200000003</v>
      </c>
      <c r="D6664" s="8">
        <v>87552.054688000004</v>
      </c>
      <c r="E6664" s="8">
        <v>87560.171875</v>
      </c>
      <c r="F6664" s="8">
        <f t="shared" si="206"/>
        <v>8.1171869999961928</v>
      </c>
      <c r="G6664" s="8">
        <f t="shared" si="207"/>
        <v>8.1171869999961919E-3</v>
      </c>
    </row>
    <row r="6665" spans="1:7" x14ac:dyDescent="0.25">
      <c r="A6665" s="8">
        <v>89</v>
      </c>
      <c r="B6665" s="8">
        <v>30</v>
      </c>
      <c r="C6665" s="8">
        <v>2998.7163089999999</v>
      </c>
      <c r="D6665" s="8">
        <v>88365.46875</v>
      </c>
      <c r="E6665" s="8">
        <v>88385.398438000004</v>
      </c>
      <c r="F6665" s="8">
        <f t="shared" si="206"/>
        <v>19.929688000003807</v>
      </c>
      <c r="G6665" s="8">
        <f t="shared" si="207"/>
        <v>1.9929688000003807E-2</v>
      </c>
    </row>
    <row r="6666" spans="1:7" x14ac:dyDescent="0.25">
      <c r="A6666" s="8">
        <v>89</v>
      </c>
      <c r="B6666" s="8">
        <v>31</v>
      </c>
      <c r="C6666" s="8">
        <v>3860.8710940000001</v>
      </c>
      <c r="D6666" s="8">
        <v>91386.195313000004</v>
      </c>
      <c r="E6666" s="8">
        <v>91404.40625</v>
      </c>
      <c r="F6666" s="8">
        <f t="shared" si="206"/>
        <v>18.210936999996193</v>
      </c>
      <c r="G6666" s="8">
        <f t="shared" si="207"/>
        <v>1.8210936999996194E-2</v>
      </c>
    </row>
    <row r="6667" spans="1:7" x14ac:dyDescent="0.25">
      <c r="A6667" s="8">
        <v>89</v>
      </c>
      <c r="B6667" s="8">
        <v>32</v>
      </c>
      <c r="C6667" s="8">
        <v>2359.3251949999999</v>
      </c>
      <c r="D6667" s="8">
        <v>95265.476563000004</v>
      </c>
      <c r="E6667" s="8">
        <v>95285.3125</v>
      </c>
      <c r="F6667" s="8">
        <f t="shared" ref="F6667:F6730" si="208">E6667-D6667</f>
        <v>19.835936999996193</v>
      </c>
      <c r="G6667" s="8">
        <f t="shared" ref="G6667:G6730" si="209">F6667/1000</f>
        <v>1.9835936999996192E-2</v>
      </c>
    </row>
    <row r="6668" spans="1:7" x14ac:dyDescent="0.25">
      <c r="A6668" s="8">
        <v>89</v>
      </c>
      <c r="B6668" s="8">
        <v>33</v>
      </c>
      <c r="C6668" s="8">
        <v>1063.094482</v>
      </c>
      <c r="D6668" s="8">
        <v>97653.5625</v>
      </c>
      <c r="E6668" s="8">
        <v>97668.078125</v>
      </c>
      <c r="F6668" s="8">
        <f t="shared" si="208"/>
        <v>14.515625</v>
      </c>
      <c r="G6668" s="8">
        <f t="shared" si="209"/>
        <v>1.4515625000000001E-2</v>
      </c>
    </row>
    <row r="6669" spans="1:7" x14ac:dyDescent="0.25">
      <c r="A6669" s="8">
        <v>89</v>
      </c>
      <c r="B6669" s="8">
        <v>34</v>
      </c>
      <c r="C6669" s="8">
        <v>2446.1721189999998</v>
      </c>
      <c r="D6669" s="8">
        <v>98738.375</v>
      </c>
      <c r="E6669" s="8">
        <v>98748.796875</v>
      </c>
      <c r="F6669" s="8">
        <f t="shared" si="208"/>
        <v>10.421875</v>
      </c>
      <c r="G6669" s="8">
        <f t="shared" si="209"/>
        <v>1.0421875000000001E-2</v>
      </c>
    </row>
    <row r="6670" spans="1:7" x14ac:dyDescent="0.25">
      <c r="A6670" s="8">
        <v>89</v>
      </c>
      <c r="B6670" s="8">
        <v>35</v>
      </c>
      <c r="C6670" s="8">
        <v>1449.7307129999999</v>
      </c>
      <c r="D6670" s="8">
        <v>101199.984375</v>
      </c>
      <c r="E6670" s="8">
        <v>101213.265625</v>
      </c>
      <c r="F6670" s="8">
        <f t="shared" si="208"/>
        <v>13.28125</v>
      </c>
      <c r="G6670" s="8">
        <f t="shared" si="209"/>
        <v>1.328125E-2</v>
      </c>
    </row>
    <row r="6671" spans="1:7" x14ac:dyDescent="0.25">
      <c r="A6671" s="8">
        <v>89</v>
      </c>
      <c r="B6671" s="8">
        <v>36</v>
      </c>
      <c r="C6671" s="8">
        <v>936.04376200000002</v>
      </c>
      <c r="D6671" s="8">
        <v>102672.375</v>
      </c>
      <c r="E6671" s="8">
        <v>102771.867188</v>
      </c>
      <c r="F6671" s="8">
        <f t="shared" si="208"/>
        <v>99.492188000003807</v>
      </c>
      <c r="G6671" s="8">
        <f t="shared" si="209"/>
        <v>9.9492188000003812E-2</v>
      </c>
    </row>
    <row r="6672" spans="1:7" x14ac:dyDescent="0.25">
      <c r="A6672" s="8">
        <v>89</v>
      </c>
      <c r="B6672" s="8">
        <v>37</v>
      </c>
      <c r="C6672" s="8">
        <v>897.71929899999998</v>
      </c>
      <c r="D6672" s="8">
        <v>103716.015625</v>
      </c>
      <c r="E6672" s="8">
        <v>103729.054688</v>
      </c>
      <c r="F6672" s="8">
        <f t="shared" si="208"/>
        <v>13.039063000003807</v>
      </c>
      <c r="G6672" s="8">
        <f t="shared" si="209"/>
        <v>1.3039063000003808E-2</v>
      </c>
    </row>
    <row r="6673" spans="1:7" x14ac:dyDescent="0.25">
      <c r="A6673" s="8">
        <v>89</v>
      </c>
      <c r="B6673" s="8">
        <v>38</v>
      </c>
      <c r="C6673" s="8">
        <v>5382.0288090000004</v>
      </c>
      <c r="D6673" s="8">
        <v>104628.375</v>
      </c>
      <c r="E6673" s="8">
        <v>104638.8125</v>
      </c>
      <c r="F6673" s="8">
        <f t="shared" si="208"/>
        <v>10.4375</v>
      </c>
      <c r="G6673" s="8">
        <f t="shared" si="209"/>
        <v>1.0437500000000001E-2</v>
      </c>
    </row>
    <row r="6674" spans="1:7" x14ac:dyDescent="0.25">
      <c r="A6674" s="8">
        <v>89</v>
      </c>
      <c r="B6674" s="8">
        <v>39</v>
      </c>
      <c r="C6674" s="8">
        <v>1212.261475</v>
      </c>
      <c r="D6674" s="8">
        <v>110033.28125</v>
      </c>
      <c r="E6674" s="8">
        <v>110052.726563</v>
      </c>
      <c r="F6674" s="8">
        <f t="shared" si="208"/>
        <v>19.445313000003807</v>
      </c>
      <c r="G6674" s="8">
        <f t="shared" si="209"/>
        <v>1.9445313000003808E-2</v>
      </c>
    </row>
    <row r="6675" spans="1:7" x14ac:dyDescent="0.25">
      <c r="A6675" s="8">
        <v>89</v>
      </c>
      <c r="B6675" s="8">
        <v>40</v>
      </c>
      <c r="C6675" s="8">
        <v>387.98501599999997</v>
      </c>
      <c r="D6675" s="8">
        <v>111267.851563</v>
      </c>
      <c r="E6675" s="8">
        <v>111291.742188</v>
      </c>
      <c r="F6675" s="8">
        <f t="shared" si="208"/>
        <v>23.890625</v>
      </c>
      <c r="G6675" s="8">
        <f t="shared" si="209"/>
        <v>2.3890624999999999E-2</v>
      </c>
    </row>
    <row r="6676" spans="1:7" x14ac:dyDescent="0.25">
      <c r="A6676" s="8">
        <v>89</v>
      </c>
      <c r="B6676" s="8">
        <v>41</v>
      </c>
      <c r="C6676" s="8">
        <v>2229.2182619999999</v>
      </c>
      <c r="D6676" s="8">
        <v>111689.78125</v>
      </c>
      <c r="E6676" s="8">
        <v>111706.5625</v>
      </c>
      <c r="F6676" s="8">
        <f t="shared" si="208"/>
        <v>16.78125</v>
      </c>
      <c r="G6676" s="8">
        <f t="shared" si="209"/>
        <v>1.6781250000000001E-2</v>
      </c>
    </row>
    <row r="6677" spans="1:7" x14ac:dyDescent="0.25">
      <c r="A6677" s="8">
        <v>89</v>
      </c>
      <c r="B6677" s="8">
        <v>42</v>
      </c>
      <c r="C6677" s="8">
        <v>252.19901999999999</v>
      </c>
      <c r="D6677" s="8">
        <v>113940.671875</v>
      </c>
      <c r="E6677" s="8">
        <v>113974.023438</v>
      </c>
      <c r="F6677" s="8">
        <f t="shared" si="208"/>
        <v>33.351563000003807</v>
      </c>
      <c r="G6677" s="8">
        <f t="shared" si="209"/>
        <v>3.335156300000381E-2</v>
      </c>
    </row>
    <row r="6678" spans="1:7" x14ac:dyDescent="0.25">
      <c r="A6678" s="8">
        <v>89</v>
      </c>
      <c r="B6678" s="8">
        <v>43</v>
      </c>
      <c r="C6678" s="8">
        <v>2613.4941410000001</v>
      </c>
      <c r="D6678" s="8">
        <v>114237.640625</v>
      </c>
      <c r="E6678" s="8">
        <v>114254.203125</v>
      </c>
      <c r="F6678" s="8">
        <f t="shared" si="208"/>
        <v>16.5625</v>
      </c>
      <c r="G6678" s="8">
        <f t="shared" si="209"/>
        <v>1.6562500000000001E-2</v>
      </c>
    </row>
    <row r="6679" spans="1:7" x14ac:dyDescent="0.25">
      <c r="A6679" s="8">
        <v>89</v>
      </c>
      <c r="B6679" s="8">
        <v>44</v>
      </c>
      <c r="C6679" s="8">
        <v>697.10174600000005</v>
      </c>
      <c r="D6679" s="8">
        <v>116880.15625</v>
      </c>
      <c r="E6679" s="8">
        <v>116894.445313</v>
      </c>
      <c r="F6679" s="8">
        <f t="shared" si="208"/>
        <v>14.289063000003807</v>
      </c>
      <c r="G6679" s="8">
        <f t="shared" si="209"/>
        <v>1.4289063000003807E-2</v>
      </c>
    </row>
    <row r="6680" spans="1:7" x14ac:dyDescent="0.25">
      <c r="A6680" s="8">
        <v>89</v>
      </c>
      <c r="B6680" s="8">
        <v>45</v>
      </c>
      <c r="C6680" s="8">
        <v>351.926941</v>
      </c>
      <c r="D6680" s="8">
        <v>117603.6875</v>
      </c>
      <c r="E6680" s="8">
        <v>117610.9375</v>
      </c>
      <c r="F6680" s="8">
        <f t="shared" si="208"/>
        <v>7.25</v>
      </c>
      <c r="G6680" s="8">
        <f t="shared" si="209"/>
        <v>7.2500000000000004E-3</v>
      </c>
    </row>
    <row r="6681" spans="1:7" x14ac:dyDescent="0.25">
      <c r="A6681" s="8">
        <v>89</v>
      </c>
      <c r="B6681" s="8">
        <v>46</v>
      </c>
      <c r="C6681" s="8">
        <v>234.551636</v>
      </c>
      <c r="D6681" s="8">
        <v>117963.101563</v>
      </c>
      <c r="E6681" s="8">
        <v>117984.023438</v>
      </c>
      <c r="F6681" s="8">
        <f t="shared" si="208"/>
        <v>20.921875</v>
      </c>
      <c r="G6681" s="8">
        <f t="shared" si="209"/>
        <v>2.0921875E-2</v>
      </c>
    </row>
    <row r="6682" spans="1:7" x14ac:dyDescent="0.25">
      <c r="A6682" s="8">
        <v>89</v>
      </c>
      <c r="B6682" s="8">
        <v>47</v>
      </c>
      <c r="C6682" s="8">
        <v>1024.4201660000001</v>
      </c>
      <c r="D6682" s="8">
        <v>118228.742188</v>
      </c>
      <c r="E6682" s="8">
        <v>118236.359375</v>
      </c>
      <c r="F6682" s="8">
        <f t="shared" si="208"/>
        <v>7.6171869999961928</v>
      </c>
      <c r="G6682" s="8">
        <f t="shared" si="209"/>
        <v>7.6171869999961924E-3</v>
      </c>
    </row>
    <row r="6683" spans="1:7" x14ac:dyDescent="0.25">
      <c r="A6683" s="8">
        <v>89</v>
      </c>
      <c r="B6683" s="8">
        <v>48</v>
      </c>
      <c r="C6683" s="8">
        <v>568.39776600000005</v>
      </c>
      <c r="D6683" s="8">
        <v>119266.625</v>
      </c>
      <c r="E6683" s="8">
        <v>119293.796875</v>
      </c>
      <c r="F6683" s="8">
        <f t="shared" si="208"/>
        <v>27.171875</v>
      </c>
      <c r="G6683" s="8">
        <f t="shared" si="209"/>
        <v>2.7171875000000002E-2</v>
      </c>
    </row>
    <row r="6684" spans="1:7" x14ac:dyDescent="0.25">
      <c r="A6684" s="8">
        <v>89</v>
      </c>
      <c r="B6684" s="8">
        <v>49</v>
      </c>
      <c r="C6684" s="8">
        <v>2173.6210940000001</v>
      </c>
      <c r="D6684" s="8">
        <v>119874.640625</v>
      </c>
      <c r="E6684" s="8">
        <v>119895.367188</v>
      </c>
      <c r="F6684" s="8">
        <f t="shared" si="208"/>
        <v>20.726563000003807</v>
      </c>
      <c r="G6684" s="8">
        <f t="shared" si="209"/>
        <v>2.0726563000003806E-2</v>
      </c>
    </row>
    <row r="6685" spans="1:7" x14ac:dyDescent="0.25">
      <c r="A6685" s="8">
        <v>89</v>
      </c>
      <c r="B6685" s="8">
        <v>50</v>
      </c>
      <c r="C6685" s="8">
        <v>2647.6052249999998</v>
      </c>
      <c r="D6685" s="8">
        <v>122080.242188</v>
      </c>
      <c r="E6685" s="8">
        <v>122102.773438</v>
      </c>
      <c r="F6685" s="8">
        <f t="shared" si="208"/>
        <v>22.53125</v>
      </c>
      <c r="G6685" s="8">
        <f t="shared" si="209"/>
        <v>2.2531249999999999E-2</v>
      </c>
    </row>
    <row r="6686" spans="1:7" x14ac:dyDescent="0.25">
      <c r="A6686" s="8">
        <v>89</v>
      </c>
      <c r="B6686" s="8">
        <v>51</v>
      </c>
      <c r="C6686" s="8">
        <v>1478.924683</v>
      </c>
      <c r="D6686" s="8">
        <v>124752.117188</v>
      </c>
      <c r="E6686" s="8">
        <v>124768.304688</v>
      </c>
      <c r="F6686" s="8">
        <f t="shared" si="208"/>
        <v>16.1875</v>
      </c>
      <c r="G6686" s="8">
        <f t="shared" si="209"/>
        <v>1.61875E-2</v>
      </c>
    </row>
    <row r="6687" spans="1:7" x14ac:dyDescent="0.25">
      <c r="A6687" s="8">
        <v>89</v>
      </c>
      <c r="B6687" s="8">
        <v>52</v>
      </c>
      <c r="C6687" s="8">
        <v>3109.1455080000001</v>
      </c>
      <c r="D6687" s="8">
        <v>126252.914063</v>
      </c>
      <c r="E6687" s="8">
        <v>126268.539063</v>
      </c>
      <c r="F6687" s="8">
        <f t="shared" si="208"/>
        <v>15.625</v>
      </c>
      <c r="G6687" s="8">
        <f t="shared" si="209"/>
        <v>1.5625E-2</v>
      </c>
    </row>
    <row r="6688" spans="1:7" x14ac:dyDescent="0.25">
      <c r="A6688" s="8">
        <v>89</v>
      </c>
      <c r="B6688" s="8">
        <v>53</v>
      </c>
      <c r="C6688" s="8">
        <v>2253.3657229999999</v>
      </c>
      <c r="D6688" s="8">
        <v>129379.539063</v>
      </c>
      <c r="E6688" s="8">
        <v>129397.765625</v>
      </c>
      <c r="F6688" s="8">
        <f t="shared" si="208"/>
        <v>18.226561999996193</v>
      </c>
      <c r="G6688" s="8">
        <f t="shared" si="209"/>
        <v>1.8226561999996192E-2</v>
      </c>
    </row>
    <row r="6689" spans="1:7" x14ac:dyDescent="0.25">
      <c r="A6689" s="8">
        <v>89</v>
      </c>
      <c r="B6689" s="8">
        <v>54</v>
      </c>
      <c r="C6689" s="8">
        <v>2479.6315920000002</v>
      </c>
      <c r="D6689" s="8">
        <v>131655.109375</v>
      </c>
      <c r="E6689" s="8">
        <v>131668.390625</v>
      </c>
      <c r="F6689" s="8">
        <f t="shared" si="208"/>
        <v>13.28125</v>
      </c>
      <c r="G6689" s="8">
        <f t="shared" si="209"/>
        <v>1.328125E-2</v>
      </c>
    </row>
    <row r="6690" spans="1:7" x14ac:dyDescent="0.25">
      <c r="A6690" s="8">
        <v>89</v>
      </c>
      <c r="B6690" s="8">
        <v>55</v>
      </c>
      <c r="C6690" s="8">
        <v>2860.1110840000001</v>
      </c>
      <c r="D6690" s="8">
        <v>134159.953125</v>
      </c>
      <c r="E6690" s="8">
        <v>134167.234375</v>
      </c>
      <c r="F6690" s="8">
        <f t="shared" si="208"/>
        <v>7.28125</v>
      </c>
      <c r="G6690" s="8">
        <f t="shared" si="209"/>
        <v>7.2812500000000004E-3</v>
      </c>
    </row>
    <row r="6691" spans="1:7" x14ac:dyDescent="0.25">
      <c r="A6691" s="8">
        <v>89</v>
      </c>
      <c r="B6691" s="8">
        <v>56</v>
      </c>
      <c r="C6691" s="8">
        <v>5047.1586909999996</v>
      </c>
      <c r="D6691" s="8">
        <v>137028.546875</v>
      </c>
      <c r="E6691" s="8">
        <v>137045.78125</v>
      </c>
      <c r="F6691" s="8">
        <f t="shared" si="208"/>
        <v>17.234375</v>
      </c>
      <c r="G6691" s="8">
        <f t="shared" si="209"/>
        <v>1.7234375E-2</v>
      </c>
    </row>
    <row r="6692" spans="1:7" x14ac:dyDescent="0.25">
      <c r="A6692" s="8">
        <v>89</v>
      </c>
      <c r="B6692" s="8">
        <v>57</v>
      </c>
      <c r="C6692" s="8">
        <v>2393.1684570000002</v>
      </c>
      <c r="D6692" s="8">
        <v>142093.359375</v>
      </c>
      <c r="E6692" s="8">
        <v>142112.703125</v>
      </c>
      <c r="F6692" s="8">
        <f t="shared" si="208"/>
        <v>19.34375</v>
      </c>
      <c r="G6692" s="8">
        <f t="shared" si="209"/>
        <v>1.934375E-2</v>
      </c>
    </row>
    <row r="6693" spans="1:7" x14ac:dyDescent="0.25">
      <c r="A6693" s="8">
        <v>89</v>
      </c>
      <c r="B6693" s="8">
        <v>58</v>
      </c>
      <c r="C6693" s="8">
        <v>1578.1358640000001</v>
      </c>
      <c r="D6693" s="8">
        <v>144510</v>
      </c>
      <c r="E6693" s="8">
        <v>144521.625</v>
      </c>
      <c r="F6693" s="8">
        <f t="shared" si="208"/>
        <v>11.625</v>
      </c>
      <c r="G6693" s="8">
        <f t="shared" si="209"/>
        <v>1.1625E-2</v>
      </c>
    </row>
    <row r="6694" spans="1:7" x14ac:dyDescent="0.25">
      <c r="A6694" s="8">
        <v>89</v>
      </c>
      <c r="B6694" s="8">
        <v>59</v>
      </c>
      <c r="C6694" s="8">
        <v>240.118515</v>
      </c>
      <c r="D6694" s="8">
        <v>146115.296875</v>
      </c>
      <c r="E6694" s="8">
        <v>146123.59375</v>
      </c>
      <c r="F6694" s="8">
        <f t="shared" si="208"/>
        <v>8.296875</v>
      </c>
      <c r="G6694" s="8">
        <f t="shared" si="209"/>
        <v>8.2968750000000004E-3</v>
      </c>
    </row>
    <row r="6695" spans="1:7" x14ac:dyDescent="0.25">
      <c r="A6695" s="8">
        <v>89</v>
      </c>
      <c r="B6695" s="8">
        <v>60</v>
      </c>
      <c r="C6695" s="8">
        <v>1867.026611</v>
      </c>
      <c r="D6695" s="8">
        <v>146365.328125</v>
      </c>
      <c r="E6695" s="8">
        <v>146408.03125</v>
      </c>
      <c r="F6695" s="8">
        <f t="shared" si="208"/>
        <v>42.703125</v>
      </c>
      <c r="G6695" s="8">
        <f t="shared" si="209"/>
        <v>4.2703125000000001E-2</v>
      </c>
    </row>
    <row r="6696" spans="1:7" x14ac:dyDescent="0.25">
      <c r="A6696" s="8">
        <v>89</v>
      </c>
      <c r="B6696" s="8">
        <v>61</v>
      </c>
      <c r="C6696" s="8">
        <v>1190.6697999999999</v>
      </c>
      <c r="D6696" s="8">
        <v>148290.171875</v>
      </c>
      <c r="E6696" s="8">
        <v>148305.328125</v>
      </c>
      <c r="F6696" s="8">
        <f t="shared" si="208"/>
        <v>15.15625</v>
      </c>
      <c r="G6696" s="8">
        <f t="shared" si="209"/>
        <v>1.515625E-2</v>
      </c>
    </row>
    <row r="6697" spans="1:7" x14ac:dyDescent="0.25">
      <c r="A6697" s="8">
        <v>89</v>
      </c>
      <c r="B6697" s="8">
        <v>62</v>
      </c>
      <c r="C6697" s="8">
        <v>2565.1540530000002</v>
      </c>
      <c r="D6697" s="8">
        <v>149509.84375</v>
      </c>
      <c r="E6697" s="8">
        <v>149520.8125</v>
      </c>
      <c r="F6697" s="8">
        <f t="shared" si="208"/>
        <v>10.96875</v>
      </c>
      <c r="G6697" s="8">
        <f t="shared" si="209"/>
        <v>1.0968749999999999E-2</v>
      </c>
    </row>
    <row r="6698" spans="1:7" x14ac:dyDescent="0.25">
      <c r="A6698" s="8">
        <v>89</v>
      </c>
      <c r="B6698" s="8">
        <v>63</v>
      </c>
      <c r="C6698" s="8">
        <v>2395.5935060000002</v>
      </c>
      <c r="D6698" s="8">
        <v>152092.8125</v>
      </c>
      <c r="E6698" s="8">
        <v>152106.390625</v>
      </c>
      <c r="F6698" s="8">
        <f t="shared" si="208"/>
        <v>13.578125</v>
      </c>
      <c r="G6698" s="8">
        <f t="shared" si="209"/>
        <v>1.3578125E-2</v>
      </c>
    </row>
    <row r="6699" spans="1:7" x14ac:dyDescent="0.25">
      <c r="A6699" s="8">
        <v>89</v>
      </c>
      <c r="B6699" s="8">
        <v>64</v>
      </c>
      <c r="C6699" s="8">
        <v>689.41882299999997</v>
      </c>
      <c r="D6699" s="8">
        <v>154515.953125</v>
      </c>
      <c r="E6699" s="8">
        <v>154532.90625</v>
      </c>
      <c r="F6699" s="8">
        <f t="shared" si="208"/>
        <v>16.953125</v>
      </c>
      <c r="G6699" s="8">
        <f t="shared" si="209"/>
        <v>1.6953124999999999E-2</v>
      </c>
    </row>
    <row r="6700" spans="1:7" x14ac:dyDescent="0.25">
      <c r="A6700" s="8">
        <v>89</v>
      </c>
      <c r="B6700" s="8">
        <v>65</v>
      </c>
      <c r="C6700" s="8">
        <v>2502.3242190000001</v>
      </c>
      <c r="D6700" s="8">
        <v>155234.703125</v>
      </c>
      <c r="E6700" s="8">
        <v>155242.1875</v>
      </c>
      <c r="F6700" s="8">
        <f t="shared" si="208"/>
        <v>7.484375</v>
      </c>
      <c r="G6700" s="8">
        <f t="shared" si="209"/>
        <v>7.4843749999999997E-3</v>
      </c>
    </row>
    <row r="6701" spans="1:7" x14ac:dyDescent="0.25">
      <c r="A6701" s="8">
        <v>89</v>
      </c>
      <c r="B6701" s="8">
        <v>66</v>
      </c>
      <c r="C6701" s="8">
        <v>108.354866</v>
      </c>
      <c r="D6701" s="8">
        <v>157750.609375</v>
      </c>
      <c r="E6701" s="8">
        <v>157758.109375</v>
      </c>
      <c r="F6701" s="8">
        <f t="shared" si="208"/>
        <v>7.5</v>
      </c>
      <c r="G6701" s="8">
        <f t="shared" si="209"/>
        <v>7.4999999999999997E-3</v>
      </c>
    </row>
    <row r="6702" spans="1:7" x14ac:dyDescent="0.25">
      <c r="A6702" s="8">
        <v>89</v>
      </c>
      <c r="B6702" s="8">
        <v>67</v>
      </c>
      <c r="C6702" s="8">
        <v>164.617401</v>
      </c>
      <c r="D6702" s="8">
        <v>157875.65625</v>
      </c>
      <c r="E6702" s="8">
        <v>157882.984375</v>
      </c>
      <c r="F6702" s="8">
        <f t="shared" si="208"/>
        <v>7.328125</v>
      </c>
      <c r="G6702" s="8">
        <f t="shared" si="209"/>
        <v>7.3281249999999996E-3</v>
      </c>
    </row>
    <row r="6703" spans="1:7" x14ac:dyDescent="0.25">
      <c r="A6703" s="8">
        <v>89</v>
      </c>
      <c r="B6703" s="8">
        <v>68</v>
      </c>
      <c r="C6703" s="8">
        <v>3134.7307129999999</v>
      </c>
      <c r="D6703" s="8">
        <v>158047.546875</v>
      </c>
      <c r="E6703" s="8">
        <v>158058.84375</v>
      </c>
      <c r="F6703" s="8">
        <f t="shared" si="208"/>
        <v>11.296875</v>
      </c>
      <c r="G6703" s="8">
        <f t="shared" si="209"/>
        <v>1.1296875E-2</v>
      </c>
    </row>
    <row r="6704" spans="1:7" x14ac:dyDescent="0.25">
      <c r="A6704" s="8">
        <v>89</v>
      </c>
      <c r="B6704" s="8">
        <v>69</v>
      </c>
      <c r="C6704" s="8">
        <v>39.201236999999999</v>
      </c>
      <c r="D6704" s="8">
        <v>161205.109375</v>
      </c>
      <c r="E6704" s="8">
        <v>161228.28125</v>
      </c>
      <c r="F6704" s="8">
        <f t="shared" si="208"/>
        <v>23.171875</v>
      </c>
      <c r="G6704" s="8">
        <f t="shared" si="209"/>
        <v>2.3171875000000001E-2</v>
      </c>
    </row>
    <row r="6705" spans="1:7" x14ac:dyDescent="0.25">
      <c r="A6705" s="8">
        <v>89</v>
      </c>
      <c r="B6705" s="8">
        <v>70</v>
      </c>
      <c r="C6705" s="8">
        <v>1482.8923339999999</v>
      </c>
      <c r="D6705" s="8">
        <v>161267.625</v>
      </c>
      <c r="E6705" s="8">
        <v>161294.15625</v>
      </c>
      <c r="F6705" s="8">
        <f t="shared" si="208"/>
        <v>26.53125</v>
      </c>
      <c r="G6705" s="8">
        <f t="shared" si="209"/>
        <v>2.6531249999999999E-2</v>
      </c>
    </row>
    <row r="6706" spans="1:7" x14ac:dyDescent="0.25">
      <c r="A6706" s="8">
        <v>89</v>
      </c>
      <c r="B6706" s="8">
        <v>71</v>
      </c>
      <c r="C6706" s="8">
        <v>200.12196399999999</v>
      </c>
      <c r="D6706" s="8">
        <v>162783.96875</v>
      </c>
      <c r="E6706" s="8">
        <v>162793.484375</v>
      </c>
      <c r="F6706" s="8">
        <f t="shared" si="208"/>
        <v>9.515625</v>
      </c>
      <c r="G6706" s="8">
        <f t="shared" si="209"/>
        <v>9.5156249999999998E-3</v>
      </c>
    </row>
    <row r="6707" spans="1:7" x14ac:dyDescent="0.25">
      <c r="A6707" s="8">
        <v>89</v>
      </c>
      <c r="B6707" s="8">
        <v>72</v>
      </c>
      <c r="C6707" s="8">
        <v>2286.5969239999999</v>
      </c>
      <c r="D6707" s="8">
        <v>163002.75</v>
      </c>
      <c r="E6707" s="8">
        <v>163016.234375</v>
      </c>
      <c r="F6707" s="8">
        <f t="shared" si="208"/>
        <v>13.484375</v>
      </c>
      <c r="G6707" s="8">
        <f t="shared" si="209"/>
        <v>1.3484375E-2</v>
      </c>
    </row>
    <row r="6708" spans="1:7" x14ac:dyDescent="0.25">
      <c r="A6708" s="8">
        <v>89</v>
      </c>
      <c r="B6708" s="8">
        <v>73</v>
      </c>
      <c r="C6708" s="8">
        <v>3942.8833009999998</v>
      </c>
      <c r="D6708" s="8">
        <v>165311.625</v>
      </c>
      <c r="E6708" s="8">
        <v>165329.25</v>
      </c>
      <c r="F6708" s="8">
        <f t="shared" si="208"/>
        <v>17.625</v>
      </c>
      <c r="G6708" s="8">
        <f t="shared" si="209"/>
        <v>1.7624999999999998E-2</v>
      </c>
    </row>
    <row r="6709" spans="1:7" x14ac:dyDescent="0.25">
      <c r="A6709" s="8">
        <v>89</v>
      </c>
      <c r="B6709" s="8">
        <v>74</v>
      </c>
      <c r="C6709" s="8">
        <v>1342.047241</v>
      </c>
      <c r="D6709" s="8">
        <v>169282.828125</v>
      </c>
      <c r="E6709" s="8">
        <v>169297.015625</v>
      </c>
      <c r="F6709" s="8">
        <f t="shared" si="208"/>
        <v>14.1875</v>
      </c>
      <c r="G6709" s="8">
        <f t="shared" si="209"/>
        <v>1.41875E-2</v>
      </c>
    </row>
    <row r="6710" spans="1:7" x14ac:dyDescent="0.25">
      <c r="A6710" s="8">
        <v>90</v>
      </c>
      <c r="B6710" s="8">
        <v>0</v>
      </c>
      <c r="C6710" s="8">
        <v>1401.058716</v>
      </c>
      <c r="D6710" s="8">
        <v>21219.3125</v>
      </c>
      <c r="E6710" s="8">
        <v>21230.574218999998</v>
      </c>
      <c r="F6710" s="8">
        <f t="shared" si="208"/>
        <v>11.261718999998266</v>
      </c>
      <c r="G6710" s="8">
        <f t="shared" si="209"/>
        <v>1.1261718999998265E-2</v>
      </c>
    </row>
    <row r="6711" spans="1:7" x14ac:dyDescent="0.25">
      <c r="A6711" s="8">
        <v>90</v>
      </c>
      <c r="B6711" s="8">
        <v>1</v>
      </c>
      <c r="C6711" s="8">
        <v>353.23739599999999</v>
      </c>
      <c r="D6711" s="8">
        <v>22641.369140999999</v>
      </c>
      <c r="E6711" s="8">
        <v>22659.455077999999</v>
      </c>
      <c r="F6711" s="8">
        <f t="shared" si="208"/>
        <v>18.085936999999831</v>
      </c>
      <c r="G6711" s="8">
        <f t="shared" si="209"/>
        <v>1.808593699999983E-2</v>
      </c>
    </row>
    <row r="6712" spans="1:7" x14ac:dyDescent="0.25">
      <c r="A6712" s="8">
        <v>90</v>
      </c>
      <c r="B6712" s="8">
        <v>2</v>
      </c>
      <c r="C6712" s="8">
        <v>3115.5112300000001</v>
      </c>
      <c r="D6712" s="8">
        <v>23016.189452999999</v>
      </c>
      <c r="E6712" s="8">
        <v>23039.123047000001</v>
      </c>
      <c r="F6712" s="8">
        <f t="shared" si="208"/>
        <v>22.933594000001904</v>
      </c>
      <c r="G6712" s="8">
        <f t="shared" si="209"/>
        <v>2.2933594000001903E-2</v>
      </c>
    </row>
    <row r="6713" spans="1:7" x14ac:dyDescent="0.25">
      <c r="A6713" s="8">
        <v>90</v>
      </c>
      <c r="B6713" s="8">
        <v>3</v>
      </c>
      <c r="C6713" s="8">
        <v>1957.857544</v>
      </c>
      <c r="D6713" s="8">
        <v>26164.132813</v>
      </c>
      <c r="E6713" s="8">
        <v>26181.464843999998</v>
      </c>
      <c r="F6713" s="8">
        <f t="shared" si="208"/>
        <v>17.332030999998096</v>
      </c>
      <c r="G6713" s="8">
        <f t="shared" si="209"/>
        <v>1.7332030999998096E-2</v>
      </c>
    </row>
    <row r="6714" spans="1:7" x14ac:dyDescent="0.25">
      <c r="A6714" s="8">
        <v>90</v>
      </c>
      <c r="B6714" s="8">
        <v>4</v>
      </c>
      <c r="C6714" s="8">
        <v>4527.7666019999997</v>
      </c>
      <c r="D6714" s="8">
        <v>28150.353515999999</v>
      </c>
      <c r="E6714" s="8">
        <v>28170.994140999999</v>
      </c>
      <c r="F6714" s="8">
        <f t="shared" si="208"/>
        <v>20.640625</v>
      </c>
      <c r="G6714" s="8">
        <f t="shared" si="209"/>
        <v>2.0640624999999999E-2</v>
      </c>
    </row>
    <row r="6715" spans="1:7" x14ac:dyDescent="0.25">
      <c r="A6715" s="8">
        <v>90</v>
      </c>
      <c r="B6715" s="8">
        <v>5</v>
      </c>
      <c r="C6715" s="8">
        <v>1257.759033</v>
      </c>
      <c r="D6715" s="8">
        <v>32707.607422000001</v>
      </c>
      <c r="E6715" s="8">
        <v>32725.412109000001</v>
      </c>
      <c r="F6715" s="8">
        <f t="shared" si="208"/>
        <v>17.804686999999831</v>
      </c>
      <c r="G6715" s="8">
        <f t="shared" si="209"/>
        <v>1.780468699999983E-2</v>
      </c>
    </row>
    <row r="6716" spans="1:7" x14ac:dyDescent="0.25">
      <c r="A6716" s="8">
        <v>90</v>
      </c>
      <c r="B6716" s="8">
        <v>6</v>
      </c>
      <c r="C6716" s="8">
        <v>6000.4575199999999</v>
      </c>
      <c r="D6716" s="8">
        <v>33993.859375</v>
      </c>
      <c r="E6716" s="8">
        <v>34015.910155999998</v>
      </c>
      <c r="F6716" s="8">
        <f t="shared" si="208"/>
        <v>22.050780999998096</v>
      </c>
      <c r="G6716" s="8">
        <f t="shared" si="209"/>
        <v>2.2050780999998097E-2</v>
      </c>
    </row>
    <row r="6717" spans="1:7" x14ac:dyDescent="0.25">
      <c r="A6717" s="8">
        <v>90</v>
      </c>
      <c r="B6717" s="8">
        <v>7</v>
      </c>
      <c r="C6717" s="8">
        <v>863.87255900000002</v>
      </c>
      <c r="D6717" s="8">
        <v>40027.417969000002</v>
      </c>
      <c r="E6717" s="8">
        <v>40040.75</v>
      </c>
      <c r="F6717" s="8">
        <f t="shared" si="208"/>
        <v>13.332030999998096</v>
      </c>
      <c r="G6717" s="8">
        <f t="shared" si="209"/>
        <v>1.3332030999998096E-2</v>
      </c>
    </row>
    <row r="6718" spans="1:7" x14ac:dyDescent="0.25">
      <c r="A6718" s="8">
        <v>90</v>
      </c>
      <c r="B6718" s="8">
        <v>8</v>
      </c>
      <c r="C6718" s="8">
        <v>3056.1206050000001</v>
      </c>
      <c r="D6718" s="8">
        <v>40918.898437999997</v>
      </c>
      <c r="E6718" s="8">
        <v>40926.679687999997</v>
      </c>
      <c r="F6718" s="8">
        <f t="shared" si="208"/>
        <v>7.78125</v>
      </c>
      <c r="G6718" s="8">
        <f t="shared" si="209"/>
        <v>7.78125E-3</v>
      </c>
    </row>
    <row r="6719" spans="1:7" x14ac:dyDescent="0.25">
      <c r="A6719" s="8">
        <v>90</v>
      </c>
      <c r="B6719" s="8">
        <v>9</v>
      </c>
      <c r="C6719" s="8">
        <v>1494.5848390000001</v>
      </c>
      <c r="D6719" s="8">
        <v>43990.515625</v>
      </c>
      <c r="E6719" s="8">
        <v>44001.933594000002</v>
      </c>
      <c r="F6719" s="8">
        <f t="shared" si="208"/>
        <v>11.417969000001904</v>
      </c>
      <c r="G6719" s="8">
        <f t="shared" si="209"/>
        <v>1.1417969000001903E-2</v>
      </c>
    </row>
    <row r="6720" spans="1:7" x14ac:dyDescent="0.25">
      <c r="A6720" s="8">
        <v>90</v>
      </c>
      <c r="B6720" s="8">
        <v>10</v>
      </c>
      <c r="C6720" s="8">
        <v>3800.3735350000002</v>
      </c>
      <c r="D6720" s="8">
        <v>45506.273437999997</v>
      </c>
      <c r="E6720" s="8">
        <v>45525.792969000002</v>
      </c>
      <c r="F6720" s="8">
        <f t="shared" si="208"/>
        <v>19.519531000005372</v>
      </c>
      <c r="G6720" s="8">
        <f t="shared" si="209"/>
        <v>1.9519531000005374E-2</v>
      </c>
    </row>
    <row r="6721" spans="1:7" x14ac:dyDescent="0.25">
      <c r="A6721" s="8">
        <v>90</v>
      </c>
      <c r="B6721" s="8">
        <v>11</v>
      </c>
      <c r="C6721" s="8">
        <v>2361.3120119999999</v>
      </c>
      <c r="D6721" s="8">
        <v>49326.804687999997</v>
      </c>
      <c r="E6721" s="8">
        <v>49348.625</v>
      </c>
      <c r="F6721" s="8">
        <f t="shared" si="208"/>
        <v>21.820312000003469</v>
      </c>
      <c r="G6721" s="8">
        <f t="shared" si="209"/>
        <v>2.1820312000003467E-2</v>
      </c>
    </row>
    <row r="6722" spans="1:7" x14ac:dyDescent="0.25">
      <c r="A6722" s="8">
        <v>90</v>
      </c>
      <c r="B6722" s="8">
        <v>12</v>
      </c>
      <c r="C6722" s="8">
        <v>3120.4440920000002</v>
      </c>
      <c r="D6722" s="8">
        <v>51716.707030999998</v>
      </c>
      <c r="E6722" s="8">
        <v>51732.484375</v>
      </c>
      <c r="F6722" s="8">
        <f t="shared" si="208"/>
        <v>15.777344000001904</v>
      </c>
      <c r="G6722" s="8">
        <f t="shared" si="209"/>
        <v>1.5777344000001903E-2</v>
      </c>
    </row>
    <row r="6723" spans="1:7" x14ac:dyDescent="0.25">
      <c r="A6723" s="8">
        <v>90</v>
      </c>
      <c r="B6723" s="8">
        <v>13</v>
      </c>
      <c r="C6723" s="8">
        <v>5033.5014650000003</v>
      </c>
      <c r="D6723" s="8">
        <v>54862.941405999998</v>
      </c>
      <c r="E6723" s="8">
        <v>54870.84375</v>
      </c>
      <c r="F6723" s="8">
        <f t="shared" si="208"/>
        <v>7.9023440000019036</v>
      </c>
      <c r="G6723" s="8">
        <f t="shared" si="209"/>
        <v>7.9023440000019034E-3</v>
      </c>
    </row>
    <row r="6724" spans="1:7" x14ac:dyDescent="0.25">
      <c r="A6724" s="8">
        <v>90</v>
      </c>
      <c r="B6724" s="8">
        <v>14</v>
      </c>
      <c r="C6724" s="8">
        <v>4414.7548829999996</v>
      </c>
      <c r="D6724" s="8">
        <v>59919.304687999997</v>
      </c>
      <c r="E6724" s="8">
        <v>59937.210937999997</v>
      </c>
      <c r="F6724" s="8">
        <f t="shared" si="208"/>
        <v>17.90625</v>
      </c>
      <c r="G6724" s="8">
        <f t="shared" si="209"/>
        <v>1.7906249999999999E-2</v>
      </c>
    </row>
    <row r="6725" spans="1:7" x14ac:dyDescent="0.25">
      <c r="A6725" s="8">
        <v>90</v>
      </c>
      <c r="B6725" s="8">
        <v>15</v>
      </c>
      <c r="C6725" s="8">
        <v>1563.6770019999999</v>
      </c>
      <c r="D6725" s="8">
        <v>64355.921875</v>
      </c>
      <c r="E6725" s="8">
        <v>64369.542969000002</v>
      </c>
      <c r="F6725" s="8">
        <f t="shared" si="208"/>
        <v>13.621094000001904</v>
      </c>
      <c r="G6725" s="8">
        <f t="shared" si="209"/>
        <v>1.3621094000001903E-2</v>
      </c>
    </row>
    <row r="6726" spans="1:7" x14ac:dyDescent="0.25">
      <c r="A6726" s="8">
        <v>90</v>
      </c>
      <c r="B6726" s="8">
        <v>16</v>
      </c>
      <c r="C6726" s="8">
        <v>1261.196289</v>
      </c>
      <c r="D6726" s="8">
        <v>65934.09375</v>
      </c>
      <c r="E6726" s="8">
        <v>65955.875</v>
      </c>
      <c r="F6726" s="8">
        <f t="shared" si="208"/>
        <v>21.78125</v>
      </c>
      <c r="G6726" s="8">
        <f t="shared" si="209"/>
        <v>2.1781249999999999E-2</v>
      </c>
    </row>
    <row r="6727" spans="1:7" x14ac:dyDescent="0.25">
      <c r="A6727" s="8">
        <v>90</v>
      </c>
      <c r="B6727" s="8">
        <v>17</v>
      </c>
      <c r="C6727" s="8">
        <v>3366.533203</v>
      </c>
      <c r="D6727" s="8">
        <v>67231.921875</v>
      </c>
      <c r="E6727" s="8">
        <v>67256.703125</v>
      </c>
      <c r="F6727" s="8">
        <f t="shared" si="208"/>
        <v>24.78125</v>
      </c>
      <c r="G6727" s="8">
        <f t="shared" si="209"/>
        <v>2.4781250000000001E-2</v>
      </c>
    </row>
    <row r="6728" spans="1:7" x14ac:dyDescent="0.25">
      <c r="A6728" s="8">
        <v>90</v>
      </c>
      <c r="B6728" s="8">
        <v>18</v>
      </c>
      <c r="C6728" s="8">
        <v>1820.5325929999999</v>
      </c>
      <c r="D6728" s="8">
        <v>70632.578125</v>
      </c>
      <c r="E6728" s="8">
        <v>70656.3125</v>
      </c>
      <c r="F6728" s="8">
        <f t="shared" si="208"/>
        <v>23.734375</v>
      </c>
      <c r="G6728" s="8">
        <f t="shared" si="209"/>
        <v>2.3734374999999999E-2</v>
      </c>
    </row>
    <row r="6729" spans="1:7" x14ac:dyDescent="0.25">
      <c r="A6729" s="8">
        <v>90</v>
      </c>
      <c r="B6729" s="8">
        <v>19</v>
      </c>
      <c r="C6729" s="8">
        <v>2469.744385</v>
      </c>
      <c r="D6729" s="8">
        <v>72482.257813000004</v>
      </c>
      <c r="E6729" s="8">
        <v>72502.796875</v>
      </c>
      <c r="F6729" s="8">
        <f t="shared" si="208"/>
        <v>20.539061999996193</v>
      </c>
      <c r="G6729" s="8">
        <f t="shared" si="209"/>
        <v>2.0539061999996194E-2</v>
      </c>
    </row>
    <row r="6730" spans="1:7" x14ac:dyDescent="0.25">
      <c r="A6730" s="8">
        <v>90</v>
      </c>
      <c r="B6730" s="8">
        <v>20</v>
      </c>
      <c r="C6730" s="8">
        <v>2401.0603030000002</v>
      </c>
      <c r="D6730" s="8">
        <v>74977.03125</v>
      </c>
      <c r="E6730" s="8">
        <v>75011.90625</v>
      </c>
      <c r="F6730" s="8">
        <f t="shared" si="208"/>
        <v>34.875</v>
      </c>
      <c r="G6730" s="8">
        <f t="shared" si="209"/>
        <v>3.4875000000000003E-2</v>
      </c>
    </row>
    <row r="6731" spans="1:7" x14ac:dyDescent="0.25">
      <c r="A6731" s="8">
        <v>90</v>
      </c>
      <c r="B6731" s="8">
        <v>21</v>
      </c>
      <c r="C6731" s="8">
        <v>273.49939000000001</v>
      </c>
      <c r="D6731" s="8">
        <v>77413.359375</v>
      </c>
      <c r="E6731" s="8">
        <v>77434.742188000004</v>
      </c>
      <c r="F6731" s="8">
        <f t="shared" ref="F6731:F6794" si="210">E6731-D6731</f>
        <v>21.382813000003807</v>
      </c>
      <c r="G6731" s="8">
        <f t="shared" ref="G6731:G6794" si="211">F6731/1000</f>
        <v>2.1382813000003806E-2</v>
      </c>
    </row>
    <row r="6732" spans="1:7" x14ac:dyDescent="0.25">
      <c r="A6732" s="8">
        <v>90</v>
      </c>
      <c r="B6732" s="8">
        <v>22</v>
      </c>
      <c r="C6732" s="8">
        <v>64.003463999999994</v>
      </c>
      <c r="D6732" s="8">
        <v>77710.898438000004</v>
      </c>
      <c r="E6732" s="8">
        <v>77727.5</v>
      </c>
      <c r="F6732" s="8">
        <f t="shared" si="210"/>
        <v>16.601561999996193</v>
      </c>
      <c r="G6732" s="8">
        <f t="shared" si="211"/>
        <v>1.6601561999996194E-2</v>
      </c>
    </row>
    <row r="6733" spans="1:7" x14ac:dyDescent="0.25">
      <c r="A6733" s="8">
        <v>90</v>
      </c>
      <c r="B6733" s="8">
        <v>23</v>
      </c>
      <c r="C6733" s="8">
        <v>196.886459</v>
      </c>
      <c r="D6733" s="8">
        <v>77804.507813000004</v>
      </c>
      <c r="E6733" s="8">
        <v>77823.617188000004</v>
      </c>
      <c r="F6733" s="8">
        <f t="shared" si="210"/>
        <v>19.109375</v>
      </c>
      <c r="G6733" s="8">
        <f t="shared" si="211"/>
        <v>1.9109375000000001E-2</v>
      </c>
    </row>
    <row r="6734" spans="1:7" x14ac:dyDescent="0.25">
      <c r="A6734" s="8">
        <v>90</v>
      </c>
      <c r="B6734" s="8">
        <v>24</v>
      </c>
      <c r="C6734" s="8">
        <v>111.514709</v>
      </c>
      <c r="D6734" s="8">
        <v>78026.007813000004</v>
      </c>
      <c r="E6734" s="8">
        <v>78048.617188000004</v>
      </c>
      <c r="F6734" s="8">
        <f t="shared" si="210"/>
        <v>22.609375</v>
      </c>
      <c r="G6734" s="8">
        <f t="shared" si="211"/>
        <v>2.2609375000000001E-2</v>
      </c>
    </row>
    <row r="6735" spans="1:7" x14ac:dyDescent="0.25">
      <c r="A6735" s="8">
        <v>90</v>
      </c>
      <c r="B6735" s="8">
        <v>25</v>
      </c>
      <c r="C6735" s="8">
        <v>3534.3823240000002</v>
      </c>
      <c r="D6735" s="8">
        <v>78166.6875</v>
      </c>
      <c r="E6735" s="8">
        <v>78190.34375</v>
      </c>
      <c r="F6735" s="8">
        <f t="shared" si="210"/>
        <v>23.65625</v>
      </c>
      <c r="G6735" s="8">
        <f t="shared" si="211"/>
        <v>2.365625E-2</v>
      </c>
    </row>
    <row r="6736" spans="1:7" x14ac:dyDescent="0.25">
      <c r="A6736" s="8">
        <v>90</v>
      </c>
      <c r="B6736" s="8">
        <v>26</v>
      </c>
      <c r="C6736" s="8">
        <v>2701.5371089999999</v>
      </c>
      <c r="D6736" s="8">
        <v>81739.507813000004</v>
      </c>
      <c r="E6736" s="8">
        <v>81750.585938000004</v>
      </c>
      <c r="F6736" s="8">
        <f t="shared" si="210"/>
        <v>11.078125</v>
      </c>
      <c r="G6736" s="8">
        <f t="shared" si="211"/>
        <v>1.1078124999999999E-2</v>
      </c>
    </row>
    <row r="6737" spans="1:7" x14ac:dyDescent="0.25">
      <c r="A6737" s="8">
        <v>90</v>
      </c>
      <c r="B6737" s="8">
        <v>27</v>
      </c>
      <c r="C6737" s="8">
        <v>394.73998999999998</v>
      </c>
      <c r="D6737" s="8">
        <v>84454.09375</v>
      </c>
      <c r="E6737" s="8">
        <v>84479</v>
      </c>
      <c r="F6737" s="8">
        <f t="shared" si="210"/>
        <v>24.90625</v>
      </c>
      <c r="G6737" s="8">
        <f t="shared" si="211"/>
        <v>2.4906250000000001E-2</v>
      </c>
    </row>
    <row r="6738" spans="1:7" x14ac:dyDescent="0.25">
      <c r="A6738" s="8">
        <v>90</v>
      </c>
      <c r="B6738" s="8">
        <v>28</v>
      </c>
      <c r="C6738" s="8">
        <v>431.88848899999999</v>
      </c>
      <c r="D6738" s="8">
        <v>84876.015625</v>
      </c>
      <c r="E6738" s="8">
        <v>84883.789063000004</v>
      </c>
      <c r="F6738" s="8">
        <f t="shared" si="210"/>
        <v>7.7734380000038072</v>
      </c>
      <c r="G6738" s="8">
        <f t="shared" si="211"/>
        <v>7.7734380000038074E-3</v>
      </c>
    </row>
    <row r="6739" spans="1:7" x14ac:dyDescent="0.25">
      <c r="A6739" s="8">
        <v>90</v>
      </c>
      <c r="B6739" s="8">
        <v>29</v>
      </c>
      <c r="C6739" s="8">
        <v>232.42510999999999</v>
      </c>
      <c r="D6739" s="8">
        <v>85329.3125</v>
      </c>
      <c r="E6739" s="8">
        <v>85356.664063000004</v>
      </c>
      <c r="F6739" s="8">
        <f t="shared" si="210"/>
        <v>27.351563000003807</v>
      </c>
      <c r="G6739" s="8">
        <f t="shared" si="211"/>
        <v>2.7351563000003808E-2</v>
      </c>
    </row>
    <row r="6740" spans="1:7" x14ac:dyDescent="0.25">
      <c r="A6740" s="8">
        <v>90</v>
      </c>
      <c r="B6740" s="8">
        <v>30</v>
      </c>
      <c r="C6740" s="8">
        <v>282.26626599999997</v>
      </c>
      <c r="D6740" s="8">
        <v>85596.414063000004</v>
      </c>
      <c r="E6740" s="8">
        <v>85604.21875</v>
      </c>
      <c r="F6740" s="8">
        <f t="shared" si="210"/>
        <v>7.8046869999961928</v>
      </c>
      <c r="G6740" s="8">
        <f t="shared" si="211"/>
        <v>7.8046869999961925E-3</v>
      </c>
    </row>
    <row r="6741" spans="1:7" x14ac:dyDescent="0.25">
      <c r="A6741" s="8">
        <v>90</v>
      </c>
      <c r="B6741" s="8">
        <v>31</v>
      </c>
      <c r="C6741" s="8">
        <v>736.67071499999997</v>
      </c>
      <c r="D6741" s="8">
        <v>85893.34375</v>
      </c>
      <c r="E6741" s="8">
        <v>85990.5625</v>
      </c>
      <c r="F6741" s="8">
        <f t="shared" si="210"/>
        <v>97.21875</v>
      </c>
      <c r="G6741" s="8">
        <f t="shared" si="211"/>
        <v>9.7218750000000007E-2</v>
      </c>
    </row>
    <row r="6742" spans="1:7" x14ac:dyDescent="0.25">
      <c r="A6742" s="8">
        <v>90</v>
      </c>
      <c r="B6742" s="8">
        <v>32</v>
      </c>
      <c r="C6742" s="8">
        <v>4815.2333980000003</v>
      </c>
      <c r="D6742" s="8">
        <v>86737.148438000004</v>
      </c>
      <c r="E6742" s="8">
        <v>86745.085938000004</v>
      </c>
      <c r="F6742" s="8">
        <f t="shared" si="210"/>
        <v>7.9375</v>
      </c>
      <c r="G6742" s="8">
        <f t="shared" si="211"/>
        <v>7.9375000000000001E-3</v>
      </c>
    </row>
    <row r="6743" spans="1:7" x14ac:dyDescent="0.25">
      <c r="A6743" s="8">
        <v>90</v>
      </c>
      <c r="B6743" s="8">
        <v>33</v>
      </c>
      <c r="C6743" s="8">
        <v>2026.607544</v>
      </c>
      <c r="D6743" s="8">
        <v>91573.507813000004</v>
      </c>
      <c r="E6743" s="8">
        <v>91595.351563000004</v>
      </c>
      <c r="F6743" s="8">
        <f t="shared" si="210"/>
        <v>21.84375</v>
      </c>
      <c r="G6743" s="8">
        <f t="shared" si="211"/>
        <v>2.1843749999999999E-2</v>
      </c>
    </row>
    <row r="6744" spans="1:7" x14ac:dyDescent="0.25">
      <c r="A6744" s="8">
        <v>90</v>
      </c>
      <c r="B6744" s="8">
        <v>34</v>
      </c>
      <c r="C6744" s="8">
        <v>1732.2620850000001</v>
      </c>
      <c r="D6744" s="8">
        <v>93623.21875</v>
      </c>
      <c r="E6744" s="8">
        <v>93647.84375</v>
      </c>
      <c r="F6744" s="8">
        <f t="shared" si="210"/>
        <v>24.625</v>
      </c>
      <c r="G6744" s="8">
        <f t="shared" si="211"/>
        <v>2.4625000000000001E-2</v>
      </c>
    </row>
    <row r="6745" spans="1:7" x14ac:dyDescent="0.25">
      <c r="A6745" s="8">
        <v>90</v>
      </c>
      <c r="B6745" s="8">
        <v>35</v>
      </c>
      <c r="C6745" s="8">
        <v>2531.1108399999998</v>
      </c>
      <c r="D6745" s="8">
        <v>95390.460938000004</v>
      </c>
      <c r="E6745" s="8">
        <v>95404.484375</v>
      </c>
      <c r="F6745" s="8">
        <f t="shared" si="210"/>
        <v>14.023436999996193</v>
      </c>
      <c r="G6745" s="8">
        <f t="shared" si="211"/>
        <v>1.4023436999996192E-2</v>
      </c>
    </row>
    <row r="6746" spans="1:7" x14ac:dyDescent="0.25">
      <c r="A6746" s="8">
        <v>90</v>
      </c>
      <c r="B6746" s="8">
        <v>36</v>
      </c>
      <c r="C6746" s="8">
        <v>4518.9780270000001</v>
      </c>
      <c r="D6746" s="8">
        <v>97941.257813000004</v>
      </c>
      <c r="E6746" s="8">
        <v>97965.492188000004</v>
      </c>
      <c r="F6746" s="8">
        <f t="shared" si="210"/>
        <v>24.234375</v>
      </c>
      <c r="G6746" s="8">
        <f t="shared" si="211"/>
        <v>2.4234374999999999E-2</v>
      </c>
    </row>
    <row r="6747" spans="1:7" x14ac:dyDescent="0.25">
      <c r="A6747" s="8">
        <v>90</v>
      </c>
      <c r="B6747" s="8">
        <v>37</v>
      </c>
      <c r="C6747" s="8">
        <v>1888.7226559999999</v>
      </c>
      <c r="D6747" s="8">
        <v>102484.882813</v>
      </c>
      <c r="E6747" s="8">
        <v>102492.601563</v>
      </c>
      <c r="F6747" s="8">
        <f t="shared" si="210"/>
        <v>7.71875</v>
      </c>
      <c r="G6747" s="8">
        <f t="shared" si="211"/>
        <v>7.7187499999999999E-3</v>
      </c>
    </row>
    <row r="6748" spans="1:7" x14ac:dyDescent="0.25">
      <c r="A6748" s="8">
        <v>90</v>
      </c>
      <c r="B6748" s="8">
        <v>38</v>
      </c>
      <c r="C6748" s="8">
        <v>291.77795400000002</v>
      </c>
      <c r="D6748" s="8">
        <v>104393.9375</v>
      </c>
      <c r="E6748" s="8">
        <v>104401.367188</v>
      </c>
      <c r="F6748" s="8">
        <f t="shared" si="210"/>
        <v>7.4296880000038072</v>
      </c>
      <c r="G6748" s="8">
        <f t="shared" si="211"/>
        <v>7.4296880000038071E-3</v>
      </c>
    </row>
    <row r="6749" spans="1:7" x14ac:dyDescent="0.25">
      <c r="A6749" s="8">
        <v>90</v>
      </c>
      <c r="B6749" s="8">
        <v>39</v>
      </c>
      <c r="C6749" s="8">
        <v>3205.6137699999999</v>
      </c>
      <c r="D6749" s="8">
        <v>104706.5</v>
      </c>
      <c r="E6749" s="8">
        <v>104717.6875</v>
      </c>
      <c r="F6749" s="8">
        <f t="shared" si="210"/>
        <v>11.1875</v>
      </c>
      <c r="G6749" s="8">
        <f t="shared" si="211"/>
        <v>1.11875E-2</v>
      </c>
    </row>
    <row r="6750" spans="1:7" x14ac:dyDescent="0.25">
      <c r="A6750" s="8">
        <v>90</v>
      </c>
      <c r="B6750" s="8">
        <v>40</v>
      </c>
      <c r="C6750" s="8">
        <v>3761.1684570000002</v>
      </c>
      <c r="D6750" s="8">
        <v>107922.945313</v>
      </c>
      <c r="E6750" s="8">
        <v>107944.15625</v>
      </c>
      <c r="F6750" s="8">
        <f t="shared" si="210"/>
        <v>21.210936999996193</v>
      </c>
      <c r="G6750" s="8">
        <f t="shared" si="211"/>
        <v>2.1210936999996193E-2</v>
      </c>
    </row>
    <row r="6751" spans="1:7" x14ac:dyDescent="0.25">
      <c r="A6751" s="8">
        <v>90</v>
      </c>
      <c r="B6751" s="8">
        <v>41</v>
      </c>
      <c r="C6751" s="8">
        <v>3700.0739749999998</v>
      </c>
      <c r="D6751" s="8">
        <v>111705.382813</v>
      </c>
      <c r="E6751" s="8">
        <v>111722.773438</v>
      </c>
      <c r="F6751" s="8">
        <f t="shared" si="210"/>
        <v>17.390625</v>
      </c>
      <c r="G6751" s="8">
        <f t="shared" si="211"/>
        <v>1.7390625E-2</v>
      </c>
    </row>
    <row r="6752" spans="1:7" x14ac:dyDescent="0.25">
      <c r="A6752" s="8">
        <v>90</v>
      </c>
      <c r="B6752" s="8">
        <v>42</v>
      </c>
      <c r="C6752" s="8">
        <v>369.3974</v>
      </c>
      <c r="D6752" s="8">
        <v>115426.875</v>
      </c>
      <c r="E6752" s="8">
        <v>115434.859375</v>
      </c>
      <c r="F6752" s="8">
        <f t="shared" si="210"/>
        <v>7.984375</v>
      </c>
      <c r="G6752" s="8">
        <f t="shared" si="211"/>
        <v>7.9843750000000002E-3</v>
      </c>
    </row>
    <row r="6753" spans="1:7" x14ac:dyDescent="0.25">
      <c r="A6753" s="8">
        <v>90</v>
      </c>
      <c r="B6753" s="8">
        <v>43</v>
      </c>
      <c r="C6753" s="8">
        <v>1576.792725</v>
      </c>
      <c r="D6753" s="8">
        <v>115817.546875</v>
      </c>
      <c r="E6753" s="8">
        <v>115834.804688</v>
      </c>
      <c r="F6753" s="8">
        <f t="shared" si="210"/>
        <v>17.257813000003807</v>
      </c>
      <c r="G6753" s="8">
        <f t="shared" si="211"/>
        <v>1.7257813000003806E-2</v>
      </c>
    </row>
    <row r="6754" spans="1:7" x14ac:dyDescent="0.25">
      <c r="A6754" s="8">
        <v>90</v>
      </c>
      <c r="B6754" s="8">
        <v>44</v>
      </c>
      <c r="C6754" s="8">
        <v>8170.8852539999998</v>
      </c>
      <c r="D6754" s="8">
        <v>117426.25</v>
      </c>
      <c r="E6754" s="8">
        <v>117437.976563</v>
      </c>
      <c r="F6754" s="8">
        <f t="shared" si="210"/>
        <v>11.726563000003807</v>
      </c>
      <c r="G6754" s="8">
        <f t="shared" si="211"/>
        <v>1.1726563000003807E-2</v>
      </c>
    </row>
    <row r="6755" spans="1:7" x14ac:dyDescent="0.25">
      <c r="A6755" s="8">
        <v>90</v>
      </c>
      <c r="B6755" s="8">
        <v>45</v>
      </c>
      <c r="C6755" s="8">
        <v>1695.7353519999999</v>
      </c>
      <c r="D6755" s="8">
        <v>125611.640625</v>
      </c>
      <c r="E6755" s="8">
        <v>125620.796875</v>
      </c>
      <c r="F6755" s="8">
        <f t="shared" si="210"/>
        <v>9.15625</v>
      </c>
      <c r="G6755" s="8">
        <f t="shared" si="211"/>
        <v>9.1562499999999995E-3</v>
      </c>
    </row>
    <row r="6756" spans="1:7" x14ac:dyDescent="0.25">
      <c r="A6756" s="8">
        <v>90</v>
      </c>
      <c r="B6756" s="8">
        <v>46</v>
      </c>
      <c r="C6756" s="8">
        <v>3055.8393550000001</v>
      </c>
      <c r="D6756" s="8">
        <v>127331.171875</v>
      </c>
      <c r="E6756" s="8">
        <v>127348.9375</v>
      </c>
      <c r="F6756" s="8">
        <f t="shared" si="210"/>
        <v>17.765625</v>
      </c>
      <c r="G6756" s="8">
        <f t="shared" si="211"/>
        <v>1.7765625E-2</v>
      </c>
    </row>
    <row r="6757" spans="1:7" x14ac:dyDescent="0.25">
      <c r="A6757" s="8">
        <v>90</v>
      </c>
      <c r="B6757" s="8">
        <v>47</v>
      </c>
      <c r="C6757" s="8">
        <v>2231.0798340000001</v>
      </c>
      <c r="D6757" s="8">
        <v>130410.859375</v>
      </c>
      <c r="E6757" s="8">
        <v>130427.007813</v>
      </c>
      <c r="F6757" s="8">
        <f t="shared" si="210"/>
        <v>16.148438000003807</v>
      </c>
      <c r="G6757" s="8">
        <f t="shared" si="211"/>
        <v>1.6148438000003807E-2</v>
      </c>
    </row>
    <row r="6758" spans="1:7" x14ac:dyDescent="0.25">
      <c r="A6758" s="8">
        <v>90</v>
      </c>
      <c r="B6758" s="8">
        <v>48</v>
      </c>
      <c r="C6758" s="8">
        <v>1705.878784</v>
      </c>
      <c r="D6758" s="8">
        <v>132670.859375</v>
      </c>
      <c r="E6758" s="8">
        <v>132690.375</v>
      </c>
      <c r="F6758" s="8">
        <f t="shared" si="210"/>
        <v>19.515625</v>
      </c>
      <c r="G6758" s="8">
        <f t="shared" si="211"/>
        <v>1.9515625000000002E-2</v>
      </c>
    </row>
    <row r="6759" spans="1:7" x14ac:dyDescent="0.25">
      <c r="A6759" s="8">
        <v>90</v>
      </c>
      <c r="B6759" s="8">
        <v>49</v>
      </c>
      <c r="C6759" s="8">
        <v>557.96319600000004</v>
      </c>
      <c r="D6759" s="8">
        <v>134410.109375</v>
      </c>
      <c r="E6759" s="8">
        <v>134432.9375</v>
      </c>
      <c r="F6759" s="8">
        <f t="shared" si="210"/>
        <v>22.828125</v>
      </c>
      <c r="G6759" s="8">
        <f t="shared" si="211"/>
        <v>2.2828125000000001E-2</v>
      </c>
    </row>
    <row r="6760" spans="1:7" x14ac:dyDescent="0.25">
      <c r="A6760" s="8">
        <v>90</v>
      </c>
      <c r="B6760" s="8">
        <v>50</v>
      </c>
      <c r="C6760" s="8">
        <v>904.80743399999994</v>
      </c>
      <c r="D6760" s="8">
        <v>134990.421875</v>
      </c>
      <c r="E6760" s="8">
        <v>134998.3125</v>
      </c>
      <c r="F6760" s="8">
        <f t="shared" si="210"/>
        <v>7.890625</v>
      </c>
      <c r="G6760" s="8">
        <f t="shared" si="211"/>
        <v>7.8906250000000001E-3</v>
      </c>
    </row>
    <row r="6761" spans="1:7" x14ac:dyDescent="0.25">
      <c r="A6761" s="8">
        <v>90</v>
      </c>
      <c r="B6761" s="8">
        <v>51</v>
      </c>
      <c r="C6761" s="8">
        <v>884.47271699999999</v>
      </c>
      <c r="D6761" s="8">
        <v>135913.296875</v>
      </c>
      <c r="E6761" s="8">
        <v>135935.921875</v>
      </c>
      <c r="F6761" s="8">
        <f t="shared" si="210"/>
        <v>22.625</v>
      </c>
      <c r="G6761" s="8">
        <f t="shared" si="211"/>
        <v>2.2624999999999999E-2</v>
      </c>
    </row>
    <row r="6762" spans="1:7" x14ac:dyDescent="0.25">
      <c r="A6762" s="8">
        <v>90</v>
      </c>
      <c r="B6762" s="8">
        <v>52</v>
      </c>
      <c r="C6762" s="8">
        <v>1756.0588379999999</v>
      </c>
      <c r="D6762" s="8">
        <v>136825.234375</v>
      </c>
      <c r="E6762" s="8">
        <v>136836.5</v>
      </c>
      <c r="F6762" s="8">
        <f t="shared" si="210"/>
        <v>11.265625</v>
      </c>
      <c r="G6762" s="8">
        <f t="shared" si="211"/>
        <v>1.1265625E-2</v>
      </c>
    </row>
    <row r="6763" spans="1:7" x14ac:dyDescent="0.25">
      <c r="A6763" s="8">
        <v>90</v>
      </c>
      <c r="B6763" s="8">
        <v>53</v>
      </c>
      <c r="C6763" s="8">
        <v>6699.3198240000002</v>
      </c>
      <c r="D6763" s="8">
        <v>138593.8125</v>
      </c>
      <c r="E6763" s="8">
        <v>138602.3125</v>
      </c>
      <c r="F6763" s="8">
        <f t="shared" si="210"/>
        <v>8.5</v>
      </c>
      <c r="G6763" s="8">
        <f t="shared" si="211"/>
        <v>8.5000000000000006E-3</v>
      </c>
    </row>
    <row r="6764" spans="1:7" x14ac:dyDescent="0.25">
      <c r="A6764" s="8">
        <v>90</v>
      </c>
      <c r="B6764" s="8">
        <v>54</v>
      </c>
      <c r="C6764" s="8">
        <v>181.52209500000001</v>
      </c>
      <c r="D6764" s="8">
        <v>145302.71875</v>
      </c>
      <c r="E6764" s="8">
        <v>145324.171875</v>
      </c>
      <c r="F6764" s="8">
        <f t="shared" si="210"/>
        <v>21.453125</v>
      </c>
      <c r="G6764" s="8">
        <f t="shared" si="211"/>
        <v>2.1453125E-2</v>
      </c>
    </row>
    <row r="6765" spans="1:7" x14ac:dyDescent="0.25">
      <c r="A6765" s="8">
        <v>90</v>
      </c>
      <c r="B6765" s="8">
        <v>55</v>
      </c>
      <c r="C6765" s="8">
        <v>183.66206399999999</v>
      </c>
      <c r="D6765" s="8">
        <v>145505.875</v>
      </c>
      <c r="E6765" s="8">
        <v>145526.984375</v>
      </c>
      <c r="F6765" s="8">
        <f t="shared" si="210"/>
        <v>21.109375</v>
      </c>
      <c r="G6765" s="8">
        <f t="shared" si="211"/>
        <v>2.1109375E-2</v>
      </c>
    </row>
    <row r="6766" spans="1:7" x14ac:dyDescent="0.25">
      <c r="A6766" s="8">
        <v>90</v>
      </c>
      <c r="B6766" s="8">
        <v>56</v>
      </c>
      <c r="C6766" s="8">
        <v>29.514538000000002</v>
      </c>
      <c r="D6766" s="8">
        <v>145724.65625</v>
      </c>
      <c r="E6766" s="8">
        <v>145744.65625</v>
      </c>
      <c r="F6766" s="8">
        <f t="shared" si="210"/>
        <v>20</v>
      </c>
      <c r="G6766" s="8">
        <f t="shared" si="211"/>
        <v>0.02</v>
      </c>
    </row>
    <row r="6767" spans="1:7" x14ac:dyDescent="0.25">
      <c r="A6767" s="8">
        <v>90</v>
      </c>
      <c r="B6767" s="8">
        <v>57</v>
      </c>
      <c r="C6767" s="8">
        <v>3864.2395019999999</v>
      </c>
      <c r="D6767" s="8">
        <v>145787.140625</v>
      </c>
      <c r="E6767" s="8">
        <v>145799</v>
      </c>
      <c r="F6767" s="8">
        <f t="shared" si="210"/>
        <v>11.859375</v>
      </c>
      <c r="G6767" s="8">
        <f t="shared" si="211"/>
        <v>1.1859375E-2</v>
      </c>
    </row>
    <row r="6768" spans="1:7" x14ac:dyDescent="0.25">
      <c r="A6768" s="8">
        <v>90</v>
      </c>
      <c r="B6768" s="8">
        <v>58</v>
      </c>
      <c r="C6768" s="8">
        <v>2679.743164</v>
      </c>
      <c r="D6768" s="8">
        <v>149670.453125</v>
      </c>
      <c r="E6768" s="8">
        <v>149691.3125</v>
      </c>
      <c r="F6768" s="8">
        <f t="shared" si="210"/>
        <v>20.859375</v>
      </c>
      <c r="G6768" s="8">
        <f t="shared" si="211"/>
        <v>2.0859374999999999E-2</v>
      </c>
    </row>
    <row r="6769" spans="1:7" x14ac:dyDescent="0.25">
      <c r="A6769" s="8">
        <v>90</v>
      </c>
      <c r="B6769" s="8">
        <v>59</v>
      </c>
      <c r="C6769" s="8">
        <v>1696.3055420000001</v>
      </c>
      <c r="D6769" s="8">
        <v>152374.90625</v>
      </c>
      <c r="E6769" s="8">
        <v>152398.1875</v>
      </c>
      <c r="F6769" s="8">
        <f t="shared" si="210"/>
        <v>23.28125</v>
      </c>
      <c r="G6769" s="8">
        <f t="shared" si="211"/>
        <v>2.328125E-2</v>
      </c>
    </row>
    <row r="6770" spans="1:7" x14ac:dyDescent="0.25">
      <c r="A6770" s="8">
        <v>90</v>
      </c>
      <c r="B6770" s="8">
        <v>60</v>
      </c>
      <c r="C6770" s="8">
        <v>72.213127</v>
      </c>
      <c r="D6770" s="8">
        <v>154109.65625</v>
      </c>
      <c r="E6770" s="8">
        <v>154125.9375</v>
      </c>
      <c r="F6770" s="8">
        <f t="shared" si="210"/>
        <v>16.28125</v>
      </c>
      <c r="G6770" s="8">
        <f t="shared" si="211"/>
        <v>1.6281250000000001E-2</v>
      </c>
    </row>
    <row r="6771" spans="1:7" x14ac:dyDescent="0.25">
      <c r="A6771" s="8">
        <v>90</v>
      </c>
      <c r="B6771" s="8">
        <v>61</v>
      </c>
      <c r="C6771" s="8">
        <v>25.244821999999999</v>
      </c>
      <c r="D6771" s="8">
        <v>154203.40625</v>
      </c>
      <c r="E6771" s="8">
        <v>154217.78125</v>
      </c>
      <c r="F6771" s="8">
        <f t="shared" si="210"/>
        <v>14.375</v>
      </c>
      <c r="G6771" s="8">
        <f t="shared" si="211"/>
        <v>1.4375000000000001E-2</v>
      </c>
    </row>
    <row r="6772" spans="1:7" x14ac:dyDescent="0.25">
      <c r="A6772" s="8">
        <v>90</v>
      </c>
      <c r="B6772" s="8">
        <v>62</v>
      </c>
      <c r="C6772" s="8">
        <v>2344.6848140000002</v>
      </c>
      <c r="D6772" s="8">
        <v>154250.265625</v>
      </c>
      <c r="E6772" s="8">
        <v>154261.765625</v>
      </c>
      <c r="F6772" s="8">
        <f t="shared" si="210"/>
        <v>11.5</v>
      </c>
      <c r="G6772" s="8">
        <f t="shared" si="211"/>
        <v>1.15E-2</v>
      </c>
    </row>
    <row r="6773" spans="1:7" x14ac:dyDescent="0.25">
      <c r="A6773" s="8">
        <v>90</v>
      </c>
      <c r="B6773" s="8">
        <v>63</v>
      </c>
      <c r="C6773" s="8">
        <v>420.85964999999999</v>
      </c>
      <c r="D6773" s="8">
        <v>156609.875</v>
      </c>
      <c r="E6773" s="8">
        <v>156639.875</v>
      </c>
      <c r="F6773" s="8">
        <f t="shared" si="210"/>
        <v>30</v>
      </c>
      <c r="G6773" s="8">
        <f t="shared" si="211"/>
        <v>0.03</v>
      </c>
    </row>
    <row r="6774" spans="1:7" x14ac:dyDescent="0.25">
      <c r="A6774" s="8">
        <v>90</v>
      </c>
      <c r="B6774" s="8">
        <v>64</v>
      </c>
      <c r="C6774" s="8">
        <v>1440.804077</v>
      </c>
      <c r="D6774" s="8">
        <v>157063.109375</v>
      </c>
      <c r="E6774" s="8">
        <v>157085.375</v>
      </c>
      <c r="F6774" s="8">
        <f t="shared" si="210"/>
        <v>22.265625</v>
      </c>
      <c r="G6774" s="8">
        <f t="shared" si="211"/>
        <v>2.2265625000000001E-2</v>
      </c>
    </row>
    <row r="6775" spans="1:7" x14ac:dyDescent="0.25">
      <c r="A6775" s="8">
        <v>90</v>
      </c>
      <c r="B6775" s="8">
        <v>65</v>
      </c>
      <c r="C6775" s="8">
        <v>757.510132</v>
      </c>
      <c r="D6775" s="8">
        <v>158532.8125</v>
      </c>
      <c r="E6775" s="8">
        <v>158610.84375</v>
      </c>
      <c r="F6775" s="8">
        <f t="shared" si="210"/>
        <v>78.03125</v>
      </c>
      <c r="G6775" s="8">
        <f t="shared" si="211"/>
        <v>7.8031249999999996E-2</v>
      </c>
    </row>
    <row r="6776" spans="1:7" x14ac:dyDescent="0.25">
      <c r="A6776" s="8">
        <v>90</v>
      </c>
      <c r="B6776" s="8">
        <v>66</v>
      </c>
      <c r="C6776" s="8">
        <v>939.65325900000005</v>
      </c>
      <c r="D6776" s="8">
        <v>159376.84375</v>
      </c>
      <c r="E6776" s="8">
        <v>159391.046875</v>
      </c>
      <c r="F6776" s="8">
        <f t="shared" si="210"/>
        <v>14.203125</v>
      </c>
      <c r="G6776" s="8">
        <f t="shared" si="211"/>
        <v>1.4203125E-2</v>
      </c>
    </row>
    <row r="6777" spans="1:7" x14ac:dyDescent="0.25">
      <c r="A6777" s="8">
        <v>90</v>
      </c>
      <c r="B6777" s="8">
        <v>67</v>
      </c>
      <c r="C6777" s="8">
        <v>5974.8706050000001</v>
      </c>
      <c r="D6777" s="8">
        <v>160345.6875</v>
      </c>
      <c r="E6777" s="8">
        <v>160359.40625</v>
      </c>
      <c r="F6777" s="8">
        <f t="shared" si="210"/>
        <v>13.71875</v>
      </c>
      <c r="G6777" s="8">
        <f t="shared" si="211"/>
        <v>1.371875E-2</v>
      </c>
    </row>
    <row r="6778" spans="1:7" x14ac:dyDescent="0.25">
      <c r="A6778" s="8">
        <v>90</v>
      </c>
      <c r="B6778" s="8">
        <v>68</v>
      </c>
      <c r="C6778" s="8">
        <v>36.712933</v>
      </c>
      <c r="D6778" s="8">
        <v>166348.875</v>
      </c>
      <c r="E6778" s="8">
        <v>166362.703125</v>
      </c>
      <c r="F6778" s="8">
        <f t="shared" si="210"/>
        <v>13.828125</v>
      </c>
      <c r="G6778" s="8">
        <f t="shared" si="211"/>
        <v>1.3828125E-2</v>
      </c>
    </row>
    <row r="6779" spans="1:7" x14ac:dyDescent="0.25">
      <c r="A6779" s="8">
        <v>90</v>
      </c>
      <c r="B6779" s="8">
        <v>69</v>
      </c>
      <c r="C6779" s="8">
        <v>2980.7546390000002</v>
      </c>
      <c r="D6779" s="8">
        <v>166411.34375</v>
      </c>
      <c r="E6779" s="8">
        <v>166424.140625</v>
      </c>
      <c r="F6779" s="8">
        <f t="shared" si="210"/>
        <v>12.796875</v>
      </c>
      <c r="G6779" s="8">
        <f t="shared" si="211"/>
        <v>1.2796874999999999E-2</v>
      </c>
    </row>
    <row r="6780" spans="1:7" x14ac:dyDescent="0.25">
      <c r="A6780" s="8">
        <v>90</v>
      </c>
      <c r="B6780" s="8">
        <v>70</v>
      </c>
      <c r="C6780" s="8">
        <v>204.24130199999999</v>
      </c>
      <c r="D6780" s="8">
        <v>169407.875</v>
      </c>
      <c r="E6780" s="8">
        <v>169437.6875</v>
      </c>
      <c r="F6780" s="8">
        <f t="shared" si="210"/>
        <v>29.8125</v>
      </c>
      <c r="G6780" s="8">
        <f t="shared" si="211"/>
        <v>2.9812499999999999E-2</v>
      </c>
    </row>
    <row r="6781" spans="1:7" x14ac:dyDescent="0.25">
      <c r="A6781" s="8">
        <v>90</v>
      </c>
      <c r="B6781" s="8">
        <v>71</v>
      </c>
      <c r="C6781" s="8">
        <v>1080.095703</v>
      </c>
      <c r="D6781" s="8">
        <v>169642.0625</v>
      </c>
      <c r="E6781" s="8">
        <v>169656.5</v>
      </c>
      <c r="F6781" s="8">
        <f t="shared" si="210"/>
        <v>14.4375</v>
      </c>
      <c r="G6781" s="8">
        <f t="shared" si="211"/>
        <v>1.4437500000000001E-2</v>
      </c>
    </row>
    <row r="6782" spans="1:7" x14ac:dyDescent="0.25">
      <c r="A6782" s="8">
        <v>91</v>
      </c>
      <c r="B6782" s="8">
        <v>0</v>
      </c>
      <c r="C6782" s="8">
        <v>256.49652099999997</v>
      </c>
      <c r="D6782" s="8">
        <v>21016.199218999998</v>
      </c>
      <c r="E6782" s="8">
        <v>21027.53125</v>
      </c>
      <c r="F6782" s="8">
        <f t="shared" si="210"/>
        <v>11.332031000001734</v>
      </c>
      <c r="G6782" s="8">
        <f t="shared" si="211"/>
        <v>1.1332031000001734E-2</v>
      </c>
    </row>
    <row r="6783" spans="1:7" x14ac:dyDescent="0.25">
      <c r="A6783" s="8">
        <v>91</v>
      </c>
      <c r="B6783" s="8">
        <v>1</v>
      </c>
      <c r="C6783" s="8">
        <v>174.71650700000001</v>
      </c>
      <c r="D6783" s="8">
        <v>21297.382813</v>
      </c>
      <c r="E6783" s="8">
        <v>21316.951172000001</v>
      </c>
      <c r="F6783" s="8">
        <f t="shared" si="210"/>
        <v>19.568359000000783</v>
      </c>
      <c r="G6783" s="8">
        <f t="shared" si="211"/>
        <v>1.9568359000000781E-2</v>
      </c>
    </row>
    <row r="6784" spans="1:7" x14ac:dyDescent="0.25">
      <c r="A6784" s="8">
        <v>91</v>
      </c>
      <c r="B6784" s="8">
        <v>2</v>
      </c>
      <c r="C6784" s="8">
        <v>1274.7735600000001</v>
      </c>
      <c r="D6784" s="8">
        <v>21500.599609000001</v>
      </c>
      <c r="E6784" s="8">
        <v>21517.876952999999</v>
      </c>
      <c r="F6784" s="8">
        <f t="shared" si="210"/>
        <v>17.277343999998266</v>
      </c>
      <c r="G6784" s="8">
        <f t="shared" si="211"/>
        <v>1.7277343999998265E-2</v>
      </c>
    </row>
    <row r="6785" spans="1:7" x14ac:dyDescent="0.25">
      <c r="A6785" s="8">
        <v>91</v>
      </c>
      <c r="B6785" s="8">
        <v>3</v>
      </c>
      <c r="C6785" s="8">
        <v>5947.2172849999997</v>
      </c>
      <c r="D6785" s="8">
        <v>22797.632813</v>
      </c>
      <c r="E6785" s="8">
        <v>22813.150390999999</v>
      </c>
      <c r="F6785" s="8">
        <f t="shared" si="210"/>
        <v>15.517577999999048</v>
      </c>
      <c r="G6785" s="8">
        <f t="shared" si="211"/>
        <v>1.5517577999999048E-2</v>
      </c>
    </row>
    <row r="6786" spans="1:7" x14ac:dyDescent="0.25">
      <c r="A6786" s="8">
        <v>91</v>
      </c>
      <c r="B6786" s="8">
        <v>4</v>
      </c>
      <c r="C6786" s="8">
        <v>2248.8510740000002</v>
      </c>
      <c r="D6786" s="8">
        <v>28762.068359000001</v>
      </c>
      <c r="E6786" s="8">
        <v>28783.09375</v>
      </c>
      <c r="F6786" s="8">
        <f t="shared" si="210"/>
        <v>21.025390999999217</v>
      </c>
      <c r="G6786" s="8">
        <f t="shared" si="211"/>
        <v>2.1025390999999217E-2</v>
      </c>
    </row>
    <row r="6787" spans="1:7" x14ac:dyDescent="0.25">
      <c r="A6787" s="8">
        <v>91</v>
      </c>
      <c r="B6787" s="8">
        <v>5</v>
      </c>
      <c r="C6787" s="8">
        <v>651.61016800000004</v>
      </c>
      <c r="D6787" s="8">
        <v>31034.720702999999</v>
      </c>
      <c r="E6787" s="8">
        <v>31049.046875</v>
      </c>
      <c r="F6787" s="8">
        <f t="shared" si="210"/>
        <v>14.326172000000952</v>
      </c>
      <c r="G6787" s="8">
        <f t="shared" si="211"/>
        <v>1.4326172000000952E-2</v>
      </c>
    </row>
    <row r="6788" spans="1:7" x14ac:dyDescent="0.25">
      <c r="A6788" s="8">
        <v>91</v>
      </c>
      <c r="B6788" s="8">
        <v>6</v>
      </c>
      <c r="C6788" s="8">
        <v>3782.0898440000001</v>
      </c>
      <c r="D6788" s="8">
        <v>31707.486327999999</v>
      </c>
      <c r="E6788" s="8">
        <v>31722.054688</v>
      </c>
      <c r="F6788" s="8">
        <f t="shared" si="210"/>
        <v>14.568360000001121</v>
      </c>
      <c r="G6788" s="8">
        <f t="shared" si="211"/>
        <v>1.4568360000001121E-2</v>
      </c>
    </row>
    <row r="6789" spans="1:7" x14ac:dyDescent="0.25">
      <c r="A6789" s="8">
        <v>91</v>
      </c>
      <c r="B6789" s="8">
        <v>7</v>
      </c>
      <c r="C6789" s="8">
        <v>775.238831</v>
      </c>
      <c r="D6789" s="8">
        <v>35514.441405999998</v>
      </c>
      <c r="E6789" s="8">
        <v>35537.386719000002</v>
      </c>
      <c r="F6789" s="8">
        <f t="shared" si="210"/>
        <v>22.945313000003807</v>
      </c>
      <c r="G6789" s="8">
        <f t="shared" si="211"/>
        <v>2.2945313000003808E-2</v>
      </c>
    </row>
    <row r="6790" spans="1:7" x14ac:dyDescent="0.25">
      <c r="A6790" s="8">
        <v>91</v>
      </c>
      <c r="B6790" s="8">
        <v>8</v>
      </c>
      <c r="C6790" s="8">
        <v>4151.0249020000001</v>
      </c>
      <c r="D6790" s="8">
        <v>36327.039062999997</v>
      </c>
      <c r="E6790" s="8">
        <v>36334.886719000002</v>
      </c>
      <c r="F6790" s="8">
        <f t="shared" si="210"/>
        <v>7.8476560000053723</v>
      </c>
      <c r="G6790" s="8">
        <f t="shared" si="211"/>
        <v>7.8476560000053722E-3</v>
      </c>
    </row>
    <row r="6791" spans="1:7" x14ac:dyDescent="0.25">
      <c r="A6791" s="8">
        <v>91</v>
      </c>
      <c r="B6791" s="8">
        <v>9</v>
      </c>
      <c r="C6791" s="8">
        <v>516.52380400000004</v>
      </c>
      <c r="D6791" s="8">
        <v>40496.941405999998</v>
      </c>
      <c r="E6791" s="8">
        <v>40514.640625</v>
      </c>
      <c r="F6791" s="8">
        <f t="shared" si="210"/>
        <v>17.699219000001904</v>
      </c>
      <c r="G6791" s="8">
        <f t="shared" si="211"/>
        <v>1.7699219000001903E-2</v>
      </c>
    </row>
    <row r="6792" spans="1:7" x14ac:dyDescent="0.25">
      <c r="A6792" s="8">
        <v>91</v>
      </c>
      <c r="B6792" s="8">
        <v>10</v>
      </c>
      <c r="C6792" s="8">
        <v>3981.3842770000001</v>
      </c>
      <c r="D6792" s="8">
        <v>41043.691405999998</v>
      </c>
      <c r="E6792" s="8">
        <v>41057.945312999997</v>
      </c>
      <c r="F6792" s="8">
        <f t="shared" si="210"/>
        <v>14.253906999998435</v>
      </c>
      <c r="G6792" s="8">
        <f t="shared" si="211"/>
        <v>1.4253906999998435E-2</v>
      </c>
    </row>
    <row r="6793" spans="1:7" x14ac:dyDescent="0.25">
      <c r="A6793" s="8">
        <v>91</v>
      </c>
      <c r="B6793" s="8">
        <v>11</v>
      </c>
      <c r="C6793" s="8">
        <v>377.71099900000002</v>
      </c>
      <c r="D6793" s="8">
        <v>45053.101562999997</v>
      </c>
      <c r="E6793" s="8">
        <v>45078.230469000002</v>
      </c>
      <c r="F6793" s="8">
        <f t="shared" si="210"/>
        <v>25.128906000005372</v>
      </c>
      <c r="G6793" s="8">
        <f t="shared" si="211"/>
        <v>2.5128906000005374E-2</v>
      </c>
    </row>
    <row r="6794" spans="1:7" x14ac:dyDescent="0.25">
      <c r="A6794" s="8">
        <v>91</v>
      </c>
      <c r="B6794" s="8">
        <v>12</v>
      </c>
      <c r="C6794" s="8">
        <v>431.43402099999997</v>
      </c>
      <c r="D6794" s="8">
        <v>45459.453125</v>
      </c>
      <c r="E6794" s="8">
        <v>45467.207030999998</v>
      </c>
      <c r="F6794" s="8">
        <f t="shared" si="210"/>
        <v>7.7539059999980964</v>
      </c>
      <c r="G6794" s="8">
        <f t="shared" si="211"/>
        <v>7.7539059999980967E-3</v>
      </c>
    </row>
    <row r="6795" spans="1:7" x14ac:dyDescent="0.25">
      <c r="A6795" s="8">
        <v>91</v>
      </c>
      <c r="B6795" s="8">
        <v>13</v>
      </c>
      <c r="C6795" s="8">
        <v>10720.449219</v>
      </c>
      <c r="D6795" s="8">
        <v>45913.1875</v>
      </c>
      <c r="E6795" s="8">
        <v>45930.226562999997</v>
      </c>
      <c r="F6795" s="8">
        <f t="shared" ref="F6795:F6858" si="212">E6795-D6795</f>
        <v>17.039062999996531</v>
      </c>
      <c r="G6795" s="8">
        <f t="shared" ref="G6795:G6858" si="213">F6795/1000</f>
        <v>1.7039062999996531E-2</v>
      </c>
    </row>
    <row r="6796" spans="1:7" x14ac:dyDescent="0.25">
      <c r="A6796" s="8">
        <v>91</v>
      </c>
      <c r="B6796" s="8">
        <v>14</v>
      </c>
      <c r="C6796" s="8">
        <v>880.10809300000005</v>
      </c>
      <c r="D6796" s="8">
        <v>56660.015625</v>
      </c>
      <c r="E6796" s="8">
        <v>56673.714844000002</v>
      </c>
      <c r="F6796" s="8">
        <f t="shared" si="212"/>
        <v>13.699219000001904</v>
      </c>
      <c r="G6796" s="8">
        <f t="shared" si="213"/>
        <v>1.3699219000001903E-2</v>
      </c>
    </row>
    <row r="6797" spans="1:7" x14ac:dyDescent="0.25">
      <c r="A6797" s="8">
        <v>91</v>
      </c>
      <c r="B6797" s="8">
        <v>15</v>
      </c>
      <c r="C6797" s="8">
        <v>967.47851600000001</v>
      </c>
      <c r="D6797" s="8">
        <v>57554.617187999997</v>
      </c>
      <c r="E6797" s="8">
        <v>57569.308594000002</v>
      </c>
      <c r="F6797" s="8">
        <f t="shared" si="212"/>
        <v>14.691406000005372</v>
      </c>
      <c r="G6797" s="8">
        <f t="shared" si="213"/>
        <v>1.4691406000005373E-2</v>
      </c>
    </row>
    <row r="6798" spans="1:7" x14ac:dyDescent="0.25">
      <c r="A6798" s="8">
        <v>91</v>
      </c>
      <c r="B6798" s="8">
        <v>16</v>
      </c>
      <c r="C6798" s="8">
        <v>611.60058600000002</v>
      </c>
      <c r="D6798" s="8">
        <v>58544.175780999998</v>
      </c>
      <c r="E6798" s="8">
        <v>58563.777344000002</v>
      </c>
      <c r="F6798" s="8">
        <f t="shared" si="212"/>
        <v>19.601563000003807</v>
      </c>
      <c r="G6798" s="8">
        <f t="shared" si="213"/>
        <v>1.9601563000003808E-2</v>
      </c>
    </row>
    <row r="6799" spans="1:7" x14ac:dyDescent="0.25">
      <c r="A6799" s="8">
        <v>91</v>
      </c>
      <c r="B6799" s="8">
        <v>17</v>
      </c>
      <c r="C6799" s="8">
        <v>897.14575200000002</v>
      </c>
      <c r="D6799" s="8">
        <v>59184.855469000002</v>
      </c>
      <c r="E6799" s="8">
        <v>59205.691405999998</v>
      </c>
      <c r="F6799" s="8">
        <f t="shared" si="212"/>
        <v>20.835936999996193</v>
      </c>
      <c r="G6799" s="8">
        <f t="shared" si="213"/>
        <v>2.0835936999996193E-2</v>
      </c>
    </row>
    <row r="6800" spans="1:7" x14ac:dyDescent="0.25">
      <c r="A6800" s="8">
        <v>91</v>
      </c>
      <c r="B6800" s="8">
        <v>18</v>
      </c>
      <c r="C6800" s="8">
        <v>1298.348999</v>
      </c>
      <c r="D6800" s="8">
        <v>60106.816405999998</v>
      </c>
      <c r="E6800" s="8">
        <v>60116.058594000002</v>
      </c>
      <c r="F6800" s="8">
        <f t="shared" si="212"/>
        <v>9.2421880000038072</v>
      </c>
      <c r="G6800" s="8">
        <f t="shared" si="213"/>
        <v>9.2421880000038079E-3</v>
      </c>
    </row>
    <row r="6801" spans="1:7" x14ac:dyDescent="0.25">
      <c r="A6801" s="8">
        <v>91</v>
      </c>
      <c r="B6801" s="8">
        <v>19</v>
      </c>
      <c r="C6801" s="8">
        <v>1504.5321039999999</v>
      </c>
      <c r="D6801" s="8">
        <v>61419.472655999998</v>
      </c>
      <c r="E6801" s="8">
        <v>61468.640625</v>
      </c>
      <c r="F6801" s="8">
        <f t="shared" si="212"/>
        <v>49.167969000001904</v>
      </c>
      <c r="G6801" s="8">
        <f t="shared" si="213"/>
        <v>4.9167969000001907E-2</v>
      </c>
    </row>
    <row r="6802" spans="1:7" x14ac:dyDescent="0.25">
      <c r="A6802" s="8">
        <v>91</v>
      </c>
      <c r="B6802" s="8">
        <v>20</v>
      </c>
      <c r="C6802" s="8">
        <v>3110.0122070000002</v>
      </c>
      <c r="D6802" s="8">
        <v>62985.449219000002</v>
      </c>
      <c r="E6802" s="8">
        <v>63002.652344000002</v>
      </c>
      <c r="F6802" s="8">
        <f t="shared" si="212"/>
        <v>17.203125</v>
      </c>
      <c r="G6802" s="8">
        <f t="shared" si="213"/>
        <v>1.7203125E-2</v>
      </c>
    </row>
    <row r="6803" spans="1:7" x14ac:dyDescent="0.25">
      <c r="A6803" s="8">
        <v>91</v>
      </c>
      <c r="B6803" s="8">
        <v>21</v>
      </c>
      <c r="C6803" s="8">
        <v>1131.7680660000001</v>
      </c>
      <c r="D6803" s="8">
        <v>66121.695313000004</v>
      </c>
      <c r="E6803" s="8">
        <v>66149.398438000004</v>
      </c>
      <c r="F6803" s="8">
        <f t="shared" si="212"/>
        <v>27.703125</v>
      </c>
      <c r="G6803" s="8">
        <f t="shared" si="213"/>
        <v>2.7703124999999999E-2</v>
      </c>
    </row>
    <row r="6804" spans="1:7" x14ac:dyDescent="0.25">
      <c r="A6804" s="8">
        <v>91</v>
      </c>
      <c r="B6804" s="8">
        <v>22</v>
      </c>
      <c r="C6804" s="8">
        <v>2675.7846679999998</v>
      </c>
      <c r="D6804" s="8">
        <v>67294.492188000004</v>
      </c>
      <c r="E6804" s="8">
        <v>67312.164063000004</v>
      </c>
      <c r="F6804" s="8">
        <f t="shared" si="212"/>
        <v>17.671875</v>
      </c>
      <c r="G6804" s="8">
        <f t="shared" si="213"/>
        <v>1.7671875E-2</v>
      </c>
    </row>
    <row r="6805" spans="1:7" x14ac:dyDescent="0.25">
      <c r="A6805" s="8">
        <v>91</v>
      </c>
      <c r="B6805" s="8">
        <v>23</v>
      </c>
      <c r="C6805" s="8">
        <v>201.60661300000001</v>
      </c>
      <c r="D6805" s="8">
        <v>69999.023438000004</v>
      </c>
      <c r="E6805" s="8">
        <v>70016.359375</v>
      </c>
      <c r="F6805" s="8">
        <f t="shared" si="212"/>
        <v>17.335936999996193</v>
      </c>
      <c r="G6805" s="8">
        <f t="shared" si="213"/>
        <v>1.7335936999996193E-2</v>
      </c>
    </row>
    <row r="6806" spans="1:7" x14ac:dyDescent="0.25">
      <c r="A6806" s="8">
        <v>91</v>
      </c>
      <c r="B6806" s="8">
        <v>24</v>
      </c>
      <c r="C6806" s="8">
        <v>2804.7685550000001</v>
      </c>
      <c r="D6806" s="8">
        <v>70217.757813000004</v>
      </c>
      <c r="E6806" s="8">
        <v>70228.804688000004</v>
      </c>
      <c r="F6806" s="8">
        <f t="shared" si="212"/>
        <v>11.046875</v>
      </c>
      <c r="G6806" s="8">
        <f t="shared" si="213"/>
        <v>1.1046874999999999E-2</v>
      </c>
    </row>
    <row r="6807" spans="1:7" x14ac:dyDescent="0.25">
      <c r="A6807" s="8">
        <v>91</v>
      </c>
      <c r="B6807" s="8">
        <v>25</v>
      </c>
      <c r="C6807" s="8">
        <v>1053.045654</v>
      </c>
      <c r="D6807" s="8">
        <v>73044.898438000004</v>
      </c>
      <c r="E6807" s="8">
        <v>73059.039063000004</v>
      </c>
      <c r="F6807" s="8">
        <f t="shared" si="212"/>
        <v>14.140625</v>
      </c>
      <c r="G6807" s="8">
        <f t="shared" si="213"/>
        <v>1.4140625E-2</v>
      </c>
    </row>
    <row r="6808" spans="1:7" x14ac:dyDescent="0.25">
      <c r="A6808" s="8">
        <v>91</v>
      </c>
      <c r="B6808" s="8">
        <v>26</v>
      </c>
      <c r="C6808" s="8">
        <v>1681.6773679999999</v>
      </c>
      <c r="D6808" s="8">
        <v>74125.078125</v>
      </c>
      <c r="E6808" s="8">
        <v>74142.703125</v>
      </c>
      <c r="F6808" s="8">
        <f t="shared" si="212"/>
        <v>17.625</v>
      </c>
      <c r="G6808" s="8">
        <f t="shared" si="213"/>
        <v>1.7624999999999998E-2</v>
      </c>
    </row>
    <row r="6809" spans="1:7" x14ac:dyDescent="0.25">
      <c r="A6809" s="8">
        <v>91</v>
      </c>
      <c r="B6809" s="8">
        <v>27</v>
      </c>
      <c r="C6809" s="8">
        <v>377.63726800000001</v>
      </c>
      <c r="D6809" s="8">
        <v>75835.0625</v>
      </c>
      <c r="E6809" s="8">
        <v>75866.390625</v>
      </c>
      <c r="F6809" s="8">
        <f t="shared" si="212"/>
        <v>31.328125</v>
      </c>
      <c r="G6809" s="8">
        <f t="shared" si="213"/>
        <v>3.1328124999999998E-2</v>
      </c>
    </row>
    <row r="6810" spans="1:7" x14ac:dyDescent="0.25">
      <c r="A6810" s="8">
        <v>91</v>
      </c>
      <c r="B6810" s="8">
        <v>28</v>
      </c>
      <c r="C6810" s="8">
        <v>563.052368</v>
      </c>
      <c r="D6810" s="8">
        <v>76257</v>
      </c>
      <c r="E6810" s="8">
        <v>76283.382813000004</v>
      </c>
      <c r="F6810" s="8">
        <f t="shared" si="212"/>
        <v>26.382813000003807</v>
      </c>
      <c r="G6810" s="8">
        <f t="shared" si="213"/>
        <v>2.6382813000003807E-2</v>
      </c>
    </row>
    <row r="6811" spans="1:7" x14ac:dyDescent="0.25">
      <c r="A6811" s="8">
        <v>91</v>
      </c>
      <c r="B6811" s="8">
        <v>29</v>
      </c>
      <c r="C6811" s="8">
        <v>1356.306885</v>
      </c>
      <c r="D6811" s="8">
        <v>76850.78125</v>
      </c>
      <c r="E6811" s="8">
        <v>76865.765625</v>
      </c>
      <c r="F6811" s="8">
        <f t="shared" si="212"/>
        <v>14.984375</v>
      </c>
      <c r="G6811" s="8">
        <f t="shared" si="213"/>
        <v>1.4984374999999999E-2</v>
      </c>
    </row>
    <row r="6812" spans="1:7" x14ac:dyDescent="0.25">
      <c r="A6812" s="8">
        <v>91</v>
      </c>
      <c r="B6812" s="8">
        <v>30</v>
      </c>
      <c r="C6812" s="8">
        <v>1375.2772219999999</v>
      </c>
      <c r="D6812" s="8">
        <v>78229.140625</v>
      </c>
      <c r="E6812" s="8">
        <v>78247.828125</v>
      </c>
      <c r="F6812" s="8">
        <f t="shared" si="212"/>
        <v>18.6875</v>
      </c>
      <c r="G6812" s="8">
        <f t="shared" si="213"/>
        <v>1.8687499999999999E-2</v>
      </c>
    </row>
    <row r="6813" spans="1:7" x14ac:dyDescent="0.25">
      <c r="A6813" s="8">
        <v>91</v>
      </c>
      <c r="B6813" s="8">
        <v>31</v>
      </c>
      <c r="C6813" s="8">
        <v>724.62115500000004</v>
      </c>
      <c r="D6813" s="8">
        <v>79629.117188000004</v>
      </c>
      <c r="E6813" s="8">
        <v>79654.742188000004</v>
      </c>
      <c r="F6813" s="8">
        <f t="shared" si="212"/>
        <v>25.625</v>
      </c>
      <c r="G6813" s="8">
        <f t="shared" si="213"/>
        <v>2.5624999999999998E-2</v>
      </c>
    </row>
    <row r="6814" spans="1:7" x14ac:dyDescent="0.25">
      <c r="A6814" s="8">
        <v>91</v>
      </c>
      <c r="B6814" s="8">
        <v>32</v>
      </c>
      <c r="C6814" s="8">
        <v>2719.2875979999999</v>
      </c>
      <c r="D6814" s="8">
        <v>80380.039063000004</v>
      </c>
      <c r="E6814" s="8">
        <v>80395.078125</v>
      </c>
      <c r="F6814" s="8">
        <f t="shared" si="212"/>
        <v>15.039061999996193</v>
      </c>
      <c r="G6814" s="8">
        <f t="shared" si="213"/>
        <v>1.5039061999996193E-2</v>
      </c>
    </row>
    <row r="6815" spans="1:7" x14ac:dyDescent="0.25">
      <c r="A6815" s="8">
        <v>91</v>
      </c>
      <c r="B6815" s="8">
        <v>33</v>
      </c>
      <c r="C6815" s="8">
        <v>952.28894000000003</v>
      </c>
      <c r="D6815" s="8">
        <v>83120.640625</v>
      </c>
      <c r="E6815" s="8">
        <v>83131.851563000004</v>
      </c>
      <c r="F6815" s="8">
        <f t="shared" si="212"/>
        <v>11.210938000003807</v>
      </c>
      <c r="G6815" s="8">
        <f t="shared" si="213"/>
        <v>1.1210938000003808E-2</v>
      </c>
    </row>
    <row r="6816" spans="1:7" x14ac:dyDescent="0.25">
      <c r="A6816" s="8">
        <v>91</v>
      </c>
      <c r="B6816" s="8">
        <v>34</v>
      </c>
      <c r="C6816" s="8">
        <v>1453.2620850000001</v>
      </c>
      <c r="D6816" s="8">
        <v>84093.59375</v>
      </c>
      <c r="E6816" s="8">
        <v>84105.515625</v>
      </c>
      <c r="F6816" s="8">
        <f t="shared" si="212"/>
        <v>11.921875</v>
      </c>
      <c r="G6816" s="8">
        <f t="shared" si="213"/>
        <v>1.1921875E-2</v>
      </c>
    </row>
    <row r="6817" spans="1:7" x14ac:dyDescent="0.25">
      <c r="A6817" s="8">
        <v>91</v>
      </c>
      <c r="B6817" s="8">
        <v>35</v>
      </c>
      <c r="C6817" s="8">
        <v>2820.460693</v>
      </c>
      <c r="D6817" s="8">
        <v>85565.101563000004</v>
      </c>
      <c r="E6817" s="8">
        <v>85580.3125</v>
      </c>
      <c r="F6817" s="8">
        <f t="shared" si="212"/>
        <v>15.210936999996193</v>
      </c>
      <c r="G6817" s="8">
        <f t="shared" si="213"/>
        <v>1.5210936999996193E-2</v>
      </c>
    </row>
    <row r="6818" spans="1:7" x14ac:dyDescent="0.25">
      <c r="A6818" s="8">
        <v>91</v>
      </c>
      <c r="B6818" s="8">
        <v>36</v>
      </c>
      <c r="C6818" s="8">
        <v>506.11965900000001</v>
      </c>
      <c r="D6818" s="8">
        <v>88412.335938000004</v>
      </c>
      <c r="E6818" s="8">
        <v>88419.890625</v>
      </c>
      <c r="F6818" s="8">
        <f t="shared" si="212"/>
        <v>7.5546869999961928</v>
      </c>
      <c r="G6818" s="8">
        <f t="shared" si="213"/>
        <v>7.5546869999961932E-3</v>
      </c>
    </row>
    <row r="6819" spans="1:7" x14ac:dyDescent="0.25">
      <c r="A6819" s="8">
        <v>91</v>
      </c>
      <c r="B6819" s="8">
        <v>37</v>
      </c>
      <c r="C6819" s="8">
        <v>810.899719</v>
      </c>
      <c r="D6819" s="8">
        <v>88928.023438000004</v>
      </c>
      <c r="E6819" s="8">
        <v>88947.71875</v>
      </c>
      <c r="F6819" s="8">
        <f t="shared" si="212"/>
        <v>19.695311999996193</v>
      </c>
      <c r="G6819" s="8">
        <f t="shared" si="213"/>
        <v>1.9695311999996194E-2</v>
      </c>
    </row>
    <row r="6820" spans="1:7" x14ac:dyDescent="0.25">
      <c r="A6820" s="8">
        <v>91</v>
      </c>
      <c r="B6820" s="8">
        <v>38</v>
      </c>
      <c r="C6820" s="8">
        <v>2799.5651859999998</v>
      </c>
      <c r="D6820" s="8">
        <v>89771.882813000004</v>
      </c>
      <c r="E6820" s="8">
        <v>89784.359375</v>
      </c>
      <c r="F6820" s="8">
        <f t="shared" si="212"/>
        <v>12.476561999996193</v>
      </c>
      <c r="G6820" s="8">
        <f t="shared" si="213"/>
        <v>1.2476561999996192E-2</v>
      </c>
    </row>
    <row r="6821" spans="1:7" x14ac:dyDescent="0.25">
      <c r="A6821" s="8">
        <v>91</v>
      </c>
      <c r="B6821" s="8">
        <v>39</v>
      </c>
      <c r="C6821" s="8">
        <v>4287.3784180000002</v>
      </c>
      <c r="D6821" s="8">
        <v>92591.429688000004</v>
      </c>
      <c r="E6821" s="8">
        <v>92615.921875</v>
      </c>
      <c r="F6821" s="8">
        <f t="shared" si="212"/>
        <v>24.492186999996193</v>
      </c>
      <c r="G6821" s="8">
        <f t="shared" si="213"/>
        <v>2.4492186999996193E-2</v>
      </c>
    </row>
    <row r="6822" spans="1:7" x14ac:dyDescent="0.25">
      <c r="A6822" s="8">
        <v>91</v>
      </c>
      <c r="B6822" s="8">
        <v>40</v>
      </c>
      <c r="C6822" s="8">
        <v>4918.1772460000002</v>
      </c>
      <c r="D6822" s="8">
        <v>96915.304688000004</v>
      </c>
      <c r="E6822" s="8">
        <v>96923.210938000004</v>
      </c>
      <c r="F6822" s="8">
        <f t="shared" si="212"/>
        <v>7.90625</v>
      </c>
      <c r="G6822" s="8">
        <f t="shared" si="213"/>
        <v>7.9062500000000001E-3</v>
      </c>
    </row>
    <row r="6823" spans="1:7" x14ac:dyDescent="0.25">
      <c r="A6823" s="8">
        <v>91</v>
      </c>
      <c r="B6823" s="8">
        <v>41</v>
      </c>
      <c r="C6823" s="8">
        <v>697.361267</v>
      </c>
      <c r="D6823" s="8">
        <v>101854.414063</v>
      </c>
      <c r="E6823" s="8">
        <v>101862.335938</v>
      </c>
      <c r="F6823" s="8">
        <f t="shared" si="212"/>
        <v>7.921875</v>
      </c>
      <c r="G6823" s="8">
        <f t="shared" si="213"/>
        <v>7.9218750000000001E-3</v>
      </c>
    </row>
    <row r="6824" spans="1:7" x14ac:dyDescent="0.25">
      <c r="A6824" s="8">
        <v>91</v>
      </c>
      <c r="B6824" s="8">
        <v>42</v>
      </c>
      <c r="C6824" s="8">
        <v>50.249122999999997</v>
      </c>
      <c r="D6824" s="8">
        <v>102562.945313</v>
      </c>
      <c r="E6824" s="8">
        <v>102578.289063</v>
      </c>
      <c r="F6824" s="8">
        <f t="shared" si="212"/>
        <v>15.34375</v>
      </c>
      <c r="G6824" s="8">
        <f t="shared" si="213"/>
        <v>1.534375E-2</v>
      </c>
    </row>
    <row r="6825" spans="1:7" x14ac:dyDescent="0.25">
      <c r="A6825" s="8">
        <v>91</v>
      </c>
      <c r="B6825" s="8">
        <v>43</v>
      </c>
      <c r="C6825" s="8">
        <v>3624.650635</v>
      </c>
      <c r="D6825" s="8">
        <v>102641</v>
      </c>
      <c r="E6825" s="8">
        <v>102650.664063</v>
      </c>
      <c r="F6825" s="8">
        <f t="shared" si="212"/>
        <v>9.6640630000038072</v>
      </c>
      <c r="G6825" s="8">
        <f t="shared" si="213"/>
        <v>9.6640630000038065E-3</v>
      </c>
    </row>
    <row r="6826" spans="1:7" x14ac:dyDescent="0.25">
      <c r="A6826" s="8">
        <v>91</v>
      </c>
      <c r="B6826" s="8">
        <v>44</v>
      </c>
      <c r="C6826" s="8">
        <v>103.013931</v>
      </c>
      <c r="D6826" s="8">
        <v>106281.601563</v>
      </c>
      <c r="E6826" s="8">
        <v>106293.007813</v>
      </c>
      <c r="F6826" s="8">
        <f t="shared" si="212"/>
        <v>11.40625</v>
      </c>
      <c r="G6826" s="8">
        <f t="shared" si="213"/>
        <v>1.140625E-2</v>
      </c>
    </row>
    <row r="6827" spans="1:7" x14ac:dyDescent="0.25">
      <c r="A6827" s="8">
        <v>91</v>
      </c>
      <c r="B6827" s="8">
        <v>45</v>
      </c>
      <c r="C6827" s="8">
        <v>8589.2373050000006</v>
      </c>
      <c r="D6827" s="8">
        <v>106406.617188</v>
      </c>
      <c r="E6827" s="8">
        <v>106423.828125</v>
      </c>
      <c r="F6827" s="8">
        <f t="shared" si="212"/>
        <v>17.210936999996193</v>
      </c>
      <c r="G6827" s="8">
        <f t="shared" si="213"/>
        <v>1.7210936999996193E-2</v>
      </c>
    </row>
    <row r="6828" spans="1:7" x14ac:dyDescent="0.25">
      <c r="A6828" s="8">
        <v>91</v>
      </c>
      <c r="B6828" s="8">
        <v>46</v>
      </c>
      <c r="C6828" s="8">
        <v>943.95422399999995</v>
      </c>
      <c r="D6828" s="8">
        <v>115020.609375</v>
      </c>
      <c r="E6828" s="8">
        <v>115048.40625</v>
      </c>
      <c r="F6828" s="8">
        <f t="shared" si="212"/>
        <v>27.796875</v>
      </c>
      <c r="G6828" s="8">
        <f t="shared" si="213"/>
        <v>2.7796874999999999E-2</v>
      </c>
    </row>
    <row r="6829" spans="1:7" x14ac:dyDescent="0.25">
      <c r="A6829" s="8">
        <v>91</v>
      </c>
      <c r="B6829" s="8">
        <v>47</v>
      </c>
      <c r="C6829" s="8">
        <v>791.94647199999997</v>
      </c>
      <c r="D6829" s="8">
        <v>116005.101563</v>
      </c>
      <c r="E6829" s="8">
        <v>116022.601563</v>
      </c>
      <c r="F6829" s="8">
        <f t="shared" si="212"/>
        <v>17.5</v>
      </c>
      <c r="G6829" s="8">
        <f t="shared" si="213"/>
        <v>1.7500000000000002E-2</v>
      </c>
    </row>
    <row r="6830" spans="1:7" x14ac:dyDescent="0.25">
      <c r="A6830" s="8">
        <v>91</v>
      </c>
      <c r="B6830" s="8">
        <v>48</v>
      </c>
      <c r="C6830" s="8">
        <v>1260.0498050000001</v>
      </c>
      <c r="D6830" s="8">
        <v>116817.632813</v>
      </c>
      <c r="E6830" s="8">
        <v>116842.726563</v>
      </c>
      <c r="F6830" s="8">
        <f t="shared" si="212"/>
        <v>25.09375</v>
      </c>
      <c r="G6830" s="8">
        <f t="shared" si="213"/>
        <v>2.5093750000000001E-2</v>
      </c>
    </row>
    <row r="6831" spans="1:7" x14ac:dyDescent="0.25">
      <c r="A6831" s="8">
        <v>91</v>
      </c>
      <c r="B6831" s="8">
        <v>49</v>
      </c>
      <c r="C6831" s="8">
        <v>1410.9212649999999</v>
      </c>
      <c r="D6831" s="8">
        <v>118103.75</v>
      </c>
      <c r="E6831" s="8">
        <v>118122.742188</v>
      </c>
      <c r="F6831" s="8">
        <f t="shared" si="212"/>
        <v>18.992188000003807</v>
      </c>
      <c r="G6831" s="8">
        <f t="shared" si="213"/>
        <v>1.8992188000003806E-2</v>
      </c>
    </row>
    <row r="6832" spans="1:7" x14ac:dyDescent="0.25">
      <c r="A6832" s="8">
        <v>91</v>
      </c>
      <c r="B6832" s="8">
        <v>50</v>
      </c>
      <c r="C6832" s="8">
        <v>436.05902099999997</v>
      </c>
      <c r="D6832" s="8">
        <v>119533.210938</v>
      </c>
      <c r="E6832" s="8">
        <v>119545.273438</v>
      </c>
      <c r="F6832" s="8">
        <f t="shared" si="212"/>
        <v>12.0625</v>
      </c>
      <c r="G6832" s="8">
        <f t="shared" si="213"/>
        <v>1.20625E-2</v>
      </c>
    </row>
    <row r="6833" spans="1:7" x14ac:dyDescent="0.25">
      <c r="A6833" s="8">
        <v>91</v>
      </c>
      <c r="B6833" s="8">
        <v>51</v>
      </c>
      <c r="C6833" s="8">
        <v>2105.1364749999998</v>
      </c>
      <c r="D6833" s="8">
        <v>119984.132813</v>
      </c>
      <c r="E6833" s="8">
        <v>120005.132813</v>
      </c>
      <c r="F6833" s="8">
        <f t="shared" si="212"/>
        <v>21</v>
      </c>
      <c r="G6833" s="8">
        <f t="shared" si="213"/>
        <v>2.1000000000000001E-2</v>
      </c>
    </row>
    <row r="6834" spans="1:7" x14ac:dyDescent="0.25">
      <c r="A6834" s="8">
        <v>91</v>
      </c>
      <c r="B6834" s="8">
        <v>52</v>
      </c>
      <c r="C6834" s="8">
        <v>978.10082999999997</v>
      </c>
      <c r="D6834" s="8">
        <v>122111.476563</v>
      </c>
      <c r="E6834" s="8">
        <v>122127.859375</v>
      </c>
      <c r="F6834" s="8">
        <f t="shared" si="212"/>
        <v>16.382811999996193</v>
      </c>
      <c r="G6834" s="8">
        <f t="shared" si="213"/>
        <v>1.6382811999996194E-2</v>
      </c>
    </row>
    <row r="6835" spans="1:7" x14ac:dyDescent="0.25">
      <c r="A6835" s="8">
        <v>91</v>
      </c>
      <c r="B6835" s="8">
        <v>53</v>
      </c>
      <c r="C6835" s="8">
        <v>872.25707999999997</v>
      </c>
      <c r="D6835" s="8">
        <v>123115.796875</v>
      </c>
      <c r="E6835" s="8">
        <v>123141.125</v>
      </c>
      <c r="F6835" s="8">
        <f t="shared" si="212"/>
        <v>25.328125</v>
      </c>
      <c r="G6835" s="8">
        <f t="shared" si="213"/>
        <v>2.5328125E-2</v>
      </c>
    </row>
    <row r="6836" spans="1:7" x14ac:dyDescent="0.25">
      <c r="A6836" s="8">
        <v>91</v>
      </c>
      <c r="B6836" s="8">
        <v>54</v>
      </c>
      <c r="C6836" s="8">
        <v>16635.470702999999</v>
      </c>
      <c r="D6836" s="8">
        <v>124017.507813</v>
      </c>
      <c r="E6836" s="8">
        <v>124059.671875</v>
      </c>
      <c r="F6836" s="8">
        <f t="shared" si="212"/>
        <v>42.164061999996193</v>
      </c>
      <c r="G6836" s="8">
        <f t="shared" si="213"/>
        <v>4.2164061999996193E-2</v>
      </c>
    </row>
    <row r="6837" spans="1:7" x14ac:dyDescent="0.25">
      <c r="A6837" s="8">
        <v>91</v>
      </c>
      <c r="B6837" s="8">
        <v>55</v>
      </c>
      <c r="C6837" s="8">
        <v>2514.5187989999999</v>
      </c>
      <c r="D6837" s="8">
        <v>140701.59375</v>
      </c>
      <c r="E6837" s="8">
        <v>140758.125</v>
      </c>
      <c r="F6837" s="8">
        <f t="shared" si="212"/>
        <v>56.53125</v>
      </c>
      <c r="G6837" s="8">
        <f t="shared" si="213"/>
        <v>5.6531249999999998E-2</v>
      </c>
    </row>
    <row r="6838" spans="1:7" x14ac:dyDescent="0.25">
      <c r="A6838" s="8">
        <v>91</v>
      </c>
      <c r="B6838" s="8">
        <v>56</v>
      </c>
      <c r="C6838" s="8">
        <v>506.59155299999998</v>
      </c>
      <c r="D6838" s="8">
        <v>143280.921875</v>
      </c>
      <c r="E6838" s="8">
        <v>143294.21875</v>
      </c>
      <c r="F6838" s="8">
        <f t="shared" si="212"/>
        <v>13.296875</v>
      </c>
      <c r="G6838" s="8">
        <f t="shared" si="213"/>
        <v>1.3296875E-2</v>
      </c>
    </row>
    <row r="6839" spans="1:7" x14ac:dyDescent="0.25">
      <c r="A6839" s="8">
        <v>91</v>
      </c>
      <c r="B6839" s="8">
        <v>57</v>
      </c>
      <c r="C6839" s="8">
        <v>934.19274900000005</v>
      </c>
      <c r="D6839" s="8">
        <v>143806.75</v>
      </c>
      <c r="E6839" s="8">
        <v>143821.9375</v>
      </c>
      <c r="F6839" s="8">
        <f t="shared" si="212"/>
        <v>15.1875</v>
      </c>
      <c r="G6839" s="8">
        <f t="shared" si="213"/>
        <v>1.51875E-2</v>
      </c>
    </row>
    <row r="6840" spans="1:7" x14ac:dyDescent="0.25">
      <c r="A6840" s="8">
        <v>91</v>
      </c>
      <c r="B6840" s="8">
        <v>58</v>
      </c>
      <c r="C6840" s="8">
        <v>1305.4879149999999</v>
      </c>
      <c r="D6840" s="8">
        <v>144768.859375</v>
      </c>
      <c r="E6840" s="8">
        <v>144794.265625</v>
      </c>
      <c r="F6840" s="8">
        <f t="shared" si="212"/>
        <v>25.40625</v>
      </c>
      <c r="G6840" s="8">
        <f t="shared" si="213"/>
        <v>2.5406249999999998E-2</v>
      </c>
    </row>
    <row r="6841" spans="1:7" x14ac:dyDescent="0.25">
      <c r="A6841" s="8">
        <v>91</v>
      </c>
      <c r="B6841" s="8">
        <v>59</v>
      </c>
      <c r="C6841" s="8">
        <v>622.73614499999996</v>
      </c>
      <c r="D6841" s="8">
        <v>146099.703125</v>
      </c>
      <c r="E6841" s="8">
        <v>146113.703125</v>
      </c>
      <c r="F6841" s="8">
        <f t="shared" si="212"/>
        <v>14</v>
      </c>
      <c r="G6841" s="8">
        <f t="shared" si="213"/>
        <v>1.4E-2</v>
      </c>
    </row>
    <row r="6842" spans="1:7" x14ac:dyDescent="0.25">
      <c r="A6842" s="8">
        <v>91</v>
      </c>
      <c r="B6842" s="8">
        <v>60</v>
      </c>
      <c r="C6842" s="8">
        <v>2963.2211910000001</v>
      </c>
      <c r="D6842" s="8">
        <v>146740.390625</v>
      </c>
      <c r="E6842" s="8">
        <v>146754.28125</v>
      </c>
      <c r="F6842" s="8">
        <f t="shared" si="212"/>
        <v>13.890625</v>
      </c>
      <c r="G6842" s="8">
        <f t="shared" si="213"/>
        <v>1.3890625E-2</v>
      </c>
    </row>
    <row r="6843" spans="1:7" x14ac:dyDescent="0.25">
      <c r="A6843" s="8">
        <v>91</v>
      </c>
      <c r="B6843" s="8">
        <v>61</v>
      </c>
      <c r="C6843" s="8">
        <v>1726.7548830000001</v>
      </c>
      <c r="D6843" s="8">
        <v>149732.984375</v>
      </c>
      <c r="E6843" s="8">
        <v>149746.359375</v>
      </c>
      <c r="F6843" s="8">
        <f t="shared" si="212"/>
        <v>13.375</v>
      </c>
      <c r="G6843" s="8">
        <f t="shared" si="213"/>
        <v>1.3375E-2</v>
      </c>
    </row>
    <row r="6844" spans="1:7" x14ac:dyDescent="0.25">
      <c r="A6844" s="8">
        <v>91</v>
      </c>
      <c r="B6844" s="8">
        <v>62</v>
      </c>
      <c r="C6844" s="8">
        <v>4770.3178710000002</v>
      </c>
      <c r="D6844" s="8">
        <v>151483.375</v>
      </c>
      <c r="E6844" s="8">
        <v>151499.859375</v>
      </c>
      <c r="F6844" s="8">
        <f t="shared" si="212"/>
        <v>16.484375</v>
      </c>
      <c r="G6844" s="8">
        <f t="shared" si="213"/>
        <v>1.6484374999999999E-2</v>
      </c>
    </row>
    <row r="6845" spans="1:7" x14ac:dyDescent="0.25">
      <c r="A6845" s="8">
        <v>91</v>
      </c>
      <c r="B6845" s="8">
        <v>63</v>
      </c>
      <c r="C6845" s="8">
        <v>106.100853</v>
      </c>
      <c r="D6845" s="8">
        <v>156281.78125</v>
      </c>
      <c r="E6845" s="8">
        <v>156299.546875</v>
      </c>
      <c r="F6845" s="8">
        <f t="shared" si="212"/>
        <v>17.765625</v>
      </c>
      <c r="G6845" s="8">
        <f t="shared" si="213"/>
        <v>1.7765625E-2</v>
      </c>
    </row>
    <row r="6846" spans="1:7" x14ac:dyDescent="0.25">
      <c r="A6846" s="8">
        <v>91</v>
      </c>
      <c r="B6846" s="8">
        <v>64</v>
      </c>
      <c r="C6846" s="8">
        <v>1870.7558590000001</v>
      </c>
      <c r="D6846" s="8">
        <v>156406.734375</v>
      </c>
      <c r="E6846" s="8">
        <v>156417.59375</v>
      </c>
      <c r="F6846" s="8">
        <f t="shared" si="212"/>
        <v>10.859375</v>
      </c>
      <c r="G6846" s="8">
        <f t="shared" si="213"/>
        <v>1.0859374999999999E-2</v>
      </c>
    </row>
    <row r="6847" spans="1:7" x14ac:dyDescent="0.25">
      <c r="A6847" s="8">
        <v>91</v>
      </c>
      <c r="B6847" s="8">
        <v>65</v>
      </c>
      <c r="C6847" s="8">
        <v>778.92950399999995</v>
      </c>
      <c r="D6847" s="8">
        <v>158297.59375</v>
      </c>
      <c r="E6847" s="8">
        <v>158317.984375</v>
      </c>
      <c r="F6847" s="8">
        <f t="shared" si="212"/>
        <v>20.390625</v>
      </c>
      <c r="G6847" s="8">
        <f t="shared" si="213"/>
        <v>2.0390624999999999E-2</v>
      </c>
    </row>
    <row r="6848" spans="1:7" x14ac:dyDescent="0.25">
      <c r="A6848" s="8">
        <v>91</v>
      </c>
      <c r="B6848" s="8">
        <v>66</v>
      </c>
      <c r="C6848" s="8">
        <v>1372.9716800000001</v>
      </c>
      <c r="D6848" s="8">
        <v>159111.09375</v>
      </c>
      <c r="E6848" s="8">
        <v>159129.25</v>
      </c>
      <c r="F6848" s="8">
        <f t="shared" si="212"/>
        <v>18.15625</v>
      </c>
      <c r="G6848" s="8">
        <f t="shared" si="213"/>
        <v>1.8156249999999999E-2</v>
      </c>
    </row>
    <row r="6849" spans="1:7" x14ac:dyDescent="0.25">
      <c r="A6849" s="8">
        <v>91</v>
      </c>
      <c r="B6849" s="8">
        <v>67</v>
      </c>
      <c r="C6849" s="8">
        <v>244.66601600000001</v>
      </c>
      <c r="D6849" s="8">
        <v>160501.984375</v>
      </c>
      <c r="E6849" s="8">
        <v>160522.90625</v>
      </c>
      <c r="F6849" s="8">
        <f t="shared" si="212"/>
        <v>20.921875</v>
      </c>
      <c r="G6849" s="8">
        <f t="shared" si="213"/>
        <v>2.0921875E-2</v>
      </c>
    </row>
    <row r="6850" spans="1:7" x14ac:dyDescent="0.25">
      <c r="A6850" s="8">
        <v>91</v>
      </c>
      <c r="B6850" s="8">
        <v>68</v>
      </c>
      <c r="C6850" s="8">
        <v>88.2239</v>
      </c>
      <c r="D6850" s="8">
        <v>160767.640625</v>
      </c>
      <c r="E6850" s="8">
        <v>160787.78125</v>
      </c>
      <c r="F6850" s="8">
        <f t="shared" si="212"/>
        <v>20.140625</v>
      </c>
      <c r="G6850" s="8">
        <f t="shared" si="213"/>
        <v>2.0140624999999999E-2</v>
      </c>
    </row>
    <row r="6851" spans="1:7" x14ac:dyDescent="0.25">
      <c r="A6851" s="8">
        <v>91</v>
      </c>
      <c r="B6851" s="8">
        <v>69</v>
      </c>
      <c r="C6851" s="8">
        <v>3140.88501</v>
      </c>
      <c r="D6851" s="8">
        <v>160876.9375</v>
      </c>
      <c r="E6851" s="8">
        <v>160892.484375</v>
      </c>
      <c r="F6851" s="8">
        <f t="shared" si="212"/>
        <v>15.546875</v>
      </c>
      <c r="G6851" s="8">
        <f t="shared" si="213"/>
        <v>1.5546875E-2</v>
      </c>
    </row>
    <row r="6852" spans="1:7" x14ac:dyDescent="0.25">
      <c r="A6852" s="8">
        <v>91</v>
      </c>
      <c r="B6852" s="8">
        <v>70</v>
      </c>
      <c r="C6852" s="8">
        <v>3188.1069339999999</v>
      </c>
      <c r="D6852" s="8">
        <v>164034.125</v>
      </c>
      <c r="E6852" s="8">
        <v>164046.421875</v>
      </c>
      <c r="F6852" s="8">
        <f t="shared" si="212"/>
        <v>12.296875</v>
      </c>
      <c r="G6852" s="8">
        <f t="shared" si="213"/>
        <v>1.2296875000000001E-2</v>
      </c>
    </row>
    <row r="6853" spans="1:7" x14ac:dyDescent="0.25">
      <c r="A6853" s="8">
        <v>91</v>
      </c>
      <c r="B6853" s="8">
        <v>71</v>
      </c>
      <c r="C6853" s="8">
        <v>7594.6132809999999</v>
      </c>
      <c r="D6853" s="8">
        <v>167244.1875</v>
      </c>
      <c r="E6853" s="8">
        <v>167264.78125</v>
      </c>
      <c r="F6853" s="8">
        <f t="shared" si="212"/>
        <v>20.59375</v>
      </c>
      <c r="G6853" s="8">
        <f t="shared" si="213"/>
        <v>2.0593750000000001E-2</v>
      </c>
    </row>
    <row r="6854" spans="1:7" x14ac:dyDescent="0.25">
      <c r="A6854" s="8">
        <v>92</v>
      </c>
      <c r="B6854" s="8">
        <v>0</v>
      </c>
      <c r="C6854" s="8">
        <v>1916.695068</v>
      </c>
      <c r="D6854" s="8">
        <v>26179.763672000001</v>
      </c>
      <c r="E6854" s="8">
        <v>26196.796875</v>
      </c>
      <c r="F6854" s="8">
        <f t="shared" si="212"/>
        <v>17.033202999999048</v>
      </c>
      <c r="G6854" s="8">
        <f t="shared" si="213"/>
        <v>1.703320299999905E-2</v>
      </c>
    </row>
    <row r="6855" spans="1:7" x14ac:dyDescent="0.25">
      <c r="A6855" s="8">
        <v>92</v>
      </c>
      <c r="B6855" s="8">
        <v>1</v>
      </c>
      <c r="C6855" s="8">
        <v>632.92877199999998</v>
      </c>
      <c r="D6855" s="8">
        <v>28119.070313</v>
      </c>
      <c r="E6855" s="8">
        <v>28130.582031000002</v>
      </c>
      <c r="F6855" s="8">
        <f t="shared" si="212"/>
        <v>11.511718000001565</v>
      </c>
      <c r="G6855" s="8">
        <f t="shared" si="213"/>
        <v>1.1511718000001565E-2</v>
      </c>
    </row>
    <row r="6856" spans="1:7" x14ac:dyDescent="0.25">
      <c r="A6856" s="8">
        <v>92</v>
      </c>
      <c r="B6856" s="8">
        <v>2</v>
      </c>
      <c r="C6856" s="8">
        <v>1291.9342039999999</v>
      </c>
      <c r="D6856" s="8">
        <v>28777.660156000002</v>
      </c>
      <c r="E6856" s="8">
        <v>28796.480468999998</v>
      </c>
      <c r="F6856" s="8">
        <f t="shared" si="212"/>
        <v>18.820312999996531</v>
      </c>
      <c r="G6856" s="8">
        <f t="shared" si="213"/>
        <v>1.8820312999996532E-2</v>
      </c>
    </row>
    <row r="6857" spans="1:7" x14ac:dyDescent="0.25">
      <c r="A6857" s="8">
        <v>92</v>
      </c>
      <c r="B6857" s="8">
        <v>3</v>
      </c>
      <c r="C6857" s="8">
        <v>5895.3583980000003</v>
      </c>
      <c r="D6857" s="8">
        <v>30090.335938</v>
      </c>
      <c r="E6857" s="8">
        <v>30104.025390999999</v>
      </c>
      <c r="F6857" s="8">
        <f t="shared" si="212"/>
        <v>13.689452999999048</v>
      </c>
      <c r="G6857" s="8">
        <f t="shared" si="213"/>
        <v>1.3689452999999048E-2</v>
      </c>
    </row>
    <row r="6858" spans="1:7" x14ac:dyDescent="0.25">
      <c r="A6858" s="8">
        <v>92</v>
      </c>
      <c r="B6858" s="8">
        <v>4</v>
      </c>
      <c r="C6858" s="8">
        <v>15378.253906</v>
      </c>
      <c r="D6858" s="8">
        <v>36014.527344000002</v>
      </c>
      <c r="E6858" s="8">
        <v>36028.972655999998</v>
      </c>
      <c r="F6858" s="8">
        <f t="shared" si="212"/>
        <v>14.445311999996193</v>
      </c>
      <c r="G6858" s="8">
        <f t="shared" si="213"/>
        <v>1.4445311999996192E-2</v>
      </c>
    </row>
    <row r="6859" spans="1:7" x14ac:dyDescent="0.25">
      <c r="A6859" s="8">
        <v>92</v>
      </c>
      <c r="B6859" s="8">
        <v>5</v>
      </c>
      <c r="C6859" s="8">
        <v>2966.7155760000001</v>
      </c>
      <c r="D6859" s="8">
        <v>51412.835937999997</v>
      </c>
      <c r="E6859" s="8">
        <v>51440.820312999997</v>
      </c>
      <c r="F6859" s="8">
        <f t="shared" ref="F6859:F6922" si="214">E6859-D6859</f>
        <v>27.984375</v>
      </c>
      <c r="G6859" s="8">
        <f t="shared" ref="G6859:G6922" si="215">F6859/1000</f>
        <v>2.7984374999999999E-2</v>
      </c>
    </row>
    <row r="6860" spans="1:7" x14ac:dyDescent="0.25">
      <c r="A6860" s="8">
        <v>92</v>
      </c>
      <c r="B6860" s="8">
        <v>6</v>
      </c>
      <c r="C6860" s="8">
        <v>377.04760700000003</v>
      </c>
      <c r="D6860" s="8">
        <v>54409.746094000002</v>
      </c>
      <c r="E6860" s="8">
        <v>54450.238280999998</v>
      </c>
      <c r="F6860" s="8">
        <f t="shared" si="214"/>
        <v>40.492186999996193</v>
      </c>
      <c r="G6860" s="8">
        <f t="shared" si="215"/>
        <v>4.0492186999996189E-2</v>
      </c>
    </row>
    <row r="6861" spans="1:7" x14ac:dyDescent="0.25">
      <c r="A6861" s="8">
        <v>92</v>
      </c>
      <c r="B6861" s="8">
        <v>7</v>
      </c>
      <c r="C6861" s="8">
        <v>3142.6469729999999</v>
      </c>
      <c r="D6861" s="8">
        <v>54831.667969000002</v>
      </c>
      <c r="E6861" s="8">
        <v>54852.019530999998</v>
      </c>
      <c r="F6861" s="8">
        <f t="shared" si="214"/>
        <v>20.351561999996193</v>
      </c>
      <c r="G6861" s="8">
        <f t="shared" si="215"/>
        <v>2.0351561999996194E-2</v>
      </c>
    </row>
    <row r="6862" spans="1:7" x14ac:dyDescent="0.25">
      <c r="A6862" s="8">
        <v>92</v>
      </c>
      <c r="B6862" s="8">
        <v>8</v>
      </c>
      <c r="C6862" s="8">
        <v>115.390686</v>
      </c>
      <c r="D6862" s="8">
        <v>58007.792969000002</v>
      </c>
      <c r="E6862" s="8">
        <v>58027.453125</v>
      </c>
      <c r="F6862" s="8">
        <f t="shared" si="214"/>
        <v>19.660155999998096</v>
      </c>
      <c r="G6862" s="8">
        <f t="shared" si="215"/>
        <v>1.9660155999998097E-2</v>
      </c>
    </row>
    <row r="6863" spans="1:7" x14ac:dyDescent="0.25">
      <c r="A6863" s="8">
        <v>92</v>
      </c>
      <c r="B6863" s="8">
        <v>9</v>
      </c>
      <c r="C6863" s="8">
        <v>2189.2446289999998</v>
      </c>
      <c r="D6863" s="8">
        <v>58148.460937999997</v>
      </c>
      <c r="E6863" s="8">
        <v>58162.886719000002</v>
      </c>
      <c r="F6863" s="8">
        <f t="shared" si="214"/>
        <v>14.425781000005372</v>
      </c>
      <c r="G6863" s="8">
        <f t="shared" si="215"/>
        <v>1.4425781000005373E-2</v>
      </c>
    </row>
    <row r="6864" spans="1:7" x14ac:dyDescent="0.25">
      <c r="A6864" s="8">
        <v>92</v>
      </c>
      <c r="B6864" s="8">
        <v>10</v>
      </c>
      <c r="C6864" s="8">
        <v>3295.523682</v>
      </c>
      <c r="D6864" s="8">
        <v>60356.816405999998</v>
      </c>
      <c r="E6864" s="8">
        <v>60371.09375</v>
      </c>
      <c r="F6864" s="8">
        <f t="shared" si="214"/>
        <v>14.277344000001904</v>
      </c>
      <c r="G6864" s="8">
        <f t="shared" si="215"/>
        <v>1.4277344000001904E-2</v>
      </c>
    </row>
    <row r="6865" spans="1:7" x14ac:dyDescent="0.25">
      <c r="A6865" s="8">
        <v>92</v>
      </c>
      <c r="B6865" s="8">
        <v>11</v>
      </c>
      <c r="C6865" s="8">
        <v>1210.919189</v>
      </c>
      <c r="D6865" s="8">
        <v>63680.535155999998</v>
      </c>
      <c r="E6865" s="8">
        <v>63697.453125</v>
      </c>
      <c r="F6865" s="8">
        <f t="shared" si="214"/>
        <v>16.917969000001904</v>
      </c>
      <c r="G6865" s="8">
        <f t="shared" si="215"/>
        <v>1.6917969000001903E-2</v>
      </c>
    </row>
    <row r="6866" spans="1:7" x14ac:dyDescent="0.25">
      <c r="A6866" s="8">
        <v>92</v>
      </c>
      <c r="B6866" s="8">
        <v>12</v>
      </c>
      <c r="C6866" s="8">
        <v>3737.6926269999999</v>
      </c>
      <c r="D6866" s="8">
        <v>64918.46875</v>
      </c>
      <c r="E6866" s="8">
        <v>64935.988280999998</v>
      </c>
      <c r="F6866" s="8">
        <f t="shared" si="214"/>
        <v>17.519530999998096</v>
      </c>
      <c r="G6866" s="8">
        <f t="shared" si="215"/>
        <v>1.7519530999998097E-2</v>
      </c>
    </row>
    <row r="6867" spans="1:7" x14ac:dyDescent="0.25">
      <c r="A6867" s="8">
        <v>92</v>
      </c>
      <c r="B6867" s="8">
        <v>13</v>
      </c>
      <c r="C6867" s="8">
        <v>1479.8198239999999</v>
      </c>
      <c r="D6867" s="8">
        <v>68685.96875</v>
      </c>
      <c r="E6867" s="8">
        <v>68699.6875</v>
      </c>
      <c r="F6867" s="8">
        <f t="shared" si="214"/>
        <v>13.71875</v>
      </c>
      <c r="G6867" s="8">
        <f t="shared" si="215"/>
        <v>1.371875E-2</v>
      </c>
    </row>
    <row r="6868" spans="1:7" x14ac:dyDescent="0.25">
      <c r="A6868" s="8">
        <v>92</v>
      </c>
      <c r="B6868" s="8">
        <v>14</v>
      </c>
      <c r="C6868" s="8">
        <v>4561.5200199999999</v>
      </c>
      <c r="D6868" s="8">
        <v>70186.539063000004</v>
      </c>
      <c r="E6868" s="8">
        <v>70203.421875</v>
      </c>
      <c r="F6868" s="8">
        <f t="shared" si="214"/>
        <v>16.882811999996193</v>
      </c>
      <c r="G6868" s="8">
        <f t="shared" si="215"/>
        <v>1.6882811999996191E-2</v>
      </c>
    </row>
    <row r="6869" spans="1:7" x14ac:dyDescent="0.25">
      <c r="A6869" s="8">
        <v>92</v>
      </c>
      <c r="B6869" s="8">
        <v>15</v>
      </c>
      <c r="C6869" s="8">
        <v>371.30728099999999</v>
      </c>
      <c r="D6869" s="8">
        <v>74773.929688000004</v>
      </c>
      <c r="E6869" s="8">
        <v>74795.664063000004</v>
      </c>
      <c r="F6869" s="8">
        <f t="shared" si="214"/>
        <v>21.734375</v>
      </c>
      <c r="G6869" s="8">
        <f t="shared" si="215"/>
        <v>2.1734375E-2</v>
      </c>
    </row>
    <row r="6870" spans="1:7" x14ac:dyDescent="0.25">
      <c r="A6870" s="8">
        <v>92</v>
      </c>
      <c r="B6870" s="8">
        <v>16</v>
      </c>
      <c r="C6870" s="8">
        <v>3405.6850589999999</v>
      </c>
      <c r="D6870" s="8">
        <v>75181.414063000004</v>
      </c>
      <c r="E6870" s="8">
        <v>75189.164063000004</v>
      </c>
      <c r="F6870" s="8">
        <f t="shared" si="214"/>
        <v>7.75</v>
      </c>
      <c r="G6870" s="8">
        <f t="shared" si="215"/>
        <v>7.7499999999999999E-3</v>
      </c>
    </row>
    <row r="6871" spans="1:7" x14ac:dyDescent="0.25">
      <c r="A6871" s="8">
        <v>92</v>
      </c>
      <c r="B6871" s="8">
        <v>17</v>
      </c>
      <c r="C6871" s="8">
        <v>48.497298999999998</v>
      </c>
      <c r="D6871" s="8">
        <v>78607.046875</v>
      </c>
      <c r="E6871" s="8">
        <v>78627.742188000004</v>
      </c>
      <c r="F6871" s="8">
        <f t="shared" si="214"/>
        <v>20.695313000003807</v>
      </c>
      <c r="G6871" s="8">
        <f t="shared" si="215"/>
        <v>2.0695313000003806E-2</v>
      </c>
    </row>
    <row r="6872" spans="1:7" x14ac:dyDescent="0.25">
      <c r="A6872" s="8">
        <v>92</v>
      </c>
      <c r="B6872" s="8">
        <v>18</v>
      </c>
      <c r="C6872" s="8">
        <v>3511.9960940000001</v>
      </c>
      <c r="D6872" s="8">
        <v>78685.257813000004</v>
      </c>
      <c r="E6872" s="8">
        <v>78704.585938000004</v>
      </c>
      <c r="F6872" s="8">
        <f t="shared" si="214"/>
        <v>19.328125</v>
      </c>
      <c r="G6872" s="8">
        <f t="shared" si="215"/>
        <v>1.9328125000000002E-2</v>
      </c>
    </row>
    <row r="6873" spans="1:7" x14ac:dyDescent="0.25">
      <c r="A6873" s="8">
        <v>92</v>
      </c>
      <c r="B6873" s="8">
        <v>19</v>
      </c>
      <c r="C6873" s="8">
        <v>52.440902999999999</v>
      </c>
      <c r="D6873" s="8">
        <v>82229.898438000004</v>
      </c>
      <c r="E6873" s="8">
        <v>82255.992188000004</v>
      </c>
      <c r="F6873" s="8">
        <f t="shared" si="214"/>
        <v>26.09375</v>
      </c>
      <c r="G6873" s="8">
        <f t="shared" si="215"/>
        <v>2.6093749999999999E-2</v>
      </c>
    </row>
    <row r="6874" spans="1:7" x14ac:dyDescent="0.25">
      <c r="A6874" s="8">
        <v>92</v>
      </c>
      <c r="B6874" s="8">
        <v>20</v>
      </c>
      <c r="C6874" s="8">
        <v>1322.6788329999999</v>
      </c>
      <c r="D6874" s="8">
        <v>82323.625</v>
      </c>
      <c r="E6874" s="8">
        <v>82331.25</v>
      </c>
      <c r="F6874" s="8">
        <f t="shared" si="214"/>
        <v>7.625</v>
      </c>
      <c r="G6874" s="8">
        <f t="shared" si="215"/>
        <v>7.6249999999999998E-3</v>
      </c>
    </row>
    <row r="6875" spans="1:7" x14ac:dyDescent="0.25">
      <c r="A6875" s="8">
        <v>92</v>
      </c>
      <c r="B6875" s="8">
        <v>21</v>
      </c>
      <c r="C6875" s="8">
        <v>3322.0180660000001</v>
      </c>
      <c r="D6875" s="8">
        <v>83655.945313000004</v>
      </c>
      <c r="E6875" s="8">
        <v>83668.046875</v>
      </c>
      <c r="F6875" s="8">
        <f t="shared" si="214"/>
        <v>12.101561999996193</v>
      </c>
      <c r="G6875" s="8">
        <f t="shared" si="215"/>
        <v>1.2101561999996192E-2</v>
      </c>
    </row>
    <row r="6876" spans="1:7" x14ac:dyDescent="0.25">
      <c r="A6876" s="8">
        <v>92</v>
      </c>
      <c r="B6876" s="8">
        <v>22</v>
      </c>
      <c r="C6876" s="8">
        <v>2077.0061040000001</v>
      </c>
      <c r="D6876" s="8">
        <v>87002.765625</v>
      </c>
      <c r="E6876" s="8">
        <v>87022.765625</v>
      </c>
      <c r="F6876" s="8">
        <f t="shared" si="214"/>
        <v>20</v>
      </c>
      <c r="G6876" s="8">
        <f t="shared" si="215"/>
        <v>0.02</v>
      </c>
    </row>
    <row r="6877" spans="1:7" x14ac:dyDescent="0.25">
      <c r="A6877" s="8">
        <v>92</v>
      </c>
      <c r="B6877" s="8">
        <v>23</v>
      </c>
      <c r="C6877" s="8">
        <v>1198.7670900000001</v>
      </c>
      <c r="D6877" s="8">
        <v>89115.515625</v>
      </c>
      <c r="E6877" s="8">
        <v>89139.75</v>
      </c>
      <c r="F6877" s="8">
        <f t="shared" si="214"/>
        <v>24.234375</v>
      </c>
      <c r="G6877" s="8">
        <f t="shared" si="215"/>
        <v>2.4234374999999999E-2</v>
      </c>
    </row>
    <row r="6878" spans="1:7" x14ac:dyDescent="0.25">
      <c r="A6878" s="8">
        <v>92</v>
      </c>
      <c r="B6878" s="8">
        <v>24</v>
      </c>
      <c r="C6878" s="8">
        <v>797.486267</v>
      </c>
      <c r="D6878" s="8">
        <v>90339.171875</v>
      </c>
      <c r="E6878" s="8">
        <v>90360.875</v>
      </c>
      <c r="F6878" s="8">
        <f t="shared" si="214"/>
        <v>21.703125</v>
      </c>
      <c r="G6878" s="8">
        <f t="shared" si="215"/>
        <v>2.1703125E-2</v>
      </c>
    </row>
    <row r="6879" spans="1:7" x14ac:dyDescent="0.25">
      <c r="A6879" s="8">
        <v>92</v>
      </c>
      <c r="B6879" s="8">
        <v>25</v>
      </c>
      <c r="C6879" s="8">
        <v>1958.8323969999999</v>
      </c>
      <c r="D6879" s="8">
        <v>91167.382813000004</v>
      </c>
      <c r="E6879" s="8">
        <v>91184.21875</v>
      </c>
      <c r="F6879" s="8">
        <f t="shared" si="214"/>
        <v>16.835936999996193</v>
      </c>
      <c r="G6879" s="8">
        <f t="shared" si="215"/>
        <v>1.6835936999996193E-2</v>
      </c>
    </row>
    <row r="6880" spans="1:7" x14ac:dyDescent="0.25">
      <c r="A6880" s="8">
        <v>92</v>
      </c>
      <c r="B6880" s="8">
        <v>26</v>
      </c>
      <c r="C6880" s="8">
        <v>55.890118000000001</v>
      </c>
      <c r="D6880" s="8">
        <v>93154.109375</v>
      </c>
      <c r="E6880" s="8">
        <v>93170.03125</v>
      </c>
      <c r="F6880" s="8">
        <f t="shared" si="214"/>
        <v>15.921875</v>
      </c>
      <c r="G6880" s="8">
        <f t="shared" si="215"/>
        <v>1.5921874999999999E-2</v>
      </c>
    </row>
    <row r="6881" spans="1:7" x14ac:dyDescent="0.25">
      <c r="A6881" s="8">
        <v>92</v>
      </c>
      <c r="B6881" s="8">
        <v>27</v>
      </c>
      <c r="C6881" s="8">
        <v>477.707336</v>
      </c>
      <c r="D6881" s="8">
        <v>93232.210938000004</v>
      </c>
      <c r="E6881" s="8">
        <v>93253.84375</v>
      </c>
      <c r="F6881" s="8">
        <f t="shared" si="214"/>
        <v>21.632811999996193</v>
      </c>
      <c r="G6881" s="8">
        <f t="shared" si="215"/>
        <v>2.1632811999996192E-2</v>
      </c>
    </row>
    <row r="6882" spans="1:7" x14ac:dyDescent="0.25">
      <c r="A6882" s="8">
        <v>92</v>
      </c>
      <c r="B6882" s="8">
        <v>28</v>
      </c>
      <c r="C6882" s="8">
        <v>403.30917399999998</v>
      </c>
      <c r="D6882" s="8">
        <v>93732.5625</v>
      </c>
      <c r="E6882" s="8">
        <v>93756.890625</v>
      </c>
      <c r="F6882" s="8">
        <f t="shared" si="214"/>
        <v>24.328125</v>
      </c>
      <c r="G6882" s="8">
        <f t="shared" si="215"/>
        <v>2.4328124999999999E-2</v>
      </c>
    </row>
    <row r="6883" spans="1:7" x14ac:dyDescent="0.25">
      <c r="A6883" s="8">
        <v>92</v>
      </c>
      <c r="B6883" s="8">
        <v>29</v>
      </c>
      <c r="C6883" s="8">
        <v>155.69044500000001</v>
      </c>
      <c r="D6883" s="8">
        <v>94170.109375</v>
      </c>
      <c r="E6883" s="8">
        <v>94178.632813000004</v>
      </c>
      <c r="F6883" s="8">
        <f t="shared" si="214"/>
        <v>8.5234380000038072</v>
      </c>
      <c r="G6883" s="8">
        <f t="shared" si="215"/>
        <v>8.5234380000038072E-3</v>
      </c>
    </row>
    <row r="6884" spans="1:7" x14ac:dyDescent="0.25">
      <c r="A6884" s="8">
        <v>92</v>
      </c>
      <c r="B6884" s="8">
        <v>30</v>
      </c>
      <c r="C6884" s="8">
        <v>884.75769000000003</v>
      </c>
      <c r="D6884" s="8">
        <v>94342</v>
      </c>
      <c r="E6884" s="8">
        <v>94366.75</v>
      </c>
      <c r="F6884" s="8">
        <f t="shared" si="214"/>
        <v>24.75</v>
      </c>
      <c r="G6884" s="8">
        <f t="shared" si="215"/>
        <v>2.4750000000000001E-2</v>
      </c>
    </row>
    <row r="6885" spans="1:7" x14ac:dyDescent="0.25">
      <c r="A6885" s="8">
        <v>92</v>
      </c>
      <c r="B6885" s="8">
        <v>31</v>
      </c>
      <c r="C6885" s="8">
        <v>57.71125</v>
      </c>
      <c r="D6885" s="8">
        <v>95265.476563000004</v>
      </c>
      <c r="E6885" s="8">
        <v>95274.359375</v>
      </c>
      <c r="F6885" s="8">
        <f t="shared" si="214"/>
        <v>8.8828119999961928</v>
      </c>
      <c r="G6885" s="8">
        <f t="shared" si="215"/>
        <v>8.8828119999961926E-3</v>
      </c>
    </row>
    <row r="6886" spans="1:7" x14ac:dyDescent="0.25">
      <c r="A6886" s="8">
        <v>92</v>
      </c>
      <c r="B6886" s="8">
        <v>32</v>
      </c>
      <c r="C6886" s="8">
        <v>2926.7624510000001</v>
      </c>
      <c r="D6886" s="8">
        <v>95343.546875</v>
      </c>
      <c r="E6886" s="8">
        <v>95369.171875</v>
      </c>
      <c r="F6886" s="8">
        <f t="shared" si="214"/>
        <v>25.625</v>
      </c>
      <c r="G6886" s="8">
        <f t="shared" si="215"/>
        <v>2.5624999999999998E-2</v>
      </c>
    </row>
    <row r="6887" spans="1:7" x14ac:dyDescent="0.25">
      <c r="A6887" s="8">
        <v>92</v>
      </c>
      <c r="B6887" s="8">
        <v>33</v>
      </c>
      <c r="C6887" s="8">
        <v>3962.2624510000001</v>
      </c>
      <c r="D6887" s="8">
        <v>98300.835938000004</v>
      </c>
      <c r="E6887" s="8">
        <v>98308.4375</v>
      </c>
      <c r="F6887" s="8">
        <f t="shared" si="214"/>
        <v>7.6015619999961928</v>
      </c>
      <c r="G6887" s="8">
        <f t="shared" si="215"/>
        <v>7.6015619999961924E-3</v>
      </c>
    </row>
    <row r="6888" spans="1:7" x14ac:dyDescent="0.25">
      <c r="A6888" s="8">
        <v>92</v>
      </c>
      <c r="B6888" s="8">
        <v>34</v>
      </c>
      <c r="C6888" s="8">
        <v>1095.869263</v>
      </c>
      <c r="D6888" s="8">
        <v>102281.695313</v>
      </c>
      <c r="E6888" s="8">
        <v>102295.601563</v>
      </c>
      <c r="F6888" s="8">
        <f t="shared" si="214"/>
        <v>13.90625</v>
      </c>
      <c r="G6888" s="8">
        <f t="shared" si="215"/>
        <v>1.390625E-2</v>
      </c>
    </row>
    <row r="6889" spans="1:7" x14ac:dyDescent="0.25">
      <c r="A6889" s="8">
        <v>92</v>
      </c>
      <c r="B6889" s="8">
        <v>35</v>
      </c>
      <c r="C6889" s="8">
        <v>943.36718800000006</v>
      </c>
      <c r="D6889" s="8">
        <v>103400.789063</v>
      </c>
      <c r="E6889" s="8">
        <v>103412.554688</v>
      </c>
      <c r="F6889" s="8">
        <f t="shared" si="214"/>
        <v>11.765625</v>
      </c>
      <c r="G6889" s="8">
        <f t="shared" si="215"/>
        <v>1.1765625E-2</v>
      </c>
    </row>
    <row r="6890" spans="1:7" x14ac:dyDescent="0.25">
      <c r="A6890" s="8">
        <v>92</v>
      </c>
      <c r="B6890" s="8">
        <v>36</v>
      </c>
      <c r="C6890" s="8">
        <v>2091.1953130000002</v>
      </c>
      <c r="D6890" s="8">
        <v>104362.703125</v>
      </c>
      <c r="E6890" s="8">
        <v>104375.757813</v>
      </c>
      <c r="F6890" s="8">
        <f t="shared" si="214"/>
        <v>13.054688000003807</v>
      </c>
      <c r="G6890" s="8">
        <f t="shared" si="215"/>
        <v>1.3054688000003808E-2</v>
      </c>
    </row>
    <row r="6891" spans="1:7" x14ac:dyDescent="0.25">
      <c r="A6891" s="8">
        <v>92</v>
      </c>
      <c r="B6891" s="8">
        <v>37</v>
      </c>
      <c r="C6891" s="8">
        <v>3420.482422</v>
      </c>
      <c r="D6891" s="8">
        <v>106469.085938</v>
      </c>
      <c r="E6891" s="8">
        <v>106487.507813</v>
      </c>
      <c r="F6891" s="8">
        <f t="shared" si="214"/>
        <v>18.421875</v>
      </c>
      <c r="G6891" s="8">
        <f t="shared" si="215"/>
        <v>1.8421875000000001E-2</v>
      </c>
    </row>
    <row r="6892" spans="1:7" x14ac:dyDescent="0.25">
      <c r="A6892" s="8">
        <v>92</v>
      </c>
      <c r="B6892" s="8">
        <v>38</v>
      </c>
      <c r="C6892" s="8">
        <v>2181.054443</v>
      </c>
      <c r="D6892" s="8">
        <v>109908.242188</v>
      </c>
      <c r="E6892" s="8">
        <v>109955.1875</v>
      </c>
      <c r="F6892" s="8">
        <f t="shared" si="214"/>
        <v>46.945311999996193</v>
      </c>
      <c r="G6892" s="8">
        <f t="shared" si="215"/>
        <v>4.6945311999996193E-2</v>
      </c>
    </row>
    <row r="6893" spans="1:7" x14ac:dyDescent="0.25">
      <c r="A6893" s="8">
        <v>92</v>
      </c>
      <c r="B6893" s="8">
        <v>39</v>
      </c>
      <c r="C6893" s="8">
        <v>1817.0469969999999</v>
      </c>
      <c r="D6893" s="8">
        <v>112147.054688</v>
      </c>
      <c r="E6893" s="8">
        <v>112157.640625</v>
      </c>
      <c r="F6893" s="8">
        <f t="shared" si="214"/>
        <v>10.585936999996193</v>
      </c>
      <c r="G6893" s="8">
        <f t="shared" si="215"/>
        <v>1.0585936999996192E-2</v>
      </c>
    </row>
    <row r="6894" spans="1:7" x14ac:dyDescent="0.25">
      <c r="A6894" s="8">
        <v>92</v>
      </c>
      <c r="B6894" s="8">
        <v>40</v>
      </c>
      <c r="C6894" s="8">
        <v>666.88659700000005</v>
      </c>
      <c r="D6894" s="8">
        <v>113987.546875</v>
      </c>
      <c r="E6894" s="8">
        <v>114008.578125</v>
      </c>
      <c r="F6894" s="8">
        <f t="shared" si="214"/>
        <v>21.03125</v>
      </c>
      <c r="G6894" s="8">
        <f t="shared" si="215"/>
        <v>2.1031250000000001E-2</v>
      </c>
    </row>
    <row r="6895" spans="1:7" x14ac:dyDescent="0.25">
      <c r="A6895" s="8">
        <v>92</v>
      </c>
      <c r="B6895" s="8">
        <v>41</v>
      </c>
      <c r="C6895" s="8">
        <v>1860.826538</v>
      </c>
      <c r="D6895" s="8">
        <v>114675.132813</v>
      </c>
      <c r="E6895" s="8">
        <v>114682.789063</v>
      </c>
      <c r="F6895" s="8">
        <f t="shared" si="214"/>
        <v>7.65625</v>
      </c>
      <c r="G6895" s="8">
        <f t="shared" si="215"/>
        <v>7.6562499999999999E-3</v>
      </c>
    </row>
    <row r="6896" spans="1:7" x14ac:dyDescent="0.25">
      <c r="A6896" s="8">
        <v>92</v>
      </c>
      <c r="B6896" s="8">
        <v>42</v>
      </c>
      <c r="C6896" s="8">
        <v>1300.2192379999999</v>
      </c>
      <c r="D6896" s="8">
        <v>116552</v>
      </c>
      <c r="E6896" s="8">
        <v>116577.296875</v>
      </c>
      <c r="F6896" s="8">
        <f t="shared" si="214"/>
        <v>25.296875</v>
      </c>
      <c r="G6896" s="8">
        <f t="shared" si="215"/>
        <v>2.5296875E-2</v>
      </c>
    </row>
    <row r="6897" spans="1:7" x14ac:dyDescent="0.25">
      <c r="A6897" s="8">
        <v>92</v>
      </c>
      <c r="B6897" s="8">
        <v>43</v>
      </c>
      <c r="C6897" s="8">
        <v>4421.982422</v>
      </c>
      <c r="D6897" s="8">
        <v>117885.046875</v>
      </c>
      <c r="E6897" s="8">
        <v>117909.414063</v>
      </c>
      <c r="F6897" s="8">
        <f t="shared" si="214"/>
        <v>24.367188000003807</v>
      </c>
      <c r="G6897" s="8">
        <f t="shared" si="215"/>
        <v>2.4367188000003807E-2</v>
      </c>
    </row>
    <row r="6898" spans="1:7" x14ac:dyDescent="0.25">
      <c r="A6898" s="8">
        <v>92</v>
      </c>
      <c r="B6898" s="8">
        <v>44</v>
      </c>
      <c r="C6898" s="8">
        <v>1117.7366939999999</v>
      </c>
      <c r="D6898" s="8">
        <v>122345.875</v>
      </c>
      <c r="E6898" s="8">
        <v>122356.632813</v>
      </c>
      <c r="F6898" s="8">
        <f t="shared" si="214"/>
        <v>10.757813000003807</v>
      </c>
      <c r="G6898" s="8">
        <f t="shared" si="215"/>
        <v>1.0757813000003807E-2</v>
      </c>
    </row>
    <row r="6899" spans="1:7" x14ac:dyDescent="0.25">
      <c r="A6899" s="8">
        <v>92</v>
      </c>
      <c r="B6899" s="8">
        <v>45</v>
      </c>
      <c r="C6899" s="8">
        <v>1017.708069</v>
      </c>
      <c r="D6899" s="8">
        <v>123480.828125</v>
      </c>
      <c r="E6899" s="8">
        <v>123500.75</v>
      </c>
      <c r="F6899" s="8">
        <f t="shared" si="214"/>
        <v>19.921875</v>
      </c>
      <c r="G6899" s="8">
        <f t="shared" si="215"/>
        <v>1.9921874999999999E-2</v>
      </c>
    </row>
    <row r="6900" spans="1:7" x14ac:dyDescent="0.25">
      <c r="A6900" s="8">
        <v>92</v>
      </c>
      <c r="B6900" s="8">
        <v>46</v>
      </c>
      <c r="C6900" s="8">
        <v>1422.6964109999999</v>
      </c>
      <c r="D6900" s="8">
        <v>124533.320313</v>
      </c>
      <c r="E6900" s="8">
        <v>124549.976563</v>
      </c>
      <c r="F6900" s="8">
        <f t="shared" si="214"/>
        <v>16.65625</v>
      </c>
      <c r="G6900" s="8">
        <f t="shared" si="215"/>
        <v>1.6656250000000001E-2</v>
      </c>
    </row>
    <row r="6901" spans="1:7" x14ac:dyDescent="0.25">
      <c r="A6901" s="8">
        <v>92</v>
      </c>
      <c r="B6901" s="8">
        <v>47</v>
      </c>
      <c r="C6901" s="8">
        <v>685.115723</v>
      </c>
      <c r="D6901" s="8">
        <v>125987.242188</v>
      </c>
      <c r="E6901" s="8">
        <v>125995.164063</v>
      </c>
      <c r="F6901" s="8">
        <f t="shared" si="214"/>
        <v>7.921875</v>
      </c>
      <c r="G6901" s="8">
        <f t="shared" si="215"/>
        <v>7.9218750000000001E-3</v>
      </c>
    </row>
    <row r="6902" spans="1:7" x14ac:dyDescent="0.25">
      <c r="A6902" s="8">
        <v>92</v>
      </c>
      <c r="B6902" s="8">
        <v>48</v>
      </c>
      <c r="C6902" s="8">
        <v>1722.9954829999999</v>
      </c>
      <c r="D6902" s="8">
        <v>126690.398438</v>
      </c>
      <c r="E6902" s="8">
        <v>126703.375</v>
      </c>
      <c r="F6902" s="8">
        <f t="shared" si="214"/>
        <v>12.976561999996193</v>
      </c>
      <c r="G6902" s="8">
        <f t="shared" si="215"/>
        <v>1.2976561999996193E-2</v>
      </c>
    </row>
    <row r="6903" spans="1:7" x14ac:dyDescent="0.25">
      <c r="A6903" s="8">
        <v>92</v>
      </c>
      <c r="B6903" s="8">
        <v>49</v>
      </c>
      <c r="C6903" s="8">
        <v>1116.5629879999999</v>
      </c>
      <c r="D6903" s="8">
        <v>128426.25</v>
      </c>
      <c r="E6903" s="8">
        <v>128449.296875</v>
      </c>
      <c r="F6903" s="8">
        <f t="shared" si="214"/>
        <v>23.046875</v>
      </c>
      <c r="G6903" s="8">
        <f t="shared" si="215"/>
        <v>2.3046875000000001E-2</v>
      </c>
    </row>
    <row r="6904" spans="1:7" x14ac:dyDescent="0.25">
      <c r="A6904" s="8">
        <v>92</v>
      </c>
      <c r="B6904" s="8">
        <v>50</v>
      </c>
      <c r="C6904" s="8">
        <v>1113.4719239999999</v>
      </c>
      <c r="D6904" s="8">
        <v>129567.039063</v>
      </c>
      <c r="E6904" s="8">
        <v>129619.296875</v>
      </c>
      <c r="F6904" s="8">
        <f t="shared" si="214"/>
        <v>52.257811999996193</v>
      </c>
      <c r="G6904" s="8">
        <f t="shared" si="215"/>
        <v>5.2257811999996191E-2</v>
      </c>
    </row>
    <row r="6905" spans="1:7" x14ac:dyDescent="0.25">
      <c r="A6905" s="8">
        <v>92</v>
      </c>
      <c r="B6905" s="8">
        <v>51</v>
      </c>
      <c r="C6905" s="8">
        <v>484.383759</v>
      </c>
      <c r="D6905" s="8">
        <v>130739.085938</v>
      </c>
      <c r="E6905" s="8">
        <v>130765.117188</v>
      </c>
      <c r="F6905" s="8">
        <f t="shared" si="214"/>
        <v>26.03125</v>
      </c>
      <c r="G6905" s="8">
        <f t="shared" si="215"/>
        <v>2.6031249999999999E-2</v>
      </c>
    </row>
    <row r="6906" spans="1:7" x14ac:dyDescent="0.25">
      <c r="A6906" s="8">
        <v>92</v>
      </c>
      <c r="B6906" s="8">
        <v>52</v>
      </c>
      <c r="C6906" s="8">
        <v>2315.7211910000001</v>
      </c>
      <c r="D6906" s="8">
        <v>131254.734375</v>
      </c>
      <c r="E6906" s="8">
        <v>131265.75</v>
      </c>
      <c r="F6906" s="8">
        <f t="shared" si="214"/>
        <v>11.015625</v>
      </c>
      <c r="G6906" s="8">
        <f t="shared" si="215"/>
        <v>1.1015624999999999E-2</v>
      </c>
    </row>
    <row r="6907" spans="1:7" x14ac:dyDescent="0.25">
      <c r="A6907" s="8">
        <v>92</v>
      </c>
      <c r="B6907" s="8">
        <v>53</v>
      </c>
      <c r="C6907" s="8">
        <v>2356.9438479999999</v>
      </c>
      <c r="D6907" s="8">
        <v>133581.859375</v>
      </c>
      <c r="E6907" s="8">
        <v>133599.953125</v>
      </c>
      <c r="F6907" s="8">
        <f t="shared" si="214"/>
        <v>18.09375</v>
      </c>
      <c r="G6907" s="8">
        <f t="shared" si="215"/>
        <v>1.8093749999999999E-2</v>
      </c>
    </row>
    <row r="6908" spans="1:7" x14ac:dyDescent="0.25">
      <c r="A6908" s="8">
        <v>92</v>
      </c>
      <c r="B6908" s="8">
        <v>54</v>
      </c>
      <c r="C6908" s="8">
        <v>311.72238199999998</v>
      </c>
      <c r="D6908" s="8">
        <v>135960.21875</v>
      </c>
      <c r="E6908" s="8">
        <v>135977.46875</v>
      </c>
      <c r="F6908" s="8">
        <f t="shared" si="214"/>
        <v>17.25</v>
      </c>
      <c r="G6908" s="8">
        <f t="shared" si="215"/>
        <v>1.7250000000000001E-2</v>
      </c>
    </row>
    <row r="6909" spans="1:7" x14ac:dyDescent="0.25">
      <c r="A6909" s="8">
        <v>92</v>
      </c>
      <c r="B6909" s="8">
        <v>55</v>
      </c>
      <c r="C6909" s="8">
        <v>2361.7094729999999</v>
      </c>
      <c r="D6909" s="8">
        <v>136303.8125</v>
      </c>
      <c r="E6909" s="8">
        <v>136323.234375</v>
      </c>
      <c r="F6909" s="8">
        <f t="shared" si="214"/>
        <v>19.421875</v>
      </c>
      <c r="G6909" s="8">
        <f t="shared" si="215"/>
        <v>1.9421875000000002E-2</v>
      </c>
    </row>
    <row r="6910" spans="1:7" x14ac:dyDescent="0.25">
      <c r="A6910" s="8">
        <v>92</v>
      </c>
      <c r="B6910" s="8">
        <v>56</v>
      </c>
      <c r="C6910" s="8">
        <v>4171.0664059999999</v>
      </c>
      <c r="D6910" s="8">
        <v>138687.53125</v>
      </c>
      <c r="E6910" s="8">
        <v>138714.4375</v>
      </c>
      <c r="F6910" s="8">
        <f t="shared" si="214"/>
        <v>26.90625</v>
      </c>
      <c r="G6910" s="8">
        <f t="shared" si="215"/>
        <v>2.690625E-2</v>
      </c>
    </row>
    <row r="6911" spans="1:7" x14ac:dyDescent="0.25">
      <c r="A6911" s="8">
        <v>92</v>
      </c>
      <c r="B6911" s="8">
        <v>57</v>
      </c>
      <c r="C6911" s="8">
        <v>2481.952393</v>
      </c>
      <c r="D6911" s="8">
        <v>142890.21875</v>
      </c>
      <c r="E6911" s="8">
        <v>142902.890625</v>
      </c>
      <c r="F6911" s="8">
        <f t="shared" si="214"/>
        <v>12.671875</v>
      </c>
      <c r="G6911" s="8">
        <f t="shared" si="215"/>
        <v>1.2671875000000001E-2</v>
      </c>
    </row>
    <row r="6912" spans="1:7" x14ac:dyDescent="0.25">
      <c r="A6912" s="8">
        <v>92</v>
      </c>
      <c r="B6912" s="8">
        <v>58</v>
      </c>
      <c r="C6912" s="8">
        <v>5844.8100590000004</v>
      </c>
      <c r="D6912" s="8">
        <v>145396.453125</v>
      </c>
      <c r="E6912" s="8">
        <v>145417.078125</v>
      </c>
      <c r="F6912" s="8">
        <f t="shared" si="214"/>
        <v>20.625</v>
      </c>
      <c r="G6912" s="8">
        <f t="shared" si="215"/>
        <v>2.0625000000000001E-2</v>
      </c>
    </row>
    <row r="6913" spans="1:7" x14ac:dyDescent="0.25">
      <c r="A6913" s="8">
        <v>92</v>
      </c>
      <c r="B6913" s="8">
        <v>59</v>
      </c>
      <c r="C6913" s="8">
        <v>3725.8603520000001</v>
      </c>
      <c r="D6913" s="8">
        <v>151264.515625</v>
      </c>
      <c r="E6913" s="8">
        <v>151282.203125</v>
      </c>
      <c r="F6913" s="8">
        <f t="shared" si="214"/>
        <v>17.6875</v>
      </c>
      <c r="G6913" s="8">
        <f t="shared" si="215"/>
        <v>1.7687499999999998E-2</v>
      </c>
    </row>
    <row r="6914" spans="1:7" x14ac:dyDescent="0.25">
      <c r="A6914" s="8">
        <v>92</v>
      </c>
      <c r="B6914" s="8">
        <v>60</v>
      </c>
      <c r="C6914" s="8">
        <v>879.06585700000005</v>
      </c>
      <c r="D6914" s="8">
        <v>155016</v>
      </c>
      <c r="E6914" s="8">
        <v>155038.328125</v>
      </c>
      <c r="F6914" s="8">
        <f t="shared" si="214"/>
        <v>22.328125</v>
      </c>
      <c r="G6914" s="8">
        <f t="shared" si="215"/>
        <v>2.2328125000000001E-2</v>
      </c>
    </row>
    <row r="6915" spans="1:7" x14ac:dyDescent="0.25">
      <c r="A6915" s="8">
        <v>92</v>
      </c>
      <c r="B6915" s="8">
        <v>61</v>
      </c>
      <c r="C6915" s="8">
        <v>2060.52124</v>
      </c>
      <c r="D6915" s="8">
        <v>155922.375</v>
      </c>
      <c r="E6915" s="8">
        <v>155936.375</v>
      </c>
      <c r="F6915" s="8">
        <f t="shared" si="214"/>
        <v>14</v>
      </c>
      <c r="G6915" s="8">
        <f t="shared" si="215"/>
        <v>1.4E-2</v>
      </c>
    </row>
    <row r="6916" spans="1:7" x14ac:dyDescent="0.25">
      <c r="A6916" s="8">
        <v>92</v>
      </c>
      <c r="B6916" s="8">
        <v>62</v>
      </c>
      <c r="C6916" s="8">
        <v>1388.431885</v>
      </c>
      <c r="D6916" s="8">
        <v>158000.65625</v>
      </c>
      <c r="E6916" s="8">
        <v>158019.5625</v>
      </c>
      <c r="F6916" s="8">
        <f t="shared" si="214"/>
        <v>18.90625</v>
      </c>
      <c r="G6916" s="8">
        <f t="shared" si="215"/>
        <v>1.8906249999999999E-2</v>
      </c>
    </row>
    <row r="6917" spans="1:7" x14ac:dyDescent="0.25">
      <c r="A6917" s="8">
        <v>92</v>
      </c>
      <c r="B6917" s="8">
        <v>63</v>
      </c>
      <c r="C6917" s="8">
        <v>2607.1909179999998</v>
      </c>
      <c r="D6917" s="8">
        <v>159408.09375</v>
      </c>
      <c r="E6917" s="8">
        <v>159432.34375</v>
      </c>
      <c r="F6917" s="8">
        <f t="shared" si="214"/>
        <v>24.25</v>
      </c>
      <c r="G6917" s="8">
        <f t="shared" si="215"/>
        <v>2.4250000000000001E-2</v>
      </c>
    </row>
    <row r="6918" spans="1:7" x14ac:dyDescent="0.25">
      <c r="A6918" s="8">
        <v>92</v>
      </c>
      <c r="B6918" s="8">
        <v>64</v>
      </c>
      <c r="C6918" s="8">
        <v>617.24371299999996</v>
      </c>
      <c r="D6918" s="8">
        <v>162049.484375</v>
      </c>
      <c r="E6918" s="8">
        <v>162063.609375</v>
      </c>
      <c r="F6918" s="8">
        <f t="shared" si="214"/>
        <v>14.125</v>
      </c>
      <c r="G6918" s="8">
        <f t="shared" si="215"/>
        <v>1.4125E-2</v>
      </c>
    </row>
    <row r="6919" spans="1:7" x14ac:dyDescent="0.25">
      <c r="A6919" s="8">
        <v>92</v>
      </c>
      <c r="B6919" s="8">
        <v>65</v>
      </c>
      <c r="C6919" s="8">
        <v>1972.3686520000001</v>
      </c>
      <c r="D6919" s="8">
        <v>162690.1875</v>
      </c>
      <c r="E6919" s="8">
        <v>162710.625</v>
      </c>
      <c r="F6919" s="8">
        <f t="shared" si="214"/>
        <v>20.4375</v>
      </c>
      <c r="G6919" s="8">
        <f t="shared" si="215"/>
        <v>2.0437500000000001E-2</v>
      </c>
    </row>
    <row r="6920" spans="1:7" x14ac:dyDescent="0.25">
      <c r="A6920" s="8">
        <v>92</v>
      </c>
      <c r="B6920" s="8">
        <v>66</v>
      </c>
      <c r="C6920" s="8">
        <v>493.34664900000001</v>
      </c>
      <c r="D6920" s="8">
        <v>164685.75</v>
      </c>
      <c r="E6920" s="8">
        <v>164695.0625</v>
      </c>
      <c r="F6920" s="8">
        <f t="shared" si="214"/>
        <v>9.3125</v>
      </c>
      <c r="G6920" s="8">
        <f t="shared" si="215"/>
        <v>9.3124999999999996E-3</v>
      </c>
    </row>
    <row r="6921" spans="1:7" x14ac:dyDescent="0.25">
      <c r="A6921" s="8">
        <v>92</v>
      </c>
      <c r="B6921" s="8">
        <v>67</v>
      </c>
      <c r="C6921" s="8">
        <v>285.92468300000002</v>
      </c>
      <c r="D6921" s="8">
        <v>165202.109375</v>
      </c>
      <c r="E6921" s="8">
        <v>165228.703125</v>
      </c>
      <c r="F6921" s="8">
        <f t="shared" si="214"/>
        <v>26.59375</v>
      </c>
      <c r="G6921" s="8">
        <f t="shared" si="215"/>
        <v>2.6593749999999999E-2</v>
      </c>
    </row>
    <row r="6922" spans="1:7" x14ac:dyDescent="0.25">
      <c r="A6922" s="8">
        <v>92</v>
      </c>
      <c r="B6922" s="8">
        <v>68</v>
      </c>
      <c r="C6922" s="8">
        <v>2211.6198730000001</v>
      </c>
      <c r="D6922" s="8">
        <v>165514.671875</v>
      </c>
      <c r="E6922" s="8">
        <v>165537.265625</v>
      </c>
      <c r="F6922" s="8">
        <f t="shared" si="214"/>
        <v>22.59375</v>
      </c>
      <c r="G6922" s="8">
        <f t="shared" si="215"/>
        <v>2.2593749999999999E-2</v>
      </c>
    </row>
    <row r="6923" spans="1:7" x14ac:dyDescent="0.25">
      <c r="A6923" s="8">
        <v>92</v>
      </c>
      <c r="B6923" s="8">
        <v>69</v>
      </c>
      <c r="C6923" s="8">
        <v>2268.4887699999999</v>
      </c>
      <c r="D6923" s="8">
        <v>167759.8125</v>
      </c>
      <c r="E6923" s="8">
        <v>167780.75</v>
      </c>
      <c r="F6923" s="8">
        <f t="shared" ref="F6923:F6986" si="216">E6923-D6923</f>
        <v>20.9375</v>
      </c>
      <c r="G6923" s="8">
        <f t="shared" ref="G6923:G6986" si="217">F6923/1000</f>
        <v>2.0937500000000001E-2</v>
      </c>
    </row>
    <row r="6924" spans="1:7" x14ac:dyDescent="0.25">
      <c r="A6924" s="8">
        <v>93</v>
      </c>
      <c r="B6924" s="8">
        <v>0</v>
      </c>
      <c r="C6924" s="8">
        <v>311.36575299999998</v>
      </c>
      <c r="D6924" s="8">
        <v>21297.382813</v>
      </c>
      <c r="E6924" s="8">
        <v>21321.466797000001</v>
      </c>
      <c r="F6924" s="8">
        <f t="shared" si="216"/>
        <v>24.083984000000783</v>
      </c>
      <c r="G6924" s="8">
        <f t="shared" si="217"/>
        <v>2.4083984000000783E-2</v>
      </c>
    </row>
    <row r="6925" spans="1:7" x14ac:dyDescent="0.25">
      <c r="A6925" s="8">
        <v>93</v>
      </c>
      <c r="B6925" s="8">
        <v>1</v>
      </c>
      <c r="C6925" s="8">
        <v>4190.8149409999996</v>
      </c>
      <c r="D6925" s="8">
        <v>21641.107422000001</v>
      </c>
      <c r="E6925" s="8">
        <v>21651.789063</v>
      </c>
      <c r="F6925" s="8">
        <f t="shared" si="216"/>
        <v>10.681640999999217</v>
      </c>
      <c r="G6925" s="8">
        <f t="shared" si="217"/>
        <v>1.0681640999999218E-2</v>
      </c>
    </row>
    <row r="6926" spans="1:7" x14ac:dyDescent="0.25">
      <c r="A6926" s="8">
        <v>93</v>
      </c>
      <c r="B6926" s="8">
        <v>2</v>
      </c>
      <c r="C6926" s="8">
        <v>118.173012</v>
      </c>
      <c r="D6926" s="8">
        <v>25850.068359000001</v>
      </c>
      <c r="E6926" s="8">
        <v>25860.785156000002</v>
      </c>
      <c r="F6926" s="8">
        <f t="shared" si="216"/>
        <v>10.716797000000952</v>
      </c>
      <c r="G6926" s="8">
        <f t="shared" si="217"/>
        <v>1.0716797000000952E-2</v>
      </c>
    </row>
    <row r="6927" spans="1:7" x14ac:dyDescent="0.25">
      <c r="A6927" s="8">
        <v>93</v>
      </c>
      <c r="B6927" s="8">
        <v>3</v>
      </c>
      <c r="C6927" s="8">
        <v>238.88012699999999</v>
      </c>
      <c r="D6927" s="8">
        <v>25990.720702999999</v>
      </c>
      <c r="E6927" s="8">
        <v>26010.902343999998</v>
      </c>
      <c r="F6927" s="8">
        <f t="shared" si="216"/>
        <v>20.181640999999217</v>
      </c>
      <c r="G6927" s="8">
        <f t="shared" si="217"/>
        <v>2.0181640999999216E-2</v>
      </c>
    </row>
    <row r="6928" spans="1:7" x14ac:dyDescent="0.25">
      <c r="A6928" s="8">
        <v>93</v>
      </c>
      <c r="B6928" s="8">
        <v>4</v>
      </c>
      <c r="C6928" s="8">
        <v>1228.3276370000001</v>
      </c>
      <c r="D6928" s="8">
        <v>26257.894531000002</v>
      </c>
      <c r="E6928" s="8">
        <v>26287.824218999998</v>
      </c>
      <c r="F6928" s="8">
        <f t="shared" si="216"/>
        <v>29.929687999996531</v>
      </c>
      <c r="G6928" s="8">
        <f t="shared" si="217"/>
        <v>2.992968799999653E-2</v>
      </c>
    </row>
    <row r="6929" spans="1:7" x14ac:dyDescent="0.25">
      <c r="A6929" s="8">
        <v>93</v>
      </c>
      <c r="B6929" s="8">
        <v>5</v>
      </c>
      <c r="C6929" s="8">
        <v>1309.243164</v>
      </c>
      <c r="D6929" s="8">
        <v>27525.328125</v>
      </c>
      <c r="E6929" s="8">
        <v>27536.091797000001</v>
      </c>
      <c r="F6929" s="8">
        <f t="shared" si="216"/>
        <v>10.763672000000952</v>
      </c>
      <c r="G6929" s="8">
        <f t="shared" si="217"/>
        <v>1.0763672000000953E-2</v>
      </c>
    </row>
    <row r="6930" spans="1:7" x14ac:dyDescent="0.25">
      <c r="A6930" s="8">
        <v>93</v>
      </c>
      <c r="B6930" s="8">
        <v>6</v>
      </c>
      <c r="C6930" s="8">
        <v>5844.8100590000004</v>
      </c>
      <c r="D6930" s="8">
        <v>28855.703125</v>
      </c>
      <c r="E6930" s="8">
        <v>28874.621093999998</v>
      </c>
      <c r="F6930" s="8">
        <f t="shared" si="216"/>
        <v>18.917968999998266</v>
      </c>
      <c r="G6930" s="8">
        <f t="shared" si="217"/>
        <v>1.8917968999998265E-2</v>
      </c>
    </row>
    <row r="6931" spans="1:7" x14ac:dyDescent="0.25">
      <c r="A6931" s="8">
        <v>93</v>
      </c>
      <c r="B6931" s="8">
        <v>7</v>
      </c>
      <c r="C6931" s="8">
        <v>782.80767800000001</v>
      </c>
      <c r="D6931" s="8">
        <v>34733.191405999998</v>
      </c>
      <c r="E6931" s="8">
        <v>34744.878905999998</v>
      </c>
      <c r="F6931" s="8">
        <f t="shared" si="216"/>
        <v>11.6875</v>
      </c>
      <c r="G6931" s="8">
        <f t="shared" si="217"/>
        <v>1.16875E-2</v>
      </c>
    </row>
    <row r="6932" spans="1:7" x14ac:dyDescent="0.25">
      <c r="A6932" s="8">
        <v>93</v>
      </c>
      <c r="B6932" s="8">
        <v>8</v>
      </c>
      <c r="C6932" s="8">
        <v>624.403503</v>
      </c>
      <c r="D6932" s="8">
        <v>35530.175780999998</v>
      </c>
      <c r="E6932" s="8">
        <v>35550.203125</v>
      </c>
      <c r="F6932" s="8">
        <f t="shared" si="216"/>
        <v>20.027344000001904</v>
      </c>
      <c r="G6932" s="8">
        <f t="shared" si="217"/>
        <v>2.0027344000001904E-2</v>
      </c>
    </row>
    <row r="6933" spans="1:7" x14ac:dyDescent="0.25">
      <c r="A6933" s="8">
        <v>93</v>
      </c>
      <c r="B6933" s="8">
        <v>9</v>
      </c>
      <c r="C6933" s="8">
        <v>1364.742798</v>
      </c>
      <c r="D6933" s="8">
        <v>36186.433594000002</v>
      </c>
      <c r="E6933" s="8">
        <v>36207.605469000002</v>
      </c>
      <c r="F6933" s="8">
        <f t="shared" si="216"/>
        <v>21.171875</v>
      </c>
      <c r="G6933" s="8">
        <f t="shared" si="217"/>
        <v>2.1171875E-2</v>
      </c>
    </row>
    <row r="6934" spans="1:7" x14ac:dyDescent="0.25">
      <c r="A6934" s="8">
        <v>93</v>
      </c>
      <c r="B6934" s="8">
        <v>10</v>
      </c>
      <c r="C6934" s="8">
        <v>610.60638400000005</v>
      </c>
      <c r="D6934" s="8">
        <v>37581.644530999998</v>
      </c>
      <c r="E6934" s="8">
        <v>37598.820312999997</v>
      </c>
      <c r="F6934" s="8">
        <f t="shared" si="216"/>
        <v>17.175781999998435</v>
      </c>
      <c r="G6934" s="8">
        <f t="shared" si="217"/>
        <v>1.7175781999998436E-2</v>
      </c>
    </row>
    <row r="6935" spans="1:7" x14ac:dyDescent="0.25">
      <c r="A6935" s="8">
        <v>93</v>
      </c>
      <c r="B6935" s="8">
        <v>11</v>
      </c>
      <c r="C6935" s="8">
        <v>542.69281000000001</v>
      </c>
      <c r="D6935" s="8">
        <v>38214.402344000002</v>
      </c>
      <c r="E6935" s="8">
        <v>38224.820312999997</v>
      </c>
      <c r="F6935" s="8">
        <f t="shared" si="216"/>
        <v>10.417968999994628</v>
      </c>
      <c r="G6935" s="8">
        <f t="shared" si="217"/>
        <v>1.0417968999994628E-2</v>
      </c>
    </row>
    <row r="6936" spans="1:7" x14ac:dyDescent="0.25">
      <c r="A6936" s="8">
        <v>93</v>
      </c>
      <c r="B6936" s="8">
        <v>12</v>
      </c>
      <c r="C6936" s="8">
        <v>217.39880400000001</v>
      </c>
      <c r="D6936" s="8">
        <v>38777.257812999997</v>
      </c>
      <c r="E6936" s="8">
        <v>38791.984375</v>
      </c>
      <c r="F6936" s="8">
        <f t="shared" si="216"/>
        <v>14.726562000003469</v>
      </c>
      <c r="G6936" s="8">
        <f t="shared" si="217"/>
        <v>1.4726562000003468E-2</v>
      </c>
    </row>
    <row r="6937" spans="1:7" x14ac:dyDescent="0.25">
      <c r="A6937" s="8">
        <v>93</v>
      </c>
      <c r="B6937" s="8">
        <v>13</v>
      </c>
      <c r="C6937" s="8">
        <v>2785.7548830000001</v>
      </c>
      <c r="D6937" s="8">
        <v>39011.628905999998</v>
      </c>
      <c r="E6937" s="8">
        <v>39032.617187999997</v>
      </c>
      <c r="F6937" s="8">
        <f t="shared" si="216"/>
        <v>20.988281999998435</v>
      </c>
      <c r="G6937" s="8">
        <f t="shared" si="217"/>
        <v>2.0988281999998436E-2</v>
      </c>
    </row>
    <row r="6938" spans="1:7" x14ac:dyDescent="0.25">
      <c r="A6938" s="8">
        <v>93</v>
      </c>
      <c r="B6938" s="8">
        <v>14</v>
      </c>
      <c r="C6938" s="8">
        <v>2665.5756839999999</v>
      </c>
      <c r="D6938" s="8">
        <v>41825.203125</v>
      </c>
      <c r="E6938" s="8">
        <v>41840.242187999997</v>
      </c>
      <c r="F6938" s="8">
        <f t="shared" si="216"/>
        <v>15.039062999996531</v>
      </c>
      <c r="G6938" s="8">
        <f t="shared" si="217"/>
        <v>1.5039062999996531E-2</v>
      </c>
    </row>
    <row r="6939" spans="1:7" x14ac:dyDescent="0.25">
      <c r="A6939" s="8">
        <v>93</v>
      </c>
      <c r="B6939" s="8">
        <v>15</v>
      </c>
      <c r="C6939" s="8">
        <v>1375.5200199999999</v>
      </c>
      <c r="D6939" s="8">
        <v>44506.242187999997</v>
      </c>
      <c r="E6939" s="8">
        <v>44519.253905999998</v>
      </c>
      <c r="F6939" s="8">
        <f t="shared" si="216"/>
        <v>13.011718000001565</v>
      </c>
      <c r="G6939" s="8">
        <f t="shared" si="217"/>
        <v>1.3011718000001565E-2</v>
      </c>
    </row>
    <row r="6940" spans="1:7" x14ac:dyDescent="0.25">
      <c r="A6940" s="8">
        <v>93</v>
      </c>
      <c r="B6940" s="8">
        <v>16</v>
      </c>
      <c r="C6940" s="8">
        <v>103.399536</v>
      </c>
      <c r="D6940" s="8">
        <v>45897.59375</v>
      </c>
      <c r="E6940" s="8">
        <v>45922.21875</v>
      </c>
      <c r="F6940" s="8">
        <f t="shared" si="216"/>
        <v>24.625</v>
      </c>
      <c r="G6940" s="8">
        <f t="shared" si="217"/>
        <v>2.4625000000000001E-2</v>
      </c>
    </row>
    <row r="6941" spans="1:7" x14ac:dyDescent="0.25">
      <c r="A6941" s="8">
        <v>93</v>
      </c>
      <c r="B6941" s="8">
        <v>17</v>
      </c>
      <c r="C6941" s="8">
        <v>1158.0593260000001</v>
      </c>
      <c r="D6941" s="8">
        <v>46038.808594000002</v>
      </c>
      <c r="E6941" s="8">
        <v>46063.214844000002</v>
      </c>
      <c r="F6941" s="8">
        <f t="shared" si="216"/>
        <v>24.40625</v>
      </c>
      <c r="G6941" s="8">
        <f t="shared" si="217"/>
        <v>2.4406250000000001E-2</v>
      </c>
    </row>
    <row r="6942" spans="1:7" x14ac:dyDescent="0.25">
      <c r="A6942" s="8">
        <v>93</v>
      </c>
      <c r="B6942" s="8">
        <v>18</v>
      </c>
      <c r="C6942" s="8">
        <v>6220.6015630000002</v>
      </c>
      <c r="D6942" s="8">
        <v>47235.347655999998</v>
      </c>
      <c r="E6942" s="8">
        <v>47256.003905999998</v>
      </c>
      <c r="F6942" s="8">
        <f t="shared" si="216"/>
        <v>20.65625</v>
      </c>
      <c r="G6942" s="8">
        <f t="shared" si="217"/>
        <v>2.0656250000000001E-2</v>
      </c>
    </row>
    <row r="6943" spans="1:7" x14ac:dyDescent="0.25">
      <c r="A6943" s="8">
        <v>93</v>
      </c>
      <c r="B6943" s="8">
        <v>19</v>
      </c>
      <c r="C6943" s="8">
        <v>930.98205600000006</v>
      </c>
      <c r="D6943" s="8">
        <v>53483.75</v>
      </c>
      <c r="E6943" s="8">
        <v>53574.1875</v>
      </c>
      <c r="F6943" s="8">
        <f t="shared" si="216"/>
        <v>90.4375</v>
      </c>
      <c r="G6943" s="8">
        <f t="shared" si="217"/>
        <v>9.0437500000000004E-2</v>
      </c>
    </row>
    <row r="6944" spans="1:7" x14ac:dyDescent="0.25">
      <c r="A6944" s="8">
        <v>93</v>
      </c>
      <c r="B6944" s="8">
        <v>20</v>
      </c>
      <c r="C6944" s="8">
        <v>2319.805664</v>
      </c>
      <c r="D6944" s="8">
        <v>54519.121094000002</v>
      </c>
      <c r="E6944" s="8">
        <v>54538.914062999997</v>
      </c>
      <c r="F6944" s="8">
        <f t="shared" si="216"/>
        <v>19.792968999994628</v>
      </c>
      <c r="G6944" s="8">
        <f t="shared" si="217"/>
        <v>1.9792968999994626E-2</v>
      </c>
    </row>
    <row r="6945" spans="1:7" x14ac:dyDescent="0.25">
      <c r="A6945" s="8">
        <v>93</v>
      </c>
      <c r="B6945" s="8">
        <v>21</v>
      </c>
      <c r="C6945" s="8">
        <v>389.46777300000002</v>
      </c>
      <c r="D6945" s="8">
        <v>56863.117187999997</v>
      </c>
      <c r="E6945" s="8">
        <v>56880.023437999997</v>
      </c>
      <c r="F6945" s="8">
        <f t="shared" si="216"/>
        <v>16.90625</v>
      </c>
      <c r="G6945" s="8">
        <f t="shared" si="217"/>
        <v>1.6906250000000001E-2</v>
      </c>
    </row>
    <row r="6946" spans="1:7" x14ac:dyDescent="0.25">
      <c r="A6946" s="8">
        <v>93</v>
      </c>
      <c r="B6946" s="8">
        <v>22</v>
      </c>
      <c r="C6946" s="8">
        <v>1480.971436</v>
      </c>
      <c r="D6946" s="8">
        <v>57270.082030999998</v>
      </c>
      <c r="E6946" s="8">
        <v>57296.335937999997</v>
      </c>
      <c r="F6946" s="8">
        <f t="shared" si="216"/>
        <v>26.253906999998435</v>
      </c>
      <c r="G6946" s="8">
        <f t="shared" si="217"/>
        <v>2.6253906999998435E-2</v>
      </c>
    </row>
    <row r="6947" spans="1:7" x14ac:dyDescent="0.25">
      <c r="A6947" s="8">
        <v>93</v>
      </c>
      <c r="B6947" s="8">
        <v>23</v>
      </c>
      <c r="C6947" s="8">
        <v>394.145264</v>
      </c>
      <c r="D6947" s="8">
        <v>58778.566405999998</v>
      </c>
      <c r="E6947" s="8">
        <v>58798.261719000002</v>
      </c>
      <c r="F6947" s="8">
        <f t="shared" si="216"/>
        <v>19.695313000003807</v>
      </c>
      <c r="G6947" s="8">
        <f t="shared" si="217"/>
        <v>1.9695313000003808E-2</v>
      </c>
    </row>
    <row r="6948" spans="1:7" x14ac:dyDescent="0.25">
      <c r="A6948" s="8">
        <v>93</v>
      </c>
      <c r="B6948" s="8">
        <v>24</v>
      </c>
      <c r="C6948" s="8">
        <v>416.26962300000002</v>
      </c>
      <c r="D6948" s="8">
        <v>59200.476562999997</v>
      </c>
      <c r="E6948" s="8">
        <v>59220.492187999997</v>
      </c>
      <c r="F6948" s="8">
        <f t="shared" si="216"/>
        <v>20.015625</v>
      </c>
      <c r="G6948" s="8">
        <f t="shared" si="217"/>
        <v>2.0015624999999999E-2</v>
      </c>
    </row>
    <row r="6949" spans="1:7" x14ac:dyDescent="0.25">
      <c r="A6949" s="8">
        <v>93</v>
      </c>
      <c r="B6949" s="8">
        <v>25</v>
      </c>
      <c r="C6949" s="8">
        <v>1616.8007809999999</v>
      </c>
      <c r="D6949" s="8">
        <v>59637.972655999998</v>
      </c>
      <c r="E6949" s="8">
        <v>59654.402344000002</v>
      </c>
      <c r="F6949" s="8">
        <f t="shared" si="216"/>
        <v>16.429688000003807</v>
      </c>
      <c r="G6949" s="8">
        <f t="shared" si="217"/>
        <v>1.6429688000003807E-2</v>
      </c>
    </row>
    <row r="6950" spans="1:7" x14ac:dyDescent="0.25">
      <c r="A6950" s="8">
        <v>93</v>
      </c>
      <c r="B6950" s="8">
        <v>26</v>
      </c>
      <c r="C6950" s="8">
        <v>3278.158203</v>
      </c>
      <c r="D6950" s="8">
        <v>61278.828125</v>
      </c>
      <c r="E6950" s="8">
        <v>61286.050780999998</v>
      </c>
      <c r="F6950" s="8">
        <f t="shared" si="216"/>
        <v>7.2226559999980964</v>
      </c>
      <c r="G6950" s="8">
        <f t="shared" si="217"/>
        <v>7.2226559999980962E-3</v>
      </c>
    </row>
    <row r="6951" spans="1:7" x14ac:dyDescent="0.25">
      <c r="A6951" s="8">
        <v>93</v>
      </c>
      <c r="B6951" s="8">
        <v>27</v>
      </c>
      <c r="C6951" s="8">
        <v>4680.8666990000002</v>
      </c>
      <c r="D6951" s="8">
        <v>64574.71875</v>
      </c>
      <c r="E6951" s="8">
        <v>64599.597655999998</v>
      </c>
      <c r="F6951" s="8">
        <f t="shared" si="216"/>
        <v>24.878905999998096</v>
      </c>
      <c r="G6951" s="8">
        <f t="shared" si="217"/>
        <v>2.4878905999998098E-2</v>
      </c>
    </row>
    <row r="6952" spans="1:7" x14ac:dyDescent="0.25">
      <c r="A6952" s="8">
        <v>93</v>
      </c>
      <c r="B6952" s="8">
        <v>28</v>
      </c>
      <c r="C6952" s="8">
        <v>3660.1030270000001</v>
      </c>
      <c r="D6952" s="8">
        <v>69279.9375</v>
      </c>
      <c r="E6952" s="8">
        <v>69297.914063000004</v>
      </c>
      <c r="F6952" s="8">
        <f t="shared" si="216"/>
        <v>17.976563000003807</v>
      </c>
      <c r="G6952" s="8">
        <f t="shared" si="217"/>
        <v>1.7976563000003807E-2</v>
      </c>
    </row>
    <row r="6953" spans="1:7" x14ac:dyDescent="0.25">
      <c r="A6953" s="8">
        <v>93</v>
      </c>
      <c r="B6953" s="8">
        <v>29</v>
      </c>
      <c r="C6953" s="8">
        <v>1332.993164</v>
      </c>
      <c r="D6953" s="8">
        <v>72966.78125</v>
      </c>
      <c r="E6953" s="8">
        <v>72990.734375</v>
      </c>
      <c r="F6953" s="8">
        <f t="shared" si="216"/>
        <v>23.953125</v>
      </c>
      <c r="G6953" s="8">
        <f t="shared" si="217"/>
        <v>2.3953124999999999E-2</v>
      </c>
    </row>
    <row r="6954" spans="1:7" x14ac:dyDescent="0.25">
      <c r="A6954" s="8">
        <v>93</v>
      </c>
      <c r="B6954" s="8">
        <v>30</v>
      </c>
      <c r="C6954" s="8">
        <v>583.04913299999998</v>
      </c>
      <c r="D6954" s="8">
        <v>74328.28125</v>
      </c>
      <c r="E6954" s="8">
        <v>74337.257813000004</v>
      </c>
      <c r="F6954" s="8">
        <f t="shared" si="216"/>
        <v>8.9765630000038072</v>
      </c>
      <c r="G6954" s="8">
        <f t="shared" si="217"/>
        <v>8.9765630000038076E-3</v>
      </c>
    </row>
    <row r="6955" spans="1:7" x14ac:dyDescent="0.25">
      <c r="A6955" s="8">
        <v>93</v>
      </c>
      <c r="B6955" s="8">
        <v>31</v>
      </c>
      <c r="C6955" s="8">
        <v>255.386505</v>
      </c>
      <c r="D6955" s="8">
        <v>74930.164063000004</v>
      </c>
      <c r="E6955" s="8">
        <v>74949.757813000004</v>
      </c>
      <c r="F6955" s="8">
        <f t="shared" si="216"/>
        <v>19.59375</v>
      </c>
      <c r="G6955" s="8">
        <f t="shared" si="217"/>
        <v>1.959375E-2</v>
      </c>
    </row>
    <row r="6956" spans="1:7" x14ac:dyDescent="0.25">
      <c r="A6956" s="8">
        <v>93</v>
      </c>
      <c r="B6956" s="8">
        <v>32</v>
      </c>
      <c r="C6956" s="8">
        <v>2142.3789059999999</v>
      </c>
      <c r="D6956" s="8">
        <v>75205.835938000004</v>
      </c>
      <c r="E6956" s="8">
        <v>75215.75</v>
      </c>
      <c r="F6956" s="8">
        <f t="shared" si="216"/>
        <v>9.9140619999961928</v>
      </c>
      <c r="G6956" s="8">
        <f t="shared" si="217"/>
        <v>9.9140619999961935E-3</v>
      </c>
    </row>
    <row r="6957" spans="1:7" x14ac:dyDescent="0.25">
      <c r="A6957" s="8">
        <v>93</v>
      </c>
      <c r="B6957" s="8">
        <v>33</v>
      </c>
      <c r="C6957" s="8">
        <v>491.16061400000001</v>
      </c>
      <c r="D6957" s="8">
        <v>77366.492188000004</v>
      </c>
      <c r="E6957" s="8">
        <v>77386.695313000004</v>
      </c>
      <c r="F6957" s="8">
        <f t="shared" si="216"/>
        <v>20.203125</v>
      </c>
      <c r="G6957" s="8">
        <f t="shared" si="217"/>
        <v>2.0203124999999999E-2</v>
      </c>
    </row>
    <row r="6958" spans="1:7" x14ac:dyDescent="0.25">
      <c r="A6958" s="8">
        <v>93</v>
      </c>
      <c r="B6958" s="8">
        <v>34</v>
      </c>
      <c r="C6958" s="8">
        <v>2796.5976559999999</v>
      </c>
      <c r="D6958" s="8">
        <v>77885.367188000004</v>
      </c>
      <c r="E6958" s="8">
        <v>77892.9375</v>
      </c>
      <c r="F6958" s="8">
        <f t="shared" si="216"/>
        <v>7.5703119999961928</v>
      </c>
      <c r="G6958" s="8">
        <f t="shared" si="217"/>
        <v>7.5703119999961923E-3</v>
      </c>
    </row>
    <row r="6959" spans="1:7" x14ac:dyDescent="0.25">
      <c r="A6959" s="8">
        <v>93</v>
      </c>
      <c r="B6959" s="8">
        <v>35</v>
      </c>
      <c r="C6959" s="8">
        <v>3158.2780760000001</v>
      </c>
      <c r="D6959" s="8">
        <v>80692.570313000004</v>
      </c>
      <c r="E6959" s="8">
        <v>80714.929688000004</v>
      </c>
      <c r="F6959" s="8">
        <f t="shared" si="216"/>
        <v>22.359375</v>
      </c>
      <c r="G6959" s="8">
        <f t="shared" si="217"/>
        <v>2.2359375000000001E-2</v>
      </c>
    </row>
    <row r="6960" spans="1:7" x14ac:dyDescent="0.25">
      <c r="A6960" s="8">
        <v>93</v>
      </c>
      <c r="B6960" s="8">
        <v>36</v>
      </c>
      <c r="C6960" s="8">
        <v>847.301331</v>
      </c>
      <c r="D6960" s="8">
        <v>83874.789063000004</v>
      </c>
      <c r="E6960" s="8">
        <v>83888.15625</v>
      </c>
      <c r="F6960" s="8">
        <f t="shared" si="216"/>
        <v>13.367186999996193</v>
      </c>
      <c r="G6960" s="8">
        <f t="shared" si="217"/>
        <v>1.3367186999996193E-2</v>
      </c>
    </row>
    <row r="6961" spans="1:7" x14ac:dyDescent="0.25">
      <c r="A6961" s="8">
        <v>93</v>
      </c>
      <c r="B6961" s="8">
        <v>37</v>
      </c>
      <c r="C6961" s="8">
        <v>792.76300000000003</v>
      </c>
      <c r="D6961" s="8">
        <v>84735.328125</v>
      </c>
      <c r="E6961" s="8">
        <v>84757.0625</v>
      </c>
      <c r="F6961" s="8">
        <f t="shared" si="216"/>
        <v>21.734375</v>
      </c>
      <c r="G6961" s="8">
        <f t="shared" si="217"/>
        <v>2.1734375E-2</v>
      </c>
    </row>
    <row r="6962" spans="1:7" x14ac:dyDescent="0.25">
      <c r="A6962" s="8">
        <v>93</v>
      </c>
      <c r="B6962" s="8">
        <v>38</v>
      </c>
      <c r="C6962" s="8">
        <v>11153.791015999999</v>
      </c>
      <c r="D6962" s="8">
        <v>85549.554688000004</v>
      </c>
      <c r="E6962" s="8">
        <v>85572.484375</v>
      </c>
      <c r="F6962" s="8">
        <f t="shared" si="216"/>
        <v>22.929686999996193</v>
      </c>
      <c r="G6962" s="8">
        <f t="shared" si="217"/>
        <v>2.2929686999996191E-2</v>
      </c>
    </row>
    <row r="6963" spans="1:7" x14ac:dyDescent="0.25">
      <c r="A6963" s="8">
        <v>93</v>
      </c>
      <c r="B6963" s="8">
        <v>39</v>
      </c>
      <c r="C6963" s="8">
        <v>152.46021999999999</v>
      </c>
      <c r="D6963" s="8">
        <v>96727.960938000004</v>
      </c>
      <c r="E6963" s="8">
        <v>96741.765625</v>
      </c>
      <c r="F6963" s="8">
        <f t="shared" si="216"/>
        <v>13.804686999996193</v>
      </c>
      <c r="G6963" s="8">
        <f t="shared" si="217"/>
        <v>1.3804686999996194E-2</v>
      </c>
    </row>
    <row r="6964" spans="1:7" x14ac:dyDescent="0.25">
      <c r="A6964" s="8">
        <v>93</v>
      </c>
      <c r="B6964" s="8">
        <v>40</v>
      </c>
      <c r="C6964" s="8">
        <v>727.69256600000006</v>
      </c>
      <c r="D6964" s="8">
        <v>96899.875</v>
      </c>
      <c r="E6964" s="8">
        <v>96922.226563000004</v>
      </c>
      <c r="F6964" s="8">
        <f t="shared" si="216"/>
        <v>22.351563000003807</v>
      </c>
      <c r="G6964" s="8">
        <f t="shared" si="217"/>
        <v>2.2351563000003807E-2</v>
      </c>
    </row>
    <row r="6965" spans="1:7" x14ac:dyDescent="0.25">
      <c r="A6965" s="8">
        <v>93</v>
      </c>
      <c r="B6965" s="8">
        <v>41</v>
      </c>
      <c r="C6965" s="8">
        <v>1709.1754149999999</v>
      </c>
      <c r="D6965" s="8">
        <v>97653.5625</v>
      </c>
      <c r="E6965" s="8">
        <v>97667.101563000004</v>
      </c>
      <c r="F6965" s="8">
        <f t="shared" si="216"/>
        <v>13.539063000003807</v>
      </c>
      <c r="G6965" s="8">
        <f t="shared" si="217"/>
        <v>1.3539063000003806E-2</v>
      </c>
    </row>
    <row r="6966" spans="1:7" x14ac:dyDescent="0.25">
      <c r="A6966" s="8">
        <v>93</v>
      </c>
      <c r="B6966" s="8">
        <v>42</v>
      </c>
      <c r="C6966" s="8">
        <v>744.98040800000001</v>
      </c>
      <c r="D6966" s="8">
        <v>99385.710938000004</v>
      </c>
      <c r="E6966" s="8">
        <v>99395.351563000004</v>
      </c>
      <c r="F6966" s="8">
        <f t="shared" si="216"/>
        <v>9.640625</v>
      </c>
      <c r="G6966" s="8">
        <f t="shared" si="217"/>
        <v>9.6406249999999999E-3</v>
      </c>
    </row>
    <row r="6967" spans="1:7" x14ac:dyDescent="0.25">
      <c r="A6967" s="8">
        <v>93</v>
      </c>
      <c r="B6967" s="8">
        <v>43</v>
      </c>
      <c r="C6967" s="8">
        <v>2114.601807</v>
      </c>
      <c r="D6967" s="8">
        <v>100151.414063</v>
      </c>
      <c r="E6967" s="8">
        <v>100177.570313</v>
      </c>
      <c r="F6967" s="8">
        <f t="shared" si="216"/>
        <v>26.15625</v>
      </c>
      <c r="G6967" s="8">
        <f t="shared" si="217"/>
        <v>2.6156249999999999E-2</v>
      </c>
    </row>
    <row r="6968" spans="1:7" x14ac:dyDescent="0.25">
      <c r="A6968" s="8">
        <v>93</v>
      </c>
      <c r="B6968" s="8">
        <v>44</v>
      </c>
      <c r="C6968" s="8">
        <v>4973.9072269999997</v>
      </c>
      <c r="D6968" s="8">
        <v>102297.25</v>
      </c>
      <c r="E6968" s="8">
        <v>102324.195313</v>
      </c>
      <c r="F6968" s="8">
        <f t="shared" si="216"/>
        <v>26.945313000003807</v>
      </c>
      <c r="G6968" s="8">
        <f t="shared" si="217"/>
        <v>2.6945313000003808E-2</v>
      </c>
    </row>
    <row r="6969" spans="1:7" x14ac:dyDescent="0.25">
      <c r="A6969" s="8">
        <v>93</v>
      </c>
      <c r="B6969" s="8">
        <v>45</v>
      </c>
      <c r="C6969" s="8">
        <v>5353.4306640000004</v>
      </c>
      <c r="D6969" s="8">
        <v>107297.914063</v>
      </c>
      <c r="E6969" s="8">
        <v>107312.359375</v>
      </c>
      <c r="F6969" s="8">
        <f t="shared" si="216"/>
        <v>14.445311999996193</v>
      </c>
      <c r="G6969" s="8">
        <f t="shared" si="217"/>
        <v>1.4445311999996192E-2</v>
      </c>
    </row>
    <row r="6970" spans="1:7" x14ac:dyDescent="0.25">
      <c r="A6970" s="8">
        <v>93</v>
      </c>
      <c r="B6970" s="8">
        <v>46</v>
      </c>
      <c r="C6970" s="8">
        <v>5769.1191410000001</v>
      </c>
      <c r="D6970" s="8">
        <v>112680.960938</v>
      </c>
      <c r="E6970" s="8">
        <v>112697.765625</v>
      </c>
      <c r="F6970" s="8">
        <f t="shared" si="216"/>
        <v>16.804686999996193</v>
      </c>
      <c r="G6970" s="8">
        <f t="shared" si="217"/>
        <v>1.6804686999996193E-2</v>
      </c>
    </row>
    <row r="6971" spans="1:7" x14ac:dyDescent="0.25">
      <c r="A6971" s="8">
        <v>93</v>
      </c>
      <c r="B6971" s="8">
        <v>47</v>
      </c>
      <c r="C6971" s="8">
        <v>3280.9897460000002</v>
      </c>
      <c r="D6971" s="8">
        <v>118478.789063</v>
      </c>
      <c r="E6971" s="8">
        <v>118492.101563</v>
      </c>
      <c r="F6971" s="8">
        <f t="shared" si="216"/>
        <v>13.3125</v>
      </c>
      <c r="G6971" s="8">
        <f t="shared" si="217"/>
        <v>1.33125E-2</v>
      </c>
    </row>
    <row r="6972" spans="1:7" x14ac:dyDescent="0.25">
      <c r="A6972" s="8">
        <v>93</v>
      </c>
      <c r="B6972" s="8">
        <v>48</v>
      </c>
      <c r="C6972" s="8">
        <v>3335.5600589999999</v>
      </c>
      <c r="D6972" s="8">
        <v>121783.21875</v>
      </c>
      <c r="E6972" s="8">
        <v>121807.6875</v>
      </c>
      <c r="F6972" s="8">
        <f t="shared" si="216"/>
        <v>24.46875</v>
      </c>
      <c r="G6972" s="8">
        <f t="shared" si="217"/>
        <v>2.4468750000000001E-2</v>
      </c>
    </row>
    <row r="6973" spans="1:7" x14ac:dyDescent="0.25">
      <c r="A6973" s="8">
        <v>93</v>
      </c>
      <c r="B6973" s="8">
        <v>49</v>
      </c>
      <c r="C6973" s="8">
        <v>2053.351318</v>
      </c>
      <c r="D6973" s="8">
        <v>125158.203125</v>
      </c>
      <c r="E6973" s="8">
        <v>125173.945313</v>
      </c>
      <c r="F6973" s="8">
        <f t="shared" si="216"/>
        <v>15.742188000003807</v>
      </c>
      <c r="G6973" s="8">
        <f t="shared" si="217"/>
        <v>1.5742188000003807E-2</v>
      </c>
    </row>
    <row r="6974" spans="1:7" x14ac:dyDescent="0.25">
      <c r="A6974" s="8">
        <v>93</v>
      </c>
      <c r="B6974" s="8">
        <v>50</v>
      </c>
      <c r="C6974" s="8">
        <v>583.70294200000001</v>
      </c>
      <c r="D6974" s="8">
        <v>127237.3125</v>
      </c>
      <c r="E6974" s="8">
        <v>127257.289063</v>
      </c>
      <c r="F6974" s="8">
        <f t="shared" si="216"/>
        <v>19.976563000003807</v>
      </c>
      <c r="G6974" s="8">
        <f t="shared" si="217"/>
        <v>1.9976563000003809E-2</v>
      </c>
    </row>
    <row r="6975" spans="1:7" x14ac:dyDescent="0.25">
      <c r="A6975" s="8">
        <v>93</v>
      </c>
      <c r="B6975" s="8">
        <v>51</v>
      </c>
      <c r="C6975" s="8">
        <v>2326.2404790000001</v>
      </c>
      <c r="D6975" s="8">
        <v>127846.835938</v>
      </c>
      <c r="E6975" s="8">
        <v>127854.695313</v>
      </c>
      <c r="F6975" s="8">
        <f t="shared" si="216"/>
        <v>7.859375</v>
      </c>
      <c r="G6975" s="8">
        <f t="shared" si="217"/>
        <v>7.859375E-3</v>
      </c>
    </row>
    <row r="6976" spans="1:7" x14ac:dyDescent="0.25">
      <c r="A6976" s="8">
        <v>93</v>
      </c>
      <c r="B6976" s="8">
        <v>52</v>
      </c>
      <c r="C6976" s="8">
        <v>860.02172900000005</v>
      </c>
      <c r="D6976" s="8">
        <v>130192.132813</v>
      </c>
      <c r="E6976" s="8">
        <v>130211.59375</v>
      </c>
      <c r="F6976" s="8">
        <f t="shared" si="216"/>
        <v>19.460936999996193</v>
      </c>
      <c r="G6976" s="8">
        <f t="shared" si="217"/>
        <v>1.9460936999996192E-2</v>
      </c>
    </row>
    <row r="6977" spans="1:7" x14ac:dyDescent="0.25">
      <c r="A6977" s="8">
        <v>93</v>
      </c>
      <c r="B6977" s="8">
        <v>53</v>
      </c>
      <c r="C6977" s="8">
        <v>2145.588135</v>
      </c>
      <c r="D6977" s="8">
        <v>131082.890625</v>
      </c>
      <c r="E6977" s="8">
        <v>131095.15625</v>
      </c>
      <c r="F6977" s="8">
        <f t="shared" si="216"/>
        <v>12.265625</v>
      </c>
      <c r="G6977" s="8">
        <f t="shared" si="217"/>
        <v>1.2265625E-2</v>
      </c>
    </row>
    <row r="6978" spans="1:7" x14ac:dyDescent="0.25">
      <c r="A6978" s="8">
        <v>93</v>
      </c>
      <c r="B6978" s="8">
        <v>54</v>
      </c>
      <c r="C6978" s="8">
        <v>3021.5361330000001</v>
      </c>
      <c r="D6978" s="8">
        <v>133253.734375</v>
      </c>
      <c r="E6978" s="8">
        <v>133266.375</v>
      </c>
      <c r="F6978" s="8">
        <f t="shared" si="216"/>
        <v>12.640625</v>
      </c>
      <c r="G6978" s="8">
        <f t="shared" si="217"/>
        <v>1.2640625000000001E-2</v>
      </c>
    </row>
    <row r="6979" spans="1:7" x14ac:dyDescent="0.25">
      <c r="A6979" s="8">
        <v>93</v>
      </c>
      <c r="B6979" s="8">
        <v>55</v>
      </c>
      <c r="C6979" s="8">
        <v>8385.2382809999999</v>
      </c>
      <c r="D6979" s="8">
        <v>136288.359375</v>
      </c>
      <c r="E6979" s="8">
        <v>136303.03125</v>
      </c>
      <c r="F6979" s="8">
        <f t="shared" si="216"/>
        <v>14.671875</v>
      </c>
      <c r="G6979" s="8">
        <f t="shared" si="217"/>
        <v>1.4671874999999999E-2</v>
      </c>
    </row>
    <row r="6980" spans="1:7" x14ac:dyDescent="0.25">
      <c r="A6980" s="8">
        <v>93</v>
      </c>
      <c r="B6980" s="8">
        <v>56</v>
      </c>
      <c r="C6980" s="8">
        <v>62.995396</v>
      </c>
      <c r="D6980" s="8">
        <v>144697.515625</v>
      </c>
      <c r="E6980" s="8">
        <v>144713.015625</v>
      </c>
      <c r="F6980" s="8">
        <f t="shared" si="216"/>
        <v>15.5</v>
      </c>
      <c r="G6980" s="8">
        <f t="shared" si="217"/>
        <v>1.55E-2</v>
      </c>
    </row>
    <row r="6981" spans="1:7" x14ac:dyDescent="0.25">
      <c r="A6981" s="8">
        <v>93</v>
      </c>
      <c r="B6981" s="8">
        <v>57</v>
      </c>
      <c r="C6981" s="8">
        <v>681.93707300000005</v>
      </c>
      <c r="D6981" s="8">
        <v>144784.5</v>
      </c>
      <c r="E6981" s="8">
        <v>144796.8125</v>
      </c>
      <c r="F6981" s="8">
        <f t="shared" si="216"/>
        <v>12.3125</v>
      </c>
      <c r="G6981" s="8">
        <f t="shared" si="217"/>
        <v>1.2312500000000001E-2</v>
      </c>
    </row>
    <row r="6982" spans="1:7" x14ac:dyDescent="0.25">
      <c r="A6982" s="8">
        <v>93</v>
      </c>
      <c r="B6982" s="8">
        <v>58</v>
      </c>
      <c r="C6982" s="8">
        <v>2219.7514649999998</v>
      </c>
      <c r="D6982" s="8">
        <v>145490.25</v>
      </c>
      <c r="E6982" s="8">
        <v>145509.9375</v>
      </c>
      <c r="F6982" s="8">
        <f t="shared" si="216"/>
        <v>19.6875</v>
      </c>
      <c r="G6982" s="8">
        <f t="shared" si="217"/>
        <v>1.96875E-2</v>
      </c>
    </row>
    <row r="6983" spans="1:7" x14ac:dyDescent="0.25">
      <c r="A6983" s="8">
        <v>93</v>
      </c>
      <c r="B6983" s="8">
        <v>59</v>
      </c>
      <c r="C6983" s="8">
        <v>1500.3920900000001</v>
      </c>
      <c r="D6983" s="8">
        <v>147740.484375</v>
      </c>
      <c r="E6983" s="8">
        <v>147759.84375</v>
      </c>
      <c r="F6983" s="8">
        <f t="shared" si="216"/>
        <v>19.359375</v>
      </c>
      <c r="G6983" s="8">
        <f t="shared" si="217"/>
        <v>1.9359375000000002E-2</v>
      </c>
    </row>
    <row r="6984" spans="1:7" x14ac:dyDescent="0.25">
      <c r="A6984" s="8">
        <v>93</v>
      </c>
      <c r="B6984" s="8">
        <v>60</v>
      </c>
      <c r="C6984" s="8">
        <v>99.610855000000001</v>
      </c>
      <c r="D6984" s="8">
        <v>149275.296875</v>
      </c>
      <c r="E6984" s="8">
        <v>149303.15625</v>
      </c>
      <c r="F6984" s="8">
        <f t="shared" si="216"/>
        <v>27.859375</v>
      </c>
      <c r="G6984" s="8">
        <f t="shared" si="217"/>
        <v>2.7859374999999999E-2</v>
      </c>
    </row>
    <row r="6985" spans="1:7" x14ac:dyDescent="0.25">
      <c r="A6985" s="8">
        <v>93</v>
      </c>
      <c r="B6985" s="8">
        <v>61</v>
      </c>
      <c r="C6985" s="8">
        <v>1065.4846190000001</v>
      </c>
      <c r="D6985" s="8">
        <v>149416.09375</v>
      </c>
      <c r="E6985" s="8">
        <v>149428.546875</v>
      </c>
      <c r="F6985" s="8">
        <f t="shared" si="216"/>
        <v>12.453125</v>
      </c>
      <c r="G6985" s="8">
        <f t="shared" si="217"/>
        <v>1.2453125000000001E-2</v>
      </c>
    </row>
    <row r="6986" spans="1:7" x14ac:dyDescent="0.25">
      <c r="A6986" s="8">
        <v>93</v>
      </c>
      <c r="B6986" s="8">
        <v>62</v>
      </c>
      <c r="C6986" s="8">
        <v>1096.1860349999999</v>
      </c>
      <c r="D6986" s="8">
        <v>150498.640625</v>
      </c>
      <c r="E6986" s="8">
        <v>150522.734375</v>
      </c>
      <c r="F6986" s="8">
        <f t="shared" si="216"/>
        <v>24.09375</v>
      </c>
      <c r="G6986" s="8">
        <f t="shared" si="217"/>
        <v>2.4093750000000001E-2</v>
      </c>
    </row>
    <row r="6987" spans="1:7" x14ac:dyDescent="0.25">
      <c r="A6987" s="8">
        <v>93</v>
      </c>
      <c r="B6987" s="8">
        <v>63</v>
      </c>
      <c r="C6987" s="8">
        <v>5581.5795900000003</v>
      </c>
      <c r="D6987" s="8">
        <v>151623.96875</v>
      </c>
      <c r="E6987" s="8">
        <v>151641.859375</v>
      </c>
      <c r="F6987" s="8">
        <f t="shared" ref="F6987:F7050" si="218">E6987-D6987</f>
        <v>17.890625</v>
      </c>
      <c r="G6987" s="8">
        <f t="shared" ref="G6987:G7050" si="219">F6987/1000</f>
        <v>1.7890625E-2</v>
      </c>
    </row>
    <row r="6988" spans="1:7" x14ac:dyDescent="0.25">
      <c r="A6988" s="8">
        <v>93</v>
      </c>
      <c r="B6988" s="8">
        <v>64</v>
      </c>
      <c r="C6988" s="8">
        <v>2461.3686520000001</v>
      </c>
      <c r="D6988" s="8">
        <v>157234.953125</v>
      </c>
      <c r="E6988" s="8">
        <v>157244.109375</v>
      </c>
      <c r="F6988" s="8">
        <f t="shared" si="218"/>
        <v>9.15625</v>
      </c>
      <c r="G6988" s="8">
        <f t="shared" si="219"/>
        <v>9.1562499999999995E-3</v>
      </c>
    </row>
    <row r="6989" spans="1:7" x14ac:dyDescent="0.25">
      <c r="A6989" s="8">
        <v>93</v>
      </c>
      <c r="B6989" s="8">
        <v>65</v>
      </c>
      <c r="C6989" s="8">
        <v>195.539917</v>
      </c>
      <c r="D6989" s="8">
        <v>159720.578125</v>
      </c>
      <c r="E6989" s="8">
        <v>159728</v>
      </c>
      <c r="F6989" s="8">
        <f t="shared" si="218"/>
        <v>7.421875</v>
      </c>
      <c r="G6989" s="8">
        <f t="shared" si="219"/>
        <v>7.4218749999999997E-3</v>
      </c>
    </row>
    <row r="6990" spans="1:7" x14ac:dyDescent="0.25">
      <c r="A6990" s="8">
        <v>93</v>
      </c>
      <c r="B6990" s="8">
        <v>66</v>
      </c>
      <c r="C6990" s="8">
        <v>1039.143311</v>
      </c>
      <c r="D6990" s="8">
        <v>159923.71875</v>
      </c>
      <c r="E6990" s="8">
        <v>159942.75</v>
      </c>
      <c r="F6990" s="8">
        <f t="shared" si="218"/>
        <v>19.03125</v>
      </c>
      <c r="G6990" s="8">
        <f t="shared" si="219"/>
        <v>1.903125E-2</v>
      </c>
    </row>
    <row r="6991" spans="1:7" x14ac:dyDescent="0.25">
      <c r="A6991" s="8">
        <v>93</v>
      </c>
      <c r="B6991" s="8">
        <v>67</v>
      </c>
      <c r="C6991" s="8">
        <v>5142.2661129999997</v>
      </c>
      <c r="D6991" s="8">
        <v>160986.34375</v>
      </c>
      <c r="E6991" s="8">
        <v>160997.1875</v>
      </c>
      <c r="F6991" s="8">
        <f t="shared" si="218"/>
        <v>10.84375</v>
      </c>
      <c r="G6991" s="8">
        <f t="shared" si="219"/>
        <v>1.0843749999999999E-2</v>
      </c>
    </row>
    <row r="6992" spans="1:7" x14ac:dyDescent="0.25">
      <c r="A6992" s="8">
        <v>93</v>
      </c>
      <c r="B6992" s="8">
        <v>68</v>
      </c>
      <c r="C6992" s="8">
        <v>5358.7617190000001</v>
      </c>
      <c r="D6992" s="8">
        <v>166145.71875</v>
      </c>
      <c r="E6992" s="8">
        <v>166159.140625</v>
      </c>
      <c r="F6992" s="8">
        <f t="shared" si="218"/>
        <v>13.421875</v>
      </c>
      <c r="G6992" s="8">
        <f t="shared" si="219"/>
        <v>1.3421875E-2</v>
      </c>
    </row>
    <row r="6993" spans="1:7" x14ac:dyDescent="0.25">
      <c r="A6993" s="8">
        <v>94</v>
      </c>
      <c r="B6993" s="8">
        <v>0</v>
      </c>
      <c r="C6993" s="8">
        <v>317.29397599999999</v>
      </c>
      <c r="D6993" s="8">
        <v>22672.615234000001</v>
      </c>
      <c r="E6993" s="8">
        <v>22698.75</v>
      </c>
      <c r="F6993" s="8">
        <f t="shared" si="218"/>
        <v>26.134765999999217</v>
      </c>
      <c r="G6993" s="8">
        <f t="shared" si="219"/>
        <v>2.6134765999999216E-2</v>
      </c>
    </row>
    <row r="6994" spans="1:7" x14ac:dyDescent="0.25">
      <c r="A6994" s="8">
        <v>94</v>
      </c>
      <c r="B6994" s="8">
        <v>1</v>
      </c>
      <c r="C6994" s="8">
        <v>1876.5187989999999</v>
      </c>
      <c r="D6994" s="8">
        <v>23016.191406000002</v>
      </c>
      <c r="E6994" s="8">
        <v>23032.382813</v>
      </c>
      <c r="F6994" s="8">
        <f t="shared" si="218"/>
        <v>16.191406999998435</v>
      </c>
      <c r="G6994" s="8">
        <f t="shared" si="219"/>
        <v>1.6191406999998433E-2</v>
      </c>
    </row>
    <row r="6995" spans="1:7" x14ac:dyDescent="0.25">
      <c r="A6995" s="8">
        <v>94</v>
      </c>
      <c r="B6995" s="8">
        <v>2</v>
      </c>
      <c r="C6995" s="8">
        <v>2079.939453</v>
      </c>
      <c r="D6995" s="8">
        <v>24912.427734000001</v>
      </c>
      <c r="E6995" s="8">
        <v>24924.400390999999</v>
      </c>
      <c r="F6995" s="8">
        <f t="shared" si="218"/>
        <v>11.972656999998435</v>
      </c>
      <c r="G6995" s="8">
        <f t="shared" si="219"/>
        <v>1.1972656999998435E-2</v>
      </c>
    </row>
    <row r="6996" spans="1:7" x14ac:dyDescent="0.25">
      <c r="A6996" s="8">
        <v>94</v>
      </c>
      <c r="B6996" s="8">
        <v>3</v>
      </c>
      <c r="C6996" s="8">
        <v>1326.7033690000001</v>
      </c>
      <c r="D6996" s="8">
        <v>27008.800781000002</v>
      </c>
      <c r="E6996" s="8">
        <v>27019.294922000001</v>
      </c>
      <c r="F6996" s="8">
        <f t="shared" si="218"/>
        <v>10.494140999999217</v>
      </c>
      <c r="G6996" s="8">
        <f t="shared" si="219"/>
        <v>1.0494140999999218E-2</v>
      </c>
    </row>
    <row r="6997" spans="1:7" x14ac:dyDescent="0.25">
      <c r="A6997" s="8">
        <v>94</v>
      </c>
      <c r="B6997" s="8">
        <v>4</v>
      </c>
      <c r="C6997" s="8">
        <v>5795.5078130000002</v>
      </c>
      <c r="D6997" s="8">
        <v>28355.78125</v>
      </c>
      <c r="E6997" s="8">
        <v>28367.425781000002</v>
      </c>
      <c r="F6997" s="8">
        <f t="shared" si="218"/>
        <v>11.644531000001734</v>
      </c>
      <c r="G6997" s="8">
        <f t="shared" si="219"/>
        <v>1.1644531000001734E-2</v>
      </c>
    </row>
    <row r="6998" spans="1:7" x14ac:dyDescent="0.25">
      <c r="A6998" s="8">
        <v>94</v>
      </c>
      <c r="B6998" s="8">
        <v>5</v>
      </c>
      <c r="C6998" s="8">
        <v>2089.8066410000001</v>
      </c>
      <c r="D6998" s="8">
        <v>34170.527344000002</v>
      </c>
      <c r="E6998" s="8">
        <v>34192.839844000002</v>
      </c>
      <c r="F6998" s="8">
        <f t="shared" si="218"/>
        <v>22.3125</v>
      </c>
      <c r="G6998" s="8">
        <f t="shared" si="219"/>
        <v>2.2312499999999999E-2</v>
      </c>
    </row>
    <row r="6999" spans="1:7" x14ac:dyDescent="0.25">
      <c r="A6999" s="8">
        <v>94</v>
      </c>
      <c r="B6999" s="8">
        <v>6</v>
      </c>
      <c r="C6999" s="8">
        <v>2881.1369629999999</v>
      </c>
      <c r="D6999" s="8">
        <v>36295.855469000002</v>
      </c>
      <c r="E6999" s="8">
        <v>36313.351562999997</v>
      </c>
      <c r="F6999" s="8">
        <f t="shared" si="218"/>
        <v>17.496093999994628</v>
      </c>
      <c r="G6999" s="8">
        <f t="shared" si="219"/>
        <v>1.7496093999994626E-2</v>
      </c>
    </row>
    <row r="7000" spans="1:7" x14ac:dyDescent="0.25">
      <c r="A7000" s="8">
        <v>94</v>
      </c>
      <c r="B7000" s="8">
        <v>7</v>
      </c>
      <c r="C7000" s="8">
        <v>3400.3312989999999</v>
      </c>
      <c r="D7000" s="8">
        <v>39199.199219000002</v>
      </c>
      <c r="E7000" s="8">
        <v>39210.429687999997</v>
      </c>
      <c r="F7000" s="8">
        <f t="shared" si="218"/>
        <v>11.230468999994628</v>
      </c>
      <c r="G7000" s="8">
        <f t="shared" si="219"/>
        <v>1.1230468999994627E-2</v>
      </c>
    </row>
    <row r="7001" spans="1:7" x14ac:dyDescent="0.25">
      <c r="A7001" s="8">
        <v>94</v>
      </c>
      <c r="B7001" s="8">
        <v>8</v>
      </c>
      <c r="C7001" s="8">
        <v>2648.523193</v>
      </c>
      <c r="D7001" s="8">
        <v>42610.816405999998</v>
      </c>
      <c r="E7001" s="8">
        <v>42632.167969000002</v>
      </c>
      <c r="F7001" s="8">
        <f t="shared" si="218"/>
        <v>21.351563000003807</v>
      </c>
      <c r="G7001" s="8">
        <f t="shared" si="219"/>
        <v>2.1351563000003806E-2</v>
      </c>
    </row>
    <row r="7002" spans="1:7" x14ac:dyDescent="0.25">
      <c r="A7002" s="8">
        <v>94</v>
      </c>
      <c r="B7002" s="8">
        <v>9</v>
      </c>
      <c r="C7002" s="8">
        <v>1086.810547</v>
      </c>
      <c r="D7002" s="8">
        <v>45287.507812999997</v>
      </c>
      <c r="E7002" s="8">
        <v>45308.292969000002</v>
      </c>
      <c r="F7002" s="8">
        <f t="shared" si="218"/>
        <v>20.785156000005372</v>
      </c>
      <c r="G7002" s="8">
        <f t="shared" si="219"/>
        <v>2.0785156000005373E-2</v>
      </c>
    </row>
    <row r="7003" spans="1:7" x14ac:dyDescent="0.25">
      <c r="A7003" s="8">
        <v>94</v>
      </c>
      <c r="B7003" s="8">
        <v>10</v>
      </c>
      <c r="C7003" s="8">
        <v>1556.2208250000001</v>
      </c>
      <c r="D7003" s="8">
        <v>46406.863280999998</v>
      </c>
      <c r="E7003" s="8">
        <v>46420.339844000002</v>
      </c>
      <c r="F7003" s="8">
        <f t="shared" si="218"/>
        <v>13.476563000003807</v>
      </c>
      <c r="G7003" s="8">
        <f t="shared" si="219"/>
        <v>1.3476563000003806E-2</v>
      </c>
    </row>
    <row r="7004" spans="1:7" x14ac:dyDescent="0.25">
      <c r="A7004" s="8">
        <v>94</v>
      </c>
      <c r="B7004" s="8">
        <v>11</v>
      </c>
      <c r="C7004" s="8">
        <v>2380.08374</v>
      </c>
      <c r="D7004" s="8">
        <v>47986.167969000002</v>
      </c>
      <c r="E7004" s="8">
        <v>48077.984375</v>
      </c>
      <c r="F7004" s="8">
        <f t="shared" si="218"/>
        <v>91.816405999998096</v>
      </c>
      <c r="G7004" s="8">
        <f t="shared" si="219"/>
        <v>9.1816405999998102E-2</v>
      </c>
    </row>
    <row r="7005" spans="1:7" x14ac:dyDescent="0.25">
      <c r="A7005" s="8">
        <v>94</v>
      </c>
      <c r="B7005" s="8">
        <v>12</v>
      </c>
      <c r="C7005" s="8">
        <v>37.023784999999997</v>
      </c>
      <c r="D7005" s="8">
        <v>50471.597655999998</v>
      </c>
      <c r="E7005" s="8">
        <v>50486.851562999997</v>
      </c>
      <c r="F7005" s="8">
        <f t="shared" si="218"/>
        <v>15.253906999998435</v>
      </c>
      <c r="G7005" s="8">
        <f t="shared" si="219"/>
        <v>1.5253906999998434E-2</v>
      </c>
    </row>
    <row r="7006" spans="1:7" x14ac:dyDescent="0.25">
      <c r="A7006" s="8">
        <v>94</v>
      </c>
      <c r="B7006" s="8">
        <v>13</v>
      </c>
      <c r="C7006" s="8">
        <v>322.52252199999998</v>
      </c>
      <c r="D7006" s="8">
        <v>50534.171875</v>
      </c>
      <c r="E7006" s="8">
        <v>50554.714844000002</v>
      </c>
      <c r="F7006" s="8">
        <f t="shared" si="218"/>
        <v>20.542969000001904</v>
      </c>
      <c r="G7006" s="8">
        <f t="shared" si="219"/>
        <v>2.0542969000001902E-2</v>
      </c>
    </row>
    <row r="7007" spans="1:7" x14ac:dyDescent="0.25">
      <c r="A7007" s="8">
        <v>94</v>
      </c>
      <c r="B7007" s="8">
        <v>14</v>
      </c>
      <c r="C7007" s="8">
        <v>1725.3082280000001</v>
      </c>
      <c r="D7007" s="8">
        <v>50877.914062999997</v>
      </c>
      <c r="E7007" s="8">
        <v>50894.804687999997</v>
      </c>
      <c r="F7007" s="8">
        <f t="shared" si="218"/>
        <v>16.890625</v>
      </c>
      <c r="G7007" s="8">
        <f t="shared" si="219"/>
        <v>1.6890624999999999E-2</v>
      </c>
    </row>
    <row r="7008" spans="1:7" x14ac:dyDescent="0.25">
      <c r="A7008" s="8">
        <v>94</v>
      </c>
      <c r="B7008" s="8">
        <v>15</v>
      </c>
      <c r="C7008" s="8">
        <v>7964.1606449999999</v>
      </c>
      <c r="D7008" s="8">
        <v>52623.382812999997</v>
      </c>
      <c r="E7008" s="8">
        <v>52637.773437999997</v>
      </c>
      <c r="F7008" s="8">
        <f t="shared" si="218"/>
        <v>14.390625</v>
      </c>
      <c r="G7008" s="8">
        <f t="shared" si="219"/>
        <v>1.4390625000000001E-2</v>
      </c>
    </row>
    <row r="7009" spans="1:7" x14ac:dyDescent="0.25">
      <c r="A7009" s="8">
        <v>94</v>
      </c>
      <c r="B7009" s="8">
        <v>16</v>
      </c>
      <c r="C7009" s="8">
        <v>2704.3664549999999</v>
      </c>
      <c r="D7009" s="8">
        <v>60606.894530999998</v>
      </c>
      <c r="E7009" s="8">
        <v>60619.597655999998</v>
      </c>
      <c r="F7009" s="8">
        <f t="shared" si="218"/>
        <v>12.703125</v>
      </c>
      <c r="G7009" s="8">
        <f t="shared" si="219"/>
        <v>1.2703124999999999E-2</v>
      </c>
    </row>
    <row r="7010" spans="1:7" x14ac:dyDescent="0.25">
      <c r="A7010" s="8">
        <v>94</v>
      </c>
      <c r="B7010" s="8">
        <v>17</v>
      </c>
      <c r="C7010" s="8">
        <v>5222.0815430000002</v>
      </c>
      <c r="D7010" s="8">
        <v>63329.230469000002</v>
      </c>
      <c r="E7010" s="8">
        <v>63349.570312999997</v>
      </c>
      <c r="F7010" s="8">
        <f t="shared" si="218"/>
        <v>20.339843999994628</v>
      </c>
      <c r="G7010" s="8">
        <f t="shared" si="219"/>
        <v>2.0339843999994629E-2</v>
      </c>
    </row>
    <row r="7011" spans="1:7" x14ac:dyDescent="0.25">
      <c r="A7011" s="8">
        <v>94</v>
      </c>
      <c r="B7011" s="8">
        <v>18</v>
      </c>
      <c r="C7011" s="8">
        <v>858.42730700000004</v>
      </c>
      <c r="D7011" s="8">
        <v>68576.5625</v>
      </c>
      <c r="E7011" s="8">
        <v>68590.257813000004</v>
      </c>
      <c r="F7011" s="8">
        <f t="shared" si="218"/>
        <v>13.695313000003807</v>
      </c>
      <c r="G7011" s="8">
        <f t="shared" si="219"/>
        <v>1.3695313000003807E-2</v>
      </c>
    </row>
    <row r="7012" spans="1:7" x14ac:dyDescent="0.25">
      <c r="A7012" s="8">
        <v>94</v>
      </c>
      <c r="B7012" s="8">
        <v>19</v>
      </c>
      <c r="C7012" s="8">
        <v>1496.002808</v>
      </c>
      <c r="D7012" s="8">
        <v>69452.039063000004</v>
      </c>
      <c r="E7012" s="8">
        <v>69467.929688000004</v>
      </c>
      <c r="F7012" s="8">
        <f t="shared" si="218"/>
        <v>15.890625</v>
      </c>
      <c r="G7012" s="8">
        <f t="shared" si="219"/>
        <v>1.5890624999999999E-2</v>
      </c>
    </row>
    <row r="7013" spans="1:7" x14ac:dyDescent="0.25">
      <c r="A7013" s="8">
        <v>94</v>
      </c>
      <c r="B7013" s="8">
        <v>20</v>
      </c>
      <c r="C7013" s="8">
        <v>41.007111000000002</v>
      </c>
      <c r="D7013" s="8">
        <v>70976.320313000004</v>
      </c>
      <c r="E7013" s="8">
        <v>70993.695313000004</v>
      </c>
      <c r="F7013" s="8">
        <f t="shared" si="218"/>
        <v>17.375</v>
      </c>
      <c r="G7013" s="8">
        <f t="shared" si="219"/>
        <v>1.7375000000000002E-2</v>
      </c>
    </row>
    <row r="7014" spans="1:7" x14ac:dyDescent="0.25">
      <c r="A7014" s="8">
        <v>94</v>
      </c>
      <c r="B7014" s="8">
        <v>21</v>
      </c>
      <c r="C7014" s="8">
        <v>4141.8046880000002</v>
      </c>
      <c r="D7014" s="8">
        <v>71040.671875</v>
      </c>
      <c r="E7014" s="8">
        <v>71060.359375</v>
      </c>
      <c r="F7014" s="8">
        <f t="shared" si="218"/>
        <v>19.6875</v>
      </c>
      <c r="G7014" s="8">
        <f t="shared" si="219"/>
        <v>1.96875E-2</v>
      </c>
    </row>
    <row r="7015" spans="1:7" x14ac:dyDescent="0.25">
      <c r="A7015" s="8">
        <v>94</v>
      </c>
      <c r="B7015" s="8">
        <v>22</v>
      </c>
      <c r="C7015" s="8">
        <v>1668.560669</v>
      </c>
      <c r="D7015" s="8">
        <v>75205.835938000004</v>
      </c>
      <c r="E7015" s="8">
        <v>75215.46875</v>
      </c>
      <c r="F7015" s="8">
        <f t="shared" si="218"/>
        <v>9.6328119999961928</v>
      </c>
      <c r="G7015" s="8">
        <f t="shared" si="219"/>
        <v>9.6328119999961933E-3</v>
      </c>
    </row>
    <row r="7016" spans="1:7" x14ac:dyDescent="0.25">
      <c r="A7016" s="8">
        <v>94</v>
      </c>
      <c r="B7016" s="8">
        <v>23</v>
      </c>
      <c r="C7016" s="8">
        <v>1242.932495</v>
      </c>
      <c r="D7016" s="8">
        <v>76897.726563000004</v>
      </c>
      <c r="E7016" s="8">
        <v>76911.28125</v>
      </c>
      <c r="F7016" s="8">
        <f t="shared" si="218"/>
        <v>13.554686999996193</v>
      </c>
      <c r="G7016" s="8">
        <f t="shared" si="219"/>
        <v>1.3554686999996193E-2</v>
      </c>
    </row>
    <row r="7017" spans="1:7" x14ac:dyDescent="0.25">
      <c r="A7017" s="8">
        <v>94</v>
      </c>
      <c r="B7017" s="8">
        <v>24</v>
      </c>
      <c r="C7017" s="8">
        <v>350.54449499999998</v>
      </c>
      <c r="D7017" s="8">
        <v>78166.6875</v>
      </c>
      <c r="E7017" s="8">
        <v>78177.101563000004</v>
      </c>
      <c r="F7017" s="8">
        <f t="shared" si="218"/>
        <v>10.414063000003807</v>
      </c>
      <c r="G7017" s="8">
        <f t="shared" si="219"/>
        <v>1.0414063000003807E-2</v>
      </c>
    </row>
    <row r="7018" spans="1:7" x14ac:dyDescent="0.25">
      <c r="A7018" s="8">
        <v>94</v>
      </c>
      <c r="B7018" s="8">
        <v>25</v>
      </c>
      <c r="C7018" s="8">
        <v>1302.3249510000001</v>
      </c>
      <c r="D7018" s="8">
        <v>78529.039063000004</v>
      </c>
      <c r="E7018" s="8">
        <v>78542.195313000004</v>
      </c>
      <c r="F7018" s="8">
        <f t="shared" si="218"/>
        <v>13.15625</v>
      </c>
      <c r="G7018" s="8">
        <f t="shared" si="219"/>
        <v>1.315625E-2</v>
      </c>
    </row>
    <row r="7019" spans="1:7" x14ac:dyDescent="0.25">
      <c r="A7019" s="8">
        <v>94</v>
      </c>
      <c r="B7019" s="8">
        <v>26</v>
      </c>
      <c r="C7019" s="8">
        <v>112.482964</v>
      </c>
      <c r="D7019" s="8">
        <v>79847.890625</v>
      </c>
      <c r="E7019" s="8">
        <v>79855.664063000004</v>
      </c>
      <c r="F7019" s="8">
        <f t="shared" si="218"/>
        <v>7.7734380000038072</v>
      </c>
      <c r="G7019" s="8">
        <f t="shared" si="219"/>
        <v>7.7734380000038074E-3</v>
      </c>
    </row>
    <row r="7020" spans="1:7" x14ac:dyDescent="0.25">
      <c r="A7020" s="8">
        <v>94</v>
      </c>
      <c r="B7020" s="8">
        <v>27</v>
      </c>
      <c r="C7020" s="8">
        <v>5816.6484380000002</v>
      </c>
      <c r="D7020" s="8">
        <v>79972.90625</v>
      </c>
      <c r="E7020" s="8">
        <v>79984.429688000004</v>
      </c>
      <c r="F7020" s="8">
        <f t="shared" si="218"/>
        <v>11.523438000003807</v>
      </c>
      <c r="G7020" s="8">
        <f t="shared" si="219"/>
        <v>1.1523438000003806E-2</v>
      </c>
    </row>
    <row r="7021" spans="1:7" x14ac:dyDescent="0.25">
      <c r="A7021" s="8">
        <v>94</v>
      </c>
      <c r="B7021" s="8">
        <v>28</v>
      </c>
      <c r="C7021" s="8">
        <v>694.33593800000006</v>
      </c>
      <c r="D7021" s="8">
        <v>85815.195313000004</v>
      </c>
      <c r="E7021" s="8">
        <v>85828.632813000004</v>
      </c>
      <c r="F7021" s="8">
        <f t="shared" si="218"/>
        <v>13.4375</v>
      </c>
      <c r="G7021" s="8">
        <f t="shared" si="219"/>
        <v>1.34375E-2</v>
      </c>
    </row>
    <row r="7022" spans="1:7" x14ac:dyDescent="0.25">
      <c r="A7022" s="8">
        <v>94</v>
      </c>
      <c r="B7022" s="8">
        <v>29</v>
      </c>
      <c r="C7022" s="8">
        <v>117.71981</v>
      </c>
      <c r="D7022" s="8">
        <v>86533.984375</v>
      </c>
      <c r="E7022" s="8">
        <v>86542.21875</v>
      </c>
      <c r="F7022" s="8">
        <f t="shared" si="218"/>
        <v>8.234375</v>
      </c>
      <c r="G7022" s="8">
        <f t="shared" si="219"/>
        <v>8.2343750000000004E-3</v>
      </c>
    </row>
    <row r="7023" spans="1:7" x14ac:dyDescent="0.25">
      <c r="A7023" s="8">
        <v>94</v>
      </c>
      <c r="B7023" s="8">
        <v>30</v>
      </c>
      <c r="C7023" s="8">
        <v>548.54608199999996</v>
      </c>
      <c r="D7023" s="8">
        <v>86674.65625</v>
      </c>
      <c r="E7023" s="8">
        <v>86686.257813000004</v>
      </c>
      <c r="F7023" s="8">
        <f t="shared" si="218"/>
        <v>11.601563000003807</v>
      </c>
      <c r="G7023" s="8">
        <f t="shared" si="219"/>
        <v>1.1601563000003806E-2</v>
      </c>
    </row>
    <row r="7024" spans="1:7" x14ac:dyDescent="0.25">
      <c r="A7024" s="8">
        <v>94</v>
      </c>
      <c r="B7024" s="8">
        <v>31</v>
      </c>
      <c r="C7024" s="8">
        <v>162.43164100000001</v>
      </c>
      <c r="D7024" s="8">
        <v>87238.664063000004</v>
      </c>
      <c r="E7024" s="8">
        <v>87250.171875</v>
      </c>
      <c r="F7024" s="8">
        <f t="shared" si="218"/>
        <v>11.507811999996193</v>
      </c>
      <c r="G7024" s="8">
        <f t="shared" si="219"/>
        <v>1.1507811999996193E-2</v>
      </c>
    </row>
    <row r="7025" spans="1:7" x14ac:dyDescent="0.25">
      <c r="A7025" s="8">
        <v>94</v>
      </c>
      <c r="B7025" s="8">
        <v>32</v>
      </c>
      <c r="C7025" s="8">
        <v>1298.232178</v>
      </c>
      <c r="D7025" s="8">
        <v>87427.085938000004</v>
      </c>
      <c r="E7025" s="8">
        <v>87445.84375</v>
      </c>
      <c r="F7025" s="8">
        <f t="shared" si="218"/>
        <v>18.757811999996193</v>
      </c>
      <c r="G7025" s="8">
        <f t="shared" si="219"/>
        <v>1.8757811999996193E-2</v>
      </c>
    </row>
    <row r="7026" spans="1:7" x14ac:dyDescent="0.25">
      <c r="A7026" s="8">
        <v>94</v>
      </c>
      <c r="B7026" s="8">
        <v>33</v>
      </c>
      <c r="C7026" s="8">
        <v>3420.482422</v>
      </c>
      <c r="D7026" s="8">
        <v>88755.914063000004</v>
      </c>
      <c r="E7026" s="8">
        <v>88780.335938000004</v>
      </c>
      <c r="F7026" s="8">
        <f t="shared" si="218"/>
        <v>24.421875</v>
      </c>
      <c r="G7026" s="8">
        <f t="shared" si="219"/>
        <v>2.4421874999999999E-2</v>
      </c>
    </row>
    <row r="7027" spans="1:7" x14ac:dyDescent="0.25">
      <c r="A7027" s="8">
        <v>94</v>
      </c>
      <c r="B7027" s="8">
        <v>34</v>
      </c>
      <c r="C7027" s="8">
        <v>3527.6044919999999</v>
      </c>
      <c r="D7027" s="8">
        <v>92214.390625</v>
      </c>
      <c r="E7027" s="8">
        <v>92236.03125</v>
      </c>
      <c r="F7027" s="8">
        <f t="shared" si="218"/>
        <v>21.640625</v>
      </c>
      <c r="G7027" s="8">
        <f t="shared" si="219"/>
        <v>2.1640625E-2</v>
      </c>
    </row>
    <row r="7028" spans="1:7" x14ac:dyDescent="0.25">
      <c r="A7028" s="8">
        <v>94</v>
      </c>
      <c r="B7028" s="8">
        <v>35</v>
      </c>
      <c r="C7028" s="8">
        <v>529.68469200000004</v>
      </c>
      <c r="D7028" s="8">
        <v>95772.078125</v>
      </c>
      <c r="E7028" s="8">
        <v>95783.640625</v>
      </c>
      <c r="F7028" s="8">
        <f t="shared" si="218"/>
        <v>11.5625</v>
      </c>
      <c r="G7028" s="8">
        <f t="shared" si="219"/>
        <v>1.15625E-2</v>
      </c>
    </row>
    <row r="7029" spans="1:7" x14ac:dyDescent="0.25">
      <c r="A7029" s="8">
        <v>94</v>
      </c>
      <c r="B7029" s="8">
        <v>36</v>
      </c>
      <c r="C7029" s="8">
        <v>1916.058716</v>
      </c>
      <c r="D7029" s="8">
        <v>96319.085938000004</v>
      </c>
      <c r="E7029" s="8">
        <v>96338.382813000004</v>
      </c>
      <c r="F7029" s="8">
        <f t="shared" si="218"/>
        <v>19.296875</v>
      </c>
      <c r="G7029" s="8">
        <f t="shared" si="219"/>
        <v>1.9296875000000002E-2</v>
      </c>
    </row>
    <row r="7030" spans="1:7" x14ac:dyDescent="0.25">
      <c r="A7030" s="8">
        <v>94</v>
      </c>
      <c r="B7030" s="8">
        <v>37</v>
      </c>
      <c r="C7030" s="8">
        <v>1379.6523440000001</v>
      </c>
      <c r="D7030" s="8">
        <v>98269.570313000004</v>
      </c>
      <c r="E7030" s="8">
        <v>98290.179688000004</v>
      </c>
      <c r="F7030" s="8">
        <f t="shared" si="218"/>
        <v>20.609375</v>
      </c>
      <c r="G7030" s="8">
        <f t="shared" si="219"/>
        <v>2.0609374999999999E-2</v>
      </c>
    </row>
    <row r="7031" spans="1:7" x14ac:dyDescent="0.25">
      <c r="A7031" s="8">
        <v>94</v>
      </c>
      <c r="B7031" s="8">
        <v>38</v>
      </c>
      <c r="C7031" s="8">
        <v>3129.470703</v>
      </c>
      <c r="D7031" s="8">
        <v>99682.59375</v>
      </c>
      <c r="E7031" s="8">
        <v>99703.328125</v>
      </c>
      <c r="F7031" s="8">
        <f t="shared" si="218"/>
        <v>20.734375</v>
      </c>
      <c r="G7031" s="8">
        <f t="shared" si="219"/>
        <v>2.0734374999999999E-2</v>
      </c>
    </row>
    <row r="7032" spans="1:7" x14ac:dyDescent="0.25">
      <c r="A7032" s="8">
        <v>94</v>
      </c>
      <c r="B7032" s="8">
        <v>39</v>
      </c>
      <c r="C7032" s="8">
        <v>1327.7700199999999</v>
      </c>
      <c r="D7032" s="8">
        <v>102836.1875</v>
      </c>
      <c r="E7032" s="8">
        <v>102852.007813</v>
      </c>
      <c r="F7032" s="8">
        <f t="shared" si="218"/>
        <v>15.820313000003807</v>
      </c>
      <c r="G7032" s="8">
        <f t="shared" si="219"/>
        <v>1.5820313000003808E-2</v>
      </c>
    </row>
    <row r="7033" spans="1:7" x14ac:dyDescent="0.25">
      <c r="A7033" s="8">
        <v>94</v>
      </c>
      <c r="B7033" s="8">
        <v>40</v>
      </c>
      <c r="C7033" s="8">
        <v>50.812491999999999</v>
      </c>
      <c r="D7033" s="8">
        <v>104190.789063</v>
      </c>
      <c r="E7033" s="8">
        <v>104221.390625</v>
      </c>
      <c r="F7033" s="8">
        <f t="shared" si="218"/>
        <v>30.601561999996193</v>
      </c>
      <c r="G7033" s="8">
        <f t="shared" si="219"/>
        <v>3.0601561999996193E-2</v>
      </c>
    </row>
    <row r="7034" spans="1:7" x14ac:dyDescent="0.25">
      <c r="A7034" s="8">
        <v>94</v>
      </c>
      <c r="B7034" s="8">
        <v>41</v>
      </c>
      <c r="C7034" s="8">
        <v>43.812671999999999</v>
      </c>
      <c r="D7034" s="8">
        <v>104284.578125</v>
      </c>
      <c r="E7034" s="8">
        <v>104311.421875</v>
      </c>
      <c r="F7034" s="8">
        <f t="shared" si="218"/>
        <v>26.84375</v>
      </c>
      <c r="G7034" s="8">
        <f t="shared" si="219"/>
        <v>2.684375E-2</v>
      </c>
    </row>
    <row r="7035" spans="1:7" x14ac:dyDescent="0.25">
      <c r="A7035" s="8">
        <v>94</v>
      </c>
      <c r="B7035" s="8">
        <v>42</v>
      </c>
      <c r="C7035" s="8">
        <v>517.63031000000001</v>
      </c>
      <c r="D7035" s="8">
        <v>104362.703125</v>
      </c>
      <c r="E7035" s="8">
        <v>104387.078125</v>
      </c>
      <c r="F7035" s="8">
        <f t="shared" si="218"/>
        <v>24.375</v>
      </c>
      <c r="G7035" s="8">
        <f t="shared" si="219"/>
        <v>2.4375000000000001E-2</v>
      </c>
    </row>
    <row r="7036" spans="1:7" x14ac:dyDescent="0.25">
      <c r="A7036" s="8">
        <v>94</v>
      </c>
      <c r="B7036" s="8">
        <v>43</v>
      </c>
      <c r="C7036" s="8">
        <v>970.25286900000003</v>
      </c>
      <c r="D7036" s="8">
        <v>104909.5625</v>
      </c>
      <c r="E7036" s="8">
        <v>104918.78125</v>
      </c>
      <c r="F7036" s="8">
        <f t="shared" si="218"/>
        <v>9.21875</v>
      </c>
      <c r="G7036" s="8">
        <f t="shared" si="219"/>
        <v>9.2187499999999995E-3</v>
      </c>
    </row>
    <row r="7037" spans="1:7" x14ac:dyDescent="0.25">
      <c r="A7037" s="8">
        <v>94</v>
      </c>
      <c r="B7037" s="8">
        <v>44</v>
      </c>
      <c r="C7037" s="8">
        <v>12268.994140999999</v>
      </c>
      <c r="D7037" s="8">
        <v>105890.867188</v>
      </c>
      <c r="E7037" s="8">
        <v>105912.1875</v>
      </c>
      <c r="F7037" s="8">
        <f t="shared" si="218"/>
        <v>21.320311999996193</v>
      </c>
      <c r="G7037" s="8">
        <f t="shared" si="219"/>
        <v>2.1320311999996192E-2</v>
      </c>
    </row>
    <row r="7038" spans="1:7" x14ac:dyDescent="0.25">
      <c r="A7038" s="8">
        <v>94</v>
      </c>
      <c r="B7038" s="8">
        <v>45</v>
      </c>
      <c r="C7038" s="8">
        <v>406.82183800000001</v>
      </c>
      <c r="D7038" s="8">
        <v>118181.882813</v>
      </c>
      <c r="E7038" s="8">
        <v>118189.765625</v>
      </c>
      <c r="F7038" s="8">
        <f t="shared" si="218"/>
        <v>7.8828119999961928</v>
      </c>
      <c r="G7038" s="8">
        <f t="shared" si="219"/>
        <v>7.8828119999961935E-3</v>
      </c>
    </row>
    <row r="7039" spans="1:7" x14ac:dyDescent="0.25">
      <c r="A7039" s="8">
        <v>94</v>
      </c>
      <c r="B7039" s="8">
        <v>46</v>
      </c>
      <c r="C7039" s="8">
        <v>506.67016599999999</v>
      </c>
      <c r="D7039" s="8">
        <v>118603.84375</v>
      </c>
      <c r="E7039" s="8">
        <v>118623.34375</v>
      </c>
      <c r="F7039" s="8">
        <f t="shared" si="218"/>
        <v>19.5</v>
      </c>
      <c r="G7039" s="8">
        <f t="shared" si="219"/>
        <v>1.95E-2</v>
      </c>
    </row>
    <row r="7040" spans="1:7" x14ac:dyDescent="0.25">
      <c r="A7040" s="8">
        <v>94</v>
      </c>
      <c r="B7040" s="8">
        <v>47</v>
      </c>
      <c r="C7040" s="8">
        <v>2979.671143</v>
      </c>
      <c r="D7040" s="8">
        <v>119141.390625</v>
      </c>
      <c r="E7040" s="8">
        <v>119153.40625</v>
      </c>
      <c r="F7040" s="8">
        <f t="shared" si="218"/>
        <v>12.015625</v>
      </c>
      <c r="G7040" s="8">
        <f t="shared" si="219"/>
        <v>1.2015625E-2</v>
      </c>
    </row>
    <row r="7041" spans="1:7" x14ac:dyDescent="0.25">
      <c r="A7041" s="8">
        <v>94</v>
      </c>
      <c r="B7041" s="8">
        <v>48</v>
      </c>
      <c r="C7041" s="8">
        <v>487.185272</v>
      </c>
      <c r="D7041" s="8">
        <v>122142.757813</v>
      </c>
      <c r="E7041" s="8">
        <v>122156.335938</v>
      </c>
      <c r="F7041" s="8">
        <f t="shared" si="218"/>
        <v>13.578125</v>
      </c>
      <c r="G7041" s="8">
        <f t="shared" si="219"/>
        <v>1.3578125E-2</v>
      </c>
    </row>
    <row r="7042" spans="1:7" x14ac:dyDescent="0.25">
      <c r="A7042" s="8">
        <v>94</v>
      </c>
      <c r="B7042" s="8">
        <v>49</v>
      </c>
      <c r="C7042" s="8">
        <v>3194.1264649999998</v>
      </c>
      <c r="D7042" s="8">
        <v>122658.398438</v>
      </c>
      <c r="E7042" s="8">
        <v>122666.390625</v>
      </c>
      <c r="F7042" s="8">
        <f t="shared" si="218"/>
        <v>7.9921869999961928</v>
      </c>
      <c r="G7042" s="8">
        <f t="shared" si="219"/>
        <v>7.9921869999961936E-3</v>
      </c>
    </row>
    <row r="7043" spans="1:7" x14ac:dyDescent="0.25">
      <c r="A7043" s="8">
        <v>94</v>
      </c>
      <c r="B7043" s="8">
        <v>50</v>
      </c>
      <c r="C7043" s="8">
        <v>632.76122999999995</v>
      </c>
      <c r="D7043" s="8">
        <v>125862.257813</v>
      </c>
      <c r="E7043" s="8">
        <v>125879.179688</v>
      </c>
      <c r="F7043" s="8">
        <f t="shared" si="218"/>
        <v>16.921875</v>
      </c>
      <c r="G7043" s="8">
        <f t="shared" si="219"/>
        <v>1.6921874999999999E-2</v>
      </c>
    </row>
    <row r="7044" spans="1:7" x14ac:dyDescent="0.25">
      <c r="A7044" s="8">
        <v>94</v>
      </c>
      <c r="B7044" s="8">
        <v>51</v>
      </c>
      <c r="C7044" s="8">
        <v>4395.9755859999996</v>
      </c>
      <c r="D7044" s="8">
        <v>126518.5625</v>
      </c>
      <c r="E7044" s="8">
        <v>126541.085938</v>
      </c>
      <c r="F7044" s="8">
        <f t="shared" si="218"/>
        <v>22.523438000003807</v>
      </c>
      <c r="G7044" s="8">
        <f t="shared" si="219"/>
        <v>2.2523438000003806E-2</v>
      </c>
    </row>
    <row r="7045" spans="1:7" x14ac:dyDescent="0.25">
      <c r="A7045" s="8">
        <v>94</v>
      </c>
      <c r="B7045" s="8">
        <v>52</v>
      </c>
      <c r="C7045" s="8">
        <v>841.43609600000002</v>
      </c>
      <c r="D7045" s="8">
        <v>130942.039063</v>
      </c>
      <c r="E7045" s="8">
        <v>130962.6875</v>
      </c>
      <c r="F7045" s="8">
        <f t="shared" si="218"/>
        <v>20.648436999996193</v>
      </c>
      <c r="G7045" s="8">
        <f t="shared" si="219"/>
        <v>2.0648436999996193E-2</v>
      </c>
    </row>
    <row r="7046" spans="1:7" x14ac:dyDescent="0.25">
      <c r="A7046" s="8">
        <v>94</v>
      </c>
      <c r="B7046" s="8">
        <v>53</v>
      </c>
      <c r="C7046" s="8">
        <v>667.90905799999996</v>
      </c>
      <c r="D7046" s="8">
        <v>131811.390625</v>
      </c>
      <c r="E7046" s="8">
        <v>131833.203125</v>
      </c>
      <c r="F7046" s="8">
        <f t="shared" si="218"/>
        <v>21.8125</v>
      </c>
      <c r="G7046" s="8">
        <f t="shared" si="219"/>
        <v>2.1812499999999999E-2</v>
      </c>
    </row>
    <row r="7047" spans="1:7" x14ac:dyDescent="0.25">
      <c r="A7047" s="8">
        <v>94</v>
      </c>
      <c r="B7047" s="8">
        <v>54</v>
      </c>
      <c r="C7047" s="8">
        <v>923.41308600000002</v>
      </c>
      <c r="D7047" s="8">
        <v>132514.578125</v>
      </c>
      <c r="E7047" s="8">
        <v>132542.875</v>
      </c>
      <c r="F7047" s="8">
        <f t="shared" si="218"/>
        <v>28.296875</v>
      </c>
      <c r="G7047" s="8">
        <f t="shared" si="219"/>
        <v>2.8296874999999999E-2</v>
      </c>
    </row>
    <row r="7048" spans="1:7" x14ac:dyDescent="0.25">
      <c r="A7048" s="8">
        <v>94</v>
      </c>
      <c r="B7048" s="8">
        <v>55</v>
      </c>
      <c r="C7048" s="8">
        <v>1136.6108400000001</v>
      </c>
      <c r="D7048" s="8">
        <v>133472.46875</v>
      </c>
      <c r="E7048" s="8">
        <v>133487.328125</v>
      </c>
      <c r="F7048" s="8">
        <f t="shared" si="218"/>
        <v>14.859375</v>
      </c>
      <c r="G7048" s="8">
        <f t="shared" si="219"/>
        <v>1.4859374999999999E-2</v>
      </c>
    </row>
    <row r="7049" spans="1:7" x14ac:dyDescent="0.25">
      <c r="A7049" s="8">
        <v>94</v>
      </c>
      <c r="B7049" s="8">
        <v>56</v>
      </c>
      <c r="C7049" s="8">
        <v>2087.205078</v>
      </c>
      <c r="D7049" s="8">
        <v>134628.859375</v>
      </c>
      <c r="E7049" s="8">
        <v>134658.75</v>
      </c>
      <c r="F7049" s="8">
        <f t="shared" si="218"/>
        <v>29.890625</v>
      </c>
      <c r="G7049" s="8">
        <f t="shared" si="219"/>
        <v>2.9890625000000001E-2</v>
      </c>
    </row>
    <row r="7050" spans="1:7" x14ac:dyDescent="0.25">
      <c r="A7050" s="8">
        <v>94</v>
      </c>
      <c r="B7050" s="8">
        <v>57</v>
      </c>
      <c r="C7050" s="8">
        <v>396.15319799999997</v>
      </c>
      <c r="D7050" s="8">
        <v>136747.28125</v>
      </c>
      <c r="E7050" s="8">
        <v>136763.046875</v>
      </c>
      <c r="F7050" s="8">
        <f t="shared" si="218"/>
        <v>15.765625</v>
      </c>
      <c r="G7050" s="8">
        <f t="shared" si="219"/>
        <v>1.5765624999999998E-2</v>
      </c>
    </row>
    <row r="7051" spans="1:7" x14ac:dyDescent="0.25">
      <c r="A7051" s="8">
        <v>94</v>
      </c>
      <c r="B7051" s="8">
        <v>58</v>
      </c>
      <c r="C7051" s="8">
        <v>976.50891100000001</v>
      </c>
      <c r="D7051" s="8">
        <v>137171.765625</v>
      </c>
      <c r="E7051" s="8">
        <v>137201.625</v>
      </c>
      <c r="F7051" s="8">
        <f t="shared" ref="F7051:F7114" si="220">E7051-D7051</f>
        <v>29.859375</v>
      </c>
      <c r="G7051" s="8">
        <f t="shared" ref="G7051:G7114" si="221">F7051/1000</f>
        <v>2.9859375E-2</v>
      </c>
    </row>
    <row r="7052" spans="1:7" x14ac:dyDescent="0.25">
      <c r="A7052" s="8">
        <v>94</v>
      </c>
      <c r="B7052" s="8">
        <v>59</v>
      </c>
      <c r="C7052" s="8">
        <v>4238.0058589999999</v>
      </c>
      <c r="D7052" s="8">
        <v>138187.40625</v>
      </c>
      <c r="E7052" s="8">
        <v>138208.359375</v>
      </c>
      <c r="F7052" s="8">
        <f t="shared" si="220"/>
        <v>20.953125</v>
      </c>
      <c r="G7052" s="8">
        <f t="shared" si="221"/>
        <v>2.0953125E-2</v>
      </c>
    </row>
    <row r="7053" spans="1:7" x14ac:dyDescent="0.25">
      <c r="A7053" s="8">
        <v>94</v>
      </c>
      <c r="B7053" s="8">
        <v>60</v>
      </c>
      <c r="C7053" s="8">
        <v>14202.680664</v>
      </c>
      <c r="D7053" s="8">
        <v>142452.703125</v>
      </c>
      <c r="E7053" s="8">
        <v>142471.375</v>
      </c>
      <c r="F7053" s="8">
        <f t="shared" si="220"/>
        <v>18.671875</v>
      </c>
      <c r="G7053" s="8">
        <f t="shared" si="221"/>
        <v>1.8671875000000001E-2</v>
      </c>
    </row>
    <row r="7054" spans="1:7" x14ac:dyDescent="0.25">
      <c r="A7054" s="8">
        <v>94</v>
      </c>
      <c r="B7054" s="8">
        <v>61</v>
      </c>
      <c r="C7054" s="8">
        <v>1474.4544679999999</v>
      </c>
      <c r="D7054" s="8">
        <v>156688.03125</v>
      </c>
      <c r="E7054" s="8">
        <v>156708.84375</v>
      </c>
      <c r="F7054" s="8">
        <f t="shared" si="220"/>
        <v>20.8125</v>
      </c>
      <c r="G7054" s="8">
        <f t="shared" si="221"/>
        <v>2.0812500000000001E-2</v>
      </c>
    </row>
    <row r="7055" spans="1:7" x14ac:dyDescent="0.25">
      <c r="A7055" s="8">
        <v>94</v>
      </c>
      <c r="B7055" s="8">
        <v>62</v>
      </c>
      <c r="C7055" s="8">
        <v>2963.48999</v>
      </c>
      <c r="D7055" s="8">
        <v>158188.171875</v>
      </c>
      <c r="E7055" s="8">
        <v>158205.125</v>
      </c>
      <c r="F7055" s="8">
        <f t="shared" si="220"/>
        <v>16.953125</v>
      </c>
      <c r="G7055" s="8">
        <f t="shared" si="221"/>
        <v>1.6953124999999999E-2</v>
      </c>
    </row>
    <row r="7056" spans="1:7" x14ac:dyDescent="0.25">
      <c r="A7056" s="8">
        <v>94</v>
      </c>
      <c r="B7056" s="8">
        <v>63</v>
      </c>
      <c r="C7056" s="8">
        <v>2315.5270999999998</v>
      </c>
      <c r="D7056" s="8">
        <v>161173.859375</v>
      </c>
      <c r="E7056" s="8">
        <v>161191.109375</v>
      </c>
      <c r="F7056" s="8">
        <f t="shared" si="220"/>
        <v>17.25</v>
      </c>
      <c r="G7056" s="8">
        <f t="shared" si="221"/>
        <v>1.7250000000000001E-2</v>
      </c>
    </row>
    <row r="7057" spans="1:7" x14ac:dyDescent="0.25">
      <c r="A7057" s="8">
        <v>94</v>
      </c>
      <c r="B7057" s="8">
        <v>64</v>
      </c>
      <c r="C7057" s="8">
        <v>171.05635100000001</v>
      </c>
      <c r="D7057" s="8">
        <v>163518.453125</v>
      </c>
      <c r="E7057" s="8">
        <v>163528.078125</v>
      </c>
      <c r="F7057" s="8">
        <f t="shared" si="220"/>
        <v>9.625</v>
      </c>
      <c r="G7057" s="8">
        <f t="shared" si="221"/>
        <v>9.6249999999999999E-3</v>
      </c>
    </row>
    <row r="7058" spans="1:7" x14ac:dyDescent="0.25">
      <c r="A7058" s="8">
        <v>94</v>
      </c>
      <c r="B7058" s="8">
        <v>65</v>
      </c>
      <c r="C7058" s="8">
        <v>1742.301025</v>
      </c>
      <c r="D7058" s="8">
        <v>163705.953125</v>
      </c>
      <c r="E7058" s="8">
        <v>163713.5</v>
      </c>
      <c r="F7058" s="8">
        <f t="shared" si="220"/>
        <v>7.546875</v>
      </c>
      <c r="G7058" s="8">
        <f t="shared" si="221"/>
        <v>7.5468749999999998E-3</v>
      </c>
    </row>
    <row r="7059" spans="1:7" x14ac:dyDescent="0.25">
      <c r="A7059" s="8">
        <v>94</v>
      </c>
      <c r="B7059" s="8">
        <v>66</v>
      </c>
      <c r="C7059" s="8">
        <v>537.73504600000001</v>
      </c>
      <c r="D7059" s="8">
        <v>165467.890625</v>
      </c>
      <c r="E7059" s="8">
        <v>165479.5</v>
      </c>
      <c r="F7059" s="8">
        <f t="shared" si="220"/>
        <v>11.609375</v>
      </c>
      <c r="G7059" s="8">
        <f t="shared" si="221"/>
        <v>1.1609375E-2</v>
      </c>
    </row>
    <row r="7060" spans="1:7" x14ac:dyDescent="0.25">
      <c r="A7060" s="8">
        <v>94</v>
      </c>
      <c r="B7060" s="8">
        <v>67</v>
      </c>
      <c r="C7060" s="8">
        <v>2172.7163089999999</v>
      </c>
      <c r="D7060" s="8">
        <v>166030.4375</v>
      </c>
      <c r="E7060" s="8">
        <v>166040.15625</v>
      </c>
      <c r="F7060" s="8">
        <f t="shared" si="220"/>
        <v>9.71875</v>
      </c>
      <c r="G7060" s="8">
        <f t="shared" si="221"/>
        <v>9.71875E-3</v>
      </c>
    </row>
    <row r="7061" spans="1:7" x14ac:dyDescent="0.25">
      <c r="A7061" s="8">
        <v>94</v>
      </c>
      <c r="B7061" s="8">
        <v>68</v>
      </c>
      <c r="C7061" s="8">
        <v>371.08682299999998</v>
      </c>
      <c r="D7061" s="8">
        <v>168213.5625</v>
      </c>
      <c r="E7061" s="8">
        <v>168270.75</v>
      </c>
      <c r="F7061" s="8">
        <f t="shared" si="220"/>
        <v>57.1875</v>
      </c>
      <c r="G7061" s="8">
        <f t="shared" si="221"/>
        <v>5.7187500000000002E-2</v>
      </c>
    </row>
    <row r="7062" spans="1:7" x14ac:dyDescent="0.25">
      <c r="A7062" s="8">
        <v>94</v>
      </c>
      <c r="B7062" s="8">
        <v>69</v>
      </c>
      <c r="C7062" s="8">
        <v>5071.6708980000003</v>
      </c>
      <c r="D7062" s="8">
        <v>168653.703125</v>
      </c>
      <c r="E7062" s="8">
        <v>168668.0625</v>
      </c>
      <c r="F7062" s="8">
        <f t="shared" si="220"/>
        <v>14.359375</v>
      </c>
      <c r="G7062" s="8">
        <f t="shared" si="221"/>
        <v>1.4359375000000001E-2</v>
      </c>
    </row>
    <row r="7063" spans="1:7" x14ac:dyDescent="0.25">
      <c r="A7063" s="8">
        <v>95</v>
      </c>
      <c r="B7063" s="8">
        <v>0</v>
      </c>
      <c r="C7063" s="8">
        <v>221.417542</v>
      </c>
      <c r="D7063" s="8">
        <v>20025.755859000001</v>
      </c>
      <c r="E7063" s="8">
        <v>20063.65625</v>
      </c>
      <c r="F7063" s="8">
        <f t="shared" si="220"/>
        <v>37.900390999999217</v>
      </c>
      <c r="G7063" s="8">
        <f t="shared" si="221"/>
        <v>3.7900390999999214E-2</v>
      </c>
    </row>
    <row r="7064" spans="1:7" x14ac:dyDescent="0.25">
      <c r="A7064" s="8">
        <v>95</v>
      </c>
      <c r="B7064" s="8">
        <v>1</v>
      </c>
      <c r="C7064" s="8">
        <v>3593.4926759999998</v>
      </c>
      <c r="D7064" s="8">
        <v>20297.345702999999</v>
      </c>
      <c r="E7064" s="8">
        <v>20323.609375</v>
      </c>
      <c r="F7064" s="8">
        <f t="shared" si="220"/>
        <v>26.263672000000952</v>
      </c>
      <c r="G7064" s="8">
        <f t="shared" si="221"/>
        <v>2.6263672000000952E-2</v>
      </c>
    </row>
    <row r="7065" spans="1:7" x14ac:dyDescent="0.25">
      <c r="A7065" s="8">
        <v>95</v>
      </c>
      <c r="B7065" s="8">
        <v>2</v>
      </c>
      <c r="C7065" s="8">
        <v>1344.3172609999999</v>
      </c>
      <c r="D7065" s="8">
        <v>23927.945313</v>
      </c>
      <c r="E7065" s="8">
        <v>23945.460938</v>
      </c>
      <c r="F7065" s="8">
        <f t="shared" si="220"/>
        <v>17.515625</v>
      </c>
      <c r="G7065" s="8">
        <f t="shared" si="221"/>
        <v>1.7515625E-2</v>
      </c>
    </row>
    <row r="7066" spans="1:7" x14ac:dyDescent="0.25">
      <c r="A7066" s="8">
        <v>95</v>
      </c>
      <c r="B7066" s="8">
        <v>3</v>
      </c>
      <c r="C7066" s="8">
        <v>5747.3916019999997</v>
      </c>
      <c r="D7066" s="8">
        <v>25303.154297000001</v>
      </c>
      <c r="E7066" s="8">
        <v>25321.167968999998</v>
      </c>
      <c r="F7066" s="8">
        <f t="shared" si="220"/>
        <v>18.013671999997314</v>
      </c>
      <c r="G7066" s="8">
        <f t="shared" si="221"/>
        <v>1.8013671999997313E-2</v>
      </c>
    </row>
    <row r="7067" spans="1:7" x14ac:dyDescent="0.25">
      <c r="A7067" s="8">
        <v>95</v>
      </c>
      <c r="B7067" s="8">
        <v>4</v>
      </c>
      <c r="C7067" s="8">
        <v>7198.4736329999996</v>
      </c>
      <c r="D7067" s="8">
        <v>31081.599609000001</v>
      </c>
      <c r="E7067" s="8">
        <v>31100.347656000002</v>
      </c>
      <c r="F7067" s="8">
        <f t="shared" si="220"/>
        <v>18.748047000000952</v>
      </c>
      <c r="G7067" s="8">
        <f t="shared" si="221"/>
        <v>1.8748047000000951E-2</v>
      </c>
    </row>
    <row r="7068" spans="1:7" x14ac:dyDescent="0.25">
      <c r="A7068" s="8">
        <v>95</v>
      </c>
      <c r="B7068" s="8">
        <v>5</v>
      </c>
      <c r="C7068" s="8">
        <v>597.47955300000001</v>
      </c>
      <c r="D7068" s="8">
        <v>38307.898437999997</v>
      </c>
      <c r="E7068" s="8">
        <v>38315.632812999997</v>
      </c>
      <c r="F7068" s="8">
        <f t="shared" si="220"/>
        <v>7.734375</v>
      </c>
      <c r="G7068" s="8">
        <f t="shared" si="221"/>
        <v>7.7343749999999999E-3</v>
      </c>
    </row>
    <row r="7069" spans="1:7" x14ac:dyDescent="0.25">
      <c r="A7069" s="8">
        <v>95</v>
      </c>
      <c r="B7069" s="8">
        <v>6</v>
      </c>
      <c r="C7069" s="8">
        <v>301.83178700000002</v>
      </c>
      <c r="D7069" s="8">
        <v>38917.921875</v>
      </c>
      <c r="E7069" s="8">
        <v>38925.925780999998</v>
      </c>
      <c r="F7069" s="8">
        <f t="shared" si="220"/>
        <v>8.0039059999980964</v>
      </c>
      <c r="G7069" s="8">
        <f t="shared" si="221"/>
        <v>8.0039059999980969E-3</v>
      </c>
    </row>
    <row r="7070" spans="1:7" x14ac:dyDescent="0.25">
      <c r="A7070" s="8">
        <v>95</v>
      </c>
      <c r="B7070" s="8">
        <v>7</v>
      </c>
      <c r="C7070" s="8">
        <v>458.50122099999999</v>
      </c>
      <c r="D7070" s="8">
        <v>39230.472655999998</v>
      </c>
      <c r="E7070" s="8">
        <v>39238.03125</v>
      </c>
      <c r="F7070" s="8">
        <f t="shared" si="220"/>
        <v>7.5585940000019036</v>
      </c>
      <c r="G7070" s="8">
        <f t="shared" si="221"/>
        <v>7.5585940000019039E-3</v>
      </c>
    </row>
    <row r="7071" spans="1:7" x14ac:dyDescent="0.25">
      <c r="A7071" s="8">
        <v>95</v>
      </c>
      <c r="B7071" s="8">
        <v>8</v>
      </c>
      <c r="C7071" s="8">
        <v>1836.6750489999999</v>
      </c>
      <c r="D7071" s="8">
        <v>39699.234375</v>
      </c>
      <c r="E7071" s="8">
        <v>39709.734375</v>
      </c>
      <c r="F7071" s="8">
        <f t="shared" si="220"/>
        <v>10.5</v>
      </c>
      <c r="G7071" s="8">
        <f t="shared" si="221"/>
        <v>1.0500000000000001E-2</v>
      </c>
    </row>
    <row r="7072" spans="1:7" x14ac:dyDescent="0.25">
      <c r="A7072" s="8">
        <v>95</v>
      </c>
      <c r="B7072" s="8">
        <v>9</v>
      </c>
      <c r="C7072" s="8">
        <v>7675.1235349999997</v>
      </c>
      <c r="D7072" s="8">
        <v>41559.539062999997</v>
      </c>
      <c r="E7072" s="8">
        <v>41576.941405999998</v>
      </c>
      <c r="F7072" s="8">
        <f t="shared" si="220"/>
        <v>17.402343000001565</v>
      </c>
      <c r="G7072" s="8">
        <f t="shared" si="221"/>
        <v>1.7402343000001565E-2</v>
      </c>
    </row>
    <row r="7073" spans="1:7" x14ac:dyDescent="0.25">
      <c r="A7073" s="8">
        <v>95</v>
      </c>
      <c r="B7073" s="8">
        <v>10</v>
      </c>
      <c r="C7073" s="8">
        <v>2042.8142089999999</v>
      </c>
      <c r="D7073" s="8">
        <v>49264.203125</v>
      </c>
      <c r="E7073" s="8">
        <v>49282.9375</v>
      </c>
      <c r="F7073" s="8">
        <f t="shared" si="220"/>
        <v>18.734375</v>
      </c>
      <c r="G7073" s="8">
        <f t="shared" si="221"/>
        <v>1.8734375000000001E-2</v>
      </c>
    </row>
    <row r="7074" spans="1:7" x14ac:dyDescent="0.25">
      <c r="A7074" s="8">
        <v>95</v>
      </c>
      <c r="B7074" s="8">
        <v>11</v>
      </c>
      <c r="C7074" s="8">
        <v>714.56231700000001</v>
      </c>
      <c r="D7074" s="8">
        <v>51334.546875</v>
      </c>
      <c r="E7074" s="8">
        <v>51355.699219000002</v>
      </c>
      <c r="F7074" s="8">
        <f t="shared" si="220"/>
        <v>21.152344000001904</v>
      </c>
      <c r="G7074" s="8">
        <f t="shared" si="221"/>
        <v>2.1152344000001905E-2</v>
      </c>
    </row>
    <row r="7075" spans="1:7" x14ac:dyDescent="0.25">
      <c r="A7075" s="8">
        <v>95</v>
      </c>
      <c r="B7075" s="8">
        <v>12</v>
      </c>
      <c r="C7075" s="8">
        <v>3224.499268</v>
      </c>
      <c r="D7075" s="8">
        <v>52076.402344000002</v>
      </c>
      <c r="E7075" s="8">
        <v>52094.332030999998</v>
      </c>
      <c r="F7075" s="8">
        <f t="shared" si="220"/>
        <v>17.929686999996193</v>
      </c>
      <c r="G7075" s="8">
        <f t="shared" si="221"/>
        <v>1.7929686999996194E-2</v>
      </c>
    </row>
    <row r="7076" spans="1:7" x14ac:dyDescent="0.25">
      <c r="A7076" s="8">
        <v>95</v>
      </c>
      <c r="B7076" s="8">
        <v>13</v>
      </c>
      <c r="C7076" s="8">
        <v>222.986313</v>
      </c>
      <c r="D7076" s="8">
        <v>55331.742187999997</v>
      </c>
      <c r="E7076" s="8">
        <v>55344.871094000002</v>
      </c>
      <c r="F7076" s="8">
        <f t="shared" si="220"/>
        <v>13.128906000005372</v>
      </c>
      <c r="G7076" s="8">
        <f t="shared" si="221"/>
        <v>1.3128906000005372E-2</v>
      </c>
    </row>
    <row r="7077" spans="1:7" x14ac:dyDescent="0.25">
      <c r="A7077" s="8">
        <v>95</v>
      </c>
      <c r="B7077" s="8">
        <v>14</v>
      </c>
      <c r="C7077" s="8">
        <v>1480.971436</v>
      </c>
      <c r="D7077" s="8">
        <v>55581.820312999997</v>
      </c>
      <c r="E7077" s="8">
        <v>55594.957030999998</v>
      </c>
      <c r="F7077" s="8">
        <f t="shared" si="220"/>
        <v>13.136718000001565</v>
      </c>
      <c r="G7077" s="8">
        <f t="shared" si="221"/>
        <v>1.3136718000001565E-2</v>
      </c>
    </row>
    <row r="7078" spans="1:7" x14ac:dyDescent="0.25">
      <c r="A7078" s="8">
        <v>95</v>
      </c>
      <c r="B7078" s="8">
        <v>15</v>
      </c>
      <c r="C7078" s="8">
        <v>1498.325439</v>
      </c>
      <c r="D7078" s="8">
        <v>57082.597655999998</v>
      </c>
      <c r="E7078" s="8">
        <v>57093.761719000002</v>
      </c>
      <c r="F7078" s="8">
        <f t="shared" si="220"/>
        <v>11.164063000003807</v>
      </c>
      <c r="G7078" s="8">
        <f t="shared" si="221"/>
        <v>1.1164063000003808E-2</v>
      </c>
    </row>
    <row r="7079" spans="1:7" x14ac:dyDescent="0.25">
      <c r="A7079" s="8">
        <v>95</v>
      </c>
      <c r="B7079" s="8">
        <v>16</v>
      </c>
      <c r="C7079" s="8">
        <v>1311.240967</v>
      </c>
      <c r="D7079" s="8">
        <v>58606.679687999997</v>
      </c>
      <c r="E7079" s="8">
        <v>58620.425780999998</v>
      </c>
      <c r="F7079" s="8">
        <f t="shared" si="220"/>
        <v>13.746093000001565</v>
      </c>
      <c r="G7079" s="8">
        <f t="shared" si="221"/>
        <v>1.3746093000001566E-2</v>
      </c>
    </row>
    <row r="7080" spans="1:7" x14ac:dyDescent="0.25">
      <c r="A7080" s="8">
        <v>95</v>
      </c>
      <c r="B7080" s="8">
        <v>17</v>
      </c>
      <c r="C7080" s="8">
        <v>23.144369000000001</v>
      </c>
      <c r="D7080" s="8">
        <v>59934.941405999998</v>
      </c>
      <c r="E7080" s="8">
        <v>59954.949219000002</v>
      </c>
      <c r="F7080" s="8">
        <f t="shared" si="220"/>
        <v>20.007813000003807</v>
      </c>
      <c r="G7080" s="8">
        <f t="shared" si="221"/>
        <v>2.0007813000003809E-2</v>
      </c>
    </row>
    <row r="7081" spans="1:7" x14ac:dyDescent="0.25">
      <c r="A7081" s="8">
        <v>95</v>
      </c>
      <c r="B7081" s="8">
        <v>18</v>
      </c>
      <c r="C7081" s="8">
        <v>4181.4101559999999</v>
      </c>
      <c r="D7081" s="8">
        <v>59981.835937999997</v>
      </c>
      <c r="E7081" s="8">
        <v>59992.085937999997</v>
      </c>
      <c r="F7081" s="8">
        <f t="shared" si="220"/>
        <v>10.25</v>
      </c>
      <c r="G7081" s="8">
        <f t="shared" si="221"/>
        <v>1.025E-2</v>
      </c>
    </row>
    <row r="7082" spans="1:7" x14ac:dyDescent="0.25">
      <c r="A7082" s="8">
        <v>95</v>
      </c>
      <c r="B7082" s="8">
        <v>19</v>
      </c>
      <c r="C7082" s="8">
        <v>1457.5584719999999</v>
      </c>
      <c r="D7082" s="8">
        <v>64183.277344000002</v>
      </c>
      <c r="E7082" s="8">
        <v>64214.0625</v>
      </c>
      <c r="F7082" s="8">
        <f t="shared" si="220"/>
        <v>30.785155999998096</v>
      </c>
      <c r="G7082" s="8">
        <f t="shared" si="221"/>
        <v>3.0785155999998096E-2</v>
      </c>
    </row>
    <row r="7083" spans="1:7" x14ac:dyDescent="0.25">
      <c r="A7083" s="8">
        <v>95</v>
      </c>
      <c r="B7083" s="8">
        <v>20</v>
      </c>
      <c r="C7083" s="8">
        <v>1683.2346190000001</v>
      </c>
      <c r="D7083" s="8">
        <v>65684.140625</v>
      </c>
      <c r="E7083" s="8">
        <v>65691.671875</v>
      </c>
      <c r="F7083" s="8">
        <f t="shared" si="220"/>
        <v>7.53125</v>
      </c>
      <c r="G7083" s="8">
        <f t="shared" si="221"/>
        <v>7.5312499999999998E-3</v>
      </c>
    </row>
    <row r="7084" spans="1:7" x14ac:dyDescent="0.25">
      <c r="A7084" s="8">
        <v>95</v>
      </c>
      <c r="B7084" s="8">
        <v>21</v>
      </c>
      <c r="C7084" s="8">
        <v>5754.9697269999997</v>
      </c>
      <c r="D7084" s="8">
        <v>67388.976563000004</v>
      </c>
      <c r="E7084" s="8">
        <v>67407.992188000004</v>
      </c>
      <c r="F7084" s="8">
        <f t="shared" si="220"/>
        <v>19.015625</v>
      </c>
      <c r="G7084" s="8">
        <f t="shared" si="221"/>
        <v>1.9015625000000001E-2</v>
      </c>
    </row>
    <row r="7085" spans="1:7" x14ac:dyDescent="0.25">
      <c r="A7085" s="8">
        <v>95</v>
      </c>
      <c r="B7085" s="8">
        <v>22</v>
      </c>
      <c r="C7085" s="8">
        <v>928.06750499999998</v>
      </c>
      <c r="D7085" s="8">
        <v>73169.921875</v>
      </c>
      <c r="E7085" s="8">
        <v>73179.164063000004</v>
      </c>
      <c r="F7085" s="8">
        <f t="shared" si="220"/>
        <v>9.2421880000038072</v>
      </c>
      <c r="G7085" s="8">
        <f t="shared" si="221"/>
        <v>9.2421880000038079E-3</v>
      </c>
    </row>
    <row r="7086" spans="1:7" x14ac:dyDescent="0.25">
      <c r="A7086" s="8">
        <v>95</v>
      </c>
      <c r="B7086" s="8">
        <v>23</v>
      </c>
      <c r="C7086" s="8">
        <v>1450.234741</v>
      </c>
      <c r="D7086" s="8">
        <v>74109.476563000004</v>
      </c>
      <c r="E7086" s="8">
        <v>74135.359375</v>
      </c>
      <c r="F7086" s="8">
        <f t="shared" si="220"/>
        <v>25.882811999996193</v>
      </c>
      <c r="G7086" s="8">
        <f t="shared" si="221"/>
        <v>2.5882811999996192E-2</v>
      </c>
    </row>
    <row r="7087" spans="1:7" x14ac:dyDescent="0.25">
      <c r="A7087" s="8">
        <v>95</v>
      </c>
      <c r="B7087" s="8">
        <v>24</v>
      </c>
      <c r="C7087" s="8">
        <v>109.772896</v>
      </c>
      <c r="D7087" s="8">
        <v>75596.429688000004</v>
      </c>
      <c r="E7087" s="8">
        <v>75613.9375</v>
      </c>
      <c r="F7087" s="8">
        <f t="shared" si="220"/>
        <v>17.507811999996193</v>
      </c>
      <c r="G7087" s="8">
        <f t="shared" si="221"/>
        <v>1.7507811999996192E-2</v>
      </c>
    </row>
    <row r="7088" spans="1:7" x14ac:dyDescent="0.25">
      <c r="A7088" s="8">
        <v>95</v>
      </c>
      <c r="B7088" s="8">
        <v>25</v>
      </c>
      <c r="C7088" s="8">
        <v>628.91235400000005</v>
      </c>
      <c r="D7088" s="8">
        <v>75737.046875</v>
      </c>
      <c r="E7088" s="8">
        <v>75744.734375</v>
      </c>
      <c r="F7088" s="8">
        <f t="shared" si="220"/>
        <v>7.6875</v>
      </c>
      <c r="G7088" s="8">
        <f t="shared" si="221"/>
        <v>7.6874999999999999E-3</v>
      </c>
    </row>
    <row r="7089" spans="1:7" x14ac:dyDescent="0.25">
      <c r="A7089" s="8">
        <v>95</v>
      </c>
      <c r="B7089" s="8">
        <v>26</v>
      </c>
      <c r="C7089" s="8">
        <v>1036.1695560000001</v>
      </c>
      <c r="D7089" s="8">
        <v>76382.007813000004</v>
      </c>
      <c r="E7089" s="8">
        <v>76400.078125</v>
      </c>
      <c r="F7089" s="8">
        <f t="shared" si="220"/>
        <v>18.070311999996193</v>
      </c>
      <c r="G7089" s="8">
        <f t="shared" si="221"/>
        <v>1.8070311999996192E-2</v>
      </c>
    </row>
    <row r="7090" spans="1:7" x14ac:dyDescent="0.25">
      <c r="A7090" s="8">
        <v>95</v>
      </c>
      <c r="B7090" s="8">
        <v>27</v>
      </c>
      <c r="C7090" s="8">
        <v>812.09027100000003</v>
      </c>
      <c r="D7090" s="8">
        <v>77444.476563000004</v>
      </c>
      <c r="E7090" s="8">
        <v>77462.6875</v>
      </c>
      <c r="F7090" s="8">
        <f t="shared" si="220"/>
        <v>18.210936999996193</v>
      </c>
      <c r="G7090" s="8">
        <f t="shared" si="221"/>
        <v>1.8210936999996194E-2</v>
      </c>
    </row>
    <row r="7091" spans="1:7" x14ac:dyDescent="0.25">
      <c r="A7091" s="8">
        <v>95</v>
      </c>
      <c r="B7091" s="8">
        <v>28</v>
      </c>
      <c r="C7091" s="8">
        <v>10386.340819999999</v>
      </c>
      <c r="D7091" s="8">
        <v>78275.984375</v>
      </c>
      <c r="E7091" s="8">
        <v>78294.320313000004</v>
      </c>
      <c r="F7091" s="8">
        <f t="shared" si="220"/>
        <v>18.335938000003807</v>
      </c>
      <c r="G7091" s="8">
        <f t="shared" si="221"/>
        <v>1.8335938000003806E-2</v>
      </c>
    </row>
    <row r="7092" spans="1:7" x14ac:dyDescent="0.25">
      <c r="A7092" s="8">
        <v>95</v>
      </c>
      <c r="B7092" s="8">
        <v>29</v>
      </c>
      <c r="C7092" s="8">
        <v>3456.243164</v>
      </c>
      <c r="D7092" s="8">
        <v>88693.632813000004</v>
      </c>
      <c r="E7092" s="8">
        <v>88713.546875</v>
      </c>
      <c r="F7092" s="8">
        <f t="shared" si="220"/>
        <v>19.914061999996193</v>
      </c>
      <c r="G7092" s="8">
        <f t="shared" si="221"/>
        <v>1.9914061999996194E-2</v>
      </c>
    </row>
    <row r="7093" spans="1:7" x14ac:dyDescent="0.25">
      <c r="A7093" s="8">
        <v>95</v>
      </c>
      <c r="B7093" s="8">
        <v>30</v>
      </c>
      <c r="C7093" s="8">
        <v>5570.6694340000004</v>
      </c>
      <c r="D7093" s="8">
        <v>92183.164063000004</v>
      </c>
      <c r="E7093" s="8">
        <v>92199.804688000004</v>
      </c>
      <c r="F7093" s="8">
        <f t="shared" si="220"/>
        <v>16.640625</v>
      </c>
      <c r="G7093" s="8">
        <f t="shared" si="221"/>
        <v>1.6640624999999999E-2</v>
      </c>
    </row>
    <row r="7094" spans="1:7" x14ac:dyDescent="0.25">
      <c r="A7094" s="8">
        <v>95</v>
      </c>
      <c r="B7094" s="8">
        <v>31</v>
      </c>
      <c r="C7094" s="8">
        <v>451.29836999999998</v>
      </c>
      <c r="D7094" s="8">
        <v>97782.070313000004</v>
      </c>
      <c r="E7094" s="8">
        <v>97794.015625</v>
      </c>
      <c r="F7094" s="8">
        <f t="shared" si="220"/>
        <v>11.945311999996193</v>
      </c>
      <c r="G7094" s="8">
        <f t="shared" si="221"/>
        <v>1.1945311999996194E-2</v>
      </c>
    </row>
    <row r="7095" spans="1:7" x14ac:dyDescent="0.25">
      <c r="A7095" s="8">
        <v>95</v>
      </c>
      <c r="B7095" s="8">
        <v>32</v>
      </c>
      <c r="C7095" s="8">
        <v>3721.931885</v>
      </c>
      <c r="D7095" s="8">
        <v>98253.921875</v>
      </c>
      <c r="E7095" s="8">
        <v>98265.351563000004</v>
      </c>
      <c r="F7095" s="8">
        <f t="shared" si="220"/>
        <v>11.429688000003807</v>
      </c>
      <c r="G7095" s="8">
        <f t="shared" si="221"/>
        <v>1.1429688000003808E-2</v>
      </c>
    </row>
    <row r="7096" spans="1:7" x14ac:dyDescent="0.25">
      <c r="A7096" s="8">
        <v>95</v>
      </c>
      <c r="B7096" s="8">
        <v>33</v>
      </c>
      <c r="C7096" s="8">
        <v>747.46246299999996</v>
      </c>
      <c r="D7096" s="8">
        <v>101995.054688</v>
      </c>
      <c r="E7096" s="8">
        <v>102002.929688</v>
      </c>
      <c r="F7096" s="8">
        <f t="shared" si="220"/>
        <v>7.875</v>
      </c>
      <c r="G7096" s="8">
        <f t="shared" si="221"/>
        <v>7.8750000000000001E-3</v>
      </c>
    </row>
    <row r="7097" spans="1:7" x14ac:dyDescent="0.25">
      <c r="A7097" s="8">
        <v>95</v>
      </c>
      <c r="B7097" s="8">
        <v>34</v>
      </c>
      <c r="C7097" s="8">
        <v>297.15258799999998</v>
      </c>
      <c r="D7097" s="8">
        <v>102750.46875</v>
      </c>
      <c r="E7097" s="8">
        <v>102794.585938</v>
      </c>
      <c r="F7097" s="8">
        <f t="shared" si="220"/>
        <v>44.117188000003807</v>
      </c>
      <c r="G7097" s="8">
        <f t="shared" si="221"/>
        <v>4.4117188000003804E-2</v>
      </c>
    </row>
    <row r="7098" spans="1:7" x14ac:dyDescent="0.25">
      <c r="A7098" s="8">
        <v>95</v>
      </c>
      <c r="B7098" s="8">
        <v>35</v>
      </c>
      <c r="C7098" s="8">
        <v>539.73260500000004</v>
      </c>
      <c r="D7098" s="8">
        <v>103103.921875</v>
      </c>
      <c r="E7098" s="8">
        <v>103112.796875</v>
      </c>
      <c r="F7098" s="8">
        <f t="shared" si="220"/>
        <v>8.875</v>
      </c>
      <c r="G7098" s="8">
        <f t="shared" si="221"/>
        <v>8.8749999999999992E-3</v>
      </c>
    </row>
    <row r="7099" spans="1:7" x14ac:dyDescent="0.25">
      <c r="A7099" s="8">
        <v>95</v>
      </c>
      <c r="B7099" s="8">
        <v>36</v>
      </c>
      <c r="C7099" s="8">
        <v>5135.09375</v>
      </c>
      <c r="D7099" s="8">
        <v>103653.609375</v>
      </c>
      <c r="E7099" s="8">
        <v>103665.148438</v>
      </c>
      <c r="F7099" s="8">
        <f t="shared" si="220"/>
        <v>11.539063000003807</v>
      </c>
      <c r="G7099" s="8">
        <f t="shared" si="221"/>
        <v>1.1539063000003806E-2</v>
      </c>
    </row>
    <row r="7100" spans="1:7" x14ac:dyDescent="0.25">
      <c r="A7100" s="8">
        <v>95</v>
      </c>
      <c r="B7100" s="8">
        <v>37</v>
      </c>
      <c r="C7100" s="8">
        <v>647.89379899999994</v>
      </c>
      <c r="D7100" s="8">
        <v>108813.757813</v>
      </c>
      <c r="E7100" s="8">
        <v>108828.242188</v>
      </c>
      <c r="F7100" s="8">
        <f t="shared" si="220"/>
        <v>14.484375</v>
      </c>
      <c r="G7100" s="8">
        <f t="shared" si="221"/>
        <v>1.4484375000000001E-2</v>
      </c>
    </row>
    <row r="7101" spans="1:7" x14ac:dyDescent="0.25">
      <c r="A7101" s="8">
        <v>95</v>
      </c>
      <c r="B7101" s="8">
        <v>38</v>
      </c>
      <c r="C7101" s="8">
        <v>1007.480042</v>
      </c>
      <c r="D7101" s="8">
        <v>109485.484375</v>
      </c>
      <c r="E7101" s="8">
        <v>109507.640625</v>
      </c>
      <c r="F7101" s="8">
        <f t="shared" si="220"/>
        <v>22.15625</v>
      </c>
      <c r="G7101" s="8">
        <f t="shared" si="221"/>
        <v>2.2156249999999999E-2</v>
      </c>
    </row>
    <row r="7102" spans="1:7" x14ac:dyDescent="0.25">
      <c r="A7102" s="8">
        <v>95</v>
      </c>
      <c r="B7102" s="8">
        <v>39</v>
      </c>
      <c r="C7102" s="8">
        <v>2688.1511230000001</v>
      </c>
      <c r="D7102" s="8">
        <v>110517.773438</v>
      </c>
      <c r="E7102" s="8">
        <v>110535.601563</v>
      </c>
      <c r="F7102" s="8">
        <f t="shared" si="220"/>
        <v>17.828125</v>
      </c>
      <c r="G7102" s="8">
        <f t="shared" si="221"/>
        <v>1.7828125E-2</v>
      </c>
    </row>
    <row r="7103" spans="1:7" x14ac:dyDescent="0.25">
      <c r="A7103" s="8">
        <v>95</v>
      </c>
      <c r="B7103" s="8">
        <v>40</v>
      </c>
      <c r="C7103" s="8">
        <v>991.08264199999996</v>
      </c>
      <c r="D7103" s="8">
        <v>113237.492188</v>
      </c>
      <c r="E7103" s="8">
        <v>113255.859375</v>
      </c>
      <c r="F7103" s="8">
        <f t="shared" si="220"/>
        <v>18.367186999996193</v>
      </c>
      <c r="G7103" s="8">
        <f t="shared" si="221"/>
        <v>1.8367186999996194E-2</v>
      </c>
    </row>
    <row r="7104" spans="1:7" x14ac:dyDescent="0.25">
      <c r="A7104" s="8">
        <v>95</v>
      </c>
      <c r="B7104" s="8">
        <v>41</v>
      </c>
      <c r="C7104" s="8">
        <v>1549.8516850000001</v>
      </c>
      <c r="D7104" s="8">
        <v>114253.265625</v>
      </c>
      <c r="E7104" s="8">
        <v>114276.546875</v>
      </c>
      <c r="F7104" s="8">
        <f t="shared" si="220"/>
        <v>23.28125</v>
      </c>
      <c r="G7104" s="8">
        <f t="shared" si="221"/>
        <v>2.328125E-2</v>
      </c>
    </row>
    <row r="7105" spans="1:7" x14ac:dyDescent="0.25">
      <c r="A7105" s="8">
        <v>95</v>
      </c>
      <c r="B7105" s="8">
        <v>42</v>
      </c>
      <c r="C7105" s="8">
        <v>3634.7697750000002</v>
      </c>
      <c r="D7105" s="8">
        <v>115833.171875</v>
      </c>
      <c r="E7105" s="8">
        <v>115857.242188</v>
      </c>
      <c r="F7105" s="8">
        <f t="shared" si="220"/>
        <v>24.070313000003807</v>
      </c>
      <c r="G7105" s="8">
        <f t="shared" si="221"/>
        <v>2.4070313000003809E-2</v>
      </c>
    </row>
    <row r="7106" spans="1:7" x14ac:dyDescent="0.25">
      <c r="A7106" s="8">
        <v>95</v>
      </c>
      <c r="B7106" s="8">
        <v>43</v>
      </c>
      <c r="C7106" s="8">
        <v>105.779076</v>
      </c>
      <c r="D7106" s="8">
        <v>119501.03125</v>
      </c>
      <c r="E7106" s="8">
        <v>119516.960938</v>
      </c>
      <c r="F7106" s="8">
        <f t="shared" si="220"/>
        <v>15.929688000003807</v>
      </c>
      <c r="G7106" s="8">
        <f t="shared" si="221"/>
        <v>1.5929688000003807E-2</v>
      </c>
    </row>
    <row r="7107" spans="1:7" x14ac:dyDescent="0.25">
      <c r="A7107" s="8">
        <v>95</v>
      </c>
      <c r="B7107" s="8">
        <v>44</v>
      </c>
      <c r="C7107" s="8">
        <v>1651.065063</v>
      </c>
      <c r="D7107" s="8">
        <v>119626.859375</v>
      </c>
      <c r="E7107" s="8">
        <v>119638.773438</v>
      </c>
      <c r="F7107" s="8">
        <f t="shared" si="220"/>
        <v>11.914063000003807</v>
      </c>
      <c r="G7107" s="8">
        <f t="shared" si="221"/>
        <v>1.1914063000003807E-2</v>
      </c>
    </row>
    <row r="7108" spans="1:7" x14ac:dyDescent="0.25">
      <c r="A7108" s="8">
        <v>95</v>
      </c>
      <c r="B7108" s="8">
        <v>45</v>
      </c>
      <c r="C7108" s="8">
        <v>2022.911987</v>
      </c>
      <c r="D7108" s="8">
        <v>121298.890625</v>
      </c>
      <c r="E7108" s="8">
        <v>121310.5</v>
      </c>
      <c r="F7108" s="8">
        <f t="shared" si="220"/>
        <v>11.609375</v>
      </c>
      <c r="G7108" s="8">
        <f t="shared" si="221"/>
        <v>1.1609375E-2</v>
      </c>
    </row>
    <row r="7109" spans="1:7" x14ac:dyDescent="0.25">
      <c r="A7109" s="8">
        <v>95</v>
      </c>
      <c r="B7109" s="8">
        <v>46</v>
      </c>
      <c r="C7109" s="8">
        <v>4758.4208980000003</v>
      </c>
      <c r="D7109" s="8">
        <v>123340.125</v>
      </c>
      <c r="E7109" s="8">
        <v>123351.148438</v>
      </c>
      <c r="F7109" s="8">
        <f t="shared" si="220"/>
        <v>11.023438000003807</v>
      </c>
      <c r="G7109" s="8">
        <f t="shared" si="221"/>
        <v>1.1023438000003808E-2</v>
      </c>
    </row>
    <row r="7110" spans="1:7" x14ac:dyDescent="0.25">
      <c r="A7110" s="8">
        <v>95</v>
      </c>
      <c r="B7110" s="8">
        <v>47</v>
      </c>
      <c r="C7110" s="8">
        <v>395.03744499999999</v>
      </c>
      <c r="D7110" s="8">
        <v>128112.429688</v>
      </c>
      <c r="E7110" s="8">
        <v>128129.671875</v>
      </c>
      <c r="F7110" s="8">
        <f t="shared" si="220"/>
        <v>17.242186999996193</v>
      </c>
      <c r="G7110" s="8">
        <f t="shared" si="221"/>
        <v>1.7242186999996193E-2</v>
      </c>
    </row>
    <row r="7111" spans="1:7" x14ac:dyDescent="0.25">
      <c r="A7111" s="8">
        <v>95</v>
      </c>
      <c r="B7111" s="8">
        <v>48</v>
      </c>
      <c r="C7111" s="8">
        <v>4762.3789059999999</v>
      </c>
      <c r="D7111" s="8">
        <v>128535.664063</v>
      </c>
      <c r="E7111" s="8">
        <v>128550.3125</v>
      </c>
      <c r="F7111" s="8">
        <f t="shared" si="220"/>
        <v>14.648436999996193</v>
      </c>
      <c r="G7111" s="8">
        <f t="shared" si="221"/>
        <v>1.4648436999996193E-2</v>
      </c>
    </row>
    <row r="7112" spans="1:7" x14ac:dyDescent="0.25">
      <c r="A7112" s="8">
        <v>95</v>
      </c>
      <c r="B7112" s="8">
        <v>49</v>
      </c>
      <c r="C7112" s="8">
        <v>428.63400300000001</v>
      </c>
      <c r="D7112" s="8">
        <v>133316.171875</v>
      </c>
      <c r="E7112" s="8">
        <v>133334.25</v>
      </c>
      <c r="F7112" s="8">
        <f t="shared" si="220"/>
        <v>18.078125</v>
      </c>
      <c r="G7112" s="8">
        <f t="shared" si="221"/>
        <v>1.8078125E-2</v>
      </c>
    </row>
    <row r="7113" spans="1:7" x14ac:dyDescent="0.25">
      <c r="A7113" s="8">
        <v>95</v>
      </c>
      <c r="B7113" s="8">
        <v>50</v>
      </c>
      <c r="C7113" s="8">
        <v>255.663895</v>
      </c>
      <c r="D7113" s="8">
        <v>133769.328125</v>
      </c>
      <c r="E7113" s="8">
        <v>133780.984375</v>
      </c>
      <c r="F7113" s="8">
        <f t="shared" si="220"/>
        <v>11.65625</v>
      </c>
      <c r="G7113" s="8">
        <f t="shared" si="221"/>
        <v>1.165625E-2</v>
      </c>
    </row>
    <row r="7114" spans="1:7" x14ac:dyDescent="0.25">
      <c r="A7114" s="8">
        <v>95</v>
      </c>
      <c r="B7114" s="8">
        <v>51</v>
      </c>
      <c r="C7114" s="8">
        <v>4763.0390630000002</v>
      </c>
      <c r="D7114" s="8">
        <v>134050.640625</v>
      </c>
      <c r="E7114" s="8">
        <v>134067.71875</v>
      </c>
      <c r="F7114" s="8">
        <f t="shared" si="220"/>
        <v>17.078125</v>
      </c>
      <c r="G7114" s="8">
        <f t="shared" si="221"/>
        <v>1.7078125E-2</v>
      </c>
    </row>
    <row r="7115" spans="1:7" x14ac:dyDescent="0.25">
      <c r="A7115" s="8">
        <v>95</v>
      </c>
      <c r="B7115" s="8">
        <v>52</v>
      </c>
      <c r="C7115" s="8">
        <v>1749.1682129999999</v>
      </c>
      <c r="D7115" s="8">
        <v>138843.875</v>
      </c>
      <c r="E7115" s="8">
        <v>138856.515625</v>
      </c>
      <c r="F7115" s="8">
        <f t="shared" ref="F7115:F7178" si="222">E7115-D7115</f>
        <v>12.640625</v>
      </c>
      <c r="G7115" s="8">
        <f t="shared" ref="G7115:G7178" si="223">F7115/1000</f>
        <v>1.2640625000000001E-2</v>
      </c>
    </row>
    <row r="7116" spans="1:7" x14ac:dyDescent="0.25">
      <c r="A7116" s="8">
        <v>95</v>
      </c>
      <c r="B7116" s="8">
        <v>53</v>
      </c>
      <c r="C7116" s="8">
        <v>2466.180664</v>
      </c>
      <c r="D7116" s="8">
        <v>140607.875</v>
      </c>
      <c r="E7116" s="8">
        <v>140625.125</v>
      </c>
      <c r="F7116" s="8">
        <f t="shared" si="222"/>
        <v>17.25</v>
      </c>
      <c r="G7116" s="8">
        <f t="shared" si="223"/>
        <v>1.7250000000000001E-2</v>
      </c>
    </row>
    <row r="7117" spans="1:7" x14ac:dyDescent="0.25">
      <c r="A7117" s="8">
        <v>95</v>
      </c>
      <c r="B7117" s="8">
        <v>54</v>
      </c>
      <c r="C7117" s="8">
        <v>1726.0313719999999</v>
      </c>
      <c r="D7117" s="8">
        <v>143093.390625</v>
      </c>
      <c r="E7117" s="8">
        <v>143108.65625</v>
      </c>
      <c r="F7117" s="8">
        <f t="shared" si="222"/>
        <v>15.265625</v>
      </c>
      <c r="G7117" s="8">
        <f t="shared" si="223"/>
        <v>1.5265625E-2</v>
      </c>
    </row>
    <row r="7118" spans="1:7" x14ac:dyDescent="0.25">
      <c r="A7118" s="8">
        <v>95</v>
      </c>
      <c r="B7118" s="8">
        <v>55</v>
      </c>
      <c r="C7118" s="8">
        <v>1963.0627440000001</v>
      </c>
      <c r="D7118" s="8">
        <v>144847</v>
      </c>
      <c r="E7118" s="8">
        <v>144870.71875</v>
      </c>
      <c r="F7118" s="8">
        <f t="shared" si="222"/>
        <v>23.71875</v>
      </c>
      <c r="G7118" s="8">
        <f t="shared" si="223"/>
        <v>2.371875E-2</v>
      </c>
    </row>
    <row r="7119" spans="1:7" x14ac:dyDescent="0.25">
      <c r="A7119" s="8">
        <v>95</v>
      </c>
      <c r="B7119" s="8">
        <v>56</v>
      </c>
      <c r="C7119" s="8">
        <v>3563.9003910000001</v>
      </c>
      <c r="D7119" s="8">
        <v>146834.15625</v>
      </c>
      <c r="E7119" s="8">
        <v>146860.890625</v>
      </c>
      <c r="F7119" s="8">
        <f t="shared" si="222"/>
        <v>26.734375</v>
      </c>
      <c r="G7119" s="8">
        <f t="shared" si="223"/>
        <v>2.6734375000000001E-2</v>
      </c>
    </row>
    <row r="7120" spans="1:7" x14ac:dyDescent="0.25">
      <c r="A7120" s="8">
        <v>95</v>
      </c>
      <c r="B7120" s="8">
        <v>57</v>
      </c>
      <c r="C7120" s="8">
        <v>2574.8618160000001</v>
      </c>
      <c r="D7120" s="8">
        <v>150436.3125</v>
      </c>
      <c r="E7120" s="8">
        <v>150498.375</v>
      </c>
      <c r="F7120" s="8">
        <f t="shared" si="222"/>
        <v>62.0625</v>
      </c>
      <c r="G7120" s="8">
        <f t="shared" si="223"/>
        <v>6.20625E-2</v>
      </c>
    </row>
    <row r="7121" spans="1:7" x14ac:dyDescent="0.25">
      <c r="A7121" s="8">
        <v>95</v>
      </c>
      <c r="B7121" s="8">
        <v>58</v>
      </c>
      <c r="C7121" s="8">
        <v>851.314392</v>
      </c>
      <c r="D7121" s="8">
        <v>153078.296875</v>
      </c>
      <c r="E7121" s="8">
        <v>153102.5</v>
      </c>
      <c r="F7121" s="8">
        <f t="shared" si="222"/>
        <v>24.203125</v>
      </c>
      <c r="G7121" s="8">
        <f t="shared" si="223"/>
        <v>2.4203124999999999E-2</v>
      </c>
    </row>
    <row r="7122" spans="1:7" x14ac:dyDescent="0.25">
      <c r="A7122" s="8">
        <v>95</v>
      </c>
      <c r="B7122" s="8">
        <v>59</v>
      </c>
      <c r="C7122" s="8">
        <v>1717.8017580000001</v>
      </c>
      <c r="D7122" s="8">
        <v>153969.03125</v>
      </c>
      <c r="E7122" s="8">
        <v>153986.90625</v>
      </c>
      <c r="F7122" s="8">
        <f t="shared" si="222"/>
        <v>17.875</v>
      </c>
      <c r="G7122" s="8">
        <f t="shared" si="223"/>
        <v>1.7874999999999999E-2</v>
      </c>
    </row>
    <row r="7123" spans="1:7" x14ac:dyDescent="0.25">
      <c r="A7123" s="8">
        <v>95</v>
      </c>
      <c r="B7123" s="8">
        <v>60</v>
      </c>
      <c r="C7123" s="8">
        <v>220.66757200000001</v>
      </c>
      <c r="D7123" s="8">
        <v>155719.234375</v>
      </c>
      <c r="E7123" s="8">
        <v>155736.84375</v>
      </c>
      <c r="F7123" s="8">
        <f t="shared" si="222"/>
        <v>17.609375</v>
      </c>
      <c r="G7123" s="8">
        <f t="shared" si="223"/>
        <v>1.7609375E-2</v>
      </c>
    </row>
    <row r="7124" spans="1:7" x14ac:dyDescent="0.25">
      <c r="A7124" s="8">
        <v>95</v>
      </c>
      <c r="B7124" s="8">
        <v>61</v>
      </c>
      <c r="C7124" s="8">
        <v>3635.1455080000001</v>
      </c>
      <c r="D7124" s="8">
        <v>155969.21875</v>
      </c>
      <c r="E7124" s="8">
        <v>155986.5</v>
      </c>
      <c r="F7124" s="8">
        <f t="shared" si="222"/>
        <v>17.28125</v>
      </c>
      <c r="G7124" s="8">
        <f t="shared" si="223"/>
        <v>1.7281250000000001E-2</v>
      </c>
    </row>
    <row r="7125" spans="1:7" x14ac:dyDescent="0.25">
      <c r="A7125" s="8">
        <v>95</v>
      </c>
      <c r="B7125" s="8">
        <v>62</v>
      </c>
      <c r="C7125" s="8">
        <v>652.62512200000003</v>
      </c>
      <c r="D7125" s="8">
        <v>159626.875</v>
      </c>
      <c r="E7125" s="8">
        <v>159650.28125</v>
      </c>
      <c r="F7125" s="8">
        <f t="shared" si="222"/>
        <v>23.40625</v>
      </c>
      <c r="G7125" s="8">
        <f t="shared" si="223"/>
        <v>2.340625E-2</v>
      </c>
    </row>
    <row r="7126" spans="1:7" x14ac:dyDescent="0.25">
      <c r="A7126" s="8">
        <v>95</v>
      </c>
      <c r="B7126" s="8">
        <v>63</v>
      </c>
      <c r="C7126" s="8">
        <v>2844.1059570000002</v>
      </c>
      <c r="D7126" s="8">
        <v>160314.46875</v>
      </c>
      <c r="E7126" s="8">
        <v>160331.4375</v>
      </c>
      <c r="F7126" s="8">
        <f t="shared" si="222"/>
        <v>16.96875</v>
      </c>
      <c r="G7126" s="8">
        <f t="shared" si="223"/>
        <v>1.6968750000000001E-2</v>
      </c>
    </row>
    <row r="7127" spans="1:7" x14ac:dyDescent="0.25">
      <c r="A7127" s="8">
        <v>95</v>
      </c>
      <c r="B7127" s="8">
        <v>64</v>
      </c>
      <c r="C7127" s="8">
        <v>547.582764</v>
      </c>
      <c r="D7127" s="8">
        <v>163190.265625</v>
      </c>
      <c r="E7127" s="8">
        <v>163237.125</v>
      </c>
      <c r="F7127" s="8">
        <f t="shared" si="222"/>
        <v>46.859375</v>
      </c>
      <c r="G7127" s="8">
        <f t="shared" si="223"/>
        <v>4.6859375000000002E-2</v>
      </c>
    </row>
    <row r="7128" spans="1:7" x14ac:dyDescent="0.25">
      <c r="A7128" s="8">
        <v>95</v>
      </c>
      <c r="B7128" s="8">
        <v>65</v>
      </c>
      <c r="C7128" s="8">
        <v>1553.829956</v>
      </c>
      <c r="D7128" s="8">
        <v>163799.75</v>
      </c>
      <c r="E7128" s="8">
        <v>163814.59375</v>
      </c>
      <c r="F7128" s="8">
        <f t="shared" si="222"/>
        <v>14.84375</v>
      </c>
      <c r="G7128" s="8">
        <f t="shared" si="223"/>
        <v>1.4843749999999999E-2</v>
      </c>
    </row>
    <row r="7129" spans="1:7" x14ac:dyDescent="0.25">
      <c r="A7129" s="8">
        <v>95</v>
      </c>
      <c r="B7129" s="8">
        <v>66</v>
      </c>
      <c r="C7129" s="8">
        <v>970.64947500000005</v>
      </c>
      <c r="D7129" s="8">
        <v>165374.109375</v>
      </c>
      <c r="E7129" s="8">
        <v>165398.40625</v>
      </c>
      <c r="F7129" s="8">
        <f t="shared" si="222"/>
        <v>24.296875</v>
      </c>
      <c r="G7129" s="8">
        <f t="shared" si="223"/>
        <v>2.4296874999999999E-2</v>
      </c>
    </row>
    <row r="7130" spans="1:7" x14ac:dyDescent="0.25">
      <c r="A7130" s="8">
        <v>95</v>
      </c>
      <c r="B7130" s="8">
        <v>67</v>
      </c>
      <c r="C7130" s="8">
        <v>415.067474</v>
      </c>
      <c r="D7130" s="8">
        <v>166379.890625</v>
      </c>
      <c r="E7130" s="8">
        <v>166393.53125</v>
      </c>
      <c r="F7130" s="8">
        <f t="shared" si="222"/>
        <v>13.640625</v>
      </c>
      <c r="G7130" s="8">
        <f t="shared" si="223"/>
        <v>1.3640625E-2</v>
      </c>
    </row>
    <row r="7131" spans="1:7" x14ac:dyDescent="0.25">
      <c r="A7131" s="8">
        <v>95</v>
      </c>
      <c r="B7131" s="8">
        <v>68</v>
      </c>
      <c r="C7131" s="8">
        <v>1582.3054199999999</v>
      </c>
      <c r="D7131" s="8">
        <v>166817.671875</v>
      </c>
      <c r="E7131" s="8">
        <v>166825.53125</v>
      </c>
      <c r="F7131" s="8">
        <f t="shared" si="222"/>
        <v>7.859375</v>
      </c>
      <c r="G7131" s="8">
        <f t="shared" si="223"/>
        <v>7.859375E-3</v>
      </c>
    </row>
    <row r="7132" spans="1:7" x14ac:dyDescent="0.25">
      <c r="A7132" s="8">
        <v>95</v>
      </c>
      <c r="B7132" s="8">
        <v>69</v>
      </c>
      <c r="C7132" s="8">
        <v>822.65319799999997</v>
      </c>
      <c r="D7132" s="8">
        <v>168419.3125</v>
      </c>
      <c r="E7132" s="8">
        <v>168432.859375</v>
      </c>
      <c r="F7132" s="8">
        <f t="shared" si="222"/>
        <v>13.546875</v>
      </c>
      <c r="G7132" s="8">
        <f t="shared" si="223"/>
        <v>1.3546875E-2</v>
      </c>
    </row>
    <row r="7133" spans="1:7" x14ac:dyDescent="0.25">
      <c r="A7133" s="8">
        <v>95</v>
      </c>
      <c r="B7133" s="8">
        <v>70</v>
      </c>
      <c r="C7133" s="8">
        <v>841.62200900000005</v>
      </c>
      <c r="D7133" s="8">
        <v>169267.234375</v>
      </c>
      <c r="E7133" s="8">
        <v>169293.328125</v>
      </c>
      <c r="F7133" s="8">
        <f t="shared" si="222"/>
        <v>26.09375</v>
      </c>
      <c r="G7133" s="8">
        <f t="shared" si="223"/>
        <v>2.6093749999999999E-2</v>
      </c>
    </row>
    <row r="7134" spans="1:7" x14ac:dyDescent="0.25">
      <c r="A7134" s="8">
        <v>96</v>
      </c>
      <c r="B7134" s="8">
        <v>0</v>
      </c>
      <c r="C7134" s="8">
        <v>1793.116211</v>
      </c>
      <c r="D7134" s="8">
        <v>21500.576172000001</v>
      </c>
      <c r="E7134" s="8">
        <v>21530.433593999998</v>
      </c>
      <c r="F7134" s="8">
        <f t="shared" si="222"/>
        <v>29.857421999997314</v>
      </c>
      <c r="G7134" s="8">
        <f t="shared" si="223"/>
        <v>2.9857421999997313E-2</v>
      </c>
    </row>
    <row r="7135" spans="1:7" x14ac:dyDescent="0.25">
      <c r="A7135" s="8">
        <v>96</v>
      </c>
      <c r="B7135" s="8">
        <v>1</v>
      </c>
      <c r="C7135" s="8">
        <v>787.23620600000004</v>
      </c>
      <c r="D7135" s="8">
        <v>23331.646484000001</v>
      </c>
      <c r="E7135" s="8">
        <v>23351.929688</v>
      </c>
      <c r="F7135" s="8">
        <f t="shared" si="222"/>
        <v>20.283203999999387</v>
      </c>
      <c r="G7135" s="8">
        <f t="shared" si="223"/>
        <v>2.0283203999999385E-2</v>
      </c>
    </row>
    <row r="7136" spans="1:7" x14ac:dyDescent="0.25">
      <c r="A7136" s="8">
        <v>96</v>
      </c>
      <c r="B7136" s="8">
        <v>2</v>
      </c>
      <c r="C7136" s="8">
        <v>1837.1339109999999</v>
      </c>
      <c r="D7136" s="8">
        <v>24146.777343999998</v>
      </c>
      <c r="E7136" s="8">
        <v>24163.578125</v>
      </c>
      <c r="F7136" s="8">
        <f t="shared" si="222"/>
        <v>16.800781000001734</v>
      </c>
      <c r="G7136" s="8">
        <f t="shared" si="223"/>
        <v>1.6800781000001735E-2</v>
      </c>
    </row>
    <row r="7137" spans="1:7" x14ac:dyDescent="0.25">
      <c r="A7137" s="8">
        <v>96</v>
      </c>
      <c r="B7137" s="8">
        <v>3</v>
      </c>
      <c r="C7137" s="8">
        <v>43.999844000000003</v>
      </c>
      <c r="D7137" s="8">
        <v>26006.292968999998</v>
      </c>
      <c r="E7137" s="8">
        <v>26017.490234000001</v>
      </c>
      <c r="F7137" s="8">
        <f t="shared" si="222"/>
        <v>11.197265000002517</v>
      </c>
      <c r="G7137" s="8">
        <f t="shared" si="223"/>
        <v>1.1197265000002517E-2</v>
      </c>
    </row>
    <row r="7138" spans="1:7" x14ac:dyDescent="0.25">
      <c r="A7138" s="8">
        <v>96</v>
      </c>
      <c r="B7138" s="8">
        <v>4</v>
      </c>
      <c r="C7138" s="8">
        <v>1362.087769</v>
      </c>
      <c r="D7138" s="8">
        <v>26068.791015999999</v>
      </c>
      <c r="E7138" s="8">
        <v>26076.496093999998</v>
      </c>
      <c r="F7138" s="8">
        <f t="shared" si="222"/>
        <v>7.7050779999990482</v>
      </c>
      <c r="G7138" s="8">
        <f t="shared" si="223"/>
        <v>7.7050779999990483E-3</v>
      </c>
    </row>
    <row r="7139" spans="1:7" x14ac:dyDescent="0.25">
      <c r="A7139" s="8">
        <v>96</v>
      </c>
      <c r="B7139" s="8">
        <v>5</v>
      </c>
      <c r="C7139" s="8">
        <v>5700.40625</v>
      </c>
      <c r="D7139" s="8">
        <v>27446.275390999999</v>
      </c>
      <c r="E7139" s="8">
        <v>27467.84375</v>
      </c>
      <c r="F7139" s="8">
        <f t="shared" si="222"/>
        <v>21.568359000000783</v>
      </c>
      <c r="G7139" s="8">
        <f t="shared" si="223"/>
        <v>2.1568359000000783E-2</v>
      </c>
    </row>
    <row r="7140" spans="1:7" x14ac:dyDescent="0.25">
      <c r="A7140" s="8">
        <v>96</v>
      </c>
      <c r="B7140" s="8">
        <v>6</v>
      </c>
      <c r="C7140" s="8">
        <v>704.81420900000001</v>
      </c>
      <c r="D7140" s="8">
        <v>33176.367187999997</v>
      </c>
      <c r="E7140" s="8">
        <v>33191.082030999998</v>
      </c>
      <c r="F7140" s="8">
        <f t="shared" si="222"/>
        <v>14.714843000001565</v>
      </c>
      <c r="G7140" s="8">
        <f t="shared" si="223"/>
        <v>1.4714843000001565E-2</v>
      </c>
    </row>
    <row r="7141" spans="1:7" x14ac:dyDescent="0.25">
      <c r="A7141" s="8">
        <v>96</v>
      </c>
      <c r="B7141" s="8">
        <v>7</v>
      </c>
      <c r="C7141" s="8">
        <v>2799.3176269999999</v>
      </c>
      <c r="D7141" s="8">
        <v>33900.058594000002</v>
      </c>
      <c r="E7141" s="8">
        <v>33915</v>
      </c>
      <c r="F7141" s="8">
        <f t="shared" si="222"/>
        <v>14.941405999998096</v>
      </c>
      <c r="G7141" s="8">
        <f t="shared" si="223"/>
        <v>1.4941405999998096E-2</v>
      </c>
    </row>
    <row r="7142" spans="1:7" x14ac:dyDescent="0.25">
      <c r="A7142" s="8">
        <v>96</v>
      </c>
      <c r="B7142" s="8">
        <v>8</v>
      </c>
      <c r="C7142" s="8">
        <v>1242.932495</v>
      </c>
      <c r="D7142" s="8">
        <v>36722.207030999998</v>
      </c>
      <c r="E7142" s="8">
        <v>36750.324219000002</v>
      </c>
      <c r="F7142" s="8">
        <f t="shared" si="222"/>
        <v>28.117188000003807</v>
      </c>
      <c r="G7142" s="8">
        <f t="shared" si="223"/>
        <v>2.8117188000003807E-2</v>
      </c>
    </row>
    <row r="7143" spans="1:7" x14ac:dyDescent="0.25">
      <c r="A7143" s="8">
        <v>96</v>
      </c>
      <c r="B7143" s="8">
        <v>9</v>
      </c>
      <c r="C7143" s="8">
        <v>2252.6125489999999</v>
      </c>
      <c r="D7143" s="8">
        <v>37995.605469000002</v>
      </c>
      <c r="E7143" s="8">
        <v>38006.734375</v>
      </c>
      <c r="F7143" s="8">
        <f t="shared" si="222"/>
        <v>11.128905999998096</v>
      </c>
      <c r="G7143" s="8">
        <f t="shared" si="223"/>
        <v>1.1128905999998096E-2</v>
      </c>
    </row>
    <row r="7144" spans="1:7" x14ac:dyDescent="0.25">
      <c r="A7144" s="8">
        <v>96</v>
      </c>
      <c r="B7144" s="8">
        <v>10</v>
      </c>
      <c r="C7144" s="8">
        <v>3050.2211910000001</v>
      </c>
      <c r="D7144" s="8">
        <v>40261.753905999998</v>
      </c>
      <c r="E7144" s="8">
        <v>40272.140625</v>
      </c>
      <c r="F7144" s="8">
        <f t="shared" si="222"/>
        <v>10.386719000001904</v>
      </c>
      <c r="G7144" s="8">
        <f t="shared" si="223"/>
        <v>1.0386719000001904E-2</v>
      </c>
    </row>
    <row r="7145" spans="1:7" x14ac:dyDescent="0.25">
      <c r="A7145" s="8">
        <v>96</v>
      </c>
      <c r="B7145" s="8">
        <v>11</v>
      </c>
      <c r="C7145" s="8">
        <v>1076.223755</v>
      </c>
      <c r="D7145" s="8">
        <v>43334.246094000002</v>
      </c>
      <c r="E7145" s="8">
        <v>43347.15625</v>
      </c>
      <c r="F7145" s="8">
        <f t="shared" si="222"/>
        <v>12.910155999998096</v>
      </c>
      <c r="G7145" s="8">
        <f t="shared" si="223"/>
        <v>1.2910155999998096E-2</v>
      </c>
    </row>
    <row r="7146" spans="1:7" x14ac:dyDescent="0.25">
      <c r="A7146" s="8">
        <v>96</v>
      </c>
      <c r="B7146" s="8">
        <v>12</v>
      </c>
      <c r="C7146" s="8">
        <v>1754.2973629999999</v>
      </c>
      <c r="D7146" s="8">
        <v>44428.019530999998</v>
      </c>
      <c r="E7146" s="8">
        <v>44447.671875</v>
      </c>
      <c r="F7146" s="8">
        <f t="shared" si="222"/>
        <v>19.652344000001904</v>
      </c>
      <c r="G7146" s="8">
        <f t="shared" si="223"/>
        <v>1.9652344000001903E-2</v>
      </c>
    </row>
    <row r="7147" spans="1:7" x14ac:dyDescent="0.25">
      <c r="A7147" s="8">
        <v>96</v>
      </c>
      <c r="B7147" s="8">
        <v>13</v>
      </c>
      <c r="C7147" s="8">
        <v>1746.9738769999999</v>
      </c>
      <c r="D7147" s="8">
        <v>46202.101562999997</v>
      </c>
      <c r="E7147" s="8">
        <v>46228.097655999998</v>
      </c>
      <c r="F7147" s="8">
        <f t="shared" si="222"/>
        <v>25.996093000001565</v>
      </c>
      <c r="G7147" s="8">
        <f t="shared" si="223"/>
        <v>2.5996093000001566E-2</v>
      </c>
    </row>
    <row r="7148" spans="1:7" x14ac:dyDescent="0.25">
      <c r="A7148" s="8">
        <v>96</v>
      </c>
      <c r="B7148" s="8">
        <v>14</v>
      </c>
      <c r="C7148" s="8">
        <v>1203.6636960000001</v>
      </c>
      <c r="D7148" s="8">
        <v>47986.183594000002</v>
      </c>
      <c r="E7148" s="8">
        <v>48077.976562999997</v>
      </c>
      <c r="F7148" s="8">
        <f t="shared" si="222"/>
        <v>91.792968999994628</v>
      </c>
      <c r="G7148" s="8">
        <f t="shared" si="223"/>
        <v>9.1792968999994631E-2</v>
      </c>
    </row>
    <row r="7149" spans="1:7" x14ac:dyDescent="0.25">
      <c r="A7149" s="8">
        <v>96</v>
      </c>
      <c r="B7149" s="8">
        <v>15</v>
      </c>
      <c r="C7149" s="8">
        <v>2005.2008060000001</v>
      </c>
      <c r="D7149" s="8">
        <v>49295.492187999997</v>
      </c>
      <c r="E7149" s="8">
        <v>49310.960937999997</v>
      </c>
      <c r="F7149" s="8">
        <f t="shared" si="222"/>
        <v>15.46875</v>
      </c>
      <c r="G7149" s="8">
        <f t="shared" si="223"/>
        <v>1.546875E-2</v>
      </c>
    </row>
    <row r="7150" spans="1:7" x14ac:dyDescent="0.25">
      <c r="A7150" s="8">
        <v>96</v>
      </c>
      <c r="B7150" s="8">
        <v>16</v>
      </c>
      <c r="C7150" s="8">
        <v>134.23111</v>
      </c>
      <c r="D7150" s="8">
        <v>51319.066405999998</v>
      </c>
      <c r="E7150" s="8">
        <v>51333.933594000002</v>
      </c>
      <c r="F7150" s="8">
        <f t="shared" si="222"/>
        <v>14.867188000003807</v>
      </c>
      <c r="G7150" s="8">
        <f t="shared" si="223"/>
        <v>1.4867188000003808E-2</v>
      </c>
    </row>
    <row r="7151" spans="1:7" x14ac:dyDescent="0.25">
      <c r="A7151" s="8">
        <v>96</v>
      </c>
      <c r="B7151" s="8">
        <v>17</v>
      </c>
      <c r="C7151" s="8">
        <v>751.36877400000003</v>
      </c>
      <c r="D7151" s="8">
        <v>51474.757812999997</v>
      </c>
      <c r="E7151" s="8">
        <v>51482.894530999998</v>
      </c>
      <c r="F7151" s="8">
        <f t="shared" si="222"/>
        <v>8.1367180000015651</v>
      </c>
      <c r="G7151" s="8">
        <f t="shared" si="223"/>
        <v>8.1367180000015658E-3</v>
      </c>
    </row>
    <row r="7152" spans="1:7" x14ac:dyDescent="0.25">
      <c r="A7152" s="8">
        <v>96</v>
      </c>
      <c r="B7152" s="8">
        <v>18</v>
      </c>
      <c r="C7152" s="8">
        <v>71.706963000000002</v>
      </c>
      <c r="D7152" s="8">
        <v>52248.378905999998</v>
      </c>
      <c r="E7152" s="8">
        <v>52268.355469000002</v>
      </c>
      <c r="F7152" s="8">
        <f t="shared" si="222"/>
        <v>19.976563000003807</v>
      </c>
      <c r="G7152" s="8">
        <f t="shared" si="223"/>
        <v>1.9976563000003809E-2</v>
      </c>
    </row>
    <row r="7153" spans="1:7" x14ac:dyDescent="0.25">
      <c r="A7153" s="8">
        <v>96</v>
      </c>
      <c r="B7153" s="8">
        <v>19</v>
      </c>
      <c r="C7153" s="8">
        <v>2241.9108890000002</v>
      </c>
      <c r="D7153" s="8">
        <v>52342.175780999998</v>
      </c>
      <c r="E7153" s="8">
        <v>52359.394530999998</v>
      </c>
      <c r="F7153" s="8">
        <f t="shared" si="222"/>
        <v>17.21875</v>
      </c>
      <c r="G7153" s="8">
        <f t="shared" si="223"/>
        <v>1.7218750000000001E-2</v>
      </c>
    </row>
    <row r="7154" spans="1:7" x14ac:dyDescent="0.25">
      <c r="A7154" s="8">
        <v>96</v>
      </c>
      <c r="B7154" s="8">
        <v>20</v>
      </c>
      <c r="C7154" s="8">
        <v>512.57647699999995</v>
      </c>
      <c r="D7154" s="8">
        <v>54612.933594000002</v>
      </c>
      <c r="E7154" s="8">
        <v>54630.242187999997</v>
      </c>
      <c r="F7154" s="8">
        <f t="shared" si="222"/>
        <v>17.308593999994628</v>
      </c>
      <c r="G7154" s="8">
        <f t="shared" si="223"/>
        <v>1.7308593999994629E-2</v>
      </c>
    </row>
    <row r="7155" spans="1:7" x14ac:dyDescent="0.25">
      <c r="A7155" s="8">
        <v>96</v>
      </c>
      <c r="B7155" s="8">
        <v>21</v>
      </c>
      <c r="C7155" s="8">
        <v>29.638425999999999</v>
      </c>
      <c r="D7155" s="8">
        <v>55144.191405999998</v>
      </c>
      <c r="E7155" s="8">
        <v>55157.351562999997</v>
      </c>
      <c r="F7155" s="8">
        <f t="shared" si="222"/>
        <v>13.160156999998435</v>
      </c>
      <c r="G7155" s="8">
        <f t="shared" si="223"/>
        <v>1.3160156999998436E-2</v>
      </c>
    </row>
    <row r="7156" spans="1:7" x14ac:dyDescent="0.25">
      <c r="A7156" s="8">
        <v>96</v>
      </c>
      <c r="B7156" s="8">
        <v>22</v>
      </c>
      <c r="C7156" s="8">
        <v>613.09277299999997</v>
      </c>
      <c r="D7156" s="8">
        <v>55191.121094000002</v>
      </c>
      <c r="E7156" s="8">
        <v>55201.777344000002</v>
      </c>
      <c r="F7156" s="8">
        <f t="shared" si="222"/>
        <v>10.65625</v>
      </c>
      <c r="G7156" s="8">
        <f t="shared" si="223"/>
        <v>1.0656250000000001E-2</v>
      </c>
    </row>
    <row r="7157" spans="1:7" x14ac:dyDescent="0.25">
      <c r="A7157" s="8">
        <v>96</v>
      </c>
      <c r="B7157" s="8">
        <v>23</v>
      </c>
      <c r="C7157" s="8">
        <v>776.04840100000001</v>
      </c>
      <c r="D7157" s="8">
        <v>55816.1875</v>
      </c>
      <c r="E7157" s="8">
        <v>55833.484375</v>
      </c>
      <c r="F7157" s="8">
        <f t="shared" si="222"/>
        <v>17.296875</v>
      </c>
      <c r="G7157" s="8">
        <f t="shared" si="223"/>
        <v>1.7296875E-2</v>
      </c>
    </row>
    <row r="7158" spans="1:7" x14ac:dyDescent="0.25">
      <c r="A7158" s="8">
        <v>96</v>
      </c>
      <c r="B7158" s="8">
        <v>24</v>
      </c>
      <c r="C7158" s="8">
        <v>656.09613000000002</v>
      </c>
      <c r="D7158" s="8">
        <v>56613.152344000002</v>
      </c>
      <c r="E7158" s="8">
        <v>56621.804687999997</v>
      </c>
      <c r="F7158" s="8">
        <f t="shared" si="222"/>
        <v>8.6523439999946277</v>
      </c>
      <c r="G7158" s="8">
        <f t="shared" si="223"/>
        <v>8.6523439999946269E-3</v>
      </c>
    </row>
    <row r="7159" spans="1:7" x14ac:dyDescent="0.25">
      <c r="A7159" s="8">
        <v>96</v>
      </c>
      <c r="B7159" s="8">
        <v>25</v>
      </c>
      <c r="C7159" s="8">
        <v>4091.6047359999998</v>
      </c>
      <c r="D7159" s="8">
        <v>57285.699219000002</v>
      </c>
      <c r="E7159" s="8">
        <v>57301.875</v>
      </c>
      <c r="F7159" s="8">
        <f t="shared" si="222"/>
        <v>16.175780999998096</v>
      </c>
      <c r="G7159" s="8">
        <f t="shared" si="223"/>
        <v>1.6175780999998095E-2</v>
      </c>
    </row>
    <row r="7160" spans="1:7" x14ac:dyDescent="0.25">
      <c r="A7160" s="8">
        <v>96</v>
      </c>
      <c r="B7160" s="8">
        <v>26</v>
      </c>
      <c r="C7160" s="8">
        <v>1979.2532960000001</v>
      </c>
      <c r="D7160" s="8">
        <v>61403.828125</v>
      </c>
      <c r="E7160" s="8">
        <v>61450.699219000002</v>
      </c>
      <c r="F7160" s="8">
        <f t="shared" si="222"/>
        <v>46.871094000001904</v>
      </c>
      <c r="G7160" s="8">
        <f t="shared" si="223"/>
        <v>4.6871094000001903E-2</v>
      </c>
    </row>
    <row r="7161" spans="1:7" x14ac:dyDescent="0.25">
      <c r="A7161" s="8">
        <v>96</v>
      </c>
      <c r="B7161" s="8">
        <v>27</v>
      </c>
      <c r="C7161" s="8">
        <v>1326.940308</v>
      </c>
      <c r="D7161" s="8">
        <v>63430.59375</v>
      </c>
      <c r="E7161" s="8">
        <v>63451.515625</v>
      </c>
      <c r="F7161" s="8">
        <f t="shared" si="222"/>
        <v>20.921875</v>
      </c>
      <c r="G7161" s="8">
        <f t="shared" si="223"/>
        <v>2.0921875E-2</v>
      </c>
    </row>
    <row r="7162" spans="1:7" x14ac:dyDescent="0.25">
      <c r="A7162" s="8">
        <v>96</v>
      </c>
      <c r="B7162" s="8">
        <v>28</v>
      </c>
      <c r="C7162" s="8">
        <v>3979.1513669999999</v>
      </c>
      <c r="D7162" s="8">
        <v>64777.804687999997</v>
      </c>
      <c r="E7162" s="8">
        <v>64789.804687999997</v>
      </c>
      <c r="F7162" s="8">
        <f t="shared" si="222"/>
        <v>12</v>
      </c>
      <c r="G7162" s="8">
        <f t="shared" si="223"/>
        <v>1.2E-2</v>
      </c>
    </row>
    <row r="7163" spans="1:7" x14ac:dyDescent="0.25">
      <c r="A7163" s="8">
        <v>96</v>
      </c>
      <c r="B7163" s="8">
        <v>29</v>
      </c>
      <c r="C7163" s="8">
        <v>937.31133999999997</v>
      </c>
      <c r="D7163" s="8">
        <v>68779.710938000004</v>
      </c>
      <c r="E7163" s="8">
        <v>68789.289063000004</v>
      </c>
      <c r="F7163" s="8">
        <f t="shared" si="222"/>
        <v>9.578125</v>
      </c>
      <c r="G7163" s="8">
        <f t="shared" si="223"/>
        <v>9.5781249999999998E-3</v>
      </c>
    </row>
    <row r="7164" spans="1:7" x14ac:dyDescent="0.25">
      <c r="A7164" s="8">
        <v>96</v>
      </c>
      <c r="B7164" s="8">
        <v>30</v>
      </c>
      <c r="C7164" s="8">
        <v>5367.6787109999996</v>
      </c>
      <c r="D7164" s="8">
        <v>69733.320313000004</v>
      </c>
      <c r="E7164" s="8">
        <v>69750.875</v>
      </c>
      <c r="F7164" s="8">
        <f t="shared" si="222"/>
        <v>17.554686999996193</v>
      </c>
      <c r="G7164" s="8">
        <f t="shared" si="223"/>
        <v>1.7554686999996193E-2</v>
      </c>
    </row>
    <row r="7165" spans="1:7" x14ac:dyDescent="0.25">
      <c r="A7165" s="8">
        <v>96</v>
      </c>
      <c r="B7165" s="8">
        <v>31</v>
      </c>
      <c r="C7165" s="8">
        <v>1037.912231</v>
      </c>
      <c r="D7165" s="8">
        <v>75118.921875</v>
      </c>
      <c r="E7165" s="8">
        <v>75128.257813000004</v>
      </c>
      <c r="F7165" s="8">
        <f t="shared" si="222"/>
        <v>9.3359380000038072</v>
      </c>
      <c r="G7165" s="8">
        <f t="shared" si="223"/>
        <v>9.3359380000038079E-3</v>
      </c>
    </row>
    <row r="7166" spans="1:7" x14ac:dyDescent="0.25">
      <c r="A7166" s="8">
        <v>96</v>
      </c>
      <c r="B7166" s="8">
        <v>32</v>
      </c>
      <c r="C7166" s="8">
        <v>3204.4016109999998</v>
      </c>
      <c r="D7166" s="8">
        <v>76178.765625</v>
      </c>
      <c r="E7166" s="8">
        <v>76194.226563000004</v>
      </c>
      <c r="F7166" s="8">
        <f t="shared" si="222"/>
        <v>15.460938000003807</v>
      </c>
      <c r="G7166" s="8">
        <f t="shared" si="223"/>
        <v>1.5460938000003806E-2</v>
      </c>
    </row>
    <row r="7167" spans="1:7" x14ac:dyDescent="0.25">
      <c r="A7167" s="8">
        <v>96</v>
      </c>
      <c r="B7167" s="8">
        <v>33</v>
      </c>
      <c r="C7167" s="8">
        <v>5222.0815430000002</v>
      </c>
      <c r="D7167" s="8">
        <v>79410.28125</v>
      </c>
      <c r="E7167" s="8">
        <v>79424.632813000004</v>
      </c>
      <c r="F7167" s="8">
        <f t="shared" si="222"/>
        <v>14.351563000003807</v>
      </c>
      <c r="G7167" s="8">
        <f t="shared" si="223"/>
        <v>1.4351563000003807E-2</v>
      </c>
    </row>
    <row r="7168" spans="1:7" x14ac:dyDescent="0.25">
      <c r="A7168" s="8">
        <v>96</v>
      </c>
      <c r="B7168" s="8">
        <v>34</v>
      </c>
      <c r="C7168" s="8">
        <v>4077.0214839999999</v>
      </c>
      <c r="D7168" s="8">
        <v>84657.242188000004</v>
      </c>
      <c r="E7168" s="8">
        <v>84668.257813000004</v>
      </c>
      <c r="F7168" s="8">
        <f t="shared" si="222"/>
        <v>11.015625</v>
      </c>
      <c r="G7168" s="8">
        <f t="shared" si="223"/>
        <v>1.1015624999999999E-2</v>
      </c>
    </row>
    <row r="7169" spans="1:7" x14ac:dyDescent="0.25">
      <c r="A7169" s="8">
        <v>96</v>
      </c>
      <c r="B7169" s="8">
        <v>35</v>
      </c>
      <c r="C7169" s="8">
        <v>3170.7517090000001</v>
      </c>
      <c r="D7169" s="8">
        <v>88755.875</v>
      </c>
      <c r="E7169" s="8">
        <v>88780.320313000004</v>
      </c>
      <c r="F7169" s="8">
        <f t="shared" si="222"/>
        <v>24.445313000003807</v>
      </c>
      <c r="G7169" s="8">
        <f t="shared" si="223"/>
        <v>2.4445313000003806E-2</v>
      </c>
    </row>
    <row r="7170" spans="1:7" x14ac:dyDescent="0.25">
      <c r="A7170" s="8">
        <v>96</v>
      </c>
      <c r="B7170" s="8">
        <v>36</v>
      </c>
      <c r="C7170" s="8">
        <v>88.861877000000007</v>
      </c>
      <c r="D7170" s="8">
        <v>91964.320313000004</v>
      </c>
      <c r="E7170" s="8">
        <v>91981.351563000004</v>
      </c>
      <c r="F7170" s="8">
        <f t="shared" si="222"/>
        <v>17.03125</v>
      </c>
      <c r="G7170" s="8">
        <f t="shared" si="223"/>
        <v>1.7031250000000001E-2</v>
      </c>
    </row>
    <row r="7171" spans="1:7" x14ac:dyDescent="0.25">
      <c r="A7171" s="8">
        <v>96</v>
      </c>
      <c r="B7171" s="8">
        <v>37</v>
      </c>
      <c r="C7171" s="8">
        <v>3885.4216310000002</v>
      </c>
      <c r="D7171" s="8">
        <v>92073.789063000004</v>
      </c>
      <c r="E7171" s="8">
        <v>92099.640625</v>
      </c>
      <c r="F7171" s="8">
        <f t="shared" si="222"/>
        <v>25.851561999996193</v>
      </c>
      <c r="G7171" s="8">
        <f t="shared" si="223"/>
        <v>2.5851561999996192E-2</v>
      </c>
    </row>
    <row r="7172" spans="1:7" x14ac:dyDescent="0.25">
      <c r="A7172" s="8">
        <v>96</v>
      </c>
      <c r="B7172" s="8">
        <v>38</v>
      </c>
      <c r="C7172" s="8">
        <v>855.89733899999999</v>
      </c>
      <c r="D7172" s="8">
        <v>95990.890625</v>
      </c>
      <c r="E7172" s="8">
        <v>96002.164063000004</v>
      </c>
      <c r="F7172" s="8">
        <f t="shared" si="222"/>
        <v>11.273438000003807</v>
      </c>
      <c r="G7172" s="8">
        <f t="shared" si="223"/>
        <v>1.1273438000003808E-2</v>
      </c>
    </row>
    <row r="7173" spans="1:7" x14ac:dyDescent="0.25">
      <c r="A7173" s="8">
        <v>96</v>
      </c>
      <c r="B7173" s="8">
        <v>39</v>
      </c>
      <c r="C7173" s="8">
        <v>2875.7312010000001</v>
      </c>
      <c r="D7173" s="8">
        <v>96868.578125</v>
      </c>
      <c r="E7173" s="8">
        <v>96886.179688000004</v>
      </c>
      <c r="F7173" s="8">
        <f t="shared" si="222"/>
        <v>17.601563000003807</v>
      </c>
      <c r="G7173" s="8">
        <f t="shared" si="223"/>
        <v>1.7601563000003807E-2</v>
      </c>
    </row>
    <row r="7174" spans="1:7" x14ac:dyDescent="0.25">
      <c r="A7174" s="8">
        <v>96</v>
      </c>
      <c r="B7174" s="8">
        <v>40</v>
      </c>
      <c r="C7174" s="8">
        <v>731.560608</v>
      </c>
      <c r="D7174" s="8">
        <v>99776.359375</v>
      </c>
      <c r="E7174" s="8">
        <v>99797.273438000004</v>
      </c>
      <c r="F7174" s="8">
        <f t="shared" si="222"/>
        <v>20.914063000003807</v>
      </c>
      <c r="G7174" s="8">
        <f t="shared" si="223"/>
        <v>2.0914063000003806E-2</v>
      </c>
    </row>
    <row r="7175" spans="1:7" x14ac:dyDescent="0.25">
      <c r="A7175" s="8">
        <v>96</v>
      </c>
      <c r="B7175" s="8">
        <v>41</v>
      </c>
      <c r="C7175" s="8">
        <v>1207.790405</v>
      </c>
      <c r="D7175" s="8">
        <v>100542.085938</v>
      </c>
      <c r="E7175" s="8">
        <v>100568.15625</v>
      </c>
      <c r="F7175" s="8">
        <f t="shared" si="222"/>
        <v>26.070311999996193</v>
      </c>
      <c r="G7175" s="8">
        <f t="shared" si="223"/>
        <v>2.6070311999996192E-2</v>
      </c>
    </row>
    <row r="7176" spans="1:7" x14ac:dyDescent="0.25">
      <c r="A7176" s="8">
        <v>96</v>
      </c>
      <c r="B7176" s="8">
        <v>42</v>
      </c>
      <c r="C7176" s="8">
        <v>2852.727539</v>
      </c>
      <c r="D7176" s="8">
        <v>101776.171875</v>
      </c>
      <c r="E7176" s="8">
        <v>101784.070313</v>
      </c>
      <c r="F7176" s="8">
        <f t="shared" si="222"/>
        <v>7.8984380000038072</v>
      </c>
      <c r="G7176" s="8">
        <f t="shared" si="223"/>
        <v>7.8984380000038067E-3</v>
      </c>
    </row>
    <row r="7177" spans="1:7" x14ac:dyDescent="0.25">
      <c r="A7177" s="8">
        <v>96</v>
      </c>
      <c r="B7177" s="8">
        <v>43</v>
      </c>
      <c r="C7177" s="8">
        <v>3800.7817380000001</v>
      </c>
      <c r="D7177" s="8">
        <v>104644.023438</v>
      </c>
      <c r="E7177" s="8">
        <v>104651.976563</v>
      </c>
      <c r="F7177" s="8">
        <f t="shared" si="222"/>
        <v>7.953125</v>
      </c>
      <c r="G7177" s="8">
        <f t="shared" si="223"/>
        <v>7.9531250000000001E-3</v>
      </c>
    </row>
    <row r="7178" spans="1:7" x14ac:dyDescent="0.25">
      <c r="A7178" s="8">
        <v>96</v>
      </c>
      <c r="B7178" s="8">
        <v>44</v>
      </c>
      <c r="C7178" s="8">
        <v>687.00793499999997</v>
      </c>
      <c r="D7178" s="8">
        <v>108454.328125</v>
      </c>
      <c r="E7178" s="8">
        <v>108471.234375</v>
      </c>
      <c r="F7178" s="8">
        <f t="shared" si="222"/>
        <v>16.90625</v>
      </c>
      <c r="G7178" s="8">
        <f t="shared" si="223"/>
        <v>1.6906250000000001E-2</v>
      </c>
    </row>
    <row r="7179" spans="1:7" x14ac:dyDescent="0.25">
      <c r="A7179" s="8">
        <v>96</v>
      </c>
      <c r="B7179" s="8">
        <v>45</v>
      </c>
      <c r="C7179" s="8">
        <v>222.372299</v>
      </c>
      <c r="D7179" s="8">
        <v>109173.117188</v>
      </c>
      <c r="E7179" s="8">
        <v>109180.71875</v>
      </c>
      <c r="F7179" s="8">
        <f t="shared" ref="F7179:F7242" si="224">E7179-D7179</f>
        <v>7.6015619999961928</v>
      </c>
      <c r="G7179" s="8">
        <f t="shared" ref="G7179:G7242" si="225">F7179/1000</f>
        <v>7.6015619999961924E-3</v>
      </c>
    </row>
    <row r="7180" spans="1:7" x14ac:dyDescent="0.25">
      <c r="A7180" s="8">
        <v>96</v>
      </c>
      <c r="B7180" s="8">
        <v>46</v>
      </c>
      <c r="C7180" s="8">
        <v>5625.8247069999998</v>
      </c>
      <c r="D7180" s="8">
        <v>109407.578125</v>
      </c>
      <c r="E7180" s="8">
        <v>109415.429688</v>
      </c>
      <c r="F7180" s="8">
        <f t="shared" si="224"/>
        <v>7.8515630000038072</v>
      </c>
      <c r="G7180" s="8">
        <f t="shared" si="225"/>
        <v>7.8515630000038066E-3</v>
      </c>
    </row>
    <row r="7181" spans="1:7" x14ac:dyDescent="0.25">
      <c r="A7181" s="8">
        <v>96</v>
      </c>
      <c r="B7181" s="8">
        <v>47</v>
      </c>
      <c r="C7181" s="8">
        <v>99.995804000000007</v>
      </c>
      <c r="D7181" s="8">
        <v>115051.789063</v>
      </c>
      <c r="E7181" s="8">
        <v>115070.195313</v>
      </c>
      <c r="F7181" s="8">
        <f t="shared" si="224"/>
        <v>18.40625</v>
      </c>
      <c r="G7181" s="8">
        <f t="shared" si="225"/>
        <v>1.8406249999999999E-2</v>
      </c>
    </row>
    <row r="7182" spans="1:7" x14ac:dyDescent="0.25">
      <c r="A7182" s="8">
        <v>96</v>
      </c>
      <c r="B7182" s="8">
        <v>48</v>
      </c>
      <c r="C7182" s="8">
        <v>81.918732000000006</v>
      </c>
      <c r="D7182" s="8">
        <v>115176.804688</v>
      </c>
      <c r="E7182" s="8">
        <v>115187.929688</v>
      </c>
      <c r="F7182" s="8">
        <f t="shared" si="224"/>
        <v>11.125</v>
      </c>
      <c r="G7182" s="8">
        <f t="shared" si="225"/>
        <v>1.1124999999999999E-2</v>
      </c>
    </row>
    <row r="7183" spans="1:7" x14ac:dyDescent="0.25">
      <c r="A7183" s="8">
        <v>96</v>
      </c>
      <c r="B7183" s="8">
        <v>49</v>
      </c>
      <c r="C7183" s="8">
        <v>307.02001999999999</v>
      </c>
      <c r="D7183" s="8">
        <v>115270.5625</v>
      </c>
      <c r="E7183" s="8">
        <v>115290.96875</v>
      </c>
      <c r="F7183" s="8">
        <f t="shared" si="224"/>
        <v>20.40625</v>
      </c>
      <c r="G7183" s="8">
        <f t="shared" si="225"/>
        <v>2.0406250000000001E-2</v>
      </c>
    </row>
    <row r="7184" spans="1:7" x14ac:dyDescent="0.25">
      <c r="A7184" s="8">
        <v>96</v>
      </c>
      <c r="B7184" s="8">
        <v>50</v>
      </c>
      <c r="C7184" s="8">
        <v>35.407874999999997</v>
      </c>
      <c r="D7184" s="8">
        <v>115598.71875</v>
      </c>
      <c r="E7184" s="8">
        <v>115606.414063</v>
      </c>
      <c r="F7184" s="8">
        <f t="shared" si="224"/>
        <v>7.6953130000038072</v>
      </c>
      <c r="G7184" s="8">
        <f t="shared" si="225"/>
        <v>7.6953130000038074E-3</v>
      </c>
    </row>
    <row r="7185" spans="1:7" x14ac:dyDescent="0.25">
      <c r="A7185" s="8">
        <v>96</v>
      </c>
      <c r="B7185" s="8">
        <v>51</v>
      </c>
      <c r="C7185" s="8">
        <v>243.424789</v>
      </c>
      <c r="D7185" s="8">
        <v>115645.5625</v>
      </c>
      <c r="E7185" s="8">
        <v>115659.484375</v>
      </c>
      <c r="F7185" s="8">
        <f t="shared" si="224"/>
        <v>13.921875</v>
      </c>
      <c r="G7185" s="8">
        <f t="shared" si="225"/>
        <v>1.3921875E-2</v>
      </c>
    </row>
    <row r="7186" spans="1:7" x14ac:dyDescent="0.25">
      <c r="A7186" s="8">
        <v>96</v>
      </c>
      <c r="B7186" s="8">
        <v>52</v>
      </c>
      <c r="C7186" s="8">
        <v>864.71881099999996</v>
      </c>
      <c r="D7186" s="8">
        <v>115911.34375</v>
      </c>
      <c r="E7186" s="8">
        <v>115921.789063</v>
      </c>
      <c r="F7186" s="8">
        <f t="shared" si="224"/>
        <v>10.445313000003807</v>
      </c>
      <c r="G7186" s="8">
        <f t="shared" si="225"/>
        <v>1.0445313000003807E-2</v>
      </c>
    </row>
    <row r="7187" spans="1:7" x14ac:dyDescent="0.25">
      <c r="A7187" s="8">
        <v>96</v>
      </c>
      <c r="B7187" s="8">
        <v>53</v>
      </c>
      <c r="C7187" s="8">
        <v>1276.3907469999999</v>
      </c>
      <c r="D7187" s="8">
        <v>116786.375</v>
      </c>
      <c r="E7187" s="8">
        <v>116803.476563</v>
      </c>
      <c r="F7187" s="8">
        <f t="shared" si="224"/>
        <v>17.101563000003807</v>
      </c>
      <c r="G7187" s="8">
        <f t="shared" si="225"/>
        <v>1.7101563000003806E-2</v>
      </c>
    </row>
    <row r="7188" spans="1:7" x14ac:dyDescent="0.25">
      <c r="A7188" s="8">
        <v>96</v>
      </c>
      <c r="B7188" s="8">
        <v>54</v>
      </c>
      <c r="C7188" s="8">
        <v>4274.4033200000003</v>
      </c>
      <c r="D7188" s="8">
        <v>118088.054688</v>
      </c>
      <c r="E7188" s="8">
        <v>118114.960938</v>
      </c>
      <c r="F7188" s="8">
        <f t="shared" si="224"/>
        <v>26.90625</v>
      </c>
      <c r="G7188" s="8">
        <f t="shared" si="225"/>
        <v>2.690625E-2</v>
      </c>
    </row>
    <row r="7189" spans="1:7" x14ac:dyDescent="0.25">
      <c r="A7189" s="8">
        <v>96</v>
      </c>
      <c r="B7189" s="8">
        <v>55</v>
      </c>
      <c r="C7189" s="8">
        <v>97.046295000000001</v>
      </c>
      <c r="D7189" s="8">
        <v>122392.75</v>
      </c>
      <c r="E7189" s="8">
        <v>122407.445313</v>
      </c>
      <c r="F7189" s="8">
        <f t="shared" si="224"/>
        <v>14.695313000003807</v>
      </c>
      <c r="G7189" s="8">
        <f t="shared" si="225"/>
        <v>1.4695313000003807E-2</v>
      </c>
    </row>
    <row r="7190" spans="1:7" x14ac:dyDescent="0.25">
      <c r="A7190" s="8">
        <v>96</v>
      </c>
      <c r="B7190" s="8">
        <v>56</v>
      </c>
      <c r="C7190" s="8">
        <v>2565.374268</v>
      </c>
      <c r="D7190" s="8">
        <v>122517.742188</v>
      </c>
      <c r="E7190" s="8">
        <v>122537.304688</v>
      </c>
      <c r="F7190" s="8">
        <f t="shared" si="224"/>
        <v>19.5625</v>
      </c>
      <c r="G7190" s="8">
        <f t="shared" si="225"/>
        <v>1.95625E-2</v>
      </c>
    </row>
    <row r="7191" spans="1:7" x14ac:dyDescent="0.25">
      <c r="A7191" s="8">
        <v>96</v>
      </c>
      <c r="B7191" s="8">
        <v>57</v>
      </c>
      <c r="C7191" s="8">
        <v>1846.0241699999999</v>
      </c>
      <c r="D7191" s="8">
        <v>125111.492188</v>
      </c>
      <c r="E7191" s="8">
        <v>125129.453125</v>
      </c>
      <c r="F7191" s="8">
        <f t="shared" si="224"/>
        <v>17.960936999996193</v>
      </c>
      <c r="G7191" s="8">
        <f t="shared" si="225"/>
        <v>1.7960936999996194E-2</v>
      </c>
    </row>
    <row r="7192" spans="1:7" x14ac:dyDescent="0.25">
      <c r="A7192" s="8">
        <v>96</v>
      </c>
      <c r="B7192" s="8">
        <v>58</v>
      </c>
      <c r="C7192" s="8">
        <v>1321.9693600000001</v>
      </c>
      <c r="D7192" s="8">
        <v>126987.359375</v>
      </c>
      <c r="E7192" s="8">
        <v>126996.742188</v>
      </c>
      <c r="F7192" s="8">
        <f t="shared" si="224"/>
        <v>9.3828130000038072</v>
      </c>
      <c r="G7192" s="8">
        <f t="shared" si="225"/>
        <v>9.382813000003808E-3</v>
      </c>
    </row>
    <row r="7193" spans="1:7" x14ac:dyDescent="0.25">
      <c r="A7193" s="8">
        <v>96</v>
      </c>
      <c r="B7193" s="8">
        <v>59</v>
      </c>
      <c r="C7193" s="8">
        <v>127.38911400000001</v>
      </c>
      <c r="D7193" s="8">
        <v>128332.5625</v>
      </c>
      <c r="E7193" s="8">
        <v>128363.046875</v>
      </c>
      <c r="F7193" s="8">
        <f t="shared" si="224"/>
        <v>30.484375</v>
      </c>
      <c r="G7193" s="8">
        <f t="shared" si="225"/>
        <v>3.0484375000000001E-2</v>
      </c>
    </row>
    <row r="7194" spans="1:7" x14ac:dyDescent="0.25">
      <c r="A7194" s="8">
        <v>96</v>
      </c>
      <c r="B7194" s="8">
        <v>60</v>
      </c>
      <c r="C7194" s="8">
        <v>3358.335693</v>
      </c>
      <c r="D7194" s="8">
        <v>128504.476563</v>
      </c>
      <c r="E7194" s="8">
        <v>128513.320313</v>
      </c>
      <c r="F7194" s="8">
        <f t="shared" si="224"/>
        <v>8.84375</v>
      </c>
      <c r="G7194" s="8">
        <f t="shared" si="225"/>
        <v>8.8437499999999992E-3</v>
      </c>
    </row>
    <row r="7195" spans="1:7" x14ac:dyDescent="0.25">
      <c r="A7195" s="8">
        <v>96</v>
      </c>
      <c r="B7195" s="8">
        <v>61</v>
      </c>
      <c r="C7195" s="8">
        <v>333.453552</v>
      </c>
      <c r="D7195" s="8">
        <v>131873.921875</v>
      </c>
      <c r="E7195" s="8">
        <v>131881.390625</v>
      </c>
      <c r="F7195" s="8">
        <f t="shared" si="224"/>
        <v>7.46875</v>
      </c>
      <c r="G7195" s="8">
        <f t="shared" si="225"/>
        <v>7.4687499999999997E-3</v>
      </c>
    </row>
    <row r="7196" spans="1:7" x14ac:dyDescent="0.25">
      <c r="A7196" s="8">
        <v>96</v>
      </c>
      <c r="B7196" s="8">
        <v>62</v>
      </c>
      <c r="C7196" s="8">
        <v>2325.8500979999999</v>
      </c>
      <c r="D7196" s="8">
        <v>132217.671875</v>
      </c>
      <c r="E7196" s="8">
        <v>132240.625</v>
      </c>
      <c r="F7196" s="8">
        <f t="shared" si="224"/>
        <v>22.953125</v>
      </c>
      <c r="G7196" s="8">
        <f t="shared" si="225"/>
        <v>2.2953125000000001E-2</v>
      </c>
    </row>
    <row r="7197" spans="1:7" x14ac:dyDescent="0.25">
      <c r="A7197" s="8">
        <v>96</v>
      </c>
      <c r="B7197" s="8">
        <v>63</v>
      </c>
      <c r="C7197" s="8">
        <v>4653.7924800000001</v>
      </c>
      <c r="D7197" s="8">
        <v>134566.3125</v>
      </c>
      <c r="E7197" s="8">
        <v>134579.640625</v>
      </c>
      <c r="F7197" s="8">
        <f t="shared" si="224"/>
        <v>13.328125</v>
      </c>
      <c r="G7197" s="8">
        <f t="shared" si="225"/>
        <v>1.3328125E-2</v>
      </c>
    </row>
    <row r="7198" spans="1:7" x14ac:dyDescent="0.25">
      <c r="A7198" s="8">
        <v>96</v>
      </c>
      <c r="B7198" s="8">
        <v>64</v>
      </c>
      <c r="C7198" s="8">
        <v>4096.8051759999998</v>
      </c>
      <c r="D7198" s="8">
        <v>139240.703125</v>
      </c>
      <c r="E7198" s="8">
        <v>139251.421875</v>
      </c>
      <c r="F7198" s="8">
        <f t="shared" si="224"/>
        <v>10.71875</v>
      </c>
      <c r="G7198" s="8">
        <f t="shared" si="225"/>
        <v>1.0718750000000001E-2</v>
      </c>
    </row>
    <row r="7199" spans="1:7" x14ac:dyDescent="0.25">
      <c r="A7199" s="8">
        <v>96</v>
      </c>
      <c r="B7199" s="8">
        <v>65</v>
      </c>
      <c r="C7199" s="8">
        <v>1143.7348629999999</v>
      </c>
      <c r="D7199" s="8">
        <v>143358.984375</v>
      </c>
      <c r="E7199" s="8">
        <v>143382.828125</v>
      </c>
      <c r="F7199" s="8">
        <f t="shared" si="224"/>
        <v>23.84375</v>
      </c>
      <c r="G7199" s="8">
        <f t="shared" si="225"/>
        <v>2.384375E-2</v>
      </c>
    </row>
    <row r="7200" spans="1:7" x14ac:dyDescent="0.25">
      <c r="A7200" s="8">
        <v>96</v>
      </c>
      <c r="B7200" s="8">
        <v>66</v>
      </c>
      <c r="C7200" s="8">
        <v>4556.1528319999998</v>
      </c>
      <c r="D7200" s="8">
        <v>144541.21875</v>
      </c>
      <c r="E7200" s="8">
        <v>144548.8125</v>
      </c>
      <c r="F7200" s="8">
        <f t="shared" si="224"/>
        <v>7.59375</v>
      </c>
      <c r="G7200" s="8">
        <f t="shared" si="225"/>
        <v>7.5937499999999998E-3</v>
      </c>
    </row>
    <row r="7201" spans="1:7" x14ac:dyDescent="0.25">
      <c r="A7201" s="8">
        <v>96</v>
      </c>
      <c r="B7201" s="8">
        <v>67</v>
      </c>
      <c r="C7201" s="8">
        <v>3723.1096189999998</v>
      </c>
      <c r="D7201" s="8">
        <v>149119.171875</v>
      </c>
      <c r="E7201" s="8">
        <v>149139.578125</v>
      </c>
      <c r="F7201" s="8">
        <f t="shared" si="224"/>
        <v>20.40625</v>
      </c>
      <c r="G7201" s="8">
        <f t="shared" si="225"/>
        <v>2.0406250000000001E-2</v>
      </c>
    </row>
    <row r="7202" spans="1:7" x14ac:dyDescent="0.25">
      <c r="A7202" s="8">
        <v>96</v>
      </c>
      <c r="B7202" s="8">
        <v>68</v>
      </c>
      <c r="C7202" s="8">
        <v>225.102814</v>
      </c>
      <c r="D7202" s="8">
        <v>152874.96875</v>
      </c>
      <c r="E7202" s="8">
        <v>152896.078125</v>
      </c>
      <c r="F7202" s="8">
        <f t="shared" si="224"/>
        <v>21.109375</v>
      </c>
      <c r="G7202" s="8">
        <f t="shared" si="225"/>
        <v>2.1109375E-2</v>
      </c>
    </row>
    <row r="7203" spans="1:7" x14ac:dyDescent="0.25">
      <c r="A7203" s="8">
        <v>96</v>
      </c>
      <c r="B7203" s="8">
        <v>69</v>
      </c>
      <c r="C7203" s="8">
        <v>460.03704800000003</v>
      </c>
      <c r="D7203" s="8">
        <v>153125.125</v>
      </c>
      <c r="E7203" s="8">
        <v>153133.765625</v>
      </c>
      <c r="F7203" s="8">
        <f t="shared" si="224"/>
        <v>8.640625</v>
      </c>
      <c r="G7203" s="8">
        <f t="shared" si="225"/>
        <v>8.6406250000000007E-3</v>
      </c>
    </row>
    <row r="7204" spans="1:7" x14ac:dyDescent="0.25">
      <c r="A7204" s="8">
        <v>96</v>
      </c>
      <c r="B7204" s="8">
        <v>70</v>
      </c>
      <c r="C7204" s="8">
        <v>378.817139</v>
      </c>
      <c r="D7204" s="8">
        <v>153609.578125</v>
      </c>
      <c r="E7204" s="8">
        <v>153638.34375</v>
      </c>
      <c r="F7204" s="8">
        <f t="shared" si="224"/>
        <v>28.765625</v>
      </c>
      <c r="G7204" s="8">
        <f t="shared" si="225"/>
        <v>2.8765625E-2</v>
      </c>
    </row>
    <row r="7205" spans="1:7" x14ac:dyDescent="0.25">
      <c r="A7205" s="8">
        <v>96</v>
      </c>
      <c r="B7205" s="8">
        <v>71</v>
      </c>
      <c r="C7205" s="8">
        <v>506.04104599999999</v>
      </c>
      <c r="D7205" s="8">
        <v>154031.5</v>
      </c>
      <c r="E7205" s="8">
        <v>154051.375</v>
      </c>
      <c r="F7205" s="8">
        <f t="shared" si="224"/>
        <v>19.875</v>
      </c>
      <c r="G7205" s="8">
        <f t="shared" si="225"/>
        <v>1.9875E-2</v>
      </c>
    </row>
    <row r="7206" spans="1:7" x14ac:dyDescent="0.25">
      <c r="A7206" s="8">
        <v>96</v>
      </c>
      <c r="B7206" s="8">
        <v>72</v>
      </c>
      <c r="C7206" s="8">
        <v>1308.421143</v>
      </c>
      <c r="D7206" s="8">
        <v>154562.8125</v>
      </c>
      <c r="E7206" s="8">
        <v>154581.28125</v>
      </c>
      <c r="F7206" s="8">
        <f t="shared" si="224"/>
        <v>18.46875</v>
      </c>
      <c r="G7206" s="8">
        <f t="shared" si="225"/>
        <v>1.8468749999999999E-2</v>
      </c>
    </row>
    <row r="7207" spans="1:7" x14ac:dyDescent="0.25">
      <c r="A7207" s="8">
        <v>96</v>
      </c>
      <c r="B7207" s="8">
        <v>73</v>
      </c>
      <c r="C7207" s="8">
        <v>405.10211199999998</v>
      </c>
      <c r="D7207" s="8">
        <v>155891.109375</v>
      </c>
      <c r="E7207" s="8">
        <v>155904.703125</v>
      </c>
      <c r="F7207" s="8">
        <f t="shared" si="224"/>
        <v>13.59375</v>
      </c>
      <c r="G7207" s="8">
        <f t="shared" si="225"/>
        <v>1.359375E-2</v>
      </c>
    </row>
    <row r="7208" spans="1:7" x14ac:dyDescent="0.25">
      <c r="A7208" s="8">
        <v>96</v>
      </c>
      <c r="B7208" s="8">
        <v>74</v>
      </c>
      <c r="C7208" s="8">
        <v>102.050117</v>
      </c>
      <c r="D7208" s="8">
        <v>156313</v>
      </c>
      <c r="E7208" s="8">
        <v>156333.34375</v>
      </c>
      <c r="F7208" s="8">
        <f t="shared" si="224"/>
        <v>20.34375</v>
      </c>
      <c r="G7208" s="8">
        <f t="shared" si="225"/>
        <v>2.0343750000000001E-2</v>
      </c>
    </row>
    <row r="7209" spans="1:7" x14ac:dyDescent="0.25">
      <c r="A7209" s="8">
        <v>96</v>
      </c>
      <c r="B7209" s="8">
        <v>75</v>
      </c>
      <c r="C7209" s="8">
        <v>3634.0183109999998</v>
      </c>
      <c r="D7209" s="8">
        <v>156437.828125</v>
      </c>
      <c r="E7209" s="8">
        <v>156470.4375</v>
      </c>
      <c r="F7209" s="8">
        <f t="shared" si="224"/>
        <v>32.609375</v>
      </c>
      <c r="G7209" s="8">
        <f t="shared" si="225"/>
        <v>3.2609375000000003E-2</v>
      </c>
    </row>
    <row r="7210" spans="1:7" x14ac:dyDescent="0.25">
      <c r="A7210" s="8">
        <v>96</v>
      </c>
      <c r="B7210" s="8">
        <v>76</v>
      </c>
      <c r="C7210" s="8">
        <v>4060.6838379999999</v>
      </c>
      <c r="D7210" s="8">
        <v>160111.3125</v>
      </c>
      <c r="E7210" s="8">
        <v>160133.390625</v>
      </c>
      <c r="F7210" s="8">
        <f t="shared" si="224"/>
        <v>22.078125</v>
      </c>
      <c r="G7210" s="8">
        <f t="shared" si="225"/>
        <v>2.2078125000000001E-2</v>
      </c>
    </row>
    <row r="7211" spans="1:7" x14ac:dyDescent="0.25">
      <c r="A7211" s="8">
        <v>96</v>
      </c>
      <c r="B7211" s="8">
        <v>77</v>
      </c>
      <c r="C7211" s="8">
        <v>1111.023682</v>
      </c>
      <c r="D7211" s="8">
        <v>164205.984375</v>
      </c>
      <c r="E7211" s="8">
        <v>164229.921875</v>
      </c>
      <c r="F7211" s="8">
        <f t="shared" si="224"/>
        <v>23.9375</v>
      </c>
      <c r="G7211" s="8">
        <f t="shared" si="225"/>
        <v>2.39375E-2</v>
      </c>
    </row>
    <row r="7212" spans="1:7" x14ac:dyDescent="0.25">
      <c r="A7212" s="8">
        <v>96</v>
      </c>
      <c r="B7212" s="8">
        <v>78</v>
      </c>
      <c r="C7212" s="8">
        <v>3185.4038089999999</v>
      </c>
      <c r="D7212" s="8">
        <v>165342.859375</v>
      </c>
      <c r="E7212" s="8">
        <v>165350.8125</v>
      </c>
      <c r="F7212" s="8">
        <f t="shared" si="224"/>
        <v>7.953125</v>
      </c>
      <c r="G7212" s="8">
        <f t="shared" si="225"/>
        <v>7.9531250000000001E-3</v>
      </c>
    </row>
    <row r="7213" spans="1:7" x14ac:dyDescent="0.25">
      <c r="A7213" s="8">
        <v>96</v>
      </c>
      <c r="B7213" s="8">
        <v>79</v>
      </c>
      <c r="C7213" s="8">
        <v>138.28221099999999</v>
      </c>
      <c r="D7213" s="8">
        <v>168544.28125</v>
      </c>
      <c r="E7213" s="8">
        <v>168561.5625</v>
      </c>
      <c r="F7213" s="8">
        <f t="shared" si="224"/>
        <v>17.28125</v>
      </c>
      <c r="G7213" s="8">
        <f t="shared" si="225"/>
        <v>1.7281250000000001E-2</v>
      </c>
    </row>
    <row r="7214" spans="1:7" x14ac:dyDescent="0.25">
      <c r="A7214" s="8">
        <v>96</v>
      </c>
      <c r="B7214" s="8">
        <v>80</v>
      </c>
      <c r="C7214" s="8">
        <v>169.92640700000001</v>
      </c>
      <c r="D7214" s="8">
        <v>168700.515625</v>
      </c>
      <c r="E7214" s="8">
        <v>168710.65625</v>
      </c>
      <c r="F7214" s="8">
        <f t="shared" si="224"/>
        <v>10.140625</v>
      </c>
      <c r="G7214" s="8">
        <f t="shared" si="225"/>
        <v>1.0140625E-2</v>
      </c>
    </row>
    <row r="7215" spans="1:7" x14ac:dyDescent="0.25">
      <c r="A7215" s="8">
        <v>96</v>
      </c>
      <c r="B7215" s="8">
        <v>81</v>
      </c>
      <c r="C7215" s="8">
        <v>334.679779</v>
      </c>
      <c r="D7215" s="8">
        <v>168888.0625</v>
      </c>
      <c r="E7215" s="8">
        <v>168906.359375</v>
      </c>
      <c r="F7215" s="8">
        <f t="shared" si="224"/>
        <v>18.296875</v>
      </c>
      <c r="G7215" s="8">
        <f t="shared" si="225"/>
        <v>1.8296875000000001E-2</v>
      </c>
    </row>
    <row r="7216" spans="1:7" x14ac:dyDescent="0.25">
      <c r="A7216" s="8">
        <v>96</v>
      </c>
      <c r="B7216" s="8">
        <v>82</v>
      </c>
      <c r="C7216" s="8">
        <v>740.37921100000005</v>
      </c>
      <c r="D7216" s="8">
        <v>169251.609375</v>
      </c>
      <c r="E7216" s="8">
        <v>169280.03125</v>
      </c>
      <c r="F7216" s="8">
        <f t="shared" si="224"/>
        <v>28.421875</v>
      </c>
      <c r="G7216" s="8">
        <f t="shared" si="225"/>
        <v>2.8421874999999999E-2</v>
      </c>
    </row>
    <row r="7217" spans="1:7" x14ac:dyDescent="0.25">
      <c r="A7217" s="8">
        <v>97</v>
      </c>
      <c r="B7217" s="8">
        <v>0</v>
      </c>
      <c r="C7217" s="8">
        <v>1071.3161620000001</v>
      </c>
      <c r="D7217" s="8">
        <v>20166.416015999999</v>
      </c>
      <c r="E7217" s="8">
        <v>20196.117188</v>
      </c>
      <c r="F7217" s="8">
        <f t="shared" si="224"/>
        <v>29.701172000000952</v>
      </c>
      <c r="G7217" s="8">
        <f t="shared" si="225"/>
        <v>2.9701172000000952E-2</v>
      </c>
    </row>
    <row r="7218" spans="1:7" x14ac:dyDescent="0.25">
      <c r="A7218" s="8">
        <v>97</v>
      </c>
      <c r="B7218" s="8">
        <v>1</v>
      </c>
      <c r="C7218" s="8">
        <v>204.03852800000001</v>
      </c>
      <c r="D7218" s="8">
        <v>21281.835938</v>
      </c>
      <c r="E7218" s="8">
        <v>21296.025390999999</v>
      </c>
      <c r="F7218" s="8">
        <f t="shared" si="224"/>
        <v>14.189452999999048</v>
      </c>
      <c r="G7218" s="8">
        <f t="shared" si="225"/>
        <v>1.4189452999999049E-2</v>
      </c>
    </row>
    <row r="7219" spans="1:7" x14ac:dyDescent="0.25">
      <c r="A7219" s="8">
        <v>97</v>
      </c>
      <c r="B7219" s="8">
        <v>2</v>
      </c>
      <c r="C7219" s="8">
        <v>469.89459199999999</v>
      </c>
      <c r="D7219" s="8">
        <v>21500.597656000002</v>
      </c>
      <c r="E7219" s="8">
        <v>21528.601563</v>
      </c>
      <c r="F7219" s="8">
        <f t="shared" si="224"/>
        <v>28.003906999998435</v>
      </c>
      <c r="G7219" s="8">
        <f t="shared" si="225"/>
        <v>2.8003906999998433E-2</v>
      </c>
    </row>
    <row r="7220" spans="1:7" x14ac:dyDescent="0.25">
      <c r="A7220" s="8">
        <v>97</v>
      </c>
      <c r="B7220" s="8">
        <v>3</v>
      </c>
      <c r="C7220" s="8">
        <v>1380.017456</v>
      </c>
      <c r="D7220" s="8">
        <v>22000.666015999999</v>
      </c>
      <c r="E7220" s="8">
        <v>22021.542968999998</v>
      </c>
      <c r="F7220" s="8">
        <f t="shared" si="224"/>
        <v>20.876952999999048</v>
      </c>
      <c r="G7220" s="8">
        <f t="shared" si="225"/>
        <v>2.087695299999905E-2</v>
      </c>
    </row>
    <row r="7221" spans="1:7" x14ac:dyDescent="0.25">
      <c r="A7221" s="8">
        <v>97</v>
      </c>
      <c r="B7221" s="8">
        <v>4</v>
      </c>
      <c r="C7221" s="8">
        <v>5654.4990230000003</v>
      </c>
      <c r="D7221" s="8">
        <v>23409.785156000002</v>
      </c>
      <c r="E7221" s="8">
        <v>23434.753906000002</v>
      </c>
      <c r="F7221" s="8">
        <f t="shared" si="224"/>
        <v>24.96875</v>
      </c>
      <c r="G7221" s="8">
        <f t="shared" si="225"/>
        <v>2.4968750000000001E-2</v>
      </c>
    </row>
    <row r="7222" spans="1:7" x14ac:dyDescent="0.25">
      <c r="A7222" s="8">
        <v>97</v>
      </c>
      <c r="B7222" s="8">
        <v>5</v>
      </c>
      <c r="C7222" s="8">
        <v>1942.4832759999999</v>
      </c>
      <c r="D7222" s="8">
        <v>29090.220702999999</v>
      </c>
      <c r="E7222" s="8">
        <v>29105.265625</v>
      </c>
      <c r="F7222" s="8">
        <f t="shared" si="224"/>
        <v>15.044922000000952</v>
      </c>
      <c r="G7222" s="8">
        <f t="shared" si="225"/>
        <v>1.5044922000000951E-2</v>
      </c>
    </row>
    <row r="7223" spans="1:7" x14ac:dyDescent="0.25">
      <c r="A7223" s="8">
        <v>97</v>
      </c>
      <c r="B7223" s="8">
        <v>6</v>
      </c>
      <c r="C7223" s="8">
        <v>570.91339100000005</v>
      </c>
      <c r="D7223" s="8">
        <v>31050.130859000001</v>
      </c>
      <c r="E7223" s="8">
        <v>31067.351563</v>
      </c>
      <c r="F7223" s="8">
        <f t="shared" si="224"/>
        <v>17.220703999999387</v>
      </c>
      <c r="G7223" s="8">
        <f t="shared" si="225"/>
        <v>1.7220703999999386E-2</v>
      </c>
    </row>
    <row r="7224" spans="1:7" x14ac:dyDescent="0.25">
      <c r="A7224" s="8">
        <v>97</v>
      </c>
      <c r="B7224" s="8">
        <v>7</v>
      </c>
      <c r="C7224" s="8">
        <v>3079.8933109999998</v>
      </c>
      <c r="D7224" s="8">
        <v>31644.976563</v>
      </c>
      <c r="E7224" s="8">
        <v>31664.123047000001</v>
      </c>
      <c r="F7224" s="8">
        <f t="shared" si="224"/>
        <v>19.146484000000783</v>
      </c>
      <c r="G7224" s="8">
        <f t="shared" si="225"/>
        <v>1.9146484000000782E-2</v>
      </c>
    </row>
    <row r="7225" spans="1:7" x14ac:dyDescent="0.25">
      <c r="A7225" s="8">
        <v>97</v>
      </c>
      <c r="B7225" s="8">
        <v>8</v>
      </c>
      <c r="C7225" s="8">
        <v>317.15090900000001</v>
      </c>
      <c r="D7225" s="8">
        <v>34748.789062999997</v>
      </c>
      <c r="E7225" s="8">
        <v>34761.738280999998</v>
      </c>
      <c r="F7225" s="8">
        <f t="shared" si="224"/>
        <v>12.949218000001565</v>
      </c>
      <c r="G7225" s="8">
        <f t="shared" si="225"/>
        <v>1.2949218000001565E-2</v>
      </c>
    </row>
    <row r="7226" spans="1:7" x14ac:dyDescent="0.25">
      <c r="A7226" s="8">
        <v>97</v>
      </c>
      <c r="B7226" s="8">
        <v>9</v>
      </c>
      <c r="C7226" s="8">
        <v>6647.8149409999996</v>
      </c>
      <c r="D7226" s="8">
        <v>35092.570312999997</v>
      </c>
      <c r="E7226" s="8">
        <v>35103.800780999998</v>
      </c>
      <c r="F7226" s="8">
        <f t="shared" si="224"/>
        <v>11.230468000001565</v>
      </c>
      <c r="G7226" s="8">
        <f t="shared" si="225"/>
        <v>1.1230468000001565E-2</v>
      </c>
    </row>
    <row r="7227" spans="1:7" x14ac:dyDescent="0.25">
      <c r="A7227" s="8">
        <v>97</v>
      </c>
      <c r="B7227" s="8">
        <v>10</v>
      </c>
      <c r="C7227" s="8">
        <v>3846.6184079999998</v>
      </c>
      <c r="D7227" s="8">
        <v>41762.765625</v>
      </c>
      <c r="E7227" s="8">
        <v>41781.832030999998</v>
      </c>
      <c r="F7227" s="8">
        <f t="shared" si="224"/>
        <v>19.066405999998096</v>
      </c>
      <c r="G7227" s="8">
        <f t="shared" si="225"/>
        <v>1.9066405999998096E-2</v>
      </c>
    </row>
    <row r="7228" spans="1:7" x14ac:dyDescent="0.25">
      <c r="A7228" s="8">
        <v>97</v>
      </c>
      <c r="B7228" s="8">
        <v>11</v>
      </c>
      <c r="C7228" s="8">
        <v>1502.3317870000001</v>
      </c>
      <c r="D7228" s="8">
        <v>45631.320312999997</v>
      </c>
      <c r="E7228" s="8">
        <v>45638.585937999997</v>
      </c>
      <c r="F7228" s="8">
        <f t="shared" si="224"/>
        <v>7.265625</v>
      </c>
      <c r="G7228" s="8">
        <f t="shared" si="225"/>
        <v>7.2656250000000004E-3</v>
      </c>
    </row>
    <row r="7229" spans="1:7" x14ac:dyDescent="0.25">
      <c r="A7229" s="8">
        <v>97</v>
      </c>
      <c r="B7229" s="8">
        <v>12</v>
      </c>
      <c r="C7229" s="8">
        <v>3999.3376459999999</v>
      </c>
      <c r="D7229" s="8">
        <v>47141.546875</v>
      </c>
      <c r="E7229" s="8">
        <v>47154.3125</v>
      </c>
      <c r="F7229" s="8">
        <f t="shared" si="224"/>
        <v>12.765625</v>
      </c>
      <c r="G7229" s="8">
        <f t="shared" si="225"/>
        <v>1.2765624999999999E-2</v>
      </c>
    </row>
    <row r="7230" spans="1:7" x14ac:dyDescent="0.25">
      <c r="A7230" s="8">
        <v>97</v>
      </c>
      <c r="B7230" s="8">
        <v>13</v>
      </c>
      <c r="C7230" s="8">
        <v>219.16871599999999</v>
      </c>
      <c r="D7230" s="8">
        <v>51159.105469000002</v>
      </c>
      <c r="E7230" s="8">
        <v>51170.023437999997</v>
      </c>
      <c r="F7230" s="8">
        <f t="shared" si="224"/>
        <v>10.917968999994628</v>
      </c>
      <c r="G7230" s="8">
        <f t="shared" si="225"/>
        <v>1.0917968999994627E-2</v>
      </c>
    </row>
    <row r="7231" spans="1:7" x14ac:dyDescent="0.25">
      <c r="A7231" s="8">
        <v>97</v>
      </c>
      <c r="B7231" s="8">
        <v>14</v>
      </c>
      <c r="C7231" s="8">
        <v>350.18090799999999</v>
      </c>
      <c r="D7231" s="8">
        <v>51397.210937999997</v>
      </c>
      <c r="E7231" s="8">
        <v>51421.054687999997</v>
      </c>
      <c r="F7231" s="8">
        <f t="shared" si="224"/>
        <v>23.84375</v>
      </c>
      <c r="G7231" s="8">
        <f t="shared" si="225"/>
        <v>2.384375E-2</v>
      </c>
    </row>
    <row r="7232" spans="1:7" x14ac:dyDescent="0.25">
      <c r="A7232" s="8">
        <v>97</v>
      </c>
      <c r="B7232" s="8">
        <v>15</v>
      </c>
      <c r="C7232" s="8">
        <v>1866.4057620000001</v>
      </c>
      <c r="D7232" s="8">
        <v>51779.332030999998</v>
      </c>
      <c r="E7232" s="8">
        <v>51796.824219000002</v>
      </c>
      <c r="F7232" s="8">
        <f t="shared" si="224"/>
        <v>17.492188000003807</v>
      </c>
      <c r="G7232" s="8">
        <f t="shared" si="225"/>
        <v>1.7492188000003808E-2</v>
      </c>
    </row>
    <row r="7233" spans="1:7" x14ac:dyDescent="0.25">
      <c r="A7233" s="8">
        <v>97</v>
      </c>
      <c r="B7233" s="8">
        <v>16</v>
      </c>
      <c r="C7233" s="8">
        <v>208.707855</v>
      </c>
      <c r="D7233" s="8">
        <v>53671.285155999998</v>
      </c>
      <c r="E7233" s="8">
        <v>53694.359375</v>
      </c>
      <c r="F7233" s="8">
        <f t="shared" si="224"/>
        <v>23.074219000001904</v>
      </c>
      <c r="G7233" s="8">
        <f t="shared" si="225"/>
        <v>2.3074219000001905E-2</v>
      </c>
    </row>
    <row r="7234" spans="1:7" x14ac:dyDescent="0.25">
      <c r="A7234" s="8">
        <v>97</v>
      </c>
      <c r="B7234" s="8">
        <v>17</v>
      </c>
      <c r="C7234" s="8">
        <v>1781.1831050000001</v>
      </c>
      <c r="D7234" s="8">
        <v>53909.238280999998</v>
      </c>
      <c r="E7234" s="8">
        <v>53931.316405999998</v>
      </c>
      <c r="F7234" s="8">
        <f t="shared" si="224"/>
        <v>22.078125</v>
      </c>
      <c r="G7234" s="8">
        <f t="shared" si="225"/>
        <v>2.2078125000000001E-2</v>
      </c>
    </row>
    <row r="7235" spans="1:7" x14ac:dyDescent="0.25">
      <c r="A7235" s="8">
        <v>97</v>
      </c>
      <c r="B7235" s="8">
        <v>18</v>
      </c>
      <c r="C7235" s="8">
        <v>820.53601100000003</v>
      </c>
      <c r="D7235" s="8">
        <v>55722.28125</v>
      </c>
      <c r="E7235" s="8">
        <v>55731.878905999998</v>
      </c>
      <c r="F7235" s="8">
        <f t="shared" si="224"/>
        <v>9.5976559999980964</v>
      </c>
      <c r="G7235" s="8">
        <f t="shared" si="225"/>
        <v>9.5976559999980966E-3</v>
      </c>
    </row>
    <row r="7236" spans="1:7" x14ac:dyDescent="0.25">
      <c r="A7236" s="8">
        <v>97</v>
      </c>
      <c r="B7236" s="8">
        <v>19</v>
      </c>
      <c r="C7236" s="8">
        <v>1715.2100829999999</v>
      </c>
      <c r="D7236" s="8">
        <v>56566.207030999998</v>
      </c>
      <c r="E7236" s="8">
        <v>56582.960937999997</v>
      </c>
      <c r="F7236" s="8">
        <f t="shared" si="224"/>
        <v>16.753906999998435</v>
      </c>
      <c r="G7236" s="8">
        <f t="shared" si="225"/>
        <v>1.6753906999998434E-2</v>
      </c>
    </row>
    <row r="7237" spans="1:7" x14ac:dyDescent="0.25">
      <c r="A7237" s="8">
        <v>97</v>
      </c>
      <c r="B7237" s="8">
        <v>20</v>
      </c>
      <c r="C7237" s="8">
        <v>1434.541626</v>
      </c>
      <c r="D7237" s="8">
        <v>58304.699219000002</v>
      </c>
      <c r="E7237" s="8">
        <v>58319.996094000002</v>
      </c>
      <c r="F7237" s="8">
        <f t="shared" si="224"/>
        <v>15.296875</v>
      </c>
      <c r="G7237" s="8">
        <f t="shared" si="225"/>
        <v>1.5296875E-2</v>
      </c>
    </row>
    <row r="7238" spans="1:7" x14ac:dyDescent="0.25">
      <c r="A7238" s="8">
        <v>97</v>
      </c>
      <c r="B7238" s="8">
        <v>21</v>
      </c>
      <c r="C7238" s="8">
        <v>6392.0126950000003</v>
      </c>
      <c r="D7238" s="8">
        <v>59763.050780999998</v>
      </c>
      <c r="E7238" s="8">
        <v>59779.183594000002</v>
      </c>
      <c r="F7238" s="8">
        <f t="shared" si="224"/>
        <v>16.132813000003807</v>
      </c>
      <c r="G7238" s="8">
        <f t="shared" si="225"/>
        <v>1.6132813000003809E-2</v>
      </c>
    </row>
    <row r="7239" spans="1:7" x14ac:dyDescent="0.25">
      <c r="A7239" s="8">
        <v>97</v>
      </c>
      <c r="B7239" s="8">
        <v>22</v>
      </c>
      <c r="C7239" s="8">
        <v>2404.713135</v>
      </c>
      <c r="D7239" s="8">
        <v>66184.234375</v>
      </c>
      <c r="E7239" s="8">
        <v>66198.4375</v>
      </c>
      <c r="F7239" s="8">
        <f t="shared" si="224"/>
        <v>14.203125</v>
      </c>
      <c r="G7239" s="8">
        <f t="shared" si="225"/>
        <v>1.4203125E-2</v>
      </c>
    </row>
    <row r="7240" spans="1:7" x14ac:dyDescent="0.25">
      <c r="A7240" s="8">
        <v>97</v>
      </c>
      <c r="B7240" s="8">
        <v>23</v>
      </c>
      <c r="C7240" s="8">
        <v>416.720642</v>
      </c>
      <c r="D7240" s="8">
        <v>68607.984375</v>
      </c>
      <c r="E7240" s="8">
        <v>68618.234375</v>
      </c>
      <c r="F7240" s="8">
        <f t="shared" si="224"/>
        <v>10.25</v>
      </c>
      <c r="G7240" s="8">
        <f t="shared" si="225"/>
        <v>1.025E-2</v>
      </c>
    </row>
    <row r="7241" spans="1:7" x14ac:dyDescent="0.25">
      <c r="A7241" s="8">
        <v>97</v>
      </c>
      <c r="B7241" s="8">
        <v>24</v>
      </c>
      <c r="C7241" s="8">
        <v>511.47265599999997</v>
      </c>
      <c r="D7241" s="8">
        <v>69045.46875</v>
      </c>
      <c r="E7241" s="8">
        <v>69061.015625</v>
      </c>
      <c r="F7241" s="8">
        <f t="shared" si="224"/>
        <v>15.546875</v>
      </c>
      <c r="G7241" s="8">
        <f t="shared" si="225"/>
        <v>1.5546875E-2</v>
      </c>
    </row>
    <row r="7242" spans="1:7" x14ac:dyDescent="0.25">
      <c r="A7242" s="8">
        <v>97</v>
      </c>
      <c r="B7242" s="8">
        <v>25</v>
      </c>
      <c r="C7242" s="8">
        <v>454.13046300000002</v>
      </c>
      <c r="D7242" s="8">
        <v>69577.164063000004</v>
      </c>
      <c r="E7242" s="8">
        <v>69588.03125</v>
      </c>
      <c r="F7242" s="8">
        <f t="shared" si="224"/>
        <v>10.867186999996193</v>
      </c>
      <c r="G7242" s="8">
        <f t="shared" si="225"/>
        <v>1.0867186999996193E-2</v>
      </c>
    </row>
    <row r="7243" spans="1:7" x14ac:dyDescent="0.25">
      <c r="A7243" s="8">
        <v>97</v>
      </c>
      <c r="B7243" s="8">
        <v>26</v>
      </c>
      <c r="C7243" s="8">
        <v>2408.3728030000002</v>
      </c>
      <c r="D7243" s="8">
        <v>70045.84375</v>
      </c>
      <c r="E7243" s="8">
        <v>70056.398438000004</v>
      </c>
      <c r="F7243" s="8">
        <f t="shared" ref="F7243:F7306" si="226">E7243-D7243</f>
        <v>10.554688000003807</v>
      </c>
      <c r="G7243" s="8">
        <f t="shared" ref="G7243:G7306" si="227">F7243/1000</f>
        <v>1.0554688000003807E-2</v>
      </c>
    </row>
    <row r="7244" spans="1:7" x14ac:dyDescent="0.25">
      <c r="A7244" s="8">
        <v>97</v>
      </c>
      <c r="B7244" s="8">
        <v>27</v>
      </c>
      <c r="C7244" s="8">
        <v>777.66851799999995</v>
      </c>
      <c r="D7244" s="8">
        <v>72466.53125</v>
      </c>
      <c r="E7244" s="8">
        <v>72490.007813000004</v>
      </c>
      <c r="F7244" s="8">
        <f t="shared" si="226"/>
        <v>23.476563000003807</v>
      </c>
      <c r="G7244" s="8">
        <f t="shared" si="227"/>
        <v>2.3476563000003808E-2</v>
      </c>
    </row>
    <row r="7245" spans="1:7" x14ac:dyDescent="0.25">
      <c r="A7245" s="8">
        <v>97</v>
      </c>
      <c r="B7245" s="8">
        <v>28</v>
      </c>
      <c r="C7245" s="8">
        <v>1070.7947999999999</v>
      </c>
      <c r="D7245" s="8">
        <v>73279.367188000004</v>
      </c>
      <c r="E7245" s="8">
        <v>73296.203125</v>
      </c>
      <c r="F7245" s="8">
        <f t="shared" si="226"/>
        <v>16.835936999996193</v>
      </c>
      <c r="G7245" s="8">
        <f t="shared" si="227"/>
        <v>1.6835936999996193E-2</v>
      </c>
    </row>
    <row r="7246" spans="1:7" x14ac:dyDescent="0.25">
      <c r="A7246" s="8">
        <v>97</v>
      </c>
      <c r="B7246" s="8">
        <v>29</v>
      </c>
      <c r="C7246" s="8">
        <v>4064.4064939999998</v>
      </c>
      <c r="D7246" s="8">
        <v>74367.375</v>
      </c>
      <c r="E7246" s="8">
        <v>74378.101563000004</v>
      </c>
      <c r="F7246" s="8">
        <f t="shared" si="226"/>
        <v>10.726563000003807</v>
      </c>
      <c r="G7246" s="8">
        <f t="shared" si="227"/>
        <v>1.0726563000003807E-2</v>
      </c>
    </row>
    <row r="7247" spans="1:7" x14ac:dyDescent="0.25">
      <c r="A7247" s="8">
        <v>97</v>
      </c>
      <c r="B7247" s="8">
        <v>30</v>
      </c>
      <c r="C7247" s="8">
        <v>8737.7978519999997</v>
      </c>
      <c r="D7247" s="8">
        <v>78450.914063000004</v>
      </c>
      <c r="E7247" s="8">
        <v>78477.976563000004</v>
      </c>
      <c r="F7247" s="8">
        <f t="shared" si="226"/>
        <v>27.0625</v>
      </c>
      <c r="G7247" s="8">
        <f t="shared" si="227"/>
        <v>2.70625E-2</v>
      </c>
    </row>
    <row r="7248" spans="1:7" x14ac:dyDescent="0.25">
      <c r="A7248" s="8">
        <v>97</v>
      </c>
      <c r="B7248" s="8">
        <v>31</v>
      </c>
      <c r="C7248" s="8">
        <v>2150.5908199999999</v>
      </c>
      <c r="D7248" s="8">
        <v>87221.578125</v>
      </c>
      <c r="E7248" s="8">
        <v>87243.382813000004</v>
      </c>
      <c r="F7248" s="8">
        <f t="shared" si="226"/>
        <v>21.804688000003807</v>
      </c>
      <c r="G7248" s="8">
        <f t="shared" si="227"/>
        <v>2.1804688000003809E-2</v>
      </c>
    </row>
    <row r="7249" spans="1:7" x14ac:dyDescent="0.25">
      <c r="A7249" s="8">
        <v>97</v>
      </c>
      <c r="B7249" s="8">
        <v>32</v>
      </c>
      <c r="C7249" s="8">
        <v>2105.6611330000001</v>
      </c>
      <c r="D7249" s="8">
        <v>89396.804688000004</v>
      </c>
      <c r="E7249" s="8">
        <v>89406.914063000004</v>
      </c>
      <c r="F7249" s="8">
        <f t="shared" si="226"/>
        <v>10.109375</v>
      </c>
      <c r="G7249" s="8">
        <f t="shared" si="227"/>
        <v>1.0109375E-2</v>
      </c>
    </row>
    <row r="7250" spans="1:7" x14ac:dyDescent="0.25">
      <c r="A7250" s="8">
        <v>97</v>
      </c>
      <c r="B7250" s="8">
        <v>33</v>
      </c>
      <c r="C7250" s="8">
        <v>4509.6459960000002</v>
      </c>
      <c r="D7250" s="8">
        <v>91526.796875</v>
      </c>
      <c r="E7250" s="8">
        <v>91580.390625</v>
      </c>
      <c r="F7250" s="8">
        <f t="shared" si="226"/>
        <v>53.59375</v>
      </c>
      <c r="G7250" s="8">
        <f t="shared" si="227"/>
        <v>5.3593750000000002E-2</v>
      </c>
    </row>
    <row r="7251" spans="1:7" x14ac:dyDescent="0.25">
      <c r="A7251" s="8">
        <v>97</v>
      </c>
      <c r="B7251" s="8">
        <v>34</v>
      </c>
      <c r="C7251" s="8">
        <v>652.45599400000003</v>
      </c>
      <c r="D7251" s="8">
        <v>96100.390625</v>
      </c>
      <c r="E7251" s="8">
        <v>96107.828125</v>
      </c>
      <c r="F7251" s="8">
        <f t="shared" si="226"/>
        <v>7.4375</v>
      </c>
      <c r="G7251" s="8">
        <f t="shared" si="227"/>
        <v>7.4374999999999997E-3</v>
      </c>
    </row>
    <row r="7252" spans="1:7" x14ac:dyDescent="0.25">
      <c r="A7252" s="8">
        <v>97</v>
      </c>
      <c r="B7252" s="8">
        <v>35</v>
      </c>
      <c r="C7252" s="8">
        <v>5947.2172849999997</v>
      </c>
      <c r="D7252" s="8">
        <v>96774.84375</v>
      </c>
      <c r="E7252" s="8">
        <v>96792.484375</v>
      </c>
      <c r="F7252" s="8">
        <f t="shared" si="226"/>
        <v>17.640625</v>
      </c>
      <c r="G7252" s="8">
        <f t="shared" si="227"/>
        <v>1.7640625E-2</v>
      </c>
    </row>
    <row r="7253" spans="1:7" x14ac:dyDescent="0.25">
      <c r="A7253" s="8">
        <v>97</v>
      </c>
      <c r="B7253" s="8">
        <v>36</v>
      </c>
      <c r="C7253" s="8">
        <v>1295.6639399999999</v>
      </c>
      <c r="D7253" s="8">
        <v>102750.46875</v>
      </c>
      <c r="E7253" s="8">
        <v>102783.945313</v>
      </c>
      <c r="F7253" s="8">
        <f t="shared" si="226"/>
        <v>33.476563000003807</v>
      </c>
      <c r="G7253" s="8">
        <f t="shared" si="227"/>
        <v>3.347656300000381E-2</v>
      </c>
    </row>
    <row r="7254" spans="1:7" x14ac:dyDescent="0.25">
      <c r="A7254" s="8">
        <v>97</v>
      </c>
      <c r="B7254" s="8">
        <v>37</v>
      </c>
      <c r="C7254" s="8">
        <v>2966.4465329999998</v>
      </c>
      <c r="D7254" s="8">
        <v>104081.546875</v>
      </c>
      <c r="E7254" s="8">
        <v>104088.882813</v>
      </c>
      <c r="F7254" s="8">
        <f t="shared" si="226"/>
        <v>7.3359380000038072</v>
      </c>
      <c r="G7254" s="8">
        <f t="shared" si="227"/>
        <v>7.335938000003807E-3</v>
      </c>
    </row>
    <row r="7255" spans="1:7" x14ac:dyDescent="0.25">
      <c r="A7255" s="8">
        <v>97</v>
      </c>
      <c r="B7255" s="8">
        <v>38</v>
      </c>
      <c r="C7255" s="8">
        <v>571.07580600000006</v>
      </c>
      <c r="D7255" s="8">
        <v>107062.867188</v>
      </c>
      <c r="E7255" s="8">
        <v>107073.460938</v>
      </c>
      <c r="F7255" s="8">
        <f t="shared" si="226"/>
        <v>10.59375</v>
      </c>
      <c r="G7255" s="8">
        <f t="shared" si="227"/>
        <v>1.0593750000000001E-2</v>
      </c>
    </row>
    <row r="7256" spans="1:7" x14ac:dyDescent="0.25">
      <c r="A7256" s="8">
        <v>97</v>
      </c>
      <c r="B7256" s="8">
        <v>39</v>
      </c>
      <c r="C7256" s="8">
        <v>489.05502300000001</v>
      </c>
      <c r="D7256" s="8">
        <v>107657.3125</v>
      </c>
      <c r="E7256" s="8">
        <v>107682.03125</v>
      </c>
      <c r="F7256" s="8">
        <f t="shared" si="226"/>
        <v>24.71875</v>
      </c>
      <c r="G7256" s="8">
        <f t="shared" si="227"/>
        <v>2.4718750000000001E-2</v>
      </c>
    </row>
    <row r="7257" spans="1:7" x14ac:dyDescent="0.25">
      <c r="A7257" s="8">
        <v>97</v>
      </c>
      <c r="B7257" s="8">
        <v>40</v>
      </c>
      <c r="C7257" s="8">
        <v>366.46289100000001</v>
      </c>
      <c r="D7257" s="8">
        <v>108173.070313</v>
      </c>
      <c r="E7257" s="8">
        <v>108186.476563</v>
      </c>
      <c r="F7257" s="8">
        <f t="shared" si="226"/>
        <v>13.40625</v>
      </c>
      <c r="G7257" s="8">
        <f t="shared" si="227"/>
        <v>1.340625E-2</v>
      </c>
    </row>
    <row r="7258" spans="1:7" x14ac:dyDescent="0.25">
      <c r="A7258" s="8">
        <v>97</v>
      </c>
      <c r="B7258" s="8">
        <v>41</v>
      </c>
      <c r="C7258" s="8">
        <v>275.95031699999998</v>
      </c>
      <c r="D7258" s="8">
        <v>108563.726563</v>
      </c>
      <c r="E7258" s="8">
        <v>108583.460938</v>
      </c>
      <c r="F7258" s="8">
        <f t="shared" si="226"/>
        <v>19.734375</v>
      </c>
      <c r="G7258" s="8">
        <f t="shared" si="227"/>
        <v>1.9734374999999998E-2</v>
      </c>
    </row>
    <row r="7259" spans="1:7" x14ac:dyDescent="0.25">
      <c r="A7259" s="8">
        <v>97</v>
      </c>
      <c r="B7259" s="8">
        <v>42</v>
      </c>
      <c r="C7259" s="8">
        <v>352.72766100000001</v>
      </c>
      <c r="D7259" s="8">
        <v>108860.617188</v>
      </c>
      <c r="E7259" s="8">
        <v>108885.140625</v>
      </c>
      <c r="F7259" s="8">
        <f t="shared" si="226"/>
        <v>24.523436999996193</v>
      </c>
      <c r="G7259" s="8">
        <f t="shared" si="227"/>
        <v>2.4523436999996193E-2</v>
      </c>
    </row>
    <row r="7260" spans="1:7" x14ac:dyDescent="0.25">
      <c r="A7260" s="8">
        <v>97</v>
      </c>
      <c r="B7260" s="8">
        <v>43</v>
      </c>
      <c r="C7260" s="8">
        <v>2724.524414</v>
      </c>
      <c r="D7260" s="8">
        <v>109251.265625</v>
      </c>
      <c r="E7260" s="8">
        <v>109276.226563</v>
      </c>
      <c r="F7260" s="8">
        <f t="shared" si="226"/>
        <v>24.960938000003807</v>
      </c>
      <c r="G7260" s="8">
        <f t="shared" si="227"/>
        <v>2.4960938000003808E-2</v>
      </c>
    </row>
    <row r="7261" spans="1:7" x14ac:dyDescent="0.25">
      <c r="A7261" s="8">
        <v>97</v>
      </c>
      <c r="B7261" s="8">
        <v>44</v>
      </c>
      <c r="C7261" s="8">
        <v>346.18545499999999</v>
      </c>
      <c r="D7261" s="8">
        <v>112004.90625</v>
      </c>
      <c r="E7261" s="8">
        <v>112017.398438</v>
      </c>
      <c r="F7261" s="8">
        <f t="shared" si="226"/>
        <v>12.492188000003807</v>
      </c>
      <c r="G7261" s="8">
        <f t="shared" si="227"/>
        <v>1.2492188000003807E-2</v>
      </c>
    </row>
    <row r="7262" spans="1:7" x14ac:dyDescent="0.25">
      <c r="A7262" s="8">
        <v>97</v>
      </c>
      <c r="B7262" s="8">
        <v>45</v>
      </c>
      <c r="C7262" s="8">
        <v>765.19122300000004</v>
      </c>
      <c r="D7262" s="8">
        <v>112365.867188</v>
      </c>
      <c r="E7262" s="8">
        <v>112395.132813</v>
      </c>
      <c r="F7262" s="8">
        <f t="shared" si="226"/>
        <v>29.265625</v>
      </c>
      <c r="G7262" s="8">
        <f t="shared" si="227"/>
        <v>2.9265625E-2</v>
      </c>
    </row>
    <row r="7263" spans="1:7" x14ac:dyDescent="0.25">
      <c r="A7263" s="8">
        <v>97</v>
      </c>
      <c r="B7263" s="8">
        <v>46</v>
      </c>
      <c r="C7263" s="8">
        <v>1237.0323490000001</v>
      </c>
      <c r="D7263" s="8">
        <v>113174.835938</v>
      </c>
      <c r="E7263" s="8">
        <v>113188.929688</v>
      </c>
      <c r="F7263" s="8">
        <f t="shared" si="226"/>
        <v>14.09375</v>
      </c>
      <c r="G7263" s="8">
        <f t="shared" si="227"/>
        <v>1.409375E-2</v>
      </c>
    </row>
    <row r="7264" spans="1:7" x14ac:dyDescent="0.25">
      <c r="A7264" s="8">
        <v>97</v>
      </c>
      <c r="B7264" s="8">
        <v>47</v>
      </c>
      <c r="C7264" s="8">
        <v>379.70263699999998</v>
      </c>
      <c r="D7264" s="8">
        <v>114440.765625</v>
      </c>
      <c r="E7264" s="8">
        <v>114464.640625</v>
      </c>
      <c r="F7264" s="8">
        <f t="shared" si="226"/>
        <v>23.875</v>
      </c>
      <c r="G7264" s="8">
        <f t="shared" si="227"/>
        <v>2.3875E-2</v>
      </c>
    </row>
    <row r="7265" spans="1:7" x14ac:dyDescent="0.25">
      <c r="A7265" s="8">
        <v>97</v>
      </c>
      <c r="B7265" s="8">
        <v>48</v>
      </c>
      <c r="C7265" s="8">
        <v>222.71339399999999</v>
      </c>
      <c r="D7265" s="8">
        <v>114847.03125</v>
      </c>
      <c r="E7265" s="8">
        <v>114855.546875</v>
      </c>
      <c r="F7265" s="8">
        <f t="shared" si="226"/>
        <v>8.515625</v>
      </c>
      <c r="G7265" s="8">
        <f t="shared" si="227"/>
        <v>8.5156250000000006E-3</v>
      </c>
    </row>
    <row r="7266" spans="1:7" x14ac:dyDescent="0.25">
      <c r="A7266" s="8">
        <v>97</v>
      </c>
      <c r="B7266" s="8">
        <v>49</v>
      </c>
      <c r="C7266" s="8">
        <v>272.93966699999999</v>
      </c>
      <c r="D7266" s="8">
        <v>115083.15625</v>
      </c>
      <c r="E7266" s="8">
        <v>115099.757813</v>
      </c>
      <c r="F7266" s="8">
        <f t="shared" si="226"/>
        <v>16.601563000003807</v>
      </c>
      <c r="G7266" s="8">
        <f t="shared" si="227"/>
        <v>1.6601563000003806E-2</v>
      </c>
    </row>
    <row r="7267" spans="1:7" x14ac:dyDescent="0.25">
      <c r="A7267" s="8">
        <v>97</v>
      </c>
      <c r="B7267" s="8">
        <v>50</v>
      </c>
      <c r="C7267" s="8">
        <v>73.985862999999995</v>
      </c>
      <c r="D7267" s="8">
        <v>115379.992188</v>
      </c>
      <c r="E7267" s="8">
        <v>115388.046875</v>
      </c>
      <c r="F7267" s="8">
        <f t="shared" si="226"/>
        <v>8.0546869999961928</v>
      </c>
      <c r="G7267" s="8">
        <f t="shared" si="227"/>
        <v>8.0546869999961919E-3</v>
      </c>
    </row>
    <row r="7268" spans="1:7" x14ac:dyDescent="0.25">
      <c r="A7268" s="8">
        <v>97</v>
      </c>
      <c r="B7268" s="8">
        <v>51</v>
      </c>
      <c r="C7268" s="8">
        <v>1744.7822269999999</v>
      </c>
      <c r="D7268" s="8">
        <v>115473.65625</v>
      </c>
      <c r="E7268" s="8">
        <v>115480.875</v>
      </c>
      <c r="F7268" s="8">
        <f t="shared" si="226"/>
        <v>7.21875</v>
      </c>
      <c r="G7268" s="8">
        <f t="shared" si="227"/>
        <v>7.2187500000000003E-3</v>
      </c>
    </row>
    <row r="7269" spans="1:7" x14ac:dyDescent="0.25">
      <c r="A7269" s="8">
        <v>97</v>
      </c>
      <c r="B7269" s="8">
        <v>52</v>
      </c>
      <c r="C7269" s="8">
        <v>73.099236000000005</v>
      </c>
      <c r="D7269" s="8">
        <v>117231.703125</v>
      </c>
      <c r="E7269" s="8">
        <v>117248.617188</v>
      </c>
      <c r="F7269" s="8">
        <f t="shared" si="226"/>
        <v>16.914063000003807</v>
      </c>
      <c r="G7269" s="8">
        <f t="shared" si="227"/>
        <v>1.6914063000003806E-2</v>
      </c>
    </row>
    <row r="7270" spans="1:7" x14ac:dyDescent="0.25">
      <c r="A7270" s="8">
        <v>97</v>
      </c>
      <c r="B7270" s="8">
        <v>53</v>
      </c>
      <c r="C7270" s="8">
        <v>399.35531600000002</v>
      </c>
      <c r="D7270" s="8">
        <v>117332.476563</v>
      </c>
      <c r="E7270" s="8">
        <v>117355.085938</v>
      </c>
      <c r="F7270" s="8">
        <f t="shared" si="226"/>
        <v>22.609375</v>
      </c>
      <c r="G7270" s="8">
        <f t="shared" si="227"/>
        <v>2.2609375000000001E-2</v>
      </c>
    </row>
    <row r="7271" spans="1:7" x14ac:dyDescent="0.25">
      <c r="A7271" s="8">
        <v>97</v>
      </c>
      <c r="B7271" s="8">
        <v>54</v>
      </c>
      <c r="C7271" s="8">
        <v>976.01171899999997</v>
      </c>
      <c r="D7271" s="8">
        <v>117759.921875</v>
      </c>
      <c r="E7271" s="8">
        <v>117770.539063</v>
      </c>
      <c r="F7271" s="8">
        <f t="shared" si="226"/>
        <v>10.617188000003807</v>
      </c>
      <c r="G7271" s="8">
        <f t="shared" si="227"/>
        <v>1.0617188000003807E-2</v>
      </c>
    </row>
    <row r="7272" spans="1:7" x14ac:dyDescent="0.25">
      <c r="A7272" s="8">
        <v>97</v>
      </c>
      <c r="B7272" s="8">
        <v>55</v>
      </c>
      <c r="C7272" s="8">
        <v>4039.4121089999999</v>
      </c>
      <c r="D7272" s="8">
        <v>118760.09375</v>
      </c>
      <c r="E7272" s="8">
        <v>118782.289063</v>
      </c>
      <c r="F7272" s="8">
        <f t="shared" si="226"/>
        <v>22.195313000003807</v>
      </c>
      <c r="G7272" s="8">
        <f t="shared" si="227"/>
        <v>2.2195313000003807E-2</v>
      </c>
    </row>
    <row r="7273" spans="1:7" x14ac:dyDescent="0.25">
      <c r="A7273" s="8">
        <v>97</v>
      </c>
      <c r="B7273" s="8">
        <v>56</v>
      </c>
      <c r="C7273" s="8">
        <v>1735.4575199999999</v>
      </c>
      <c r="D7273" s="8">
        <v>122831.945313</v>
      </c>
      <c r="E7273" s="8">
        <v>122839.414063</v>
      </c>
      <c r="F7273" s="8">
        <f t="shared" si="226"/>
        <v>7.46875</v>
      </c>
      <c r="G7273" s="8">
        <f t="shared" si="227"/>
        <v>7.4687499999999997E-3</v>
      </c>
    </row>
    <row r="7274" spans="1:7" x14ac:dyDescent="0.25">
      <c r="A7274" s="8">
        <v>97</v>
      </c>
      <c r="B7274" s="8">
        <v>57</v>
      </c>
      <c r="C7274" s="8">
        <v>291.49539199999998</v>
      </c>
      <c r="D7274" s="8">
        <v>124580.257813</v>
      </c>
      <c r="E7274" s="8">
        <v>124598.296875</v>
      </c>
      <c r="F7274" s="8">
        <f t="shared" si="226"/>
        <v>18.039061999996193</v>
      </c>
      <c r="G7274" s="8">
        <f t="shared" si="227"/>
        <v>1.8039061999996192E-2</v>
      </c>
    </row>
    <row r="7275" spans="1:7" x14ac:dyDescent="0.25">
      <c r="A7275" s="8">
        <v>97</v>
      </c>
      <c r="B7275" s="8">
        <v>58</v>
      </c>
      <c r="C7275" s="8">
        <v>1019.739746</v>
      </c>
      <c r="D7275" s="8">
        <v>124892.804688</v>
      </c>
      <c r="E7275" s="8">
        <v>124908.351563</v>
      </c>
      <c r="F7275" s="8">
        <f t="shared" si="226"/>
        <v>15.546875</v>
      </c>
      <c r="G7275" s="8">
        <f t="shared" si="227"/>
        <v>1.5546875E-2</v>
      </c>
    </row>
    <row r="7276" spans="1:7" x14ac:dyDescent="0.25">
      <c r="A7276" s="8">
        <v>97</v>
      </c>
      <c r="B7276" s="8">
        <v>59</v>
      </c>
      <c r="C7276" s="8">
        <v>657.79168700000002</v>
      </c>
      <c r="D7276" s="8">
        <v>125940.367188</v>
      </c>
      <c r="E7276" s="8">
        <v>125957.96875</v>
      </c>
      <c r="F7276" s="8">
        <f t="shared" si="226"/>
        <v>17.601561999996193</v>
      </c>
      <c r="G7276" s="8">
        <f t="shared" si="227"/>
        <v>1.7601561999996192E-2</v>
      </c>
    </row>
    <row r="7277" spans="1:7" x14ac:dyDescent="0.25">
      <c r="A7277" s="8">
        <v>97</v>
      </c>
      <c r="B7277" s="8">
        <v>60</v>
      </c>
      <c r="C7277" s="8">
        <v>2624.5732419999999</v>
      </c>
      <c r="D7277" s="8">
        <v>126627.9375</v>
      </c>
      <c r="E7277" s="8">
        <v>126646</v>
      </c>
      <c r="F7277" s="8">
        <f t="shared" si="226"/>
        <v>18.0625</v>
      </c>
      <c r="G7277" s="8">
        <f t="shared" si="227"/>
        <v>1.8062499999999999E-2</v>
      </c>
    </row>
    <row r="7278" spans="1:7" x14ac:dyDescent="0.25">
      <c r="A7278" s="8">
        <v>97</v>
      </c>
      <c r="B7278" s="8">
        <v>61</v>
      </c>
      <c r="C7278" s="8">
        <v>630.41747999999995</v>
      </c>
      <c r="D7278" s="8">
        <v>129285.773438</v>
      </c>
      <c r="E7278" s="8">
        <v>129307.328125</v>
      </c>
      <c r="F7278" s="8">
        <f t="shared" si="226"/>
        <v>21.554686999996193</v>
      </c>
      <c r="G7278" s="8">
        <f t="shared" si="227"/>
        <v>2.1554686999996193E-2</v>
      </c>
    </row>
    <row r="7279" spans="1:7" x14ac:dyDescent="0.25">
      <c r="A7279" s="8">
        <v>97</v>
      </c>
      <c r="B7279" s="8">
        <v>62</v>
      </c>
      <c r="C7279" s="8">
        <v>6836.0639650000003</v>
      </c>
      <c r="D7279" s="8">
        <v>129942.015625</v>
      </c>
      <c r="E7279" s="8">
        <v>129956.859375</v>
      </c>
      <c r="F7279" s="8">
        <f t="shared" si="226"/>
        <v>14.84375</v>
      </c>
      <c r="G7279" s="8">
        <f t="shared" si="227"/>
        <v>1.4843749999999999E-2</v>
      </c>
    </row>
    <row r="7280" spans="1:7" x14ac:dyDescent="0.25">
      <c r="A7280" s="8">
        <v>97</v>
      </c>
      <c r="B7280" s="8">
        <v>63</v>
      </c>
      <c r="C7280" s="8">
        <v>1246.002686</v>
      </c>
      <c r="D7280" s="8">
        <v>136794.171875</v>
      </c>
      <c r="E7280" s="8">
        <v>136807.96875</v>
      </c>
      <c r="F7280" s="8">
        <f t="shared" si="226"/>
        <v>13.796875</v>
      </c>
      <c r="G7280" s="8">
        <f t="shared" si="227"/>
        <v>1.3796875E-2</v>
      </c>
    </row>
    <row r="7281" spans="1:7" x14ac:dyDescent="0.25">
      <c r="A7281" s="8">
        <v>97</v>
      </c>
      <c r="B7281" s="8">
        <v>64</v>
      </c>
      <c r="C7281" s="8">
        <v>238.19232199999999</v>
      </c>
      <c r="D7281" s="8">
        <v>138062.421875</v>
      </c>
      <c r="E7281" s="8">
        <v>138073.8125</v>
      </c>
      <c r="F7281" s="8">
        <f t="shared" si="226"/>
        <v>11.390625</v>
      </c>
      <c r="G7281" s="8">
        <f t="shared" si="227"/>
        <v>1.1390625E-2</v>
      </c>
    </row>
    <row r="7282" spans="1:7" x14ac:dyDescent="0.25">
      <c r="A7282" s="8">
        <v>97</v>
      </c>
      <c r="B7282" s="8">
        <v>65</v>
      </c>
      <c r="C7282" s="8">
        <v>1621.6010739999999</v>
      </c>
      <c r="D7282" s="8">
        <v>138312.46875</v>
      </c>
      <c r="E7282" s="8">
        <v>138333.484375</v>
      </c>
      <c r="F7282" s="8">
        <f t="shared" si="226"/>
        <v>21.015625</v>
      </c>
      <c r="G7282" s="8">
        <f t="shared" si="227"/>
        <v>2.1015625E-2</v>
      </c>
    </row>
    <row r="7283" spans="1:7" x14ac:dyDescent="0.25">
      <c r="A7283" s="8">
        <v>97</v>
      </c>
      <c r="B7283" s="8">
        <v>66</v>
      </c>
      <c r="C7283" s="8">
        <v>322.52252199999998</v>
      </c>
      <c r="D7283" s="8">
        <v>139959.703125</v>
      </c>
      <c r="E7283" s="8">
        <v>139974.875</v>
      </c>
      <c r="F7283" s="8">
        <f t="shared" si="226"/>
        <v>15.171875</v>
      </c>
      <c r="G7283" s="8">
        <f t="shared" si="227"/>
        <v>1.5171875E-2</v>
      </c>
    </row>
    <row r="7284" spans="1:7" x14ac:dyDescent="0.25">
      <c r="A7284" s="8">
        <v>97</v>
      </c>
      <c r="B7284" s="8">
        <v>67</v>
      </c>
      <c r="C7284" s="8">
        <v>3525.8247070000002</v>
      </c>
      <c r="D7284" s="8">
        <v>140303.4375</v>
      </c>
      <c r="E7284" s="8">
        <v>140310.59375</v>
      </c>
      <c r="F7284" s="8">
        <f t="shared" si="226"/>
        <v>7.15625</v>
      </c>
      <c r="G7284" s="8">
        <f t="shared" si="227"/>
        <v>7.1562500000000003E-3</v>
      </c>
    </row>
    <row r="7285" spans="1:7" x14ac:dyDescent="0.25">
      <c r="A7285" s="8">
        <v>97</v>
      </c>
      <c r="B7285" s="8">
        <v>68</v>
      </c>
      <c r="C7285" s="8">
        <v>506.04104599999999</v>
      </c>
      <c r="D7285" s="8">
        <v>143838.09375</v>
      </c>
      <c r="E7285" s="8">
        <v>143851.265625</v>
      </c>
      <c r="F7285" s="8">
        <f t="shared" si="226"/>
        <v>13.171875</v>
      </c>
      <c r="G7285" s="8">
        <f t="shared" si="227"/>
        <v>1.3171875E-2</v>
      </c>
    </row>
    <row r="7286" spans="1:7" x14ac:dyDescent="0.25">
      <c r="A7286" s="8">
        <v>97</v>
      </c>
      <c r="B7286" s="8">
        <v>69</v>
      </c>
      <c r="C7286" s="8">
        <v>3203.4926759999998</v>
      </c>
      <c r="D7286" s="8">
        <v>144369.34375</v>
      </c>
      <c r="E7286" s="8">
        <v>144381.390625</v>
      </c>
      <c r="F7286" s="8">
        <f t="shared" si="226"/>
        <v>12.046875</v>
      </c>
      <c r="G7286" s="8">
        <f t="shared" si="227"/>
        <v>1.2046875E-2</v>
      </c>
    </row>
    <row r="7287" spans="1:7" x14ac:dyDescent="0.25">
      <c r="A7287" s="8">
        <v>97</v>
      </c>
      <c r="B7287" s="8">
        <v>70</v>
      </c>
      <c r="C7287" s="8">
        <v>232.69935599999999</v>
      </c>
      <c r="D7287" s="8">
        <v>147599.859375</v>
      </c>
      <c r="E7287" s="8">
        <v>147610.546875</v>
      </c>
      <c r="F7287" s="8">
        <f t="shared" si="226"/>
        <v>10.6875</v>
      </c>
      <c r="G7287" s="8">
        <f t="shared" si="227"/>
        <v>1.0687500000000001E-2</v>
      </c>
    </row>
    <row r="7288" spans="1:7" x14ac:dyDescent="0.25">
      <c r="A7288" s="8">
        <v>97</v>
      </c>
      <c r="B7288" s="8">
        <v>71</v>
      </c>
      <c r="C7288" s="8">
        <v>1918.446655</v>
      </c>
      <c r="D7288" s="8">
        <v>147849.890625</v>
      </c>
      <c r="E7288" s="8">
        <v>147858.578125</v>
      </c>
      <c r="F7288" s="8">
        <f t="shared" si="226"/>
        <v>8.6875</v>
      </c>
      <c r="G7288" s="8">
        <f t="shared" si="227"/>
        <v>8.6875000000000008E-3</v>
      </c>
    </row>
    <row r="7289" spans="1:7" x14ac:dyDescent="0.25">
      <c r="A7289" s="8">
        <v>97</v>
      </c>
      <c r="B7289" s="8">
        <v>72</v>
      </c>
      <c r="C7289" s="8">
        <v>1959.1575929999999</v>
      </c>
      <c r="D7289" s="8">
        <v>149780.015625</v>
      </c>
      <c r="E7289" s="8">
        <v>149787.34375</v>
      </c>
      <c r="F7289" s="8">
        <f t="shared" si="226"/>
        <v>7.328125</v>
      </c>
      <c r="G7289" s="8">
        <f t="shared" si="227"/>
        <v>7.3281249999999996E-3</v>
      </c>
    </row>
    <row r="7290" spans="1:7" x14ac:dyDescent="0.25">
      <c r="A7290" s="8">
        <v>97</v>
      </c>
      <c r="B7290" s="8">
        <v>73</v>
      </c>
      <c r="C7290" s="8">
        <v>6416.0190430000002</v>
      </c>
      <c r="D7290" s="8">
        <v>151748.96875</v>
      </c>
      <c r="E7290" s="8">
        <v>151770.046875</v>
      </c>
      <c r="F7290" s="8">
        <f t="shared" si="226"/>
        <v>21.078125</v>
      </c>
      <c r="G7290" s="8">
        <f t="shared" si="227"/>
        <v>2.1078125E-2</v>
      </c>
    </row>
    <row r="7291" spans="1:7" x14ac:dyDescent="0.25">
      <c r="A7291" s="8">
        <v>97</v>
      </c>
      <c r="B7291" s="8">
        <v>74</v>
      </c>
      <c r="C7291" s="8">
        <v>1590.1301269999999</v>
      </c>
      <c r="D7291" s="8">
        <v>158188.171875</v>
      </c>
      <c r="E7291" s="8">
        <v>158198.046875</v>
      </c>
      <c r="F7291" s="8">
        <f t="shared" si="226"/>
        <v>9.875</v>
      </c>
      <c r="G7291" s="8">
        <f t="shared" si="227"/>
        <v>9.8750000000000001E-3</v>
      </c>
    </row>
    <row r="7292" spans="1:7" x14ac:dyDescent="0.25">
      <c r="A7292" s="8">
        <v>97</v>
      </c>
      <c r="B7292" s="8">
        <v>75</v>
      </c>
      <c r="C7292" s="8">
        <v>1364.018311</v>
      </c>
      <c r="D7292" s="8">
        <v>159798.671875</v>
      </c>
      <c r="E7292" s="8">
        <v>159813.015625</v>
      </c>
      <c r="F7292" s="8">
        <f t="shared" si="226"/>
        <v>14.34375</v>
      </c>
      <c r="G7292" s="8">
        <f t="shared" si="227"/>
        <v>1.4343750000000001E-2</v>
      </c>
    </row>
    <row r="7293" spans="1:7" x14ac:dyDescent="0.25">
      <c r="A7293" s="8">
        <v>97</v>
      </c>
      <c r="B7293" s="8">
        <v>76</v>
      </c>
      <c r="C7293" s="8">
        <v>1529.684814</v>
      </c>
      <c r="D7293" s="8">
        <v>161189.453125</v>
      </c>
      <c r="E7293" s="8">
        <v>161207.625</v>
      </c>
      <c r="F7293" s="8">
        <f t="shared" si="226"/>
        <v>18.171875</v>
      </c>
      <c r="G7293" s="8">
        <f t="shared" si="227"/>
        <v>1.8171875000000001E-2</v>
      </c>
    </row>
    <row r="7294" spans="1:7" x14ac:dyDescent="0.25">
      <c r="A7294" s="8">
        <v>97</v>
      </c>
      <c r="B7294" s="8">
        <v>77</v>
      </c>
      <c r="C7294" s="8">
        <v>526.74383499999999</v>
      </c>
      <c r="D7294" s="8">
        <v>162736.890625</v>
      </c>
      <c r="E7294" s="8">
        <v>162763.046875</v>
      </c>
      <c r="F7294" s="8">
        <f t="shared" si="226"/>
        <v>26.15625</v>
      </c>
      <c r="G7294" s="8">
        <f t="shared" si="227"/>
        <v>2.6156249999999999E-2</v>
      </c>
    </row>
    <row r="7295" spans="1:7" x14ac:dyDescent="0.25">
      <c r="A7295" s="8">
        <v>97</v>
      </c>
      <c r="B7295" s="8">
        <v>78</v>
      </c>
      <c r="C7295" s="8">
        <v>3582.1154790000001</v>
      </c>
      <c r="D7295" s="8">
        <v>163299.6875</v>
      </c>
      <c r="E7295" s="8">
        <v>163390.046875</v>
      </c>
      <c r="F7295" s="8">
        <f t="shared" si="226"/>
        <v>90.359375</v>
      </c>
      <c r="G7295" s="8">
        <f t="shared" si="227"/>
        <v>9.0359375000000006E-2</v>
      </c>
    </row>
    <row r="7296" spans="1:7" x14ac:dyDescent="0.25">
      <c r="A7296" s="8">
        <v>97</v>
      </c>
      <c r="B7296" s="8">
        <v>79</v>
      </c>
      <c r="C7296" s="8">
        <v>31.187687</v>
      </c>
      <c r="D7296" s="8">
        <v>166973.890625</v>
      </c>
      <c r="E7296" s="8">
        <v>166981.046875</v>
      </c>
      <c r="F7296" s="8">
        <f t="shared" si="226"/>
        <v>7.15625</v>
      </c>
      <c r="G7296" s="8">
        <f t="shared" si="227"/>
        <v>7.1562500000000003E-3</v>
      </c>
    </row>
    <row r="7297" spans="1:7" x14ac:dyDescent="0.25">
      <c r="A7297" s="8">
        <v>97</v>
      </c>
      <c r="B7297" s="8">
        <v>80</v>
      </c>
      <c r="C7297" s="8">
        <v>3343.664307</v>
      </c>
      <c r="D7297" s="8">
        <v>167020.796875</v>
      </c>
      <c r="E7297" s="8">
        <v>167035.21875</v>
      </c>
      <c r="F7297" s="8">
        <f t="shared" si="226"/>
        <v>14.421875</v>
      </c>
      <c r="G7297" s="8">
        <f t="shared" si="227"/>
        <v>1.4421875000000001E-2</v>
      </c>
    </row>
    <row r="7298" spans="1:7" x14ac:dyDescent="0.25">
      <c r="A7298" s="8">
        <v>98</v>
      </c>
      <c r="B7298" s="8">
        <v>0</v>
      </c>
      <c r="C7298" s="8">
        <v>5828.9907229999999</v>
      </c>
      <c r="D7298" s="8">
        <v>23881.076172000001</v>
      </c>
      <c r="E7298" s="8">
        <v>23901.082031000002</v>
      </c>
      <c r="F7298" s="8">
        <f t="shared" si="226"/>
        <v>20.005859000000783</v>
      </c>
      <c r="G7298" s="8">
        <f t="shared" si="227"/>
        <v>2.0005859000000781E-2</v>
      </c>
    </row>
    <row r="7299" spans="1:7" x14ac:dyDescent="0.25">
      <c r="A7299" s="8">
        <v>98</v>
      </c>
      <c r="B7299" s="8">
        <v>1</v>
      </c>
      <c r="C7299" s="8">
        <v>2720.476318</v>
      </c>
      <c r="D7299" s="8">
        <v>29730.914063</v>
      </c>
      <c r="E7299" s="8">
        <v>29756.945313</v>
      </c>
      <c r="F7299" s="8">
        <f t="shared" si="226"/>
        <v>26.03125</v>
      </c>
      <c r="G7299" s="8">
        <f t="shared" si="227"/>
        <v>2.6031249999999999E-2</v>
      </c>
    </row>
    <row r="7300" spans="1:7" x14ac:dyDescent="0.25">
      <c r="A7300" s="8">
        <v>98</v>
      </c>
      <c r="B7300" s="8">
        <v>2</v>
      </c>
      <c r="C7300" s="8">
        <v>229.27383399999999</v>
      </c>
      <c r="D7300" s="8">
        <v>32488.929688</v>
      </c>
      <c r="E7300" s="8">
        <v>32506.146484000001</v>
      </c>
      <c r="F7300" s="8">
        <f t="shared" si="226"/>
        <v>17.216796000000613</v>
      </c>
      <c r="G7300" s="8">
        <f t="shared" si="227"/>
        <v>1.7216796000000614E-2</v>
      </c>
    </row>
    <row r="7301" spans="1:7" x14ac:dyDescent="0.25">
      <c r="A7301" s="8">
        <v>98</v>
      </c>
      <c r="B7301" s="8">
        <v>3</v>
      </c>
      <c r="C7301" s="8">
        <v>1922.2730710000001</v>
      </c>
      <c r="D7301" s="8">
        <v>32738.861327999999</v>
      </c>
      <c r="E7301" s="8">
        <v>32746.486327999999</v>
      </c>
      <c r="F7301" s="8">
        <f t="shared" si="226"/>
        <v>7.625</v>
      </c>
      <c r="G7301" s="8">
        <f t="shared" si="227"/>
        <v>7.6249999999999998E-3</v>
      </c>
    </row>
    <row r="7302" spans="1:7" x14ac:dyDescent="0.25">
      <c r="A7302" s="8">
        <v>98</v>
      </c>
      <c r="B7302" s="8">
        <v>4</v>
      </c>
      <c r="C7302" s="8">
        <v>314.57772799999998</v>
      </c>
      <c r="D7302" s="8">
        <v>34670.429687999997</v>
      </c>
      <c r="E7302" s="8">
        <v>34693.265625</v>
      </c>
      <c r="F7302" s="8">
        <f t="shared" si="226"/>
        <v>22.835937000003469</v>
      </c>
      <c r="G7302" s="8">
        <f t="shared" si="227"/>
        <v>2.283593700000347E-2</v>
      </c>
    </row>
    <row r="7303" spans="1:7" x14ac:dyDescent="0.25">
      <c r="A7303" s="8">
        <v>98</v>
      </c>
      <c r="B7303" s="8">
        <v>5</v>
      </c>
      <c r="C7303" s="8">
        <v>689.33264199999996</v>
      </c>
      <c r="D7303" s="8">
        <v>35014.476562999997</v>
      </c>
      <c r="E7303" s="8">
        <v>35023.023437999997</v>
      </c>
      <c r="F7303" s="8">
        <f t="shared" si="226"/>
        <v>8.546875</v>
      </c>
      <c r="G7303" s="8">
        <f t="shared" si="227"/>
        <v>8.5468750000000007E-3</v>
      </c>
    </row>
    <row r="7304" spans="1:7" x14ac:dyDescent="0.25">
      <c r="A7304" s="8">
        <v>98</v>
      </c>
      <c r="B7304" s="8">
        <v>6</v>
      </c>
      <c r="C7304" s="8">
        <v>1278.471558</v>
      </c>
      <c r="D7304" s="8">
        <v>35717.640625</v>
      </c>
      <c r="E7304" s="8">
        <v>35734.453125</v>
      </c>
      <c r="F7304" s="8">
        <f t="shared" si="226"/>
        <v>16.8125</v>
      </c>
      <c r="G7304" s="8">
        <f t="shared" si="227"/>
        <v>1.6812500000000001E-2</v>
      </c>
    </row>
    <row r="7305" spans="1:7" x14ac:dyDescent="0.25">
      <c r="A7305" s="8">
        <v>98</v>
      </c>
      <c r="B7305" s="8">
        <v>7</v>
      </c>
      <c r="C7305" s="8">
        <v>317.222443</v>
      </c>
      <c r="D7305" s="8">
        <v>37019.132812999997</v>
      </c>
      <c r="E7305" s="8">
        <v>37034.375</v>
      </c>
      <c r="F7305" s="8">
        <f t="shared" si="226"/>
        <v>15.242187000003469</v>
      </c>
      <c r="G7305" s="8">
        <f t="shared" si="227"/>
        <v>1.5242187000003469E-2</v>
      </c>
    </row>
    <row r="7306" spans="1:7" x14ac:dyDescent="0.25">
      <c r="A7306" s="8">
        <v>98</v>
      </c>
      <c r="B7306" s="8">
        <v>8</v>
      </c>
      <c r="C7306" s="8">
        <v>2816.7133789999998</v>
      </c>
      <c r="D7306" s="8">
        <v>37362.9375</v>
      </c>
      <c r="E7306" s="8">
        <v>37386.675780999998</v>
      </c>
      <c r="F7306" s="8">
        <f t="shared" si="226"/>
        <v>23.738280999998096</v>
      </c>
      <c r="G7306" s="8">
        <f t="shared" si="227"/>
        <v>2.3738280999998095E-2</v>
      </c>
    </row>
    <row r="7307" spans="1:7" x14ac:dyDescent="0.25">
      <c r="A7307" s="8">
        <v>98</v>
      </c>
      <c r="B7307" s="8">
        <v>9</v>
      </c>
      <c r="C7307" s="8">
        <v>2330.7377929999998</v>
      </c>
      <c r="D7307" s="8">
        <v>40214.835937999997</v>
      </c>
      <c r="E7307" s="8">
        <v>40237.476562999997</v>
      </c>
      <c r="F7307" s="8">
        <f t="shared" ref="F7307:F7370" si="228">E7307-D7307</f>
        <v>22.640625</v>
      </c>
      <c r="G7307" s="8">
        <f t="shared" ref="G7307:G7370" si="229">F7307/1000</f>
        <v>2.2640625000000001E-2</v>
      </c>
    </row>
    <row r="7308" spans="1:7" x14ac:dyDescent="0.25">
      <c r="A7308" s="8">
        <v>98</v>
      </c>
      <c r="B7308" s="8">
        <v>10</v>
      </c>
      <c r="C7308" s="8">
        <v>321.44708300000002</v>
      </c>
      <c r="D7308" s="8">
        <v>42579.566405999998</v>
      </c>
      <c r="E7308" s="8">
        <v>42593.570312999997</v>
      </c>
      <c r="F7308" s="8">
        <f t="shared" si="228"/>
        <v>14.003906999998435</v>
      </c>
      <c r="G7308" s="8">
        <f t="shared" si="229"/>
        <v>1.4003906999998435E-2</v>
      </c>
    </row>
    <row r="7309" spans="1:7" x14ac:dyDescent="0.25">
      <c r="A7309" s="8">
        <v>98</v>
      </c>
      <c r="B7309" s="8">
        <v>11</v>
      </c>
      <c r="C7309" s="8">
        <v>4326.8168949999999</v>
      </c>
      <c r="D7309" s="8">
        <v>42923.980469000002</v>
      </c>
      <c r="E7309" s="8">
        <v>42937.734375</v>
      </c>
      <c r="F7309" s="8">
        <f t="shared" si="228"/>
        <v>13.753905999998096</v>
      </c>
      <c r="G7309" s="8">
        <f t="shared" si="229"/>
        <v>1.3753905999998097E-2</v>
      </c>
    </row>
    <row r="7310" spans="1:7" x14ac:dyDescent="0.25">
      <c r="A7310" s="8">
        <v>98</v>
      </c>
      <c r="B7310" s="8">
        <v>12</v>
      </c>
      <c r="C7310" s="8">
        <v>310.79531900000001</v>
      </c>
      <c r="D7310" s="8">
        <v>47266.621094000002</v>
      </c>
      <c r="E7310" s="8">
        <v>47280.664062999997</v>
      </c>
      <c r="F7310" s="8">
        <f t="shared" si="228"/>
        <v>14.042968999994628</v>
      </c>
      <c r="G7310" s="8">
        <f t="shared" si="229"/>
        <v>1.4042968999994628E-2</v>
      </c>
    </row>
    <row r="7311" spans="1:7" x14ac:dyDescent="0.25">
      <c r="A7311" s="8">
        <v>98</v>
      </c>
      <c r="B7311" s="8">
        <v>13</v>
      </c>
      <c r="C7311" s="8">
        <v>13926.379883</v>
      </c>
      <c r="D7311" s="8">
        <v>47594.628905999998</v>
      </c>
      <c r="E7311" s="8">
        <v>47625.773437999997</v>
      </c>
      <c r="F7311" s="8">
        <f t="shared" si="228"/>
        <v>31.144531999998435</v>
      </c>
      <c r="G7311" s="8">
        <f t="shared" si="229"/>
        <v>3.1144531999998434E-2</v>
      </c>
    </row>
    <row r="7312" spans="1:7" x14ac:dyDescent="0.25">
      <c r="A7312" s="8">
        <v>98</v>
      </c>
      <c r="B7312" s="8">
        <v>14</v>
      </c>
      <c r="C7312" s="8">
        <v>5194.8476559999999</v>
      </c>
      <c r="D7312" s="8">
        <v>61560.125</v>
      </c>
      <c r="E7312" s="8">
        <v>61567.804687999997</v>
      </c>
      <c r="F7312" s="8">
        <f t="shared" si="228"/>
        <v>7.6796879999965313</v>
      </c>
      <c r="G7312" s="8">
        <f t="shared" si="229"/>
        <v>7.679687999996531E-3</v>
      </c>
    </row>
    <row r="7313" spans="1:7" x14ac:dyDescent="0.25">
      <c r="A7313" s="8">
        <v>98</v>
      </c>
      <c r="B7313" s="8">
        <v>15</v>
      </c>
      <c r="C7313" s="8">
        <v>18.272286999999999</v>
      </c>
      <c r="D7313" s="8">
        <v>66762.4375</v>
      </c>
      <c r="E7313" s="8">
        <v>66786.21875</v>
      </c>
      <c r="F7313" s="8">
        <f t="shared" si="228"/>
        <v>23.78125</v>
      </c>
      <c r="G7313" s="8">
        <f t="shared" si="229"/>
        <v>2.378125E-2</v>
      </c>
    </row>
    <row r="7314" spans="1:7" x14ac:dyDescent="0.25">
      <c r="A7314" s="8">
        <v>98</v>
      </c>
      <c r="B7314" s="8">
        <v>16</v>
      </c>
      <c r="C7314" s="8">
        <v>2123.2297359999998</v>
      </c>
      <c r="D7314" s="8">
        <v>66809.273438000004</v>
      </c>
      <c r="E7314" s="8">
        <v>66826.5</v>
      </c>
      <c r="F7314" s="8">
        <f t="shared" si="228"/>
        <v>17.226561999996193</v>
      </c>
      <c r="G7314" s="8">
        <f t="shared" si="229"/>
        <v>1.7226561999996191E-2</v>
      </c>
    </row>
    <row r="7315" spans="1:7" x14ac:dyDescent="0.25">
      <c r="A7315" s="8">
        <v>98</v>
      </c>
      <c r="B7315" s="8">
        <v>17</v>
      </c>
      <c r="C7315" s="8">
        <v>161.108093</v>
      </c>
      <c r="D7315" s="8">
        <v>68951.695313000004</v>
      </c>
      <c r="E7315" s="8">
        <v>68965.328125</v>
      </c>
      <c r="F7315" s="8">
        <f t="shared" si="228"/>
        <v>13.632811999996193</v>
      </c>
      <c r="G7315" s="8">
        <f t="shared" si="229"/>
        <v>1.3632811999996193E-2</v>
      </c>
    </row>
    <row r="7316" spans="1:7" x14ac:dyDescent="0.25">
      <c r="A7316" s="8">
        <v>98</v>
      </c>
      <c r="B7316" s="8">
        <v>18</v>
      </c>
      <c r="C7316" s="8">
        <v>202.957245</v>
      </c>
      <c r="D7316" s="8">
        <v>69139.554688000004</v>
      </c>
      <c r="E7316" s="8">
        <v>69160.265625</v>
      </c>
      <c r="F7316" s="8">
        <f t="shared" si="228"/>
        <v>20.710936999996193</v>
      </c>
      <c r="G7316" s="8">
        <f t="shared" si="229"/>
        <v>2.0710936999996193E-2</v>
      </c>
    </row>
    <row r="7317" spans="1:7" x14ac:dyDescent="0.25">
      <c r="A7317" s="8">
        <v>98</v>
      </c>
      <c r="B7317" s="8">
        <v>19</v>
      </c>
      <c r="C7317" s="8">
        <v>1737.9301760000001</v>
      </c>
      <c r="D7317" s="8">
        <v>69373.960938000004</v>
      </c>
      <c r="E7317" s="8">
        <v>69398.898438000004</v>
      </c>
      <c r="F7317" s="8">
        <f t="shared" si="228"/>
        <v>24.9375</v>
      </c>
      <c r="G7317" s="8">
        <f t="shared" si="229"/>
        <v>2.4937500000000001E-2</v>
      </c>
    </row>
    <row r="7318" spans="1:7" x14ac:dyDescent="0.25">
      <c r="A7318" s="8">
        <v>98</v>
      </c>
      <c r="B7318" s="8">
        <v>20</v>
      </c>
      <c r="C7318" s="8">
        <v>3010.2309570000002</v>
      </c>
      <c r="D7318" s="8">
        <v>71150.046875</v>
      </c>
      <c r="E7318" s="8">
        <v>71158.59375</v>
      </c>
      <c r="F7318" s="8">
        <f t="shared" si="228"/>
        <v>8.546875</v>
      </c>
      <c r="G7318" s="8">
        <f t="shared" si="229"/>
        <v>8.5468750000000007E-3</v>
      </c>
    </row>
    <row r="7319" spans="1:7" x14ac:dyDescent="0.25">
      <c r="A7319" s="8">
        <v>98</v>
      </c>
      <c r="B7319" s="8">
        <v>21</v>
      </c>
      <c r="C7319" s="8">
        <v>4933.9418949999999</v>
      </c>
      <c r="D7319" s="8">
        <v>74171.945313000004</v>
      </c>
      <c r="E7319" s="8">
        <v>74198.6875</v>
      </c>
      <c r="F7319" s="8">
        <f t="shared" si="228"/>
        <v>26.742186999996193</v>
      </c>
      <c r="G7319" s="8">
        <f t="shared" si="229"/>
        <v>2.6742186999996191E-2</v>
      </c>
    </row>
    <row r="7320" spans="1:7" x14ac:dyDescent="0.25">
      <c r="A7320" s="8">
        <v>98</v>
      </c>
      <c r="B7320" s="8">
        <v>22</v>
      </c>
      <c r="C7320" s="8">
        <v>3038.1958009999998</v>
      </c>
      <c r="D7320" s="8">
        <v>79138.523438000004</v>
      </c>
      <c r="E7320" s="8">
        <v>79162.273438000004</v>
      </c>
      <c r="F7320" s="8">
        <f t="shared" si="228"/>
        <v>23.75</v>
      </c>
      <c r="G7320" s="8">
        <f t="shared" si="229"/>
        <v>2.375E-2</v>
      </c>
    </row>
    <row r="7321" spans="1:7" x14ac:dyDescent="0.25">
      <c r="A7321" s="8">
        <v>98</v>
      </c>
      <c r="B7321" s="8">
        <v>23</v>
      </c>
      <c r="C7321" s="8">
        <v>1213.8287350000001</v>
      </c>
      <c r="D7321" s="8">
        <v>82214.070313000004</v>
      </c>
      <c r="E7321" s="8">
        <v>82232.554688000004</v>
      </c>
      <c r="F7321" s="8">
        <f t="shared" si="228"/>
        <v>18.484375</v>
      </c>
      <c r="G7321" s="8">
        <f t="shared" si="229"/>
        <v>1.8484375000000001E-2</v>
      </c>
    </row>
    <row r="7322" spans="1:7" x14ac:dyDescent="0.25">
      <c r="A7322" s="8">
        <v>98</v>
      </c>
      <c r="B7322" s="8">
        <v>24</v>
      </c>
      <c r="C7322" s="8">
        <v>3282.249268</v>
      </c>
      <c r="D7322" s="8">
        <v>83452.960938000004</v>
      </c>
      <c r="E7322" s="8">
        <v>83471.085938000004</v>
      </c>
      <c r="F7322" s="8">
        <f t="shared" si="228"/>
        <v>18.125</v>
      </c>
      <c r="G7322" s="8">
        <f t="shared" si="229"/>
        <v>1.8124999999999999E-2</v>
      </c>
    </row>
    <row r="7323" spans="1:7" x14ac:dyDescent="0.25">
      <c r="A7323" s="8">
        <v>98</v>
      </c>
      <c r="B7323" s="8">
        <v>25</v>
      </c>
      <c r="C7323" s="8">
        <v>1687.0616460000001</v>
      </c>
      <c r="D7323" s="8">
        <v>86768.414063000004</v>
      </c>
      <c r="E7323" s="8">
        <v>86782.015625</v>
      </c>
      <c r="F7323" s="8">
        <f t="shared" si="228"/>
        <v>13.601561999996193</v>
      </c>
      <c r="G7323" s="8">
        <f t="shared" si="229"/>
        <v>1.3601561999996193E-2</v>
      </c>
    </row>
    <row r="7324" spans="1:7" x14ac:dyDescent="0.25">
      <c r="A7324" s="8">
        <v>98</v>
      </c>
      <c r="B7324" s="8">
        <v>26</v>
      </c>
      <c r="C7324" s="8">
        <v>1464.02063</v>
      </c>
      <c r="D7324" s="8">
        <v>88474.84375</v>
      </c>
      <c r="E7324" s="8">
        <v>88485.640625</v>
      </c>
      <c r="F7324" s="8">
        <f t="shared" si="228"/>
        <v>10.796875</v>
      </c>
      <c r="G7324" s="8">
        <f t="shared" si="229"/>
        <v>1.0796874999999999E-2</v>
      </c>
    </row>
    <row r="7325" spans="1:7" x14ac:dyDescent="0.25">
      <c r="A7325" s="8">
        <v>98</v>
      </c>
      <c r="B7325" s="8">
        <v>27</v>
      </c>
      <c r="C7325" s="8">
        <v>941.80249000000003</v>
      </c>
      <c r="D7325" s="8">
        <v>89964.164063000004</v>
      </c>
      <c r="E7325" s="8">
        <v>89971.867188000004</v>
      </c>
      <c r="F7325" s="8">
        <f t="shared" si="228"/>
        <v>7.703125</v>
      </c>
      <c r="G7325" s="8">
        <f t="shared" si="229"/>
        <v>7.7031249999999999E-3</v>
      </c>
    </row>
    <row r="7326" spans="1:7" x14ac:dyDescent="0.25">
      <c r="A7326" s="8">
        <v>98</v>
      </c>
      <c r="B7326" s="8">
        <v>28</v>
      </c>
      <c r="C7326" s="8">
        <v>5061.6762699999999</v>
      </c>
      <c r="D7326" s="8">
        <v>90917.390625</v>
      </c>
      <c r="E7326" s="8">
        <v>90931.1875</v>
      </c>
      <c r="F7326" s="8">
        <f t="shared" si="228"/>
        <v>13.796875</v>
      </c>
      <c r="G7326" s="8">
        <f t="shared" si="229"/>
        <v>1.3796875E-2</v>
      </c>
    </row>
    <row r="7327" spans="1:7" x14ac:dyDescent="0.25">
      <c r="A7327" s="8">
        <v>98</v>
      </c>
      <c r="B7327" s="8">
        <v>29</v>
      </c>
      <c r="C7327" s="8">
        <v>2867.7778320000002</v>
      </c>
      <c r="D7327" s="8">
        <v>96006.539063000004</v>
      </c>
      <c r="E7327" s="8">
        <v>96023.765625</v>
      </c>
      <c r="F7327" s="8">
        <f t="shared" si="228"/>
        <v>17.226561999996193</v>
      </c>
      <c r="G7327" s="8">
        <f t="shared" si="229"/>
        <v>1.7226561999996191E-2</v>
      </c>
    </row>
    <row r="7328" spans="1:7" x14ac:dyDescent="0.25">
      <c r="A7328" s="8">
        <v>98</v>
      </c>
      <c r="B7328" s="8">
        <v>30</v>
      </c>
      <c r="C7328" s="8">
        <v>3852.0559079999998</v>
      </c>
      <c r="D7328" s="8">
        <v>98894.640625</v>
      </c>
      <c r="E7328" s="8">
        <v>98919.921875</v>
      </c>
      <c r="F7328" s="8">
        <f t="shared" si="228"/>
        <v>25.28125</v>
      </c>
      <c r="G7328" s="8">
        <f t="shared" si="229"/>
        <v>2.5281250000000002E-2</v>
      </c>
    </row>
    <row r="7329" spans="1:7" x14ac:dyDescent="0.25">
      <c r="A7329" s="8">
        <v>98</v>
      </c>
      <c r="B7329" s="8">
        <v>31</v>
      </c>
      <c r="C7329" s="8">
        <v>203.970932</v>
      </c>
      <c r="D7329" s="8">
        <v>102781.757813</v>
      </c>
      <c r="E7329" s="8">
        <v>102805.203125</v>
      </c>
      <c r="F7329" s="8">
        <f t="shared" si="228"/>
        <v>23.445311999996193</v>
      </c>
      <c r="G7329" s="8">
        <f t="shared" si="229"/>
        <v>2.3445311999996193E-2</v>
      </c>
    </row>
    <row r="7330" spans="1:7" x14ac:dyDescent="0.25">
      <c r="A7330" s="8">
        <v>98</v>
      </c>
      <c r="B7330" s="8">
        <v>32</v>
      </c>
      <c r="C7330" s="8">
        <v>441.30349699999999</v>
      </c>
      <c r="D7330" s="8">
        <v>103023.953125</v>
      </c>
      <c r="E7330" s="8">
        <v>103039.664063</v>
      </c>
      <c r="F7330" s="8">
        <f t="shared" si="228"/>
        <v>15.710938000003807</v>
      </c>
      <c r="G7330" s="8">
        <f t="shared" si="229"/>
        <v>1.5710938000003807E-2</v>
      </c>
    </row>
    <row r="7331" spans="1:7" x14ac:dyDescent="0.25">
      <c r="A7331" s="8">
        <v>98</v>
      </c>
      <c r="B7331" s="8">
        <v>33</v>
      </c>
      <c r="C7331" s="8">
        <v>2650.3596189999998</v>
      </c>
      <c r="D7331" s="8">
        <v>103494.585938</v>
      </c>
      <c r="E7331" s="8">
        <v>103505.929688</v>
      </c>
      <c r="F7331" s="8">
        <f t="shared" si="228"/>
        <v>11.34375</v>
      </c>
      <c r="G7331" s="8">
        <f t="shared" si="229"/>
        <v>1.134375E-2</v>
      </c>
    </row>
    <row r="7332" spans="1:7" x14ac:dyDescent="0.25">
      <c r="A7332" s="8">
        <v>98</v>
      </c>
      <c r="B7332" s="8">
        <v>34</v>
      </c>
      <c r="C7332" s="8">
        <v>272.86968999999999</v>
      </c>
      <c r="D7332" s="8">
        <v>106156.5</v>
      </c>
      <c r="E7332" s="8">
        <v>106173.203125</v>
      </c>
      <c r="F7332" s="8">
        <f t="shared" si="228"/>
        <v>16.703125</v>
      </c>
      <c r="G7332" s="8">
        <f t="shared" si="229"/>
        <v>1.6703124999999999E-2</v>
      </c>
    </row>
    <row r="7333" spans="1:7" x14ac:dyDescent="0.25">
      <c r="A7333" s="8">
        <v>98</v>
      </c>
      <c r="B7333" s="8">
        <v>35</v>
      </c>
      <c r="C7333" s="8">
        <v>4266.658203</v>
      </c>
      <c r="D7333" s="8">
        <v>106453.304688</v>
      </c>
      <c r="E7333" s="8">
        <v>106477.117188</v>
      </c>
      <c r="F7333" s="8">
        <f t="shared" si="228"/>
        <v>23.8125</v>
      </c>
      <c r="G7333" s="8">
        <f t="shared" si="229"/>
        <v>2.38125E-2</v>
      </c>
    </row>
    <row r="7334" spans="1:7" x14ac:dyDescent="0.25">
      <c r="A7334" s="8">
        <v>98</v>
      </c>
      <c r="B7334" s="8">
        <v>36</v>
      </c>
      <c r="C7334" s="8">
        <v>1378.071289</v>
      </c>
      <c r="D7334" s="8">
        <v>110752.226563</v>
      </c>
      <c r="E7334" s="8">
        <v>110775.304688</v>
      </c>
      <c r="F7334" s="8">
        <f t="shared" si="228"/>
        <v>23.078125</v>
      </c>
      <c r="G7334" s="8">
        <f t="shared" si="229"/>
        <v>2.3078125000000001E-2</v>
      </c>
    </row>
    <row r="7335" spans="1:7" x14ac:dyDescent="0.25">
      <c r="A7335" s="8">
        <v>98</v>
      </c>
      <c r="B7335" s="8">
        <v>37</v>
      </c>
      <c r="C7335" s="8">
        <v>1280.7861330000001</v>
      </c>
      <c r="D7335" s="8">
        <v>112162.710938</v>
      </c>
      <c r="E7335" s="8">
        <v>112180.492188</v>
      </c>
      <c r="F7335" s="8">
        <f t="shared" si="228"/>
        <v>17.78125</v>
      </c>
      <c r="G7335" s="8">
        <f t="shared" si="229"/>
        <v>1.7781249999999998E-2</v>
      </c>
    </row>
    <row r="7336" spans="1:7" x14ac:dyDescent="0.25">
      <c r="A7336" s="8">
        <v>98</v>
      </c>
      <c r="B7336" s="8">
        <v>38</v>
      </c>
      <c r="C7336" s="8">
        <v>439.02166699999998</v>
      </c>
      <c r="D7336" s="8">
        <v>113471.882813</v>
      </c>
      <c r="E7336" s="8">
        <v>113479.796875</v>
      </c>
      <c r="F7336" s="8">
        <f t="shared" si="228"/>
        <v>7.9140619999961928</v>
      </c>
      <c r="G7336" s="8">
        <f t="shared" si="229"/>
        <v>7.9140619999961935E-3</v>
      </c>
    </row>
    <row r="7337" spans="1:7" x14ac:dyDescent="0.25">
      <c r="A7337" s="8">
        <v>98</v>
      </c>
      <c r="B7337" s="8">
        <v>39</v>
      </c>
      <c r="C7337" s="8">
        <v>478.172394</v>
      </c>
      <c r="D7337" s="8">
        <v>113924.875</v>
      </c>
      <c r="E7337" s="8">
        <v>113952.304688</v>
      </c>
      <c r="F7337" s="8">
        <f t="shared" si="228"/>
        <v>27.429688000003807</v>
      </c>
      <c r="G7337" s="8">
        <f t="shared" si="229"/>
        <v>2.7429688000003807E-2</v>
      </c>
    </row>
    <row r="7338" spans="1:7" x14ac:dyDescent="0.25">
      <c r="A7338" s="8">
        <v>98</v>
      </c>
      <c r="B7338" s="8">
        <v>40</v>
      </c>
      <c r="C7338" s="8">
        <v>2380.6860350000002</v>
      </c>
      <c r="D7338" s="8">
        <v>114440.773438</v>
      </c>
      <c r="E7338" s="8">
        <v>114464.640625</v>
      </c>
      <c r="F7338" s="8">
        <f t="shared" si="228"/>
        <v>23.867186999996193</v>
      </c>
      <c r="G7338" s="8">
        <f t="shared" si="229"/>
        <v>2.3867186999996192E-2</v>
      </c>
    </row>
    <row r="7339" spans="1:7" x14ac:dyDescent="0.25">
      <c r="A7339" s="8">
        <v>98</v>
      </c>
      <c r="B7339" s="8">
        <v>41</v>
      </c>
      <c r="C7339" s="8">
        <v>4139.3852539999998</v>
      </c>
      <c r="D7339" s="8">
        <v>116848.820313</v>
      </c>
      <c r="E7339" s="8">
        <v>116861.070313</v>
      </c>
      <c r="F7339" s="8">
        <f t="shared" si="228"/>
        <v>12.25</v>
      </c>
      <c r="G7339" s="8">
        <f t="shared" si="229"/>
        <v>1.225E-2</v>
      </c>
    </row>
    <row r="7340" spans="1:7" x14ac:dyDescent="0.25">
      <c r="A7340" s="8">
        <v>98</v>
      </c>
      <c r="B7340" s="8">
        <v>42</v>
      </c>
      <c r="C7340" s="8">
        <v>729.71362299999998</v>
      </c>
      <c r="D7340" s="8">
        <v>121002.023438</v>
      </c>
      <c r="E7340" s="8">
        <v>121015.585938</v>
      </c>
      <c r="F7340" s="8">
        <f t="shared" si="228"/>
        <v>13.5625</v>
      </c>
      <c r="G7340" s="8">
        <f t="shared" si="229"/>
        <v>1.35625E-2</v>
      </c>
    </row>
    <row r="7341" spans="1:7" x14ac:dyDescent="0.25">
      <c r="A7341" s="8">
        <v>98</v>
      </c>
      <c r="B7341" s="8">
        <v>43</v>
      </c>
      <c r="C7341" s="8">
        <v>141.817307</v>
      </c>
      <c r="D7341" s="8">
        <v>121752.125</v>
      </c>
      <c r="E7341" s="8">
        <v>121766.070313</v>
      </c>
      <c r="F7341" s="8">
        <f t="shared" si="228"/>
        <v>13.945313000003807</v>
      </c>
      <c r="G7341" s="8">
        <f t="shared" si="229"/>
        <v>1.3945313000003807E-2</v>
      </c>
    </row>
    <row r="7342" spans="1:7" x14ac:dyDescent="0.25">
      <c r="A7342" s="8">
        <v>98</v>
      </c>
      <c r="B7342" s="8">
        <v>44</v>
      </c>
      <c r="C7342" s="8">
        <v>542.61279300000001</v>
      </c>
      <c r="D7342" s="8">
        <v>121908.132813</v>
      </c>
      <c r="E7342" s="8">
        <v>121915.773438</v>
      </c>
      <c r="F7342" s="8">
        <f t="shared" si="228"/>
        <v>7.640625</v>
      </c>
      <c r="G7342" s="8">
        <f t="shared" si="229"/>
        <v>7.6406249999999998E-3</v>
      </c>
    </row>
    <row r="7343" spans="1:7" x14ac:dyDescent="0.25">
      <c r="A7343" s="8">
        <v>98</v>
      </c>
      <c r="B7343" s="8">
        <v>45</v>
      </c>
      <c r="C7343" s="8">
        <v>6341.9360349999997</v>
      </c>
      <c r="D7343" s="8">
        <v>122470.898438</v>
      </c>
      <c r="E7343" s="8">
        <v>122497.867188</v>
      </c>
      <c r="F7343" s="8">
        <f t="shared" si="228"/>
        <v>26.96875</v>
      </c>
      <c r="G7343" s="8">
        <f t="shared" si="229"/>
        <v>2.696875E-2</v>
      </c>
    </row>
    <row r="7344" spans="1:7" x14ac:dyDescent="0.25">
      <c r="A7344" s="8">
        <v>98</v>
      </c>
      <c r="B7344" s="8">
        <v>46</v>
      </c>
      <c r="C7344" s="8">
        <v>3354.0864259999998</v>
      </c>
      <c r="D7344" s="8">
        <v>128848.242188</v>
      </c>
      <c r="E7344" s="8">
        <v>128859.75</v>
      </c>
      <c r="F7344" s="8">
        <f t="shared" si="228"/>
        <v>11.507811999996193</v>
      </c>
      <c r="G7344" s="8">
        <f t="shared" si="229"/>
        <v>1.1507811999996193E-2</v>
      </c>
    </row>
    <row r="7345" spans="1:7" x14ac:dyDescent="0.25">
      <c r="A7345" s="8">
        <v>98</v>
      </c>
      <c r="B7345" s="8">
        <v>47</v>
      </c>
      <c r="C7345" s="8">
        <v>1832.8560789999999</v>
      </c>
      <c r="D7345" s="8">
        <v>132217.671875</v>
      </c>
      <c r="E7345" s="8">
        <v>132235.0625</v>
      </c>
      <c r="F7345" s="8">
        <f t="shared" si="228"/>
        <v>17.390625</v>
      </c>
      <c r="G7345" s="8">
        <f t="shared" si="229"/>
        <v>1.7390625E-2</v>
      </c>
    </row>
    <row r="7346" spans="1:7" x14ac:dyDescent="0.25">
      <c r="A7346" s="8">
        <v>98</v>
      </c>
      <c r="B7346" s="8">
        <v>48</v>
      </c>
      <c r="C7346" s="8">
        <v>1308.06897</v>
      </c>
      <c r="D7346" s="8">
        <v>134081.921875</v>
      </c>
      <c r="E7346" s="8">
        <v>134104.65625</v>
      </c>
      <c r="F7346" s="8">
        <f t="shared" si="228"/>
        <v>22.734375</v>
      </c>
      <c r="G7346" s="8">
        <f t="shared" si="229"/>
        <v>2.2734375000000001E-2</v>
      </c>
    </row>
    <row r="7347" spans="1:7" x14ac:dyDescent="0.25">
      <c r="A7347" s="8">
        <v>98</v>
      </c>
      <c r="B7347" s="8">
        <v>49</v>
      </c>
      <c r="C7347" s="8">
        <v>2581.507568</v>
      </c>
      <c r="D7347" s="8">
        <v>135413.328125</v>
      </c>
      <c r="E7347" s="8">
        <v>135424.796875</v>
      </c>
      <c r="F7347" s="8">
        <f t="shared" si="228"/>
        <v>11.46875</v>
      </c>
      <c r="G7347" s="8">
        <f t="shared" si="229"/>
        <v>1.146875E-2</v>
      </c>
    </row>
    <row r="7348" spans="1:7" x14ac:dyDescent="0.25">
      <c r="A7348" s="8">
        <v>98</v>
      </c>
      <c r="B7348" s="8">
        <v>50</v>
      </c>
      <c r="C7348" s="8">
        <v>23.885452000000001</v>
      </c>
      <c r="D7348" s="8">
        <v>138015.609375</v>
      </c>
      <c r="E7348" s="8">
        <v>138028.53125</v>
      </c>
      <c r="F7348" s="8">
        <f t="shared" si="228"/>
        <v>12.921875</v>
      </c>
      <c r="G7348" s="8">
        <f t="shared" si="229"/>
        <v>1.2921874999999999E-2</v>
      </c>
    </row>
    <row r="7349" spans="1:7" x14ac:dyDescent="0.25">
      <c r="A7349" s="8">
        <v>98</v>
      </c>
      <c r="B7349" s="8">
        <v>51</v>
      </c>
      <c r="C7349" s="8">
        <v>1630.822388</v>
      </c>
      <c r="D7349" s="8">
        <v>138062.421875</v>
      </c>
      <c r="E7349" s="8">
        <v>138079.359375</v>
      </c>
      <c r="F7349" s="8">
        <f t="shared" si="228"/>
        <v>16.9375</v>
      </c>
      <c r="G7349" s="8">
        <f t="shared" si="229"/>
        <v>1.6937500000000001E-2</v>
      </c>
    </row>
    <row r="7350" spans="1:7" x14ac:dyDescent="0.25">
      <c r="A7350" s="8">
        <v>98</v>
      </c>
      <c r="B7350" s="8">
        <v>52</v>
      </c>
      <c r="C7350" s="8">
        <v>3098.7722170000002</v>
      </c>
      <c r="D7350" s="8">
        <v>139709.65625</v>
      </c>
      <c r="E7350" s="8">
        <v>139720.03125</v>
      </c>
      <c r="F7350" s="8">
        <f t="shared" si="228"/>
        <v>10.375</v>
      </c>
      <c r="G7350" s="8">
        <f t="shared" si="229"/>
        <v>1.0375000000000001E-2</v>
      </c>
    </row>
    <row r="7351" spans="1:7" x14ac:dyDescent="0.25">
      <c r="A7351" s="8">
        <v>98</v>
      </c>
      <c r="B7351" s="8">
        <v>53</v>
      </c>
      <c r="C7351" s="8">
        <v>2672.2983399999998</v>
      </c>
      <c r="D7351" s="8">
        <v>142827.765625</v>
      </c>
      <c r="E7351" s="8">
        <v>142848.734375</v>
      </c>
      <c r="F7351" s="8">
        <f t="shared" si="228"/>
        <v>20.96875</v>
      </c>
      <c r="G7351" s="8">
        <f t="shared" si="229"/>
        <v>2.0968750000000001E-2</v>
      </c>
    </row>
    <row r="7352" spans="1:7" x14ac:dyDescent="0.25">
      <c r="A7352" s="8">
        <v>98</v>
      </c>
      <c r="B7352" s="8">
        <v>54</v>
      </c>
      <c r="C7352" s="8">
        <v>2749.7092290000001</v>
      </c>
      <c r="D7352" s="8">
        <v>145521.5</v>
      </c>
      <c r="E7352" s="8">
        <v>145539.125</v>
      </c>
      <c r="F7352" s="8">
        <f t="shared" si="228"/>
        <v>17.625</v>
      </c>
      <c r="G7352" s="8">
        <f t="shared" si="229"/>
        <v>1.7624999999999998E-2</v>
      </c>
    </row>
    <row r="7353" spans="1:7" x14ac:dyDescent="0.25">
      <c r="A7353" s="8">
        <v>98</v>
      </c>
      <c r="B7353" s="8">
        <v>55</v>
      </c>
      <c r="C7353" s="8">
        <v>736.31787099999997</v>
      </c>
      <c r="D7353" s="8">
        <v>148290.171875</v>
      </c>
      <c r="E7353" s="8">
        <v>148312.6875</v>
      </c>
      <c r="F7353" s="8">
        <f t="shared" si="228"/>
        <v>22.515625</v>
      </c>
      <c r="G7353" s="8">
        <f t="shared" si="229"/>
        <v>2.2515625000000001E-2</v>
      </c>
    </row>
    <row r="7354" spans="1:7" x14ac:dyDescent="0.25">
      <c r="A7354" s="8">
        <v>98</v>
      </c>
      <c r="B7354" s="8">
        <v>56</v>
      </c>
      <c r="C7354" s="8">
        <v>3839.1137699999999</v>
      </c>
      <c r="D7354" s="8">
        <v>149056.59375</v>
      </c>
      <c r="E7354" s="8">
        <v>149074.359375</v>
      </c>
      <c r="F7354" s="8">
        <f t="shared" si="228"/>
        <v>17.765625</v>
      </c>
      <c r="G7354" s="8">
        <f t="shared" si="229"/>
        <v>1.7765625E-2</v>
      </c>
    </row>
    <row r="7355" spans="1:7" x14ac:dyDescent="0.25">
      <c r="A7355" s="8">
        <v>98</v>
      </c>
      <c r="B7355" s="8">
        <v>57</v>
      </c>
      <c r="C7355" s="8">
        <v>65.075089000000006</v>
      </c>
      <c r="D7355" s="8">
        <v>152922.03125</v>
      </c>
      <c r="E7355" s="8">
        <v>152967.640625</v>
      </c>
      <c r="F7355" s="8">
        <f t="shared" si="228"/>
        <v>45.609375</v>
      </c>
      <c r="G7355" s="8">
        <f t="shared" si="229"/>
        <v>4.5609375000000001E-2</v>
      </c>
    </row>
    <row r="7356" spans="1:7" x14ac:dyDescent="0.25">
      <c r="A7356" s="8">
        <v>98</v>
      </c>
      <c r="B7356" s="8">
        <v>58</v>
      </c>
      <c r="C7356" s="8">
        <v>115.84335299999999</v>
      </c>
      <c r="D7356" s="8">
        <v>153047.046875</v>
      </c>
      <c r="E7356" s="8">
        <v>153059.75</v>
      </c>
      <c r="F7356" s="8">
        <f t="shared" si="228"/>
        <v>12.703125</v>
      </c>
      <c r="G7356" s="8">
        <f t="shared" si="229"/>
        <v>1.2703124999999999E-2</v>
      </c>
    </row>
    <row r="7357" spans="1:7" x14ac:dyDescent="0.25">
      <c r="A7357" s="8">
        <v>98</v>
      </c>
      <c r="B7357" s="8">
        <v>59</v>
      </c>
      <c r="C7357" s="8">
        <v>3112.61499</v>
      </c>
      <c r="D7357" s="8">
        <v>153187.671875</v>
      </c>
      <c r="E7357" s="8">
        <v>153211.359375</v>
      </c>
      <c r="F7357" s="8">
        <f t="shared" si="228"/>
        <v>23.6875</v>
      </c>
      <c r="G7357" s="8">
        <f t="shared" si="229"/>
        <v>2.36875E-2</v>
      </c>
    </row>
    <row r="7358" spans="1:7" x14ac:dyDescent="0.25">
      <c r="A7358" s="8">
        <v>98</v>
      </c>
      <c r="B7358" s="8">
        <v>60</v>
      </c>
      <c r="C7358" s="8">
        <v>480.26650999999998</v>
      </c>
      <c r="D7358" s="8">
        <v>156328.609375</v>
      </c>
      <c r="E7358" s="8">
        <v>156340.4375</v>
      </c>
      <c r="F7358" s="8">
        <f t="shared" si="228"/>
        <v>11.828125</v>
      </c>
      <c r="G7358" s="8">
        <f t="shared" si="229"/>
        <v>1.1828125E-2</v>
      </c>
    </row>
    <row r="7359" spans="1:7" x14ac:dyDescent="0.25">
      <c r="A7359" s="8">
        <v>98</v>
      </c>
      <c r="B7359" s="8">
        <v>61</v>
      </c>
      <c r="C7359" s="8">
        <v>1207.9021</v>
      </c>
      <c r="D7359" s="8">
        <v>156828.71875</v>
      </c>
      <c r="E7359" s="8">
        <v>156844.28125</v>
      </c>
      <c r="F7359" s="8">
        <f t="shared" si="228"/>
        <v>15.5625</v>
      </c>
      <c r="G7359" s="8">
        <f t="shared" si="229"/>
        <v>1.55625E-2</v>
      </c>
    </row>
    <row r="7360" spans="1:7" x14ac:dyDescent="0.25">
      <c r="A7360" s="8">
        <v>98</v>
      </c>
      <c r="B7360" s="8">
        <v>62</v>
      </c>
      <c r="C7360" s="8">
        <v>1598.7998050000001</v>
      </c>
      <c r="D7360" s="8">
        <v>158063.1875</v>
      </c>
      <c r="E7360" s="8">
        <v>158076.609375</v>
      </c>
      <c r="F7360" s="8">
        <f t="shared" si="228"/>
        <v>13.421875</v>
      </c>
      <c r="G7360" s="8">
        <f t="shared" si="229"/>
        <v>1.3421875E-2</v>
      </c>
    </row>
    <row r="7361" spans="1:7" x14ac:dyDescent="0.25">
      <c r="A7361" s="8">
        <v>98</v>
      </c>
      <c r="B7361" s="8">
        <v>63</v>
      </c>
      <c r="C7361" s="8">
        <v>553.12835700000005</v>
      </c>
      <c r="D7361" s="8">
        <v>159689.359375</v>
      </c>
      <c r="E7361" s="8">
        <v>159700.15625</v>
      </c>
      <c r="F7361" s="8">
        <f t="shared" si="228"/>
        <v>10.796875</v>
      </c>
      <c r="G7361" s="8">
        <f t="shared" si="229"/>
        <v>1.0796874999999999E-2</v>
      </c>
    </row>
    <row r="7362" spans="1:7" x14ac:dyDescent="0.25">
      <c r="A7362" s="8">
        <v>98</v>
      </c>
      <c r="B7362" s="8">
        <v>64</v>
      </c>
      <c r="C7362" s="8">
        <v>1104.439087</v>
      </c>
      <c r="D7362" s="8">
        <v>160267.546875</v>
      </c>
      <c r="E7362" s="8">
        <v>160278.796875</v>
      </c>
      <c r="F7362" s="8">
        <f t="shared" si="228"/>
        <v>11.25</v>
      </c>
      <c r="G7362" s="8">
        <f t="shared" si="229"/>
        <v>1.125E-2</v>
      </c>
    </row>
    <row r="7363" spans="1:7" x14ac:dyDescent="0.25">
      <c r="A7363" s="8">
        <v>98</v>
      </c>
      <c r="B7363" s="8">
        <v>65</v>
      </c>
      <c r="C7363" s="8">
        <v>11121.791015999999</v>
      </c>
      <c r="D7363" s="8">
        <v>161392.640625</v>
      </c>
      <c r="E7363" s="8">
        <v>161409.984375</v>
      </c>
      <c r="F7363" s="8">
        <f t="shared" si="228"/>
        <v>17.34375</v>
      </c>
      <c r="G7363" s="8">
        <f t="shared" si="229"/>
        <v>1.7343750000000002E-2</v>
      </c>
    </row>
    <row r="7364" spans="1:7" x14ac:dyDescent="0.25">
      <c r="A7364" s="8">
        <v>99</v>
      </c>
      <c r="B7364" s="8">
        <v>0</v>
      </c>
      <c r="C7364" s="8">
        <v>733.58532700000001</v>
      </c>
      <c r="D7364" s="8">
        <v>20813.023438</v>
      </c>
      <c r="E7364" s="8">
        <v>20934.091797000001</v>
      </c>
      <c r="F7364" s="8">
        <f t="shared" si="228"/>
        <v>121.06835900000078</v>
      </c>
      <c r="G7364" s="8">
        <f t="shared" si="229"/>
        <v>0.12106835900000078</v>
      </c>
    </row>
    <row r="7365" spans="1:7" x14ac:dyDescent="0.25">
      <c r="A7365" s="8">
        <v>99</v>
      </c>
      <c r="B7365" s="8">
        <v>1</v>
      </c>
      <c r="C7365" s="8">
        <v>1799.860107</v>
      </c>
      <c r="D7365" s="8">
        <v>21672.503906000002</v>
      </c>
      <c r="E7365" s="8">
        <v>21683.480468999998</v>
      </c>
      <c r="F7365" s="8">
        <f t="shared" si="228"/>
        <v>10.976562999996531</v>
      </c>
      <c r="G7365" s="8">
        <f t="shared" si="229"/>
        <v>1.097656299999653E-2</v>
      </c>
    </row>
    <row r="7366" spans="1:7" x14ac:dyDescent="0.25">
      <c r="A7366" s="8">
        <v>99</v>
      </c>
      <c r="B7366" s="8">
        <v>2</v>
      </c>
      <c r="C7366" s="8">
        <v>186.87623600000001</v>
      </c>
      <c r="D7366" s="8">
        <v>23490.431640999999</v>
      </c>
      <c r="E7366" s="8">
        <v>23510.619140999999</v>
      </c>
      <c r="F7366" s="8">
        <f t="shared" si="228"/>
        <v>20.1875</v>
      </c>
      <c r="G7366" s="8">
        <f t="shared" si="229"/>
        <v>2.0187500000000001E-2</v>
      </c>
    </row>
    <row r="7367" spans="1:7" x14ac:dyDescent="0.25">
      <c r="A7367" s="8">
        <v>99</v>
      </c>
      <c r="B7367" s="8">
        <v>3</v>
      </c>
      <c r="C7367" s="8">
        <v>1757.2342530000001</v>
      </c>
      <c r="D7367" s="8">
        <v>23709.240234000001</v>
      </c>
      <c r="E7367" s="8">
        <v>23721.878906000002</v>
      </c>
      <c r="F7367" s="8">
        <f t="shared" si="228"/>
        <v>12.638672000000952</v>
      </c>
      <c r="G7367" s="8">
        <f t="shared" si="229"/>
        <v>1.2638672000000952E-2</v>
      </c>
    </row>
    <row r="7368" spans="1:7" x14ac:dyDescent="0.25">
      <c r="A7368" s="8">
        <v>99</v>
      </c>
      <c r="B7368" s="8">
        <v>4</v>
      </c>
      <c r="C7368" s="8">
        <v>1416.3664550000001</v>
      </c>
      <c r="D7368" s="8">
        <v>25490.646484000001</v>
      </c>
      <c r="E7368" s="8">
        <v>25503.164063</v>
      </c>
      <c r="F7368" s="8">
        <f t="shared" si="228"/>
        <v>12.517578999999387</v>
      </c>
      <c r="G7368" s="8">
        <f t="shared" si="229"/>
        <v>1.2517578999999387E-2</v>
      </c>
    </row>
    <row r="7369" spans="1:7" x14ac:dyDescent="0.25">
      <c r="A7369" s="8">
        <v>99</v>
      </c>
      <c r="B7369" s="8">
        <v>5</v>
      </c>
      <c r="C7369" s="8">
        <v>5564.7436520000001</v>
      </c>
      <c r="D7369" s="8">
        <v>26930.652343999998</v>
      </c>
      <c r="E7369" s="8">
        <v>26960.548827999999</v>
      </c>
      <c r="F7369" s="8">
        <f t="shared" si="228"/>
        <v>29.896484000000783</v>
      </c>
      <c r="G7369" s="8">
        <f t="shared" si="229"/>
        <v>2.9896484000000782E-2</v>
      </c>
    </row>
    <row r="7370" spans="1:7" x14ac:dyDescent="0.25">
      <c r="A7370" s="8">
        <v>99</v>
      </c>
      <c r="B7370" s="8">
        <v>6</v>
      </c>
      <c r="C7370" s="8">
        <v>629.83203100000003</v>
      </c>
      <c r="D7370" s="8">
        <v>32535.724609000001</v>
      </c>
      <c r="E7370" s="8">
        <v>32546.542968999998</v>
      </c>
      <c r="F7370" s="8">
        <f t="shared" si="228"/>
        <v>10.818359999997483</v>
      </c>
      <c r="G7370" s="8">
        <f t="shared" si="229"/>
        <v>1.0818359999997484E-2</v>
      </c>
    </row>
    <row r="7371" spans="1:7" x14ac:dyDescent="0.25">
      <c r="A7371" s="8">
        <v>99</v>
      </c>
      <c r="B7371" s="8">
        <v>7</v>
      </c>
      <c r="C7371" s="8">
        <v>544.77557400000001</v>
      </c>
      <c r="D7371" s="8">
        <v>33176.382812999997</v>
      </c>
      <c r="E7371" s="8">
        <v>33188.175780999998</v>
      </c>
      <c r="F7371" s="8">
        <f t="shared" ref="F7371:F7434" si="230">E7371-D7371</f>
        <v>11.792968000001565</v>
      </c>
      <c r="G7371" s="8">
        <f t="shared" ref="G7371:G7434" si="231">F7371/1000</f>
        <v>1.1792968000001566E-2</v>
      </c>
    </row>
    <row r="7372" spans="1:7" x14ac:dyDescent="0.25">
      <c r="A7372" s="8">
        <v>99</v>
      </c>
      <c r="B7372" s="8">
        <v>8</v>
      </c>
      <c r="C7372" s="8">
        <v>1128.009644</v>
      </c>
      <c r="D7372" s="8">
        <v>33743.816405999998</v>
      </c>
      <c r="E7372" s="8">
        <v>33769.699219000002</v>
      </c>
      <c r="F7372" s="8">
        <f t="shared" si="230"/>
        <v>25.882813000003807</v>
      </c>
      <c r="G7372" s="8">
        <f t="shared" si="231"/>
        <v>2.5882813000003807E-2</v>
      </c>
    </row>
    <row r="7373" spans="1:7" x14ac:dyDescent="0.25">
      <c r="A7373" s="8">
        <v>99</v>
      </c>
      <c r="B7373" s="8">
        <v>9</v>
      </c>
      <c r="C7373" s="8">
        <v>185.067566</v>
      </c>
      <c r="D7373" s="8">
        <v>34905.03125</v>
      </c>
      <c r="E7373" s="8">
        <v>34929.195312999997</v>
      </c>
      <c r="F7373" s="8">
        <f t="shared" si="230"/>
        <v>24.164062999996531</v>
      </c>
      <c r="G7373" s="8">
        <f t="shared" si="231"/>
        <v>2.416406299999653E-2</v>
      </c>
    </row>
    <row r="7374" spans="1:7" x14ac:dyDescent="0.25">
      <c r="A7374" s="8">
        <v>99</v>
      </c>
      <c r="B7374" s="8">
        <v>10</v>
      </c>
      <c r="C7374" s="8">
        <v>792.39996299999996</v>
      </c>
      <c r="D7374" s="8">
        <v>35123.816405999998</v>
      </c>
      <c r="E7374" s="8">
        <v>35150.855469000002</v>
      </c>
      <c r="F7374" s="8">
        <f t="shared" si="230"/>
        <v>27.039063000003807</v>
      </c>
      <c r="G7374" s="8">
        <f t="shared" si="231"/>
        <v>2.7039063000003808E-2</v>
      </c>
    </row>
    <row r="7375" spans="1:7" x14ac:dyDescent="0.25">
      <c r="A7375" s="8">
        <v>99</v>
      </c>
      <c r="B7375" s="8">
        <v>11</v>
      </c>
      <c r="C7375" s="8">
        <v>2613.2687989999999</v>
      </c>
      <c r="D7375" s="8">
        <v>35952.027344000002</v>
      </c>
      <c r="E7375" s="8">
        <v>35962.410155999998</v>
      </c>
      <c r="F7375" s="8">
        <f t="shared" si="230"/>
        <v>10.382811999996193</v>
      </c>
      <c r="G7375" s="8">
        <f t="shared" si="231"/>
        <v>1.0382811999996192E-2</v>
      </c>
    </row>
    <row r="7376" spans="1:7" x14ac:dyDescent="0.25">
      <c r="A7376" s="8">
        <v>99</v>
      </c>
      <c r="B7376" s="8">
        <v>12</v>
      </c>
      <c r="C7376" s="8">
        <v>1077.1647949999999</v>
      </c>
      <c r="D7376" s="8">
        <v>38589.390625</v>
      </c>
      <c r="E7376" s="8">
        <v>38608.363280999998</v>
      </c>
      <c r="F7376" s="8">
        <f t="shared" si="230"/>
        <v>18.972655999998096</v>
      </c>
      <c r="G7376" s="8">
        <f t="shared" si="231"/>
        <v>1.8972655999998096E-2</v>
      </c>
    </row>
    <row r="7377" spans="1:7" x14ac:dyDescent="0.25">
      <c r="A7377" s="8">
        <v>99</v>
      </c>
      <c r="B7377" s="8">
        <v>13</v>
      </c>
      <c r="C7377" s="8">
        <v>1119.8726810000001</v>
      </c>
      <c r="D7377" s="8">
        <v>39699.234375</v>
      </c>
      <c r="E7377" s="8">
        <v>39718.972655999998</v>
      </c>
      <c r="F7377" s="8">
        <f t="shared" si="230"/>
        <v>19.738280999998096</v>
      </c>
      <c r="G7377" s="8">
        <f t="shared" si="231"/>
        <v>1.9738280999998095E-2</v>
      </c>
    </row>
    <row r="7378" spans="1:7" x14ac:dyDescent="0.25">
      <c r="A7378" s="8">
        <v>99</v>
      </c>
      <c r="B7378" s="8">
        <v>14</v>
      </c>
      <c r="C7378" s="8">
        <v>1045.3101810000001</v>
      </c>
      <c r="D7378" s="8">
        <v>40840.761719000002</v>
      </c>
      <c r="E7378" s="8">
        <v>40849.925780999998</v>
      </c>
      <c r="F7378" s="8">
        <f t="shared" si="230"/>
        <v>9.1640619999961928</v>
      </c>
      <c r="G7378" s="8">
        <f t="shared" si="231"/>
        <v>9.1640619999961929E-3</v>
      </c>
    </row>
    <row r="7379" spans="1:7" x14ac:dyDescent="0.25">
      <c r="A7379" s="8">
        <v>99</v>
      </c>
      <c r="B7379" s="8">
        <v>15</v>
      </c>
      <c r="C7379" s="8">
        <v>486.09524499999998</v>
      </c>
      <c r="D7379" s="8">
        <v>41903.371094000002</v>
      </c>
      <c r="E7379" s="8">
        <v>41913.484375</v>
      </c>
      <c r="F7379" s="8">
        <f t="shared" si="230"/>
        <v>10.113280999998096</v>
      </c>
      <c r="G7379" s="8">
        <f t="shared" si="231"/>
        <v>1.0113280999998097E-2</v>
      </c>
    </row>
    <row r="7380" spans="1:7" x14ac:dyDescent="0.25">
      <c r="A7380" s="8">
        <v>99</v>
      </c>
      <c r="B7380" s="8">
        <v>16</v>
      </c>
      <c r="C7380" s="8">
        <v>2344.0935060000002</v>
      </c>
      <c r="D7380" s="8">
        <v>42407.671875</v>
      </c>
      <c r="E7380" s="8">
        <v>42432.363280999998</v>
      </c>
      <c r="F7380" s="8">
        <f t="shared" si="230"/>
        <v>24.691405999998096</v>
      </c>
      <c r="G7380" s="8">
        <f t="shared" si="231"/>
        <v>2.4691405999998098E-2</v>
      </c>
    </row>
    <row r="7381" spans="1:7" x14ac:dyDescent="0.25">
      <c r="A7381" s="8">
        <v>99</v>
      </c>
      <c r="B7381" s="8">
        <v>17</v>
      </c>
      <c r="C7381" s="8">
        <v>2223.2729490000002</v>
      </c>
      <c r="D7381" s="8">
        <v>44787.523437999997</v>
      </c>
      <c r="E7381" s="8">
        <v>44807.253905999998</v>
      </c>
      <c r="F7381" s="8">
        <f t="shared" si="230"/>
        <v>19.730468000001565</v>
      </c>
      <c r="G7381" s="8">
        <f t="shared" si="231"/>
        <v>1.9730468000001566E-2</v>
      </c>
    </row>
    <row r="7382" spans="1:7" x14ac:dyDescent="0.25">
      <c r="A7382" s="8">
        <v>99</v>
      </c>
      <c r="B7382" s="8">
        <v>18</v>
      </c>
      <c r="C7382" s="8">
        <v>2396.6044919999999</v>
      </c>
      <c r="D7382" s="8">
        <v>47032.199219000002</v>
      </c>
      <c r="E7382" s="8">
        <v>47039.40625</v>
      </c>
      <c r="F7382" s="8">
        <f t="shared" si="230"/>
        <v>7.2070309999980964</v>
      </c>
      <c r="G7382" s="8">
        <f t="shared" si="231"/>
        <v>7.2070309999980962E-3</v>
      </c>
    </row>
    <row r="7383" spans="1:7" x14ac:dyDescent="0.25">
      <c r="A7383" s="8">
        <v>99</v>
      </c>
      <c r="B7383" s="8">
        <v>19</v>
      </c>
      <c r="C7383" s="8">
        <v>2166.7561040000001</v>
      </c>
      <c r="D7383" s="8">
        <v>49436.175780999998</v>
      </c>
      <c r="E7383" s="8">
        <v>49443.910155999998</v>
      </c>
      <c r="F7383" s="8">
        <f t="shared" si="230"/>
        <v>7.734375</v>
      </c>
      <c r="G7383" s="8">
        <f t="shared" si="231"/>
        <v>7.7343749999999999E-3</v>
      </c>
    </row>
    <row r="7384" spans="1:7" x14ac:dyDescent="0.25">
      <c r="A7384" s="8">
        <v>99</v>
      </c>
      <c r="B7384" s="8">
        <v>20</v>
      </c>
      <c r="C7384" s="8">
        <v>643.84722899999997</v>
      </c>
      <c r="D7384" s="8">
        <v>51623.082030999998</v>
      </c>
      <c r="E7384" s="8">
        <v>51638.222655999998</v>
      </c>
      <c r="F7384" s="8">
        <f t="shared" si="230"/>
        <v>15.140625</v>
      </c>
      <c r="G7384" s="8">
        <f t="shared" si="231"/>
        <v>1.5140625E-2</v>
      </c>
    </row>
    <row r="7385" spans="1:7" x14ac:dyDescent="0.25">
      <c r="A7385" s="8">
        <v>99</v>
      </c>
      <c r="B7385" s="8">
        <v>21</v>
      </c>
      <c r="C7385" s="8">
        <v>1411.7863769999999</v>
      </c>
      <c r="D7385" s="8">
        <v>52295.164062999997</v>
      </c>
      <c r="E7385" s="8">
        <v>52315.808594000002</v>
      </c>
      <c r="F7385" s="8">
        <f t="shared" si="230"/>
        <v>20.644531000005372</v>
      </c>
      <c r="G7385" s="8">
        <f t="shared" si="231"/>
        <v>2.0644531000005371E-2</v>
      </c>
    </row>
    <row r="7386" spans="1:7" x14ac:dyDescent="0.25">
      <c r="A7386" s="8">
        <v>99</v>
      </c>
      <c r="B7386" s="8">
        <v>22</v>
      </c>
      <c r="C7386" s="8">
        <v>858.896118</v>
      </c>
      <c r="D7386" s="8">
        <v>53733.640625</v>
      </c>
      <c r="E7386" s="8">
        <v>53756.417969000002</v>
      </c>
      <c r="F7386" s="8">
        <f t="shared" si="230"/>
        <v>22.777344000001904</v>
      </c>
      <c r="G7386" s="8">
        <f t="shared" si="231"/>
        <v>2.2777344000001903E-2</v>
      </c>
    </row>
    <row r="7387" spans="1:7" x14ac:dyDescent="0.25">
      <c r="A7387" s="8">
        <v>99</v>
      </c>
      <c r="B7387" s="8">
        <v>23</v>
      </c>
      <c r="C7387" s="8">
        <v>1215.0607910000001</v>
      </c>
      <c r="D7387" s="8">
        <v>54628.574219000002</v>
      </c>
      <c r="E7387" s="8">
        <v>54643.917969000002</v>
      </c>
      <c r="F7387" s="8">
        <f t="shared" si="230"/>
        <v>15.34375</v>
      </c>
      <c r="G7387" s="8">
        <f t="shared" si="231"/>
        <v>1.534375E-2</v>
      </c>
    </row>
    <row r="7388" spans="1:7" x14ac:dyDescent="0.25">
      <c r="A7388" s="8">
        <v>99</v>
      </c>
      <c r="B7388" s="8">
        <v>24</v>
      </c>
      <c r="C7388" s="8">
        <v>9.8512389999999996</v>
      </c>
      <c r="D7388" s="8">
        <v>55863.039062999997</v>
      </c>
      <c r="E7388" s="8">
        <v>55886.421875</v>
      </c>
      <c r="F7388" s="8">
        <f t="shared" si="230"/>
        <v>23.382812000003469</v>
      </c>
      <c r="G7388" s="8">
        <f t="shared" si="231"/>
        <v>2.3382812000003469E-2</v>
      </c>
    </row>
    <row r="7389" spans="1:7" x14ac:dyDescent="0.25">
      <c r="A7389" s="8">
        <v>99</v>
      </c>
      <c r="B7389" s="8">
        <v>25</v>
      </c>
      <c r="C7389" s="8">
        <v>5484.5205079999996</v>
      </c>
      <c r="D7389" s="8">
        <v>55909.863280999998</v>
      </c>
      <c r="E7389" s="8">
        <v>55936.171875</v>
      </c>
      <c r="F7389" s="8">
        <f t="shared" si="230"/>
        <v>26.308594000001904</v>
      </c>
      <c r="G7389" s="8">
        <f t="shared" si="231"/>
        <v>2.6308594000001902E-2</v>
      </c>
    </row>
    <row r="7390" spans="1:7" x14ac:dyDescent="0.25">
      <c r="A7390" s="8">
        <v>99</v>
      </c>
      <c r="B7390" s="8">
        <v>26</v>
      </c>
      <c r="C7390" s="8">
        <v>870.36987299999998</v>
      </c>
      <c r="D7390" s="8">
        <v>61435.101562999997</v>
      </c>
      <c r="E7390" s="8">
        <v>61463.382812999997</v>
      </c>
      <c r="F7390" s="8">
        <f t="shared" si="230"/>
        <v>28.28125</v>
      </c>
      <c r="G7390" s="8">
        <f t="shared" si="231"/>
        <v>2.8281250000000001E-2</v>
      </c>
    </row>
    <row r="7391" spans="1:7" x14ac:dyDescent="0.25">
      <c r="A7391" s="8">
        <v>99</v>
      </c>
      <c r="B7391" s="8">
        <v>27</v>
      </c>
      <c r="C7391" s="8">
        <v>279.10586499999999</v>
      </c>
      <c r="D7391" s="8">
        <v>62344.757812999997</v>
      </c>
      <c r="E7391" s="8">
        <v>62361.90625</v>
      </c>
      <c r="F7391" s="8">
        <f t="shared" si="230"/>
        <v>17.148437000003469</v>
      </c>
      <c r="G7391" s="8">
        <f t="shared" si="231"/>
        <v>1.7148437000003468E-2</v>
      </c>
    </row>
    <row r="7392" spans="1:7" x14ac:dyDescent="0.25">
      <c r="A7392" s="8">
        <v>99</v>
      </c>
      <c r="B7392" s="8">
        <v>28</v>
      </c>
      <c r="C7392" s="8">
        <v>548.86730999999997</v>
      </c>
      <c r="D7392" s="8">
        <v>62641.699219000002</v>
      </c>
      <c r="E7392" s="8">
        <v>62663.527344000002</v>
      </c>
      <c r="F7392" s="8">
        <f t="shared" si="230"/>
        <v>21.828125</v>
      </c>
      <c r="G7392" s="8">
        <f t="shared" si="231"/>
        <v>2.1828125E-2</v>
      </c>
    </row>
    <row r="7393" spans="1:7" x14ac:dyDescent="0.25">
      <c r="A7393" s="8">
        <v>99</v>
      </c>
      <c r="B7393" s="8">
        <v>29</v>
      </c>
      <c r="C7393" s="8">
        <v>1368.006226</v>
      </c>
      <c r="D7393" s="8">
        <v>63219.792969000002</v>
      </c>
      <c r="E7393" s="8">
        <v>63242.402344000002</v>
      </c>
      <c r="F7393" s="8">
        <f t="shared" si="230"/>
        <v>22.609375</v>
      </c>
      <c r="G7393" s="8">
        <f t="shared" si="231"/>
        <v>2.2609375000000001E-2</v>
      </c>
    </row>
    <row r="7394" spans="1:7" x14ac:dyDescent="0.25">
      <c r="A7394" s="8">
        <v>99</v>
      </c>
      <c r="B7394" s="8">
        <v>30</v>
      </c>
      <c r="C7394" s="8">
        <v>2721.1901859999998</v>
      </c>
      <c r="D7394" s="8">
        <v>64621.492187999997</v>
      </c>
      <c r="E7394" s="8">
        <v>64630.59375</v>
      </c>
      <c r="F7394" s="8">
        <f t="shared" si="230"/>
        <v>9.1015620000034687</v>
      </c>
      <c r="G7394" s="8">
        <f t="shared" si="231"/>
        <v>9.1015620000034683E-3</v>
      </c>
    </row>
    <row r="7395" spans="1:7" x14ac:dyDescent="0.25">
      <c r="A7395" s="8">
        <v>99</v>
      </c>
      <c r="B7395" s="8">
        <v>31</v>
      </c>
      <c r="C7395" s="8">
        <v>330.42715500000003</v>
      </c>
      <c r="D7395" s="8">
        <v>67357.773438000004</v>
      </c>
      <c r="E7395" s="8">
        <v>67379.03125</v>
      </c>
      <c r="F7395" s="8">
        <f t="shared" si="230"/>
        <v>21.257811999996193</v>
      </c>
      <c r="G7395" s="8">
        <f t="shared" si="231"/>
        <v>2.1257811999996191E-2</v>
      </c>
    </row>
    <row r="7396" spans="1:7" x14ac:dyDescent="0.25">
      <c r="A7396" s="8">
        <v>99</v>
      </c>
      <c r="B7396" s="8">
        <v>32</v>
      </c>
      <c r="C7396" s="8">
        <v>953.86163299999998</v>
      </c>
      <c r="D7396" s="8">
        <v>67717.164063000004</v>
      </c>
      <c r="E7396" s="8">
        <v>67727.953125</v>
      </c>
      <c r="F7396" s="8">
        <f t="shared" si="230"/>
        <v>10.789061999996193</v>
      </c>
      <c r="G7396" s="8">
        <f t="shared" si="231"/>
        <v>1.0789061999996193E-2</v>
      </c>
    </row>
    <row r="7397" spans="1:7" x14ac:dyDescent="0.25">
      <c r="A7397" s="8">
        <v>99</v>
      </c>
      <c r="B7397" s="8">
        <v>33</v>
      </c>
      <c r="C7397" s="8">
        <v>210.87698399999999</v>
      </c>
      <c r="D7397" s="8">
        <v>68685.96875</v>
      </c>
      <c r="E7397" s="8">
        <v>68705.609375</v>
      </c>
      <c r="F7397" s="8">
        <f t="shared" si="230"/>
        <v>19.640625</v>
      </c>
      <c r="G7397" s="8">
        <f t="shared" si="231"/>
        <v>1.9640624999999998E-2</v>
      </c>
    </row>
    <row r="7398" spans="1:7" x14ac:dyDescent="0.25">
      <c r="A7398" s="8">
        <v>99</v>
      </c>
      <c r="B7398" s="8">
        <v>34</v>
      </c>
      <c r="C7398" s="8">
        <v>5826.7407229999999</v>
      </c>
      <c r="D7398" s="8">
        <v>68920.414063000004</v>
      </c>
      <c r="E7398" s="8">
        <v>68928.140625</v>
      </c>
      <c r="F7398" s="8">
        <f t="shared" si="230"/>
        <v>7.7265619999961928</v>
      </c>
      <c r="G7398" s="8">
        <f t="shared" si="231"/>
        <v>7.7265619999961925E-3</v>
      </c>
    </row>
    <row r="7399" spans="1:7" x14ac:dyDescent="0.25">
      <c r="A7399" s="8">
        <v>99</v>
      </c>
      <c r="B7399" s="8">
        <v>35</v>
      </c>
      <c r="C7399" s="8">
        <v>561.67767300000003</v>
      </c>
      <c r="D7399" s="8">
        <v>74758.1875</v>
      </c>
      <c r="E7399" s="8">
        <v>74767.007813000004</v>
      </c>
      <c r="F7399" s="8">
        <f t="shared" si="230"/>
        <v>8.8203130000038072</v>
      </c>
      <c r="G7399" s="8">
        <f t="shared" si="231"/>
        <v>8.8203130000038075E-3</v>
      </c>
    </row>
    <row r="7400" spans="1:7" x14ac:dyDescent="0.25">
      <c r="A7400" s="8">
        <v>99</v>
      </c>
      <c r="B7400" s="8">
        <v>36</v>
      </c>
      <c r="C7400" s="8">
        <v>2851.7114259999998</v>
      </c>
      <c r="D7400" s="8">
        <v>75330.773438000004</v>
      </c>
      <c r="E7400" s="8">
        <v>75469.117188000004</v>
      </c>
      <c r="F7400" s="8">
        <f t="shared" si="230"/>
        <v>138.34375</v>
      </c>
      <c r="G7400" s="8">
        <f t="shared" si="231"/>
        <v>0.13834374999999999</v>
      </c>
    </row>
    <row r="7401" spans="1:7" x14ac:dyDescent="0.25">
      <c r="A7401" s="8">
        <v>99</v>
      </c>
      <c r="B7401" s="8">
        <v>37</v>
      </c>
      <c r="C7401" s="8">
        <v>2525.4926759999998</v>
      </c>
      <c r="D7401" s="8">
        <v>78325.703125</v>
      </c>
      <c r="E7401" s="8">
        <v>78346.398438000004</v>
      </c>
      <c r="F7401" s="8">
        <f t="shared" si="230"/>
        <v>20.695313000003807</v>
      </c>
      <c r="G7401" s="8">
        <f t="shared" si="231"/>
        <v>2.0695313000003806E-2</v>
      </c>
    </row>
    <row r="7402" spans="1:7" x14ac:dyDescent="0.25">
      <c r="A7402" s="8">
        <v>99</v>
      </c>
      <c r="B7402" s="8">
        <v>38</v>
      </c>
      <c r="C7402" s="8">
        <v>1950.560303</v>
      </c>
      <c r="D7402" s="8">
        <v>80880.132813000004</v>
      </c>
      <c r="E7402" s="8">
        <v>80971.929688000004</v>
      </c>
      <c r="F7402" s="8">
        <f t="shared" si="230"/>
        <v>91.796875</v>
      </c>
      <c r="G7402" s="8">
        <f t="shared" si="231"/>
        <v>9.1796875E-2</v>
      </c>
    </row>
    <row r="7403" spans="1:7" x14ac:dyDescent="0.25">
      <c r="A7403" s="8">
        <v>99</v>
      </c>
      <c r="B7403" s="8">
        <v>39</v>
      </c>
      <c r="C7403" s="8">
        <v>497.09964000000002</v>
      </c>
      <c r="D7403" s="8">
        <v>82933.09375</v>
      </c>
      <c r="E7403" s="8">
        <v>82941.96875</v>
      </c>
      <c r="F7403" s="8">
        <f t="shared" si="230"/>
        <v>8.875</v>
      </c>
      <c r="G7403" s="8">
        <f t="shared" si="231"/>
        <v>8.8749999999999992E-3</v>
      </c>
    </row>
    <row r="7404" spans="1:7" x14ac:dyDescent="0.25">
      <c r="A7404" s="8">
        <v>99</v>
      </c>
      <c r="B7404" s="8">
        <v>40</v>
      </c>
      <c r="C7404" s="8">
        <v>77.726257000000004</v>
      </c>
      <c r="D7404" s="8">
        <v>83452.960938000004</v>
      </c>
      <c r="E7404" s="8">
        <v>83474.53125</v>
      </c>
      <c r="F7404" s="8">
        <f t="shared" si="230"/>
        <v>21.570311999996193</v>
      </c>
      <c r="G7404" s="8">
        <f t="shared" si="231"/>
        <v>2.1570311999996192E-2</v>
      </c>
    </row>
    <row r="7405" spans="1:7" x14ac:dyDescent="0.25">
      <c r="A7405" s="8">
        <v>99</v>
      </c>
      <c r="B7405" s="8">
        <v>41</v>
      </c>
      <c r="C7405" s="8">
        <v>1810.999634</v>
      </c>
      <c r="D7405" s="8">
        <v>83562.28125</v>
      </c>
      <c r="E7405" s="8">
        <v>83570.773438000004</v>
      </c>
      <c r="F7405" s="8">
        <f t="shared" si="230"/>
        <v>8.4921880000038072</v>
      </c>
      <c r="G7405" s="8">
        <f t="shared" si="231"/>
        <v>8.4921880000038072E-3</v>
      </c>
    </row>
    <row r="7406" spans="1:7" x14ac:dyDescent="0.25">
      <c r="A7406" s="8">
        <v>99</v>
      </c>
      <c r="B7406" s="8">
        <v>42</v>
      </c>
      <c r="C7406" s="8">
        <v>4035.2763669999999</v>
      </c>
      <c r="D7406" s="8">
        <v>85393.25</v>
      </c>
      <c r="E7406" s="8">
        <v>85404.59375</v>
      </c>
      <c r="F7406" s="8">
        <f t="shared" si="230"/>
        <v>11.34375</v>
      </c>
      <c r="G7406" s="8">
        <f t="shared" si="231"/>
        <v>1.134375E-2</v>
      </c>
    </row>
    <row r="7407" spans="1:7" x14ac:dyDescent="0.25">
      <c r="A7407" s="8">
        <v>99</v>
      </c>
      <c r="B7407" s="8">
        <v>43</v>
      </c>
      <c r="C7407" s="8">
        <v>3066.274414</v>
      </c>
      <c r="D7407" s="8">
        <v>89443.75</v>
      </c>
      <c r="E7407" s="8">
        <v>89457.828125</v>
      </c>
      <c r="F7407" s="8">
        <f t="shared" si="230"/>
        <v>14.078125</v>
      </c>
      <c r="G7407" s="8">
        <f t="shared" si="231"/>
        <v>1.4078125E-2</v>
      </c>
    </row>
    <row r="7408" spans="1:7" x14ac:dyDescent="0.25">
      <c r="A7408" s="8">
        <v>99</v>
      </c>
      <c r="B7408" s="8">
        <v>44</v>
      </c>
      <c r="C7408" s="8">
        <v>2101.1184079999998</v>
      </c>
      <c r="D7408" s="8">
        <v>92526.960938000004</v>
      </c>
      <c r="E7408" s="8">
        <v>92537.320313000004</v>
      </c>
      <c r="F7408" s="8">
        <f t="shared" si="230"/>
        <v>10.359375</v>
      </c>
      <c r="G7408" s="8">
        <f t="shared" si="231"/>
        <v>1.0359375000000001E-2</v>
      </c>
    </row>
    <row r="7409" spans="1:7" x14ac:dyDescent="0.25">
      <c r="A7409" s="8">
        <v>99</v>
      </c>
      <c r="B7409" s="8">
        <v>45</v>
      </c>
      <c r="C7409" s="8">
        <v>619.48870799999997</v>
      </c>
      <c r="D7409" s="8">
        <v>94639.5625</v>
      </c>
      <c r="E7409" s="8">
        <v>94662.382813000004</v>
      </c>
      <c r="F7409" s="8">
        <f t="shared" si="230"/>
        <v>22.820313000003807</v>
      </c>
      <c r="G7409" s="8">
        <f t="shared" si="231"/>
        <v>2.2820313000003808E-2</v>
      </c>
    </row>
    <row r="7410" spans="1:7" x14ac:dyDescent="0.25">
      <c r="A7410" s="8">
        <v>99</v>
      </c>
      <c r="B7410" s="8">
        <v>46</v>
      </c>
      <c r="C7410" s="8">
        <v>153.31672699999999</v>
      </c>
      <c r="D7410" s="8">
        <v>95296.757813000004</v>
      </c>
      <c r="E7410" s="8">
        <v>95309.234375</v>
      </c>
      <c r="F7410" s="8">
        <f t="shared" si="230"/>
        <v>12.476561999996193</v>
      </c>
      <c r="G7410" s="8">
        <f t="shared" si="231"/>
        <v>1.2476561999996192E-2</v>
      </c>
    </row>
    <row r="7411" spans="1:7" x14ac:dyDescent="0.25">
      <c r="A7411" s="8">
        <v>99</v>
      </c>
      <c r="B7411" s="8">
        <v>47</v>
      </c>
      <c r="C7411" s="8">
        <v>674.39776600000005</v>
      </c>
      <c r="D7411" s="8">
        <v>95475.21875</v>
      </c>
      <c r="E7411" s="8">
        <v>95488.554688000004</v>
      </c>
      <c r="F7411" s="8">
        <f t="shared" si="230"/>
        <v>13.335938000003807</v>
      </c>
      <c r="G7411" s="8">
        <f t="shared" si="231"/>
        <v>1.3335938000003808E-2</v>
      </c>
    </row>
    <row r="7412" spans="1:7" x14ac:dyDescent="0.25">
      <c r="A7412" s="8">
        <v>99</v>
      </c>
      <c r="B7412" s="8">
        <v>48</v>
      </c>
      <c r="C7412" s="8">
        <v>1154.2513429999999</v>
      </c>
      <c r="D7412" s="8">
        <v>96162.8125</v>
      </c>
      <c r="E7412" s="8">
        <v>96176.28125</v>
      </c>
      <c r="F7412" s="8">
        <f t="shared" si="230"/>
        <v>13.46875</v>
      </c>
      <c r="G7412" s="8">
        <f t="shared" si="231"/>
        <v>1.346875E-2</v>
      </c>
    </row>
    <row r="7413" spans="1:7" x14ac:dyDescent="0.25">
      <c r="A7413" s="8">
        <v>99</v>
      </c>
      <c r="B7413" s="8">
        <v>49</v>
      </c>
      <c r="C7413" s="8">
        <v>64.066483000000005</v>
      </c>
      <c r="D7413" s="8">
        <v>97340.859375</v>
      </c>
      <c r="E7413" s="8">
        <v>97357.765625</v>
      </c>
      <c r="F7413" s="8">
        <f t="shared" si="230"/>
        <v>16.90625</v>
      </c>
      <c r="G7413" s="8">
        <f t="shared" si="231"/>
        <v>1.6906250000000001E-2</v>
      </c>
    </row>
    <row r="7414" spans="1:7" x14ac:dyDescent="0.25">
      <c r="A7414" s="8">
        <v>99</v>
      </c>
      <c r="B7414" s="8">
        <v>50</v>
      </c>
      <c r="C7414" s="8">
        <v>854.30621299999996</v>
      </c>
      <c r="D7414" s="8">
        <v>97434.726563000004</v>
      </c>
      <c r="E7414" s="8">
        <v>97455.640625</v>
      </c>
      <c r="F7414" s="8">
        <f t="shared" si="230"/>
        <v>20.914061999996193</v>
      </c>
      <c r="G7414" s="8">
        <f t="shared" si="231"/>
        <v>2.0914061999996191E-2</v>
      </c>
    </row>
    <row r="7415" spans="1:7" x14ac:dyDescent="0.25">
      <c r="A7415" s="8">
        <v>99</v>
      </c>
      <c r="B7415" s="8">
        <v>51</v>
      </c>
      <c r="C7415" s="8">
        <v>4235.9746089999999</v>
      </c>
      <c r="D7415" s="8">
        <v>98316.4375</v>
      </c>
      <c r="E7415" s="8">
        <v>98334.648438000004</v>
      </c>
      <c r="F7415" s="8">
        <f t="shared" si="230"/>
        <v>18.210938000003807</v>
      </c>
      <c r="G7415" s="8">
        <f t="shared" si="231"/>
        <v>1.8210938000003809E-2</v>
      </c>
    </row>
    <row r="7416" spans="1:7" x14ac:dyDescent="0.25">
      <c r="A7416" s="8">
        <v>99</v>
      </c>
      <c r="B7416" s="8">
        <v>52</v>
      </c>
      <c r="C7416" s="8">
        <v>90.138580000000005</v>
      </c>
      <c r="D7416" s="8">
        <v>102578.40625</v>
      </c>
      <c r="E7416" s="8">
        <v>102596.164063</v>
      </c>
      <c r="F7416" s="8">
        <f t="shared" si="230"/>
        <v>17.757813000003807</v>
      </c>
      <c r="G7416" s="8">
        <f t="shared" si="231"/>
        <v>1.7757813000003807E-2</v>
      </c>
    </row>
    <row r="7417" spans="1:7" x14ac:dyDescent="0.25">
      <c r="A7417" s="8">
        <v>99</v>
      </c>
      <c r="B7417" s="8">
        <v>53</v>
      </c>
      <c r="C7417" s="8">
        <v>358.77993800000002</v>
      </c>
      <c r="D7417" s="8">
        <v>102687.945313</v>
      </c>
      <c r="E7417" s="8">
        <v>102783.953125</v>
      </c>
      <c r="F7417" s="8">
        <f t="shared" si="230"/>
        <v>96.007811999996193</v>
      </c>
      <c r="G7417" s="8">
        <f t="shared" si="231"/>
        <v>9.6007811999996195E-2</v>
      </c>
    </row>
    <row r="7418" spans="1:7" x14ac:dyDescent="0.25">
      <c r="A7418" s="8">
        <v>99</v>
      </c>
      <c r="B7418" s="8">
        <v>54</v>
      </c>
      <c r="C7418" s="8">
        <v>3020.1540530000002</v>
      </c>
      <c r="D7418" s="8">
        <v>103150.796875</v>
      </c>
      <c r="E7418" s="8">
        <v>103161.96875</v>
      </c>
      <c r="F7418" s="8">
        <f t="shared" si="230"/>
        <v>11.171875</v>
      </c>
      <c r="G7418" s="8">
        <f t="shared" si="231"/>
        <v>1.1171875E-2</v>
      </c>
    </row>
    <row r="7419" spans="1:7" x14ac:dyDescent="0.25">
      <c r="A7419" s="8">
        <v>99</v>
      </c>
      <c r="B7419" s="8">
        <v>55</v>
      </c>
      <c r="C7419" s="8">
        <v>131.68710300000001</v>
      </c>
      <c r="D7419" s="8">
        <v>106187.78125</v>
      </c>
      <c r="E7419" s="8">
        <v>106210.015625</v>
      </c>
      <c r="F7419" s="8">
        <f t="shared" si="230"/>
        <v>22.234375</v>
      </c>
      <c r="G7419" s="8">
        <f t="shared" si="231"/>
        <v>2.2234375000000001E-2</v>
      </c>
    </row>
    <row r="7420" spans="1:7" x14ac:dyDescent="0.25">
      <c r="A7420" s="8">
        <v>99</v>
      </c>
      <c r="B7420" s="8">
        <v>56</v>
      </c>
      <c r="C7420" s="8">
        <v>340.31582600000002</v>
      </c>
      <c r="D7420" s="8">
        <v>106344.078125</v>
      </c>
      <c r="E7420" s="8">
        <v>106358.078125</v>
      </c>
      <c r="F7420" s="8">
        <f t="shared" si="230"/>
        <v>14</v>
      </c>
      <c r="G7420" s="8">
        <f t="shared" si="231"/>
        <v>1.4E-2</v>
      </c>
    </row>
    <row r="7421" spans="1:7" x14ac:dyDescent="0.25">
      <c r="A7421" s="8">
        <v>99</v>
      </c>
      <c r="B7421" s="8">
        <v>57</v>
      </c>
      <c r="C7421" s="8">
        <v>1531.259155</v>
      </c>
      <c r="D7421" s="8">
        <v>106703.53125</v>
      </c>
      <c r="E7421" s="8">
        <v>106714.6875</v>
      </c>
      <c r="F7421" s="8">
        <f t="shared" si="230"/>
        <v>11.15625</v>
      </c>
      <c r="G7421" s="8">
        <f t="shared" si="231"/>
        <v>1.115625E-2</v>
      </c>
    </row>
    <row r="7422" spans="1:7" x14ac:dyDescent="0.25">
      <c r="A7422" s="8">
        <v>99</v>
      </c>
      <c r="B7422" s="8">
        <v>58</v>
      </c>
      <c r="C7422" s="8">
        <v>1158.1683350000001</v>
      </c>
      <c r="D7422" s="8">
        <v>108251.179688</v>
      </c>
      <c r="E7422" s="8">
        <v>108259.117188</v>
      </c>
      <c r="F7422" s="8">
        <f t="shared" si="230"/>
        <v>7.9375</v>
      </c>
      <c r="G7422" s="8">
        <f t="shared" si="231"/>
        <v>7.9375000000000001E-3</v>
      </c>
    </row>
    <row r="7423" spans="1:7" x14ac:dyDescent="0.25">
      <c r="A7423" s="8">
        <v>99</v>
      </c>
      <c r="B7423" s="8">
        <v>59</v>
      </c>
      <c r="C7423" s="8">
        <v>155.558502</v>
      </c>
      <c r="D7423" s="8">
        <v>109423.164063</v>
      </c>
      <c r="E7423" s="8">
        <v>109430.921875</v>
      </c>
      <c r="F7423" s="8">
        <f t="shared" si="230"/>
        <v>7.7578119999961928</v>
      </c>
      <c r="G7423" s="8">
        <f t="shared" si="231"/>
        <v>7.7578119999961925E-3</v>
      </c>
    </row>
    <row r="7424" spans="1:7" x14ac:dyDescent="0.25">
      <c r="A7424" s="8">
        <v>99</v>
      </c>
      <c r="B7424" s="8">
        <v>60</v>
      </c>
      <c r="C7424" s="8">
        <v>481.43103000000002</v>
      </c>
      <c r="D7424" s="8">
        <v>109595.757813</v>
      </c>
      <c r="E7424" s="8">
        <v>109611.742188</v>
      </c>
      <c r="F7424" s="8">
        <f t="shared" si="230"/>
        <v>15.984375</v>
      </c>
      <c r="G7424" s="8">
        <f t="shared" si="231"/>
        <v>1.5984374999999999E-2</v>
      </c>
    </row>
    <row r="7425" spans="1:7" x14ac:dyDescent="0.25">
      <c r="A7425" s="8">
        <v>99</v>
      </c>
      <c r="B7425" s="8">
        <v>61</v>
      </c>
      <c r="C7425" s="8">
        <v>4329.4741210000002</v>
      </c>
      <c r="D7425" s="8">
        <v>110095.828125</v>
      </c>
      <c r="E7425" s="8">
        <v>110110.796875</v>
      </c>
      <c r="F7425" s="8">
        <f t="shared" si="230"/>
        <v>14.96875</v>
      </c>
      <c r="G7425" s="8">
        <f t="shared" si="231"/>
        <v>1.4968749999999999E-2</v>
      </c>
    </row>
    <row r="7426" spans="1:7" x14ac:dyDescent="0.25">
      <c r="A7426" s="8">
        <v>99</v>
      </c>
      <c r="B7426" s="8">
        <v>62</v>
      </c>
      <c r="C7426" s="8">
        <v>1146.331543</v>
      </c>
      <c r="D7426" s="8">
        <v>114440.773438</v>
      </c>
      <c r="E7426" s="8">
        <v>114457.648438</v>
      </c>
      <c r="F7426" s="8">
        <f t="shared" si="230"/>
        <v>16.875</v>
      </c>
      <c r="G7426" s="8">
        <f t="shared" si="231"/>
        <v>1.6875000000000001E-2</v>
      </c>
    </row>
    <row r="7427" spans="1:7" x14ac:dyDescent="0.25">
      <c r="A7427" s="8">
        <v>99</v>
      </c>
      <c r="B7427" s="8">
        <v>63</v>
      </c>
      <c r="C7427" s="8">
        <v>203.70060699999999</v>
      </c>
      <c r="D7427" s="8">
        <v>115614.40625</v>
      </c>
      <c r="E7427" s="8">
        <v>115629.609375</v>
      </c>
      <c r="F7427" s="8">
        <f t="shared" si="230"/>
        <v>15.203125</v>
      </c>
      <c r="G7427" s="8">
        <f t="shared" si="231"/>
        <v>1.5203125E-2</v>
      </c>
    </row>
    <row r="7428" spans="1:7" x14ac:dyDescent="0.25">
      <c r="A7428" s="8">
        <v>99</v>
      </c>
      <c r="B7428" s="8">
        <v>64</v>
      </c>
      <c r="C7428" s="8">
        <v>2093.4541020000001</v>
      </c>
      <c r="D7428" s="8">
        <v>115833.171875</v>
      </c>
      <c r="E7428" s="8">
        <v>115855.148438</v>
      </c>
      <c r="F7428" s="8">
        <f t="shared" si="230"/>
        <v>21.976563000003807</v>
      </c>
      <c r="G7428" s="8">
        <f t="shared" si="231"/>
        <v>2.1976563000003807E-2</v>
      </c>
    </row>
    <row r="7429" spans="1:7" x14ac:dyDescent="0.25">
      <c r="A7429" s="8">
        <v>99</v>
      </c>
      <c r="B7429" s="8">
        <v>65</v>
      </c>
      <c r="C7429" s="8">
        <v>1254.099365</v>
      </c>
      <c r="D7429" s="8">
        <v>117963.101563</v>
      </c>
      <c r="E7429" s="8">
        <v>117989.773438</v>
      </c>
      <c r="F7429" s="8">
        <f t="shared" si="230"/>
        <v>26.671875</v>
      </c>
      <c r="G7429" s="8">
        <f t="shared" si="231"/>
        <v>2.6671875000000001E-2</v>
      </c>
    </row>
    <row r="7430" spans="1:7" x14ac:dyDescent="0.25">
      <c r="A7430" s="8">
        <v>99</v>
      </c>
      <c r="B7430" s="8">
        <v>66</v>
      </c>
      <c r="C7430" s="8">
        <v>4103.4438479999999</v>
      </c>
      <c r="D7430" s="8">
        <v>119250.945313</v>
      </c>
      <c r="E7430" s="8">
        <v>119268.5625</v>
      </c>
      <c r="F7430" s="8">
        <f t="shared" si="230"/>
        <v>17.617186999996193</v>
      </c>
      <c r="G7430" s="8">
        <f t="shared" si="231"/>
        <v>1.7617186999996193E-2</v>
      </c>
    </row>
    <row r="7431" spans="1:7" x14ac:dyDescent="0.25">
      <c r="A7431" s="8">
        <v>99</v>
      </c>
      <c r="B7431" s="8">
        <v>67</v>
      </c>
      <c r="C7431" s="8">
        <v>2835.52124</v>
      </c>
      <c r="D7431" s="8">
        <v>123387.007813</v>
      </c>
      <c r="E7431" s="8">
        <v>123404.960938</v>
      </c>
      <c r="F7431" s="8">
        <f t="shared" si="230"/>
        <v>17.953125</v>
      </c>
      <c r="G7431" s="8">
        <f t="shared" si="231"/>
        <v>1.7953125E-2</v>
      </c>
    </row>
    <row r="7432" spans="1:7" x14ac:dyDescent="0.25">
      <c r="A7432" s="8">
        <v>99</v>
      </c>
      <c r="B7432" s="8">
        <v>68</v>
      </c>
      <c r="C7432" s="8">
        <v>635.86242700000003</v>
      </c>
      <c r="D7432" s="8">
        <v>126252.914063</v>
      </c>
      <c r="E7432" s="8">
        <v>126268.546875</v>
      </c>
      <c r="F7432" s="8">
        <f t="shared" si="230"/>
        <v>15.632811999996193</v>
      </c>
      <c r="G7432" s="8">
        <f t="shared" si="231"/>
        <v>1.5632811999996193E-2</v>
      </c>
    </row>
    <row r="7433" spans="1:7" x14ac:dyDescent="0.25">
      <c r="A7433" s="8">
        <v>99</v>
      </c>
      <c r="B7433" s="8">
        <v>69</v>
      </c>
      <c r="C7433" s="8">
        <v>601.35089100000005</v>
      </c>
      <c r="D7433" s="8">
        <v>126909.21875</v>
      </c>
      <c r="E7433" s="8">
        <v>126929.289063</v>
      </c>
      <c r="F7433" s="8">
        <f t="shared" si="230"/>
        <v>20.070313000003807</v>
      </c>
      <c r="G7433" s="8">
        <f t="shared" si="231"/>
        <v>2.0070313000003809E-2</v>
      </c>
    </row>
    <row r="7434" spans="1:7" x14ac:dyDescent="0.25">
      <c r="A7434" s="8">
        <v>99</v>
      </c>
      <c r="B7434" s="8">
        <v>70</v>
      </c>
      <c r="C7434" s="8">
        <v>103.013931</v>
      </c>
      <c r="D7434" s="8">
        <v>127534.234375</v>
      </c>
      <c r="E7434" s="8">
        <v>127551.859375</v>
      </c>
      <c r="F7434" s="8">
        <f t="shared" si="230"/>
        <v>17.625</v>
      </c>
      <c r="G7434" s="8">
        <f t="shared" si="231"/>
        <v>1.7624999999999998E-2</v>
      </c>
    </row>
    <row r="7435" spans="1:7" x14ac:dyDescent="0.25">
      <c r="A7435" s="8">
        <v>99</v>
      </c>
      <c r="B7435" s="8">
        <v>71</v>
      </c>
      <c r="C7435" s="8">
        <v>4282.1777339999999</v>
      </c>
      <c r="D7435" s="8">
        <v>127659.320313</v>
      </c>
      <c r="E7435" s="8">
        <v>127673.6875</v>
      </c>
      <c r="F7435" s="8">
        <f t="shared" ref="F7435:F7457" si="232">E7435-D7435</f>
        <v>14.367186999996193</v>
      </c>
      <c r="G7435" s="8">
        <f t="shared" ref="G7435:G7457" si="233">F7435/1000</f>
        <v>1.4367186999996192E-2</v>
      </c>
    </row>
    <row r="7436" spans="1:7" x14ac:dyDescent="0.25">
      <c r="A7436" s="8">
        <v>99</v>
      </c>
      <c r="B7436" s="8">
        <v>72</v>
      </c>
      <c r="C7436" s="8">
        <v>4416.9760740000002</v>
      </c>
      <c r="D7436" s="8">
        <v>131967.59375</v>
      </c>
      <c r="E7436" s="8">
        <v>131994.40625</v>
      </c>
      <c r="F7436" s="8">
        <f t="shared" si="232"/>
        <v>26.8125</v>
      </c>
      <c r="G7436" s="8">
        <f t="shared" si="233"/>
        <v>2.68125E-2</v>
      </c>
    </row>
    <row r="7437" spans="1:7" x14ac:dyDescent="0.25">
      <c r="A7437" s="8">
        <v>99</v>
      </c>
      <c r="B7437" s="8">
        <v>73</v>
      </c>
      <c r="C7437" s="8">
        <v>1413.765625</v>
      </c>
      <c r="D7437" s="8">
        <v>136414.71875</v>
      </c>
      <c r="E7437" s="8">
        <v>136439.5625</v>
      </c>
      <c r="F7437" s="8">
        <f t="shared" si="232"/>
        <v>24.84375</v>
      </c>
      <c r="G7437" s="8">
        <f t="shared" si="233"/>
        <v>2.4843750000000001E-2</v>
      </c>
    </row>
    <row r="7438" spans="1:7" x14ac:dyDescent="0.25">
      <c r="A7438" s="8">
        <v>99</v>
      </c>
      <c r="B7438" s="8">
        <v>74</v>
      </c>
      <c r="C7438" s="8">
        <v>3020.4304200000001</v>
      </c>
      <c r="D7438" s="8">
        <v>137859.375</v>
      </c>
      <c r="E7438" s="8">
        <v>137884.84375</v>
      </c>
      <c r="F7438" s="8">
        <f t="shared" si="232"/>
        <v>25.46875</v>
      </c>
      <c r="G7438" s="8">
        <f t="shared" si="233"/>
        <v>2.5468749999999998E-2</v>
      </c>
    </row>
    <row r="7439" spans="1:7" x14ac:dyDescent="0.25">
      <c r="A7439" s="8">
        <v>99</v>
      </c>
      <c r="B7439" s="8">
        <v>75</v>
      </c>
      <c r="C7439" s="8">
        <v>7039.7622069999998</v>
      </c>
      <c r="D7439" s="8">
        <v>140920.375</v>
      </c>
      <c r="E7439" s="8">
        <v>140937.4375</v>
      </c>
      <c r="F7439" s="8">
        <f t="shared" si="232"/>
        <v>17.0625</v>
      </c>
      <c r="G7439" s="8">
        <f t="shared" si="233"/>
        <v>1.7062500000000001E-2</v>
      </c>
    </row>
    <row r="7440" spans="1:7" x14ac:dyDescent="0.25">
      <c r="A7440" s="8">
        <v>99</v>
      </c>
      <c r="B7440" s="8">
        <v>76</v>
      </c>
      <c r="C7440" s="8">
        <v>2739.3569339999999</v>
      </c>
      <c r="D7440" s="8">
        <v>147977.421875</v>
      </c>
      <c r="E7440" s="8">
        <v>147986.703125</v>
      </c>
      <c r="F7440" s="8">
        <f t="shared" si="232"/>
        <v>9.28125</v>
      </c>
      <c r="G7440" s="8">
        <f t="shared" si="233"/>
        <v>9.2812499999999996E-3</v>
      </c>
    </row>
    <row r="7441" spans="1:7" x14ac:dyDescent="0.25">
      <c r="A7441" s="8">
        <v>99</v>
      </c>
      <c r="B7441" s="8">
        <v>77</v>
      </c>
      <c r="C7441" s="8">
        <v>2782.8081050000001</v>
      </c>
      <c r="D7441" s="8">
        <v>150733.09375</v>
      </c>
      <c r="E7441" s="8">
        <v>150754.515625</v>
      </c>
      <c r="F7441" s="8">
        <f t="shared" si="232"/>
        <v>21.421875</v>
      </c>
      <c r="G7441" s="8">
        <f t="shared" si="233"/>
        <v>2.1421875E-2</v>
      </c>
    </row>
    <row r="7442" spans="1:7" x14ac:dyDescent="0.25">
      <c r="A7442" s="8">
        <v>99</v>
      </c>
      <c r="B7442" s="8">
        <v>78</v>
      </c>
      <c r="C7442" s="8">
        <v>213.79560900000001</v>
      </c>
      <c r="D7442" s="8">
        <v>153547.09375</v>
      </c>
      <c r="E7442" s="8">
        <v>153560.265625</v>
      </c>
      <c r="F7442" s="8">
        <f t="shared" si="232"/>
        <v>13.171875</v>
      </c>
      <c r="G7442" s="8">
        <f t="shared" si="233"/>
        <v>1.3171875E-2</v>
      </c>
    </row>
    <row r="7443" spans="1:7" x14ac:dyDescent="0.25">
      <c r="A7443" s="8">
        <v>99</v>
      </c>
      <c r="B7443" s="8">
        <v>79</v>
      </c>
      <c r="C7443" s="8">
        <v>911.43933100000004</v>
      </c>
      <c r="D7443" s="8">
        <v>153781.453125</v>
      </c>
      <c r="E7443" s="8">
        <v>153801.78125</v>
      </c>
      <c r="F7443" s="8">
        <f t="shared" si="232"/>
        <v>20.328125</v>
      </c>
      <c r="G7443" s="8">
        <f t="shared" si="233"/>
        <v>2.0328124999999999E-2</v>
      </c>
    </row>
    <row r="7444" spans="1:7" x14ac:dyDescent="0.25">
      <c r="A7444" s="8">
        <v>99</v>
      </c>
      <c r="B7444" s="8">
        <v>80</v>
      </c>
      <c r="C7444" s="8">
        <v>4299.9145509999998</v>
      </c>
      <c r="D7444" s="8">
        <v>154719.078125</v>
      </c>
      <c r="E7444" s="8">
        <v>154736.6875</v>
      </c>
      <c r="F7444" s="8">
        <f t="shared" si="232"/>
        <v>17.609375</v>
      </c>
      <c r="G7444" s="8">
        <f t="shared" si="233"/>
        <v>1.7609375E-2</v>
      </c>
    </row>
    <row r="7445" spans="1:7" x14ac:dyDescent="0.25">
      <c r="A7445" s="8">
        <v>99</v>
      </c>
      <c r="B7445" s="8">
        <v>81</v>
      </c>
      <c r="C7445" s="8">
        <v>273.919464</v>
      </c>
      <c r="D7445" s="8">
        <v>159048.53125</v>
      </c>
      <c r="E7445" s="8">
        <v>159056.96875</v>
      </c>
      <c r="F7445" s="8">
        <f t="shared" si="232"/>
        <v>8.4375</v>
      </c>
      <c r="G7445" s="8">
        <f t="shared" si="233"/>
        <v>8.4375000000000006E-3</v>
      </c>
    </row>
    <row r="7446" spans="1:7" x14ac:dyDescent="0.25">
      <c r="A7446" s="8">
        <v>99</v>
      </c>
      <c r="B7446" s="8">
        <v>82</v>
      </c>
      <c r="C7446" s="8">
        <v>744.44897500000002</v>
      </c>
      <c r="D7446" s="8">
        <v>159345.609375</v>
      </c>
      <c r="E7446" s="8">
        <v>159366.1875</v>
      </c>
      <c r="F7446" s="8">
        <f t="shared" si="232"/>
        <v>20.578125</v>
      </c>
      <c r="G7446" s="8">
        <f t="shared" si="233"/>
        <v>2.0578124999999999E-2</v>
      </c>
    </row>
    <row r="7447" spans="1:7" x14ac:dyDescent="0.25">
      <c r="A7447" s="8">
        <v>99</v>
      </c>
      <c r="B7447" s="8">
        <v>83</v>
      </c>
      <c r="C7447" s="8">
        <v>1792.966553</v>
      </c>
      <c r="D7447" s="8">
        <v>160111.3125</v>
      </c>
      <c r="E7447" s="8">
        <v>160133.40625</v>
      </c>
      <c r="F7447" s="8">
        <f t="shared" si="232"/>
        <v>22.09375</v>
      </c>
      <c r="G7447" s="8">
        <f t="shared" si="233"/>
        <v>2.2093749999999999E-2</v>
      </c>
    </row>
    <row r="7448" spans="1:7" x14ac:dyDescent="0.25">
      <c r="A7448" s="8">
        <v>99</v>
      </c>
      <c r="B7448" s="8">
        <v>84</v>
      </c>
      <c r="C7448" s="8">
        <v>48.434769000000003</v>
      </c>
      <c r="D7448" s="8">
        <v>161939.640625</v>
      </c>
      <c r="E7448" s="8">
        <v>161950.90625</v>
      </c>
      <c r="F7448" s="8">
        <f t="shared" si="232"/>
        <v>11.265625</v>
      </c>
      <c r="G7448" s="8">
        <f t="shared" si="233"/>
        <v>1.1265625E-2</v>
      </c>
    </row>
    <row r="7449" spans="1:7" x14ac:dyDescent="0.25">
      <c r="A7449" s="8">
        <v>99</v>
      </c>
      <c r="B7449" s="8">
        <v>85</v>
      </c>
      <c r="C7449" s="8">
        <v>230.78042600000001</v>
      </c>
      <c r="D7449" s="8">
        <v>162002.109375</v>
      </c>
      <c r="E7449" s="8">
        <v>162020.71875</v>
      </c>
      <c r="F7449" s="8">
        <f t="shared" si="232"/>
        <v>18.609375</v>
      </c>
      <c r="G7449" s="8">
        <f t="shared" si="233"/>
        <v>1.8609375000000001E-2</v>
      </c>
    </row>
    <row r="7450" spans="1:7" x14ac:dyDescent="0.25">
      <c r="A7450" s="8">
        <v>99</v>
      </c>
      <c r="B7450" s="8">
        <v>86</v>
      </c>
      <c r="C7450" s="8">
        <v>1776.726318</v>
      </c>
      <c r="D7450" s="8">
        <v>162252.875</v>
      </c>
      <c r="E7450" s="8">
        <v>162274.15625</v>
      </c>
      <c r="F7450" s="8">
        <f t="shared" si="232"/>
        <v>21.28125</v>
      </c>
      <c r="G7450" s="8">
        <f t="shared" si="233"/>
        <v>2.1281250000000002E-2</v>
      </c>
    </row>
    <row r="7451" spans="1:7" x14ac:dyDescent="0.25">
      <c r="A7451" s="8">
        <v>99</v>
      </c>
      <c r="B7451" s="8">
        <v>87</v>
      </c>
      <c r="C7451" s="8">
        <v>3350.171875</v>
      </c>
      <c r="D7451" s="8">
        <v>164065.34375</v>
      </c>
      <c r="E7451" s="8">
        <v>164090.0625</v>
      </c>
      <c r="F7451" s="8">
        <f t="shared" si="232"/>
        <v>24.71875</v>
      </c>
      <c r="G7451" s="8">
        <f t="shared" si="233"/>
        <v>2.4718750000000001E-2</v>
      </c>
    </row>
    <row r="7452" spans="1:7" x14ac:dyDescent="0.25">
      <c r="A7452" s="8">
        <v>99</v>
      </c>
      <c r="B7452" s="8">
        <v>88</v>
      </c>
      <c r="C7452" s="8">
        <v>99.225982999999999</v>
      </c>
      <c r="D7452" s="8">
        <v>167447.34375</v>
      </c>
      <c r="E7452" s="8">
        <v>167464.296875</v>
      </c>
      <c r="F7452" s="8">
        <f t="shared" si="232"/>
        <v>16.953125</v>
      </c>
      <c r="G7452" s="8">
        <f t="shared" si="233"/>
        <v>1.6953124999999999E-2</v>
      </c>
    </row>
    <row r="7453" spans="1:7" x14ac:dyDescent="0.25">
      <c r="A7453" s="8">
        <v>99</v>
      </c>
      <c r="B7453" s="8">
        <v>89</v>
      </c>
      <c r="C7453" s="8">
        <v>1113.0460210000001</v>
      </c>
      <c r="D7453" s="8">
        <v>167572.34375</v>
      </c>
      <c r="E7453" s="8">
        <v>167581.09375</v>
      </c>
      <c r="F7453" s="8">
        <f t="shared" si="232"/>
        <v>8.75</v>
      </c>
      <c r="G7453" s="8">
        <f t="shared" si="233"/>
        <v>8.7500000000000008E-3</v>
      </c>
    </row>
    <row r="7454" spans="1:7" x14ac:dyDescent="0.25">
      <c r="A7454" s="8">
        <v>99</v>
      </c>
      <c r="B7454" s="8">
        <v>90</v>
      </c>
      <c r="C7454" s="8">
        <v>228.31578099999999</v>
      </c>
      <c r="D7454" s="8">
        <v>168700.546875</v>
      </c>
      <c r="E7454" s="8">
        <v>168726.15625</v>
      </c>
      <c r="F7454" s="8">
        <f t="shared" si="232"/>
        <v>25.609375</v>
      </c>
      <c r="G7454" s="8">
        <f t="shared" si="233"/>
        <v>2.5609375E-2</v>
      </c>
    </row>
    <row r="7455" spans="1:7" x14ac:dyDescent="0.25">
      <c r="A7455" s="8">
        <v>99</v>
      </c>
      <c r="B7455" s="8">
        <v>91</v>
      </c>
      <c r="C7455" s="8">
        <v>4560.326172</v>
      </c>
      <c r="D7455" s="8">
        <v>168966.234375</v>
      </c>
      <c r="E7455" s="8">
        <v>168977.96875</v>
      </c>
      <c r="F7455" s="8">
        <f t="shared" si="232"/>
        <v>11.734375</v>
      </c>
      <c r="G7455" s="8">
        <f t="shared" si="233"/>
        <v>1.1734375E-2</v>
      </c>
    </row>
    <row r="7456" spans="1:7" x14ac:dyDescent="0.25">
      <c r="F7456" s="8">
        <f t="shared" si="232"/>
        <v>0</v>
      </c>
      <c r="G7456" s="8">
        <f t="shared" si="233"/>
        <v>0</v>
      </c>
    </row>
    <row r="7457" spans="6:7" x14ac:dyDescent="0.25">
      <c r="F7457" s="8">
        <f t="shared" si="232"/>
        <v>0</v>
      </c>
      <c r="G7457" s="8">
        <f t="shared" si="233"/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8"/>
  <sheetViews>
    <sheetView topLeftCell="W1" workbookViewId="0">
      <selection activeCell="AA10" sqref="AA10"/>
    </sheetView>
  </sheetViews>
  <sheetFormatPr baseColWidth="10" defaultRowHeight="15" x14ac:dyDescent="0.25"/>
  <cols>
    <col min="1" max="1" width="40.28515625" bestFit="1" customWidth="1"/>
    <col min="2" max="2" width="52.140625" bestFit="1" customWidth="1"/>
    <col min="3" max="3" width="51.7109375" bestFit="1" customWidth="1"/>
    <col min="4" max="4" width="47.42578125" bestFit="1" customWidth="1"/>
    <col min="5" max="5" width="74.42578125" bestFit="1" customWidth="1"/>
    <col min="6" max="6" width="55.5703125" bestFit="1" customWidth="1"/>
    <col min="7" max="7" width="85.140625" bestFit="1" customWidth="1"/>
    <col min="8" max="8" width="95.140625" bestFit="1" customWidth="1"/>
    <col min="9" max="9" width="75" bestFit="1" customWidth="1"/>
    <col min="10" max="10" width="85" bestFit="1" customWidth="1"/>
    <col min="11" max="11" width="79.28515625" bestFit="1" customWidth="1"/>
    <col min="12" max="12" width="89.28515625" bestFit="1" customWidth="1"/>
    <col min="13" max="13" width="40.5703125" bestFit="1" customWidth="1"/>
    <col min="14" max="14" width="37.28515625" bestFit="1" customWidth="1"/>
    <col min="15" max="15" width="39.85546875" bestFit="1" customWidth="1"/>
    <col min="16" max="16" width="40.42578125" bestFit="1" customWidth="1"/>
    <col min="17" max="17" width="41.28515625" bestFit="1" customWidth="1"/>
    <col min="18" max="18" width="32.5703125" bestFit="1" customWidth="1"/>
    <col min="19" max="19" width="51.140625" bestFit="1" customWidth="1"/>
    <col min="20" max="20" width="58.85546875" bestFit="1" customWidth="1"/>
    <col min="21" max="21" width="57.7109375" bestFit="1" customWidth="1"/>
    <col min="22" max="22" width="51.85546875" bestFit="1" customWidth="1"/>
    <col min="23" max="23" width="43.7109375" bestFit="1" customWidth="1"/>
    <col min="24" max="24" width="42.5703125" bestFit="1" customWidth="1"/>
    <col min="26" max="26" width="97.140625" bestFit="1" customWidth="1"/>
    <col min="27" max="27" width="12" bestFit="1" customWidth="1"/>
    <col min="28" max="28" width="36.140625" bestFit="1" customWidth="1"/>
  </cols>
  <sheetData>
    <row r="1" spans="1:28" x14ac:dyDescent="0.2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</row>
    <row r="2" spans="1:28" x14ac:dyDescent="0.25">
      <c r="A2" s="12">
        <v>45170.445845787035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>
        <v>1000000000</v>
      </c>
      <c r="H2">
        <v>100000</v>
      </c>
      <c r="I2" t="s">
        <v>10</v>
      </c>
      <c r="J2" t="s">
        <v>10</v>
      </c>
      <c r="K2" t="s">
        <v>10</v>
      </c>
      <c r="L2" t="s">
        <v>10</v>
      </c>
      <c r="M2">
        <v>1428467712</v>
      </c>
      <c r="N2">
        <v>62259200</v>
      </c>
      <c r="O2">
        <v>15908286464</v>
      </c>
      <c r="P2" t="s">
        <v>10</v>
      </c>
      <c r="Q2" t="s">
        <v>10</v>
      </c>
      <c r="R2" t="s">
        <v>10</v>
      </c>
      <c r="S2" t="s">
        <v>10</v>
      </c>
      <c r="T2" t="s">
        <v>10</v>
      </c>
      <c r="U2" t="s">
        <v>10</v>
      </c>
      <c r="V2" t="s">
        <v>10</v>
      </c>
      <c r="W2" t="s">
        <v>10</v>
      </c>
      <c r="X2" t="s">
        <v>10</v>
      </c>
      <c r="Z2" t="s">
        <v>73</v>
      </c>
    </row>
    <row r="3" spans="1:28" x14ac:dyDescent="0.25">
      <c r="A3" s="12">
        <v>45170.445857280094</v>
      </c>
      <c r="B3">
        <v>3.0217362554060101E-2</v>
      </c>
      <c r="C3">
        <v>99.858310786984006</v>
      </c>
      <c r="D3">
        <v>12412.519810144</v>
      </c>
      <c r="E3">
        <v>1.4997481706280301E-4</v>
      </c>
      <c r="F3">
        <v>2.0202668961822998</v>
      </c>
      <c r="G3">
        <v>1000000000</v>
      </c>
      <c r="H3">
        <v>100000</v>
      </c>
      <c r="I3">
        <v>0</v>
      </c>
      <c r="J3">
        <v>0</v>
      </c>
      <c r="K3">
        <v>0</v>
      </c>
      <c r="L3">
        <v>0</v>
      </c>
      <c r="M3">
        <v>1428615168</v>
      </c>
      <c r="N3">
        <v>62263296</v>
      </c>
      <c r="O3">
        <v>15908286464</v>
      </c>
      <c r="P3">
        <v>1.0101334480911499</v>
      </c>
      <c r="Q3">
        <v>22.2229358580053</v>
      </c>
      <c r="R3">
        <v>0</v>
      </c>
      <c r="S3">
        <v>1.18037076099506</v>
      </c>
      <c r="T3">
        <v>0</v>
      </c>
      <c r="U3">
        <v>1.24272932485246</v>
      </c>
      <c r="V3">
        <v>97.208741641247897</v>
      </c>
      <c r="W3">
        <v>3281.9235728481499</v>
      </c>
      <c r="X3">
        <v>8671.9956518625404</v>
      </c>
      <c r="Z3" s="42" t="s">
        <v>54</v>
      </c>
      <c r="AA3" s="42"/>
    </row>
    <row r="4" spans="1:28" x14ac:dyDescent="0.25">
      <c r="A4" s="12">
        <v>45170.445868877316</v>
      </c>
      <c r="B4">
        <v>1.1879116513169801</v>
      </c>
      <c r="C4">
        <v>99.015929995068603</v>
      </c>
      <c r="D4">
        <v>70529.520696302599</v>
      </c>
      <c r="E4">
        <v>7.4375880199795304E-4</v>
      </c>
      <c r="F4">
        <v>15.9713588533294</v>
      </c>
      <c r="G4">
        <v>1000000000</v>
      </c>
      <c r="H4">
        <v>100000</v>
      </c>
      <c r="I4">
        <v>0</v>
      </c>
      <c r="J4">
        <v>0</v>
      </c>
      <c r="K4">
        <v>0</v>
      </c>
      <c r="L4">
        <v>0</v>
      </c>
      <c r="M4">
        <v>1429684224</v>
      </c>
      <c r="N4">
        <v>60407808</v>
      </c>
      <c r="O4">
        <v>15909847040</v>
      </c>
      <c r="P4">
        <v>0.99820992833308697</v>
      </c>
      <c r="Q4">
        <v>1534.24865984795</v>
      </c>
      <c r="R4">
        <v>0</v>
      </c>
      <c r="S4">
        <v>0</v>
      </c>
      <c r="T4">
        <v>0.38994447760836398</v>
      </c>
      <c r="U4">
        <v>3.6849518546395301</v>
      </c>
      <c r="V4">
        <v>95.702754557487907</v>
      </c>
      <c r="W4">
        <v>1660.02311081792</v>
      </c>
      <c r="X4">
        <v>29157.712006609399</v>
      </c>
      <c r="Z4" s="5" t="s">
        <v>55</v>
      </c>
      <c r="AA4" s="4">
        <f>AVERAGE(U36:U186)</f>
        <v>8.6432771379680435</v>
      </c>
      <c r="AB4" s="11" t="s">
        <v>59</v>
      </c>
    </row>
    <row r="5" spans="1:28" x14ac:dyDescent="0.25">
      <c r="A5" s="12">
        <v>45170.445880451392</v>
      </c>
      <c r="B5">
        <v>0.51994514578711903</v>
      </c>
      <c r="C5">
        <v>99.639488034012402</v>
      </c>
      <c r="D5">
        <v>8191.1170845086699</v>
      </c>
      <c r="E5">
        <v>2.5999377644609399E-3</v>
      </c>
      <c r="F5">
        <v>1.99978444446012</v>
      </c>
      <c r="G5">
        <v>1000000000</v>
      </c>
      <c r="H5">
        <v>100000</v>
      </c>
      <c r="I5">
        <v>0</v>
      </c>
      <c r="J5">
        <v>0</v>
      </c>
      <c r="K5">
        <v>0</v>
      </c>
      <c r="L5">
        <v>0</v>
      </c>
      <c r="M5">
        <v>1429594112</v>
      </c>
      <c r="N5">
        <v>60407808</v>
      </c>
      <c r="O5">
        <v>15909847040</v>
      </c>
      <c r="P5">
        <v>0</v>
      </c>
      <c r="Q5">
        <v>0</v>
      </c>
      <c r="R5">
        <v>0</v>
      </c>
      <c r="S5">
        <v>0</v>
      </c>
      <c r="T5">
        <v>0</v>
      </c>
      <c r="U5">
        <v>1.05488870924097E-2</v>
      </c>
      <c r="V5">
        <v>99.748516531505899</v>
      </c>
      <c r="W5">
        <v>57.9937488893436</v>
      </c>
      <c r="X5">
        <v>278.96993000218703</v>
      </c>
      <c r="Z5" s="5" t="s">
        <v>56</v>
      </c>
      <c r="AA5" s="4">
        <f>100-AVERAGE(C36:C186)</f>
        <v>35.645512616551343</v>
      </c>
      <c r="AB5" s="11" t="s">
        <v>60</v>
      </c>
    </row>
    <row r="6" spans="1:28" x14ac:dyDescent="0.25">
      <c r="A6" s="12">
        <v>45170.445892025462</v>
      </c>
      <c r="B6">
        <v>0.51994478186416604</v>
      </c>
      <c r="C6">
        <v>99.639418293777098</v>
      </c>
      <c r="D6">
        <v>8191.1433590076203</v>
      </c>
      <c r="E6">
        <v>2.6000981653348E-3</v>
      </c>
      <c r="F6">
        <v>1.99979085913271</v>
      </c>
      <c r="G6">
        <v>1000000000</v>
      </c>
      <c r="H6">
        <v>100000</v>
      </c>
      <c r="I6">
        <v>0</v>
      </c>
      <c r="J6">
        <v>0</v>
      </c>
      <c r="K6">
        <v>0</v>
      </c>
      <c r="L6">
        <v>0</v>
      </c>
      <c r="M6">
        <v>1421299712</v>
      </c>
      <c r="N6">
        <v>60407808</v>
      </c>
      <c r="O6">
        <v>15912714240</v>
      </c>
      <c r="P6">
        <v>0</v>
      </c>
      <c r="Q6">
        <v>3.9995817182654299</v>
      </c>
      <c r="R6">
        <v>0</v>
      </c>
      <c r="S6">
        <v>0</v>
      </c>
      <c r="T6">
        <v>0</v>
      </c>
      <c r="U6">
        <v>1.06188722757694E-2</v>
      </c>
      <c r="V6">
        <v>99.647247462319399</v>
      </c>
      <c r="W6">
        <v>49.994771478317901</v>
      </c>
      <c r="X6">
        <v>250.97375282115601</v>
      </c>
      <c r="Z6" s="5" t="s">
        <v>57</v>
      </c>
      <c r="AA6" s="4">
        <f>(AVERAGE(K36:K186)*8/$G$15)*100</f>
        <v>0.12659857651622666</v>
      </c>
    </row>
    <row r="7" spans="1:28" x14ac:dyDescent="0.25">
      <c r="A7" s="12">
        <v>45170.445903599539</v>
      </c>
      <c r="B7">
        <v>0.51994493783108298</v>
      </c>
      <c r="C7">
        <v>99.639448182437405</v>
      </c>
      <c r="D7">
        <v>12286.7032149603</v>
      </c>
      <c r="E7">
        <v>2.5999377644609399E-3</v>
      </c>
      <c r="F7">
        <v>1.99978893472662</v>
      </c>
      <c r="G7">
        <v>1000000000</v>
      </c>
      <c r="H7">
        <v>100000</v>
      </c>
      <c r="I7">
        <v>0</v>
      </c>
      <c r="J7">
        <v>0</v>
      </c>
      <c r="K7">
        <v>0</v>
      </c>
      <c r="L7">
        <v>0</v>
      </c>
      <c r="M7">
        <v>1421299712</v>
      </c>
      <c r="N7">
        <v>60407808</v>
      </c>
      <c r="O7">
        <v>15912714240</v>
      </c>
      <c r="P7">
        <v>0</v>
      </c>
      <c r="Q7">
        <v>0</v>
      </c>
      <c r="R7">
        <v>0</v>
      </c>
      <c r="S7">
        <v>0</v>
      </c>
      <c r="T7">
        <v>0</v>
      </c>
      <c r="U7">
        <v>1.05888786377517E-2</v>
      </c>
      <c r="V7">
        <v>99.770104345949704</v>
      </c>
      <c r="W7">
        <v>41.995567629259</v>
      </c>
      <c r="X7">
        <v>197.979104537935</v>
      </c>
      <c r="Z7" s="5" t="s">
        <v>58</v>
      </c>
      <c r="AA7" s="4">
        <f>(AA12*2^30-AVERAGE(N36:N186)-AVERAGE(O36:O186))/(AA12*2^30)*100</f>
        <v>6.9989182301704478</v>
      </c>
    </row>
    <row r="8" spans="1:28" x14ac:dyDescent="0.25">
      <c r="A8" s="12">
        <v>45170.445915173608</v>
      </c>
      <c r="B8">
        <v>1.03988997964015</v>
      </c>
      <c r="C8">
        <v>99.049520560724602</v>
      </c>
      <c r="D8">
        <v>90102.2590277485</v>
      </c>
      <c r="E8">
        <v>2.0800143719182898E-3</v>
      </c>
      <c r="F8">
        <v>4.9994595074878196</v>
      </c>
      <c r="G8">
        <v>1000000000</v>
      </c>
      <c r="H8">
        <v>100000</v>
      </c>
      <c r="I8">
        <v>0</v>
      </c>
      <c r="J8">
        <v>0</v>
      </c>
      <c r="K8">
        <v>0</v>
      </c>
      <c r="L8">
        <v>0</v>
      </c>
      <c r="M8">
        <v>1421373440</v>
      </c>
      <c r="N8">
        <v>60669952</v>
      </c>
      <c r="O8">
        <v>15912456192</v>
      </c>
      <c r="P8">
        <v>63.993081695844097</v>
      </c>
      <c r="Q8">
        <v>64.992973597341702</v>
      </c>
      <c r="R8">
        <v>0</v>
      </c>
      <c r="S8">
        <v>0</v>
      </c>
      <c r="T8">
        <v>0</v>
      </c>
      <c r="U8">
        <v>0</v>
      </c>
      <c r="V8">
        <v>99.973772774840398</v>
      </c>
      <c r="W8">
        <v>65.992865498839194</v>
      </c>
      <c r="X8">
        <v>212.97697501898099</v>
      </c>
      <c r="Z8" s="5" t="s">
        <v>63</v>
      </c>
      <c r="AA8">
        <f>AVERAGE(F36:F186)</f>
        <v>625.31913274224712</v>
      </c>
      <c r="AB8" s="11" t="s">
        <v>64</v>
      </c>
    </row>
    <row r="9" spans="1:28" x14ac:dyDescent="0.25">
      <c r="A9" s="12">
        <v>45170.445926701388</v>
      </c>
      <c r="B9">
        <v>4.0165340624681502E-2</v>
      </c>
      <c r="C9">
        <v>100.122152842174</v>
      </c>
      <c r="D9">
        <v>8225.8672909936795</v>
      </c>
      <c r="E9">
        <v>2.00019889708359E-4</v>
      </c>
      <c r="F9">
        <v>2.0082683815902498</v>
      </c>
      <c r="G9">
        <v>1000000000</v>
      </c>
      <c r="H9">
        <v>100000</v>
      </c>
      <c r="I9">
        <v>0</v>
      </c>
      <c r="J9">
        <v>0</v>
      </c>
      <c r="K9">
        <v>0</v>
      </c>
      <c r="L9">
        <v>0</v>
      </c>
      <c r="M9">
        <v>1421422592</v>
      </c>
      <c r="N9">
        <v>60669952</v>
      </c>
      <c r="O9">
        <v>15912456192</v>
      </c>
      <c r="P9">
        <v>0</v>
      </c>
      <c r="Q9">
        <v>0</v>
      </c>
      <c r="R9">
        <v>0</v>
      </c>
      <c r="S9">
        <v>0</v>
      </c>
      <c r="T9">
        <v>0</v>
      </c>
      <c r="U9">
        <v>1.15560705644787</v>
      </c>
      <c r="V9">
        <v>99.608237308881996</v>
      </c>
      <c r="W9">
        <v>40.165367631805097</v>
      </c>
      <c r="X9">
        <v>200.82683815902499</v>
      </c>
      <c r="Z9" s="5" t="s">
        <v>26</v>
      </c>
      <c r="AA9">
        <v>49.650455687882463</v>
      </c>
    </row>
    <row r="10" spans="1:28" x14ac:dyDescent="0.25">
      <c r="A10" s="12">
        <v>45170.44593829861</v>
      </c>
      <c r="B10">
        <v>0.51902796442821797</v>
      </c>
      <c r="C10">
        <v>99.633406556201507</v>
      </c>
      <c r="D10">
        <v>12265.932897356701</v>
      </c>
      <c r="E10">
        <v>2.5999377644609399E-3</v>
      </c>
      <c r="F10">
        <v>1.99640834917916</v>
      </c>
      <c r="G10">
        <v>1000000000</v>
      </c>
      <c r="H10">
        <v>100000</v>
      </c>
      <c r="I10">
        <v>0</v>
      </c>
      <c r="J10">
        <v>0</v>
      </c>
      <c r="K10">
        <v>0</v>
      </c>
      <c r="L10">
        <v>0</v>
      </c>
      <c r="M10">
        <v>1421160448</v>
      </c>
      <c r="N10">
        <v>60669952</v>
      </c>
      <c r="O10">
        <v>15912509440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99.773164816930802</v>
      </c>
      <c r="W10">
        <v>43.9209836819416</v>
      </c>
      <c r="X10">
        <v>207.626468314633</v>
      </c>
      <c r="Z10" s="5" t="s">
        <v>74</v>
      </c>
      <c r="AA10">
        <f>ROUND(AA8/AA9,0)</f>
        <v>13</v>
      </c>
    </row>
    <row r="11" spans="1:28" x14ac:dyDescent="0.25">
      <c r="A11" s="12">
        <v>45170.445949872686</v>
      </c>
      <c r="B11">
        <v>1.0198916875027799</v>
      </c>
      <c r="C11">
        <v>99.649417231889899</v>
      </c>
      <c r="D11">
        <v>12286.7032149603</v>
      </c>
      <c r="E11">
        <v>3.40007079025233E-3</v>
      </c>
      <c r="F11">
        <v>2.9996834020899299</v>
      </c>
      <c r="G11">
        <v>1000000000</v>
      </c>
      <c r="H11">
        <v>100000</v>
      </c>
      <c r="I11">
        <v>0</v>
      </c>
      <c r="J11">
        <v>0</v>
      </c>
      <c r="K11">
        <v>0</v>
      </c>
      <c r="L11">
        <v>0</v>
      </c>
      <c r="M11">
        <v>1421160448</v>
      </c>
      <c r="N11">
        <v>60669952</v>
      </c>
      <c r="O11">
        <v>15912513536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99.764235038238894</v>
      </c>
      <c r="W11">
        <v>31.996622955625899</v>
      </c>
      <c r="X11">
        <v>190.97984326639201</v>
      </c>
    </row>
    <row r="12" spans="1:28" x14ac:dyDescent="0.25">
      <c r="A12" s="12">
        <v>45170.445961446756</v>
      </c>
      <c r="B12">
        <v>0.52994403790959599</v>
      </c>
      <c r="C12">
        <v>99.639478071115605</v>
      </c>
      <c r="D12">
        <v>8191.0067334537598</v>
      </c>
      <c r="E12">
        <v>2.64998283710649E-3</v>
      </c>
      <c r="F12">
        <v>1.99975750328461</v>
      </c>
      <c r="G12">
        <v>1000000000</v>
      </c>
      <c r="H12">
        <v>100000</v>
      </c>
      <c r="I12">
        <v>0</v>
      </c>
      <c r="J12">
        <v>0</v>
      </c>
      <c r="K12">
        <v>0</v>
      </c>
      <c r="L12">
        <v>0</v>
      </c>
      <c r="M12">
        <v>1421160448</v>
      </c>
      <c r="N12">
        <v>60674048</v>
      </c>
      <c r="O12">
        <v>15912509440</v>
      </c>
      <c r="P12">
        <v>0.999878751642305</v>
      </c>
      <c r="Q12">
        <v>0.999878751642305</v>
      </c>
      <c r="R12">
        <v>0</v>
      </c>
      <c r="S12">
        <v>0</v>
      </c>
      <c r="T12">
        <v>0</v>
      </c>
      <c r="U12">
        <v>0.40114763880934001</v>
      </c>
      <c r="V12">
        <v>99.770474237920396</v>
      </c>
      <c r="W12">
        <v>45.994422575545997</v>
      </c>
      <c r="X12">
        <v>213.974052851453</v>
      </c>
      <c r="Z12" s="4" t="s">
        <v>61</v>
      </c>
      <c r="AA12" s="4">
        <v>16</v>
      </c>
    </row>
    <row r="13" spans="1:28" x14ac:dyDescent="0.25">
      <c r="A13" s="12">
        <v>45170.445973020833</v>
      </c>
      <c r="B13">
        <v>2.4502908495238298</v>
      </c>
      <c r="C13">
        <v>97.801609050994301</v>
      </c>
      <c r="D13">
        <v>370735.33515229699</v>
      </c>
      <c r="E13">
        <v>8.1666500919096998E-4</v>
      </c>
      <c r="F13">
        <v>30.003830861988799</v>
      </c>
      <c r="G13">
        <v>1000000000</v>
      </c>
      <c r="H13">
        <v>100000</v>
      </c>
      <c r="I13">
        <v>478.06103840102202</v>
      </c>
      <c r="J13">
        <v>0</v>
      </c>
      <c r="K13">
        <v>168827.55574962901</v>
      </c>
      <c r="L13">
        <v>0</v>
      </c>
      <c r="M13">
        <v>1439887360</v>
      </c>
      <c r="N13">
        <v>60870656</v>
      </c>
      <c r="O13">
        <v>15901446144</v>
      </c>
      <c r="P13">
        <v>49.006257074581796</v>
      </c>
      <c r="Q13">
        <v>4410.5631367123597</v>
      </c>
      <c r="R13">
        <v>1.0001276953996201</v>
      </c>
      <c r="S13">
        <v>0</v>
      </c>
      <c r="T13">
        <v>0</v>
      </c>
      <c r="U13">
        <v>1.94148045372986</v>
      </c>
      <c r="V13">
        <v>96.914943803829502</v>
      </c>
      <c r="W13">
        <v>1241.1584699909299</v>
      </c>
      <c r="X13">
        <v>1179.15055287616</v>
      </c>
      <c r="Z13" s="4" t="s">
        <v>62</v>
      </c>
      <c r="AA13" s="4"/>
    </row>
    <row r="14" spans="1:28" x14ac:dyDescent="0.25">
      <c r="A14" s="12">
        <v>45170.44598459491</v>
      </c>
      <c r="B14">
        <v>73.854408882135502</v>
      </c>
      <c r="C14">
        <v>64.241231727085804</v>
      </c>
      <c r="D14">
        <v>16812423.354389898</v>
      </c>
      <c r="E14">
        <v>8.6249985871231401E-4</v>
      </c>
      <c r="F14">
        <v>856.22853343550298</v>
      </c>
      <c r="G14">
        <v>1000000000</v>
      </c>
      <c r="H14">
        <v>100000</v>
      </c>
      <c r="I14">
        <v>429.11453369606397</v>
      </c>
      <c r="J14">
        <v>0</v>
      </c>
      <c r="K14">
        <v>134191.816742492</v>
      </c>
      <c r="L14">
        <v>0</v>
      </c>
      <c r="M14">
        <v>1420578816</v>
      </c>
      <c r="N14">
        <v>61632512</v>
      </c>
      <c r="O14">
        <v>15910060032</v>
      </c>
      <c r="P14">
        <v>1700.45386313125</v>
      </c>
      <c r="Q14">
        <v>1701.4541301095701</v>
      </c>
      <c r="R14">
        <v>64.017086612000199</v>
      </c>
      <c r="S14">
        <v>0.39074914259162602</v>
      </c>
      <c r="T14">
        <v>0.39074914259162602</v>
      </c>
      <c r="U14">
        <v>11.6895634007039</v>
      </c>
      <c r="V14">
        <v>87.219105914504695</v>
      </c>
      <c r="W14">
        <v>5101.3615893937704</v>
      </c>
      <c r="X14">
        <v>2577.6880031113201</v>
      </c>
    </row>
    <row r="15" spans="1:28" x14ac:dyDescent="0.25">
      <c r="A15" s="12">
        <v>45170.445995995367</v>
      </c>
      <c r="B15">
        <v>0.57835115940129</v>
      </c>
      <c r="C15">
        <v>99.567718021138006</v>
      </c>
      <c r="D15">
        <v>112215.954238155</v>
      </c>
      <c r="E15">
        <v>1.90000181787657E-3</v>
      </c>
      <c r="F15">
        <v>3.0440525780749699</v>
      </c>
      <c r="G15">
        <v>1000000000</v>
      </c>
      <c r="H15">
        <v>100000</v>
      </c>
      <c r="I15">
        <v>0</v>
      </c>
      <c r="J15">
        <v>0</v>
      </c>
      <c r="K15">
        <v>0</v>
      </c>
      <c r="L15">
        <v>0</v>
      </c>
      <c r="M15">
        <v>1420795904</v>
      </c>
      <c r="N15">
        <v>61632512</v>
      </c>
      <c r="O15">
        <v>15910064128</v>
      </c>
      <c r="P15">
        <v>0</v>
      </c>
      <c r="Q15">
        <v>1.0146841926916501</v>
      </c>
      <c r="R15">
        <v>0</v>
      </c>
      <c r="S15">
        <v>0</v>
      </c>
      <c r="T15">
        <v>0</v>
      </c>
      <c r="U15">
        <v>0</v>
      </c>
      <c r="V15">
        <v>100.060331157785</v>
      </c>
      <c r="W15">
        <v>44.646104478433003</v>
      </c>
      <c r="X15">
        <v>208.01025950178999</v>
      </c>
    </row>
    <row r="16" spans="1:28" x14ac:dyDescent="0.25">
      <c r="A16" s="12">
        <v>45170.446007719911</v>
      </c>
      <c r="B16">
        <v>4.9770709108178002</v>
      </c>
      <c r="C16">
        <v>96.480124600575195</v>
      </c>
      <c r="D16">
        <v>891922.78955333598</v>
      </c>
      <c r="E16">
        <v>9.3333704037575104E-4</v>
      </c>
      <c r="F16">
        <v>53.327654031011001</v>
      </c>
      <c r="G16">
        <v>1000000000</v>
      </c>
      <c r="H16">
        <v>100000</v>
      </c>
      <c r="I16">
        <v>53.327654031011001</v>
      </c>
      <c r="J16">
        <v>0</v>
      </c>
      <c r="K16">
        <v>16784.385331686299</v>
      </c>
      <c r="L16">
        <v>0</v>
      </c>
      <c r="M16">
        <v>1422221312</v>
      </c>
      <c r="N16">
        <v>60821504</v>
      </c>
      <c r="O16">
        <v>15910920192</v>
      </c>
      <c r="P16">
        <v>88.879423385018299</v>
      </c>
      <c r="Q16">
        <v>479.94888627909899</v>
      </c>
      <c r="R16">
        <v>6.9128440410569798</v>
      </c>
      <c r="S16">
        <v>0.38575262101046698</v>
      </c>
      <c r="T16">
        <v>0</v>
      </c>
      <c r="U16">
        <v>2.4058311520793398</v>
      </c>
      <c r="V16">
        <v>98.703611279701704</v>
      </c>
      <c r="W16">
        <v>336.75425971434697</v>
      </c>
      <c r="X16">
        <v>370.33093077090899</v>
      </c>
    </row>
    <row r="17" spans="1:24" x14ac:dyDescent="0.25">
      <c r="A17" s="12">
        <v>45170.44601929398</v>
      </c>
      <c r="B17">
        <v>7.4085242219749796</v>
      </c>
      <c r="C17">
        <v>96.640749162766696</v>
      </c>
      <c r="D17">
        <v>1732237.90050598</v>
      </c>
      <c r="E17">
        <v>8.5172126546481002E-4</v>
      </c>
      <c r="F17">
        <v>86.981416075662196</v>
      </c>
      <c r="G17">
        <v>1000000000</v>
      </c>
      <c r="H17">
        <v>100000</v>
      </c>
      <c r="I17">
        <v>55.9880379337596</v>
      </c>
      <c r="J17">
        <v>0</v>
      </c>
      <c r="K17">
        <v>16902.388737645299</v>
      </c>
      <c r="L17">
        <v>0</v>
      </c>
      <c r="M17">
        <v>1419874304</v>
      </c>
      <c r="N17">
        <v>61464576</v>
      </c>
      <c r="O17">
        <v>15910699008</v>
      </c>
      <c r="P17">
        <v>156.96646349286101</v>
      </c>
      <c r="Q17">
        <v>205.95599668490101</v>
      </c>
      <c r="R17">
        <v>4.99893195837139</v>
      </c>
      <c r="S17">
        <v>0</v>
      </c>
      <c r="T17">
        <v>0</v>
      </c>
      <c r="U17">
        <v>1.58210484471493</v>
      </c>
      <c r="V17">
        <v>98.610166854762497</v>
      </c>
      <c r="W17">
        <v>469.89960408691098</v>
      </c>
      <c r="X17">
        <v>434.90708037831098</v>
      </c>
    </row>
    <row r="18" spans="1:24" x14ac:dyDescent="0.25">
      <c r="A18" s="12">
        <v>45170.446030868057</v>
      </c>
      <c r="B18">
        <v>0.65992991544297896</v>
      </c>
      <c r="C18">
        <v>99.499433160198294</v>
      </c>
      <c r="D18">
        <v>65529.104832754703</v>
      </c>
      <c r="E18">
        <v>6.6001751577542502E-4</v>
      </c>
      <c r="F18">
        <v>9.9989478809745407</v>
      </c>
      <c r="G18">
        <v>1000000000</v>
      </c>
      <c r="H18">
        <v>100000</v>
      </c>
      <c r="I18">
        <v>0</v>
      </c>
      <c r="J18">
        <v>0</v>
      </c>
      <c r="K18">
        <v>0</v>
      </c>
      <c r="L18">
        <v>0</v>
      </c>
      <c r="M18">
        <v>1419988992</v>
      </c>
      <c r="N18">
        <v>60456960</v>
      </c>
      <c r="O18">
        <v>15911706624</v>
      </c>
      <c r="P18">
        <v>0</v>
      </c>
      <c r="Q18">
        <v>0</v>
      </c>
      <c r="R18">
        <v>0</v>
      </c>
      <c r="S18">
        <v>0</v>
      </c>
      <c r="T18">
        <v>0</v>
      </c>
      <c r="U18">
        <v>1.06188722757694E-2</v>
      </c>
      <c r="V18">
        <v>99.728158869528002</v>
      </c>
      <c r="W18">
        <v>75.992003895406498</v>
      </c>
      <c r="X18">
        <v>214.97737944095201</v>
      </c>
    </row>
    <row r="19" spans="1:24" x14ac:dyDescent="0.25">
      <c r="A19" s="12">
        <v>45170.446042534721</v>
      </c>
      <c r="B19">
        <v>1.21102377070912</v>
      </c>
      <c r="C19">
        <v>98.8771129510951</v>
      </c>
      <c r="D19">
        <v>146368.88868792</v>
      </c>
      <c r="E19">
        <v>9.3844382033423995E-4</v>
      </c>
      <c r="F19">
        <v>12.9041582095198</v>
      </c>
      <c r="G19">
        <v>1000000000</v>
      </c>
      <c r="H19">
        <v>100000</v>
      </c>
      <c r="I19">
        <v>0</v>
      </c>
      <c r="J19">
        <v>0</v>
      </c>
      <c r="K19">
        <v>0</v>
      </c>
      <c r="L19">
        <v>0</v>
      </c>
      <c r="M19">
        <v>1420132352</v>
      </c>
      <c r="N19">
        <v>60719104</v>
      </c>
      <c r="O19">
        <v>15911444480</v>
      </c>
      <c r="P19">
        <v>63.528163493020799</v>
      </c>
      <c r="Q19">
        <v>63.528163493020799</v>
      </c>
      <c r="R19">
        <v>0</v>
      </c>
      <c r="S19">
        <v>0</v>
      </c>
      <c r="T19">
        <v>0</v>
      </c>
      <c r="U19">
        <v>0</v>
      </c>
      <c r="V19">
        <v>99.717742123605603</v>
      </c>
      <c r="W19">
        <v>65.513418602177694</v>
      </c>
      <c r="X19">
        <v>191.57711803364001</v>
      </c>
    </row>
    <row r="20" spans="1:24" x14ac:dyDescent="0.25">
      <c r="A20" s="12">
        <v>45170.446054108797</v>
      </c>
      <c r="B20">
        <v>2.9996823336408601E-2</v>
      </c>
      <c r="C20">
        <v>100.11939735582</v>
      </c>
      <c r="D20">
        <v>8191.1302217370703</v>
      </c>
      <c r="E20">
        <v>1.50135217936667E-4</v>
      </c>
      <c r="F20">
        <v>1.99978765179127</v>
      </c>
      <c r="G20">
        <v>1000000000</v>
      </c>
      <c r="H20">
        <v>100000</v>
      </c>
      <c r="I20">
        <v>0</v>
      </c>
      <c r="J20">
        <v>0</v>
      </c>
      <c r="K20">
        <v>0</v>
      </c>
      <c r="L20">
        <v>0</v>
      </c>
      <c r="M20">
        <v>1420247040</v>
      </c>
      <c r="N20">
        <v>60719104</v>
      </c>
      <c r="O20">
        <v>15911444480</v>
      </c>
      <c r="P20">
        <v>0</v>
      </c>
      <c r="Q20">
        <v>0</v>
      </c>
      <c r="R20">
        <v>0</v>
      </c>
      <c r="S20">
        <v>0</v>
      </c>
      <c r="T20">
        <v>0</v>
      </c>
      <c r="U20">
        <v>1.05888786377517E-2</v>
      </c>
      <c r="V20">
        <v>99.749066573849802</v>
      </c>
      <c r="W20">
        <v>45.995115991199398</v>
      </c>
      <c r="X20">
        <v>241.974305866744</v>
      </c>
    </row>
    <row r="21" spans="1:24" x14ac:dyDescent="0.25">
      <c r="A21" s="12">
        <v>45170.446065682867</v>
      </c>
      <c r="B21">
        <v>1.11988151653555</v>
      </c>
      <c r="C21">
        <v>99.059519502836594</v>
      </c>
      <c r="D21">
        <v>77817.035088400196</v>
      </c>
      <c r="E21">
        <v>1.59997580238245E-3</v>
      </c>
      <c r="F21">
        <v>6.9993735302580298</v>
      </c>
      <c r="G21">
        <v>1000000000</v>
      </c>
      <c r="H21">
        <v>100000</v>
      </c>
      <c r="I21">
        <v>0</v>
      </c>
      <c r="J21">
        <v>0</v>
      </c>
      <c r="K21">
        <v>0</v>
      </c>
      <c r="L21">
        <v>0</v>
      </c>
      <c r="M21">
        <v>1420361728</v>
      </c>
      <c r="N21">
        <v>60719104</v>
      </c>
      <c r="O21">
        <v>15911448576</v>
      </c>
      <c r="P21">
        <v>0</v>
      </c>
      <c r="Q21">
        <v>0.999910504322577</v>
      </c>
      <c r="R21">
        <v>0</v>
      </c>
      <c r="S21">
        <v>0</v>
      </c>
      <c r="T21">
        <v>0</v>
      </c>
      <c r="U21">
        <v>0</v>
      </c>
      <c r="V21">
        <v>99.975502591825702</v>
      </c>
      <c r="W21">
        <v>61.9944512679997</v>
      </c>
      <c r="X21">
        <v>204.98165338612799</v>
      </c>
    </row>
    <row r="22" spans="1:24" x14ac:dyDescent="0.25">
      <c r="A22" s="12">
        <v>45170.446077129629</v>
      </c>
      <c r="B22">
        <v>37.297033718075397</v>
      </c>
      <c r="C22">
        <v>75.109694630410004</v>
      </c>
      <c r="D22">
        <v>6784891.3685704404</v>
      </c>
      <c r="E22">
        <v>8.8677931578909602E-4</v>
      </c>
      <c r="F22">
        <v>420.56181240185202</v>
      </c>
      <c r="G22">
        <v>1000000000</v>
      </c>
      <c r="H22">
        <v>100000</v>
      </c>
      <c r="I22">
        <v>316.43232519658602</v>
      </c>
      <c r="J22">
        <v>0</v>
      </c>
      <c r="K22">
        <v>100617.39168535201</v>
      </c>
      <c r="L22">
        <v>0</v>
      </c>
      <c r="M22">
        <v>1420247040</v>
      </c>
      <c r="N22">
        <v>62533632</v>
      </c>
      <c r="O22">
        <v>15909961728</v>
      </c>
      <c r="P22">
        <v>663.19362724907501</v>
      </c>
      <c r="Q22">
        <v>1059.4922581661999</v>
      </c>
      <c r="R22">
        <v>52.570226550231503</v>
      </c>
      <c r="S22">
        <v>0</v>
      </c>
      <c r="T22">
        <v>0</v>
      </c>
      <c r="U22">
        <v>5.6105293903962101</v>
      </c>
      <c r="V22">
        <v>93.945940229506604</v>
      </c>
      <c r="W22">
        <v>1728.7516807864599</v>
      </c>
      <c r="X22">
        <v>1285.94861869028</v>
      </c>
    </row>
    <row r="23" spans="1:24" x14ac:dyDescent="0.25">
      <c r="A23" s="12">
        <v>45170.446088773147</v>
      </c>
      <c r="B23">
        <v>72.564066798680798</v>
      </c>
      <c r="C23">
        <v>50.598136939441503</v>
      </c>
      <c r="D23">
        <v>16427690.2602419</v>
      </c>
      <c r="E23">
        <v>7.4683007691021797E-4</v>
      </c>
      <c r="F23">
        <v>971.62048624180295</v>
      </c>
      <c r="G23">
        <v>1000000000</v>
      </c>
      <c r="H23">
        <v>100000</v>
      </c>
      <c r="I23">
        <v>794.78158383787604</v>
      </c>
      <c r="J23">
        <v>0</v>
      </c>
      <c r="K23">
        <v>253745.942363999</v>
      </c>
      <c r="L23">
        <v>0</v>
      </c>
      <c r="M23">
        <v>1419972608</v>
      </c>
      <c r="N23">
        <v>67932160</v>
      </c>
      <c r="O23">
        <v>15905026048</v>
      </c>
      <c r="P23">
        <v>1563.73276620102</v>
      </c>
      <c r="Q23">
        <v>2981.4244163718299</v>
      </c>
      <c r="R23">
        <v>105.308559858518</v>
      </c>
      <c r="S23">
        <v>1.1642340218971801</v>
      </c>
      <c r="T23">
        <v>0.77615932621124495</v>
      </c>
      <c r="U23">
        <v>14.2343894862376</v>
      </c>
      <c r="V23">
        <v>86.326978612675106</v>
      </c>
      <c r="W23">
        <v>4493.4963796233897</v>
      </c>
      <c r="X23">
        <v>2928.7701364425702</v>
      </c>
    </row>
    <row r="24" spans="1:24" x14ac:dyDescent="0.25">
      <c r="A24" s="12">
        <v>45170.446100300927</v>
      </c>
      <c r="B24">
        <v>53.013297535625199</v>
      </c>
      <c r="C24">
        <v>62.498618398708999</v>
      </c>
      <c r="D24">
        <v>9698698.3752002101</v>
      </c>
      <c r="E24">
        <v>8.8971362287651196E-4</v>
      </c>
      <c r="F24">
        <v>595.85522844203797</v>
      </c>
      <c r="G24">
        <v>1000000000</v>
      </c>
      <c r="H24">
        <v>100000</v>
      </c>
      <c r="I24">
        <v>491.35448011493497</v>
      </c>
      <c r="J24">
        <v>0</v>
      </c>
      <c r="K24">
        <v>166901.76248681199</v>
      </c>
      <c r="L24">
        <v>0</v>
      </c>
      <c r="M24">
        <v>1420214272</v>
      </c>
      <c r="N24">
        <v>62701568</v>
      </c>
      <c r="O24">
        <v>15910424576</v>
      </c>
      <c r="P24">
        <v>916.39117763767103</v>
      </c>
      <c r="Q24">
        <v>1956.3745864698899</v>
      </c>
      <c r="R24">
        <v>59.284078377875602</v>
      </c>
      <c r="S24">
        <v>1.57000146700937</v>
      </c>
      <c r="T24">
        <v>0.392505390757037</v>
      </c>
      <c r="U24">
        <v>12.472423238232199</v>
      </c>
      <c r="V24">
        <v>91.569840698859096</v>
      </c>
      <c r="W24">
        <v>2696.9231587494601</v>
      </c>
      <c r="X24">
        <v>1890.0568038776901</v>
      </c>
    </row>
    <row r="25" spans="1:24" x14ac:dyDescent="0.25">
      <c r="A25" s="12">
        <v>45170.446112025464</v>
      </c>
      <c r="B25">
        <v>44.6770141105725</v>
      </c>
      <c r="C25">
        <v>66.660158260869693</v>
      </c>
      <c r="D25">
        <v>10132728.534149701</v>
      </c>
      <c r="E25">
        <v>7.0170532986738097E-4</v>
      </c>
      <c r="F25">
        <v>636.715038646175</v>
      </c>
      <c r="G25">
        <v>1000000000</v>
      </c>
      <c r="H25">
        <v>100000</v>
      </c>
      <c r="I25">
        <v>482.71884325268201</v>
      </c>
      <c r="J25">
        <v>0</v>
      </c>
      <c r="K25">
        <v>156535.15830728799</v>
      </c>
      <c r="L25">
        <v>0</v>
      </c>
      <c r="M25">
        <v>1419530240</v>
      </c>
      <c r="N25">
        <v>61554688</v>
      </c>
      <c r="O25">
        <v>15911792640</v>
      </c>
      <c r="P25">
        <v>992.090874169622</v>
      </c>
      <c r="Q25">
        <v>1572.53807219125</v>
      </c>
      <c r="R25">
        <v>53.306375328516999</v>
      </c>
      <c r="S25">
        <v>1.5423737195706899</v>
      </c>
      <c r="T25">
        <v>0</v>
      </c>
      <c r="U25">
        <v>5.1440162464023098</v>
      </c>
      <c r="V25">
        <v>91.2390902354269</v>
      </c>
      <c r="W25">
        <v>2596.2179095185102</v>
      </c>
      <c r="X25">
        <v>1862.7616712020599</v>
      </c>
    </row>
    <row r="26" spans="1:24" x14ac:dyDescent="0.25">
      <c r="A26" s="12">
        <v>45170.446123553244</v>
      </c>
      <c r="B26">
        <v>54.631094994938003</v>
      </c>
      <c r="C26">
        <v>59.411315806995098</v>
      </c>
      <c r="D26">
        <v>12560287.3157626</v>
      </c>
      <c r="E26">
        <v>6.9211181235543295E-4</v>
      </c>
      <c r="F26">
        <v>789.34024785446104</v>
      </c>
      <c r="G26">
        <v>1000000000</v>
      </c>
      <c r="H26">
        <v>100000</v>
      </c>
      <c r="I26">
        <v>593.51156040965202</v>
      </c>
      <c r="J26">
        <v>0</v>
      </c>
      <c r="K26">
        <v>192840.040399497</v>
      </c>
      <c r="L26">
        <v>0</v>
      </c>
      <c r="M26">
        <v>1420517376</v>
      </c>
      <c r="N26">
        <v>60153856</v>
      </c>
      <c r="O26">
        <v>15913529344</v>
      </c>
      <c r="P26">
        <v>1208.1123640825899</v>
      </c>
      <c r="Q26">
        <v>1995.44411257864</v>
      </c>
      <c r="R26">
        <v>82.348473694740207</v>
      </c>
      <c r="S26">
        <v>2.7459958369900499</v>
      </c>
      <c r="T26">
        <v>0</v>
      </c>
      <c r="U26">
        <v>12.128293896009501</v>
      </c>
      <c r="V26">
        <v>89.484468249140605</v>
      </c>
      <c r="W26">
        <v>3239.7094651125799</v>
      </c>
      <c r="X26">
        <v>2239.4767846252498</v>
      </c>
    </row>
    <row r="27" spans="1:24" x14ac:dyDescent="0.25">
      <c r="A27" s="12">
        <v>45170.446135081016</v>
      </c>
      <c r="B27">
        <v>53.262886430775097</v>
      </c>
      <c r="C27">
        <v>62.037959520407099</v>
      </c>
      <c r="D27">
        <v>10317592.339864399</v>
      </c>
      <c r="E27">
        <v>8.3675063937458099E-4</v>
      </c>
      <c r="F27">
        <v>636.51261157820602</v>
      </c>
      <c r="G27">
        <v>1000000000</v>
      </c>
      <c r="H27">
        <v>100000</v>
      </c>
      <c r="I27">
        <v>501.981554872402</v>
      </c>
      <c r="J27">
        <v>0</v>
      </c>
      <c r="K27">
        <v>167362.65832067799</v>
      </c>
      <c r="L27">
        <v>0</v>
      </c>
      <c r="M27">
        <v>1421094912</v>
      </c>
      <c r="N27">
        <v>64090112</v>
      </c>
      <c r="O27">
        <v>15909744640</v>
      </c>
      <c r="P27">
        <v>964.808548464757</v>
      </c>
      <c r="Q27">
        <v>1358.36208748472</v>
      </c>
      <c r="R27">
        <v>37.146635060557699</v>
      </c>
      <c r="S27">
        <v>1.9609577520391199</v>
      </c>
      <c r="T27">
        <v>0.39218753435606701</v>
      </c>
      <c r="U27">
        <v>7.8347446910556799</v>
      </c>
      <c r="V27">
        <v>91.257818374259998</v>
      </c>
      <c r="W27">
        <v>2535.0068521056301</v>
      </c>
      <c r="X27">
        <v>1896.4863143079299</v>
      </c>
    </row>
    <row r="28" spans="1:24" x14ac:dyDescent="0.25">
      <c r="A28" s="12">
        <v>45170.44614659722</v>
      </c>
      <c r="B28">
        <v>54.0409415378464</v>
      </c>
      <c r="C28">
        <v>60.298842388790398</v>
      </c>
      <c r="D28">
        <v>11212360.083761901</v>
      </c>
      <c r="E28">
        <v>7.9351069354773301E-4</v>
      </c>
      <c r="F28">
        <v>681.08336948023805</v>
      </c>
      <c r="G28">
        <v>1000000000</v>
      </c>
      <c r="H28">
        <v>100000</v>
      </c>
      <c r="I28">
        <v>492.22839387214799</v>
      </c>
      <c r="J28">
        <v>0</v>
      </c>
      <c r="K28">
        <v>158079.65096591099</v>
      </c>
      <c r="L28">
        <v>0</v>
      </c>
      <c r="M28">
        <v>1420357632</v>
      </c>
      <c r="N28">
        <v>62468096</v>
      </c>
      <c r="O28">
        <v>15911780352</v>
      </c>
      <c r="P28">
        <v>1110.0252555688201</v>
      </c>
      <c r="Q28">
        <v>1556.04445328154</v>
      </c>
      <c r="R28">
        <v>101.459322002218</v>
      </c>
      <c r="S28">
        <v>3.53137463380481</v>
      </c>
      <c r="T28">
        <v>1.1771282261964899</v>
      </c>
      <c r="U28">
        <v>9.7538877083476603</v>
      </c>
      <c r="V28">
        <v>90.852706793237601</v>
      </c>
      <c r="W28">
        <v>2617.8514172057498</v>
      </c>
      <c r="X28">
        <v>1940.7862386959</v>
      </c>
    </row>
    <row r="29" spans="1:24" x14ac:dyDescent="0.25">
      <c r="A29" s="12">
        <v>45170.446158263891</v>
      </c>
      <c r="B29">
        <v>63.891606173250999</v>
      </c>
      <c r="C29">
        <v>53.342246533274903</v>
      </c>
      <c r="D29">
        <v>11998745.161885699</v>
      </c>
      <c r="E29">
        <v>8.7591840139120505E-4</v>
      </c>
      <c r="F29">
        <v>729.36827240288005</v>
      </c>
      <c r="G29">
        <v>1000000000</v>
      </c>
      <c r="H29">
        <v>100000</v>
      </c>
      <c r="I29">
        <v>518.99266185946396</v>
      </c>
      <c r="J29">
        <v>0</v>
      </c>
      <c r="K29">
        <v>169221.377899752</v>
      </c>
      <c r="L29">
        <v>0</v>
      </c>
      <c r="M29">
        <v>1420738560</v>
      </c>
      <c r="N29">
        <v>60809216</v>
      </c>
      <c r="O29">
        <v>15913861120</v>
      </c>
      <c r="P29">
        <v>1143.1731289906299</v>
      </c>
      <c r="Q29">
        <v>1923.1506284581999</v>
      </c>
      <c r="R29">
        <v>102.21079191496101</v>
      </c>
      <c r="S29">
        <v>1.55064670154869</v>
      </c>
      <c r="T29">
        <v>0</v>
      </c>
      <c r="U29">
        <v>9.2871679594015397</v>
      </c>
      <c r="V29">
        <v>89.837493218091495</v>
      </c>
      <c r="W29">
        <v>3082.2011620181502</v>
      </c>
      <c r="X29">
        <v>2050.16986501272</v>
      </c>
    </row>
    <row r="30" spans="1:24" x14ac:dyDescent="0.25">
      <c r="A30" s="12">
        <v>45170.446169675924</v>
      </c>
      <c r="B30">
        <v>43.250985040169901</v>
      </c>
      <c r="C30">
        <v>68.2541928553714</v>
      </c>
      <c r="D30">
        <v>9809829.3884930704</v>
      </c>
      <c r="E30">
        <v>7.0362993106563301E-4</v>
      </c>
      <c r="F30">
        <v>614.72113261259597</v>
      </c>
      <c r="G30">
        <v>1000000000</v>
      </c>
      <c r="H30">
        <v>100000</v>
      </c>
      <c r="I30">
        <v>507.19565397078901</v>
      </c>
      <c r="J30">
        <v>0</v>
      </c>
      <c r="K30">
        <v>158908.45595428001</v>
      </c>
      <c r="L30">
        <v>0</v>
      </c>
      <c r="M30">
        <v>1421500416</v>
      </c>
      <c r="N30">
        <v>64475136</v>
      </c>
      <c r="O30">
        <v>15910387712</v>
      </c>
      <c r="P30">
        <v>907.88022060771198</v>
      </c>
      <c r="Q30">
        <v>1407.9751354229099</v>
      </c>
      <c r="R30">
        <v>46.662000165312499</v>
      </c>
      <c r="S30">
        <v>0.39621716173525301</v>
      </c>
      <c r="T30">
        <v>0</v>
      </c>
      <c r="U30">
        <v>7.2839973891173599</v>
      </c>
      <c r="V30">
        <v>91.604632845897498</v>
      </c>
      <c r="W30">
        <v>2578.58270478749</v>
      </c>
      <c r="X30">
        <v>1902.9980936984</v>
      </c>
    </row>
    <row r="31" spans="1:24" x14ac:dyDescent="0.25">
      <c r="A31" s="12">
        <v>45170.44618136574</v>
      </c>
      <c r="B31">
        <v>48.022688320581302</v>
      </c>
      <c r="C31">
        <v>62.7372437569515</v>
      </c>
      <c r="D31">
        <v>11174502.6534194</v>
      </c>
      <c r="E31">
        <v>6.8739408260001496E-4</v>
      </c>
      <c r="F31">
        <v>698.61223927465096</v>
      </c>
      <c r="G31">
        <v>1000000000</v>
      </c>
      <c r="H31">
        <v>100000</v>
      </c>
      <c r="I31">
        <v>487.84112459263798</v>
      </c>
      <c r="J31">
        <v>0</v>
      </c>
      <c r="K31">
        <v>160884.659397604</v>
      </c>
      <c r="L31">
        <v>0</v>
      </c>
      <c r="M31">
        <v>1420562432</v>
      </c>
      <c r="N31">
        <v>63913984</v>
      </c>
      <c r="O31">
        <v>15911247872</v>
      </c>
      <c r="P31">
        <v>1105.3114323934601</v>
      </c>
      <c r="Q31">
        <v>1735.6457049401299</v>
      </c>
      <c r="R31">
        <v>72.236109726698999</v>
      </c>
      <c r="S31">
        <v>0.77308314960754498</v>
      </c>
      <c r="T31">
        <v>0.38653662707161501</v>
      </c>
      <c r="U31">
        <v>11.4819843176681</v>
      </c>
      <c r="V31">
        <v>90.758457653350007</v>
      </c>
      <c r="W31">
        <v>2645.0290588968001</v>
      </c>
      <c r="X31">
        <v>1918.70981863108</v>
      </c>
    </row>
    <row r="32" spans="1:24" x14ac:dyDescent="0.25">
      <c r="A32" s="12">
        <v>45170.446192847223</v>
      </c>
      <c r="B32">
        <v>55.634946044485297</v>
      </c>
      <c r="C32">
        <v>60.030096701378902</v>
      </c>
      <c r="D32">
        <v>12510755.254478401</v>
      </c>
      <c r="E32">
        <v>7.2238213134936903E-4</v>
      </c>
      <c r="F32">
        <v>770.14820983053005</v>
      </c>
      <c r="G32">
        <v>1000000000</v>
      </c>
      <c r="H32">
        <v>100000</v>
      </c>
      <c r="I32">
        <v>611.884768805146</v>
      </c>
      <c r="J32">
        <v>0</v>
      </c>
      <c r="K32">
        <v>198274.858230349</v>
      </c>
      <c r="L32">
        <v>0</v>
      </c>
      <c r="M32">
        <v>1421737984</v>
      </c>
      <c r="N32">
        <v>62877696</v>
      </c>
      <c r="O32">
        <v>15912546304</v>
      </c>
      <c r="P32">
        <v>1137.0774616346</v>
      </c>
      <c r="Q32">
        <v>1590.6987894143599</v>
      </c>
      <c r="R32">
        <v>70.563317654629699</v>
      </c>
      <c r="S32">
        <v>4.3315217785763398</v>
      </c>
      <c r="T32">
        <v>0.39377928924365502</v>
      </c>
      <c r="U32">
        <v>9.8256919539710807</v>
      </c>
      <c r="V32">
        <v>89.459460985174999</v>
      </c>
      <c r="W32">
        <v>3188.4539105941999</v>
      </c>
      <c r="X32">
        <v>2294.31587117053</v>
      </c>
    </row>
    <row r="33" spans="1:24" x14ac:dyDescent="0.25">
      <c r="A33" s="12">
        <v>45170.446204502317</v>
      </c>
      <c r="B33">
        <v>51.111181326056901</v>
      </c>
      <c r="C33">
        <v>61.275788343272303</v>
      </c>
      <c r="D33">
        <v>9744336.0492874105</v>
      </c>
      <c r="E33">
        <v>8.8842802772066097E-4</v>
      </c>
      <c r="F33">
        <v>575.24920518308204</v>
      </c>
      <c r="G33">
        <v>1000000000</v>
      </c>
      <c r="H33">
        <v>100000</v>
      </c>
      <c r="I33">
        <v>461.98770364444403</v>
      </c>
      <c r="J33">
        <v>0</v>
      </c>
      <c r="K33">
        <v>149934.38351051699</v>
      </c>
      <c r="L33">
        <v>0</v>
      </c>
      <c r="M33">
        <v>1421930496</v>
      </c>
      <c r="N33">
        <v>59985920</v>
      </c>
      <c r="O33">
        <v>15915753472</v>
      </c>
      <c r="P33">
        <v>951.79402170188803</v>
      </c>
      <c r="Q33">
        <v>1488.2958710954299</v>
      </c>
      <c r="R33">
        <v>53.650184939354801</v>
      </c>
      <c r="S33">
        <v>1.9406351180316499</v>
      </c>
      <c r="T33">
        <v>0</v>
      </c>
      <c r="U33">
        <v>4.5205077653424404</v>
      </c>
      <c r="V33">
        <v>91.847289646786294</v>
      </c>
      <c r="W33">
        <v>2554.3449162792799</v>
      </c>
      <c r="X33">
        <v>1768.46905911206</v>
      </c>
    </row>
    <row r="34" spans="1:24" x14ac:dyDescent="0.25">
      <c r="A34" s="12">
        <v>45170.446215937503</v>
      </c>
      <c r="B34">
        <v>76.388451919382504</v>
      </c>
      <c r="C34">
        <v>53.495183915997103</v>
      </c>
      <c r="D34">
        <v>11972208.5453649</v>
      </c>
      <c r="E34">
        <v>1.0911853563385101E-3</v>
      </c>
      <c r="F34">
        <v>700.12063482584006</v>
      </c>
      <c r="G34">
        <v>1000000000</v>
      </c>
      <c r="H34">
        <v>100000</v>
      </c>
      <c r="I34">
        <v>579.72416727631003</v>
      </c>
      <c r="J34">
        <v>0</v>
      </c>
      <c r="K34">
        <v>188095.704773137</v>
      </c>
      <c r="L34">
        <v>0</v>
      </c>
      <c r="M34">
        <v>1420898304</v>
      </c>
      <c r="N34">
        <v>64839680</v>
      </c>
      <c r="O34">
        <v>15911219200</v>
      </c>
      <c r="P34">
        <v>1198.90600038818</v>
      </c>
      <c r="Q34">
        <v>2192.4297914271601</v>
      </c>
      <c r="R34">
        <v>91.056151928216295</v>
      </c>
      <c r="S34">
        <v>1.5806774748249901</v>
      </c>
      <c r="T34">
        <v>0</v>
      </c>
      <c r="U34">
        <v>5.5545259373746196</v>
      </c>
      <c r="V34">
        <v>89.849663156365494</v>
      </c>
      <c r="W34">
        <v>3357.9485361083298</v>
      </c>
      <c r="X34">
        <v>2199.5119365771302</v>
      </c>
    </row>
    <row r="35" spans="1:24" x14ac:dyDescent="0.25">
      <c r="A35" s="12">
        <v>45170.446227685185</v>
      </c>
      <c r="B35">
        <v>47.7679381126243</v>
      </c>
      <c r="C35">
        <v>64.988447374439104</v>
      </c>
      <c r="D35">
        <v>10959448.844799301</v>
      </c>
      <c r="E35">
        <v>7.0641386603545301E-4</v>
      </c>
      <c r="F35">
        <v>676.18111245851696</v>
      </c>
      <c r="G35">
        <v>1000000000</v>
      </c>
      <c r="H35">
        <v>100000</v>
      </c>
      <c r="I35">
        <v>532.27084654168902</v>
      </c>
      <c r="J35">
        <v>0</v>
      </c>
      <c r="K35">
        <v>174015.110722524</v>
      </c>
      <c r="L35">
        <v>0</v>
      </c>
      <c r="M35">
        <v>1421213696</v>
      </c>
      <c r="N35">
        <v>63533056</v>
      </c>
      <c r="O35">
        <v>15912660992</v>
      </c>
      <c r="P35">
        <v>1020.1857892048999</v>
      </c>
      <c r="Q35">
        <v>1651.02531103209</v>
      </c>
      <c r="R35">
        <v>31.541976091359398</v>
      </c>
      <c r="S35">
        <v>3.4654229522675402</v>
      </c>
      <c r="T35">
        <v>0</v>
      </c>
      <c r="U35">
        <v>10.2841729029816</v>
      </c>
      <c r="V35">
        <v>90.873958095117899</v>
      </c>
      <c r="W35">
        <v>2870.3198243136999</v>
      </c>
      <c r="X35">
        <v>2045.3000121740799</v>
      </c>
    </row>
    <row r="36" spans="1:24" x14ac:dyDescent="0.25">
      <c r="A36" s="13">
        <v>45170.446238425924</v>
      </c>
      <c r="B36">
        <v>41.143513155479297</v>
      </c>
      <c r="C36">
        <v>70.197271893430099</v>
      </c>
      <c r="D36">
        <v>9221767.3946545906</v>
      </c>
      <c r="E36">
        <v>7.0414487659579495E-4</v>
      </c>
      <c r="F36">
        <v>584.29639804540898</v>
      </c>
      <c r="G36">
        <v>1000000000</v>
      </c>
      <c r="H36">
        <v>100000</v>
      </c>
      <c r="I36">
        <v>459.16210899941501</v>
      </c>
      <c r="J36">
        <v>0</v>
      </c>
      <c r="K36">
        <v>147908.729652365</v>
      </c>
      <c r="L36">
        <v>0</v>
      </c>
      <c r="M36">
        <v>1420726272</v>
      </c>
      <c r="N36">
        <v>61558784</v>
      </c>
      <c r="O36">
        <v>15914803200</v>
      </c>
      <c r="P36">
        <v>846.67474604507504</v>
      </c>
      <c r="Q36">
        <v>1102.9982090909</v>
      </c>
      <c r="R36">
        <v>42.3841946768691</v>
      </c>
      <c r="S36">
        <v>1.18260605252665</v>
      </c>
      <c r="T36">
        <v>0</v>
      </c>
      <c r="U36">
        <v>4.6027047343902101</v>
      </c>
      <c r="V36">
        <v>91.799523615236097</v>
      </c>
      <c r="W36">
        <v>2416.9082440738398</v>
      </c>
      <c r="X36">
        <v>1898.2064330283499</v>
      </c>
    </row>
    <row r="37" spans="1:24" x14ac:dyDescent="0.25">
      <c r="A37" s="12">
        <v>45170.446250810186</v>
      </c>
      <c r="B37">
        <v>50.404041617691597</v>
      </c>
      <c r="C37">
        <v>64.226426553039701</v>
      </c>
      <c r="D37">
        <v>9670732.0427531507</v>
      </c>
      <c r="E37">
        <v>8.43189558480767E-4</v>
      </c>
      <c r="F37">
        <v>597.82678284139604</v>
      </c>
      <c r="G37">
        <v>1000000000</v>
      </c>
      <c r="H37">
        <v>100000</v>
      </c>
      <c r="I37">
        <v>433.970604820083</v>
      </c>
      <c r="J37">
        <v>0</v>
      </c>
      <c r="K37">
        <v>139520.05984803801</v>
      </c>
      <c r="L37">
        <v>0</v>
      </c>
      <c r="M37">
        <v>1419599872</v>
      </c>
      <c r="N37">
        <v>60469248</v>
      </c>
      <c r="O37">
        <v>15916056576</v>
      </c>
      <c r="P37">
        <v>1001.01228754838</v>
      </c>
      <c r="Q37">
        <v>1296.9464757323301</v>
      </c>
      <c r="R37">
        <v>39.722709823348502</v>
      </c>
      <c r="S37">
        <v>3.1030856984886999</v>
      </c>
      <c r="T37">
        <v>0</v>
      </c>
      <c r="U37">
        <v>6.5195482979649304</v>
      </c>
      <c r="V37">
        <v>91.776276755921899</v>
      </c>
      <c r="W37">
        <v>2384.3556571464901</v>
      </c>
      <c r="X37">
        <v>1742.8338934994099</v>
      </c>
    </row>
    <row r="38" spans="1:24" x14ac:dyDescent="0.25">
      <c r="A38" s="12">
        <v>45170.446262268517</v>
      </c>
      <c r="B38">
        <v>46.192794146193897</v>
      </c>
      <c r="C38">
        <v>65.029278822067496</v>
      </c>
      <c r="D38">
        <v>10286572.9665932</v>
      </c>
      <c r="E38">
        <v>7.2634913302309205E-4</v>
      </c>
      <c r="F38">
        <v>635.91773412318298</v>
      </c>
      <c r="G38">
        <v>1000000000</v>
      </c>
      <c r="H38">
        <v>100000</v>
      </c>
      <c r="I38">
        <v>506.71540084101201</v>
      </c>
      <c r="J38">
        <v>0</v>
      </c>
      <c r="K38">
        <v>173490.470587549</v>
      </c>
      <c r="L38">
        <v>0</v>
      </c>
      <c r="M38">
        <v>1419894784</v>
      </c>
      <c r="N38">
        <v>64389120</v>
      </c>
      <c r="O38">
        <v>15912267776</v>
      </c>
      <c r="P38">
        <v>965.98931992997802</v>
      </c>
      <c r="Q38">
        <v>1506.0146973203</v>
      </c>
      <c r="R38">
        <v>32.3005833205426</v>
      </c>
      <c r="S38">
        <v>1.18296354029811</v>
      </c>
      <c r="T38">
        <v>0</v>
      </c>
      <c r="U38">
        <v>5.7576350096963402</v>
      </c>
      <c r="V38">
        <v>91.211386846783498</v>
      </c>
      <c r="W38">
        <v>2519.44549900232</v>
      </c>
      <c r="X38">
        <v>1915.82834819968</v>
      </c>
    </row>
    <row r="39" spans="1:24" x14ac:dyDescent="0.25">
      <c r="A39" s="12">
        <v>45170.446273969908</v>
      </c>
      <c r="B39">
        <v>42.0847975521352</v>
      </c>
      <c r="C39">
        <v>67.367341108614198</v>
      </c>
      <c r="D39">
        <v>9488532.6100906301</v>
      </c>
      <c r="E39">
        <v>6.9042212635480899E-4</v>
      </c>
      <c r="F39">
        <v>609.56272941666396</v>
      </c>
      <c r="G39">
        <v>1000000000</v>
      </c>
      <c r="H39">
        <v>100000</v>
      </c>
      <c r="I39">
        <v>446.286998322915</v>
      </c>
      <c r="J39">
        <v>0</v>
      </c>
      <c r="K39">
        <v>148586.85259462401</v>
      </c>
      <c r="L39">
        <v>0</v>
      </c>
      <c r="M39">
        <v>1420382208</v>
      </c>
      <c r="N39">
        <v>62771200</v>
      </c>
      <c r="O39">
        <v>15914184704</v>
      </c>
      <c r="P39">
        <v>953.92608954166303</v>
      </c>
      <c r="Q39">
        <v>1335.8923453124901</v>
      </c>
      <c r="R39">
        <v>66.299842322916405</v>
      </c>
      <c r="S39">
        <v>4.2518905256958197</v>
      </c>
      <c r="T39">
        <v>0.38653100446308603</v>
      </c>
      <c r="U39">
        <v>8.0044433946608908</v>
      </c>
      <c r="V39">
        <v>91.892674959406904</v>
      </c>
      <c r="W39">
        <v>2316.5362817604</v>
      </c>
      <c r="X39">
        <v>1742.5973482187401</v>
      </c>
    </row>
    <row r="40" spans="1:24" x14ac:dyDescent="0.25">
      <c r="A40" s="12">
        <v>45170.446285451391</v>
      </c>
      <c r="B40">
        <v>76.980873655783796</v>
      </c>
      <c r="C40">
        <v>48.568024675823303</v>
      </c>
      <c r="D40">
        <v>12994708.326592499</v>
      </c>
      <c r="E40">
        <v>9.8262524935265397E-4</v>
      </c>
      <c r="F40">
        <v>783.42940954998096</v>
      </c>
      <c r="G40">
        <v>1000000000</v>
      </c>
      <c r="H40">
        <v>100000</v>
      </c>
      <c r="I40">
        <v>574.71655526832603</v>
      </c>
      <c r="J40">
        <v>0</v>
      </c>
      <c r="K40">
        <v>186052.88960954899</v>
      </c>
      <c r="L40">
        <v>0</v>
      </c>
      <c r="M40">
        <v>1421160448</v>
      </c>
      <c r="N40">
        <v>62304256</v>
      </c>
      <c r="O40">
        <v>15914811392</v>
      </c>
      <c r="P40">
        <v>1258.3267736401201</v>
      </c>
      <c r="Q40">
        <v>2403.7267855433101</v>
      </c>
      <c r="R40">
        <v>108.89366310347199</v>
      </c>
      <c r="S40">
        <v>3.9385270166064901</v>
      </c>
      <c r="T40">
        <v>0.39385774297523002</v>
      </c>
      <c r="U40">
        <v>9.4138786180506493</v>
      </c>
      <c r="V40">
        <v>88.943923239734204</v>
      </c>
      <c r="W40">
        <v>3369.65390825745</v>
      </c>
      <c r="X40">
        <v>2250.4690374717602</v>
      </c>
    </row>
    <row r="41" spans="1:24" x14ac:dyDescent="0.25">
      <c r="A41" s="12">
        <v>45170.446297037037</v>
      </c>
      <c r="B41">
        <v>48.776190107073802</v>
      </c>
      <c r="C41">
        <v>60.852867116996499</v>
      </c>
      <c r="D41">
        <v>10510465.376961499</v>
      </c>
      <c r="E41">
        <v>7.5705432474203801E-4</v>
      </c>
      <c r="F41">
        <v>644.25471898835997</v>
      </c>
      <c r="G41">
        <v>1000000000</v>
      </c>
      <c r="H41">
        <v>100000</v>
      </c>
      <c r="I41">
        <v>464.462704386957</v>
      </c>
      <c r="J41">
        <v>0</v>
      </c>
      <c r="K41">
        <v>151998.166833077</v>
      </c>
      <c r="L41">
        <v>0</v>
      </c>
      <c r="M41">
        <v>1421217792</v>
      </c>
      <c r="N41">
        <v>65347584</v>
      </c>
      <c r="O41">
        <v>15911923712</v>
      </c>
      <c r="P41">
        <v>997.84568103778599</v>
      </c>
      <c r="Q41">
        <v>1340.4493533060099</v>
      </c>
      <c r="R41">
        <v>37.956091971407197</v>
      </c>
      <c r="S41">
        <v>2.7313667561945598</v>
      </c>
      <c r="T41">
        <v>0</v>
      </c>
      <c r="U41">
        <v>6.7435105591511402</v>
      </c>
      <c r="V41">
        <v>91.247875343920498</v>
      </c>
      <c r="W41">
        <v>2396.2280168264701</v>
      </c>
      <c r="X41">
        <v>1849.86006134332</v>
      </c>
    </row>
    <row r="42" spans="1:24" x14ac:dyDescent="0.25">
      <c r="A42" s="12">
        <v>45170.446308749997</v>
      </c>
      <c r="B42">
        <v>47.492243624840299</v>
      </c>
      <c r="C42">
        <v>63.3723700022042</v>
      </c>
      <c r="D42">
        <v>10923989.7936513</v>
      </c>
      <c r="E42">
        <v>6.8995710981890196E-4</v>
      </c>
      <c r="F42">
        <v>688.35097867573199</v>
      </c>
      <c r="G42">
        <v>1000000000</v>
      </c>
      <c r="H42">
        <v>100000</v>
      </c>
      <c r="I42">
        <v>537.24954433227902</v>
      </c>
      <c r="J42">
        <v>0</v>
      </c>
      <c r="K42">
        <v>173318.28314731101</v>
      </c>
      <c r="L42">
        <v>0</v>
      </c>
      <c r="M42">
        <v>1420111872</v>
      </c>
      <c r="N42">
        <v>64049152</v>
      </c>
      <c r="O42">
        <v>15913398272</v>
      </c>
      <c r="P42">
        <v>1041.9085832179301</v>
      </c>
      <c r="Q42">
        <v>1381.63991272216</v>
      </c>
      <c r="R42">
        <v>40.491234039748903</v>
      </c>
      <c r="S42">
        <v>1.15730371255233</v>
      </c>
      <c r="T42">
        <v>0.38576461228394898</v>
      </c>
      <c r="U42">
        <v>5.8722297672573802</v>
      </c>
      <c r="V42">
        <v>90.861579811856004</v>
      </c>
      <c r="W42">
        <v>2667.4834912527299</v>
      </c>
      <c r="X42">
        <v>2019.6237466167399</v>
      </c>
    </row>
    <row r="43" spans="1:24" x14ac:dyDescent="0.25">
      <c r="A43" s="12">
        <v>45170.446320277777</v>
      </c>
      <c r="B43">
        <v>49.972699727418799</v>
      </c>
      <c r="C43">
        <v>63.2739908360629</v>
      </c>
      <c r="D43">
        <v>11644853.4352715</v>
      </c>
      <c r="E43">
        <v>7.0014056485806096E-4</v>
      </c>
      <c r="F43">
        <v>713.75708218832597</v>
      </c>
      <c r="G43">
        <v>1000000000</v>
      </c>
      <c r="H43">
        <v>100000</v>
      </c>
      <c r="I43">
        <v>559.15990826849202</v>
      </c>
      <c r="J43">
        <v>0</v>
      </c>
      <c r="K43">
        <v>190853.222837293</v>
      </c>
      <c r="L43">
        <v>0</v>
      </c>
      <c r="M43">
        <v>1419825152</v>
      </c>
      <c r="N43">
        <v>62676992</v>
      </c>
      <c r="O43">
        <v>15914770432</v>
      </c>
      <c r="P43">
        <v>1072.1414399115699</v>
      </c>
      <c r="Q43">
        <v>1761.8054560344699</v>
      </c>
      <c r="R43">
        <v>77.298586959917202</v>
      </c>
      <c r="S43">
        <v>1.5685484797929199</v>
      </c>
      <c r="T43">
        <v>0</v>
      </c>
      <c r="U43">
        <v>15.2983820911818</v>
      </c>
      <c r="V43">
        <v>90.062620470797398</v>
      </c>
      <c r="W43">
        <v>3025.6875467167501</v>
      </c>
      <c r="X43">
        <v>2105.1316474668301</v>
      </c>
    </row>
    <row r="44" spans="1:24" x14ac:dyDescent="0.25">
      <c r="A44" s="12">
        <v>45170.446331828702</v>
      </c>
      <c r="B44">
        <v>45.962172049524803</v>
      </c>
      <c r="C44">
        <v>66.727368016925695</v>
      </c>
      <c r="D44">
        <v>10043122.743870201</v>
      </c>
      <c r="E44">
        <v>7.1737094423064403E-4</v>
      </c>
      <c r="F44">
        <v>640.68124901495901</v>
      </c>
      <c r="G44">
        <v>1000000000</v>
      </c>
      <c r="H44">
        <v>100000</v>
      </c>
      <c r="I44">
        <v>530.39183212662499</v>
      </c>
      <c r="J44">
        <v>0</v>
      </c>
      <c r="K44">
        <v>185250.12565414701</v>
      </c>
      <c r="L44">
        <v>0</v>
      </c>
      <c r="M44">
        <v>1420324864</v>
      </c>
      <c r="N44">
        <v>60469248</v>
      </c>
      <c r="O44">
        <v>15917068288</v>
      </c>
      <c r="P44">
        <v>992.60475199500797</v>
      </c>
      <c r="Q44">
        <v>1483.8939726793999</v>
      </c>
      <c r="R44">
        <v>45.1183978179549</v>
      </c>
      <c r="S44">
        <v>4.3083319772286703</v>
      </c>
      <c r="T44">
        <v>0</v>
      </c>
      <c r="U44">
        <v>7.1751322189511901</v>
      </c>
      <c r="V44">
        <v>91.206225267383203</v>
      </c>
      <c r="W44">
        <v>2755.2301600831101</v>
      </c>
      <c r="X44">
        <v>1937.0832129841899</v>
      </c>
    </row>
    <row r="45" spans="1:24" x14ac:dyDescent="0.25">
      <c r="A45" s="12">
        <v>45170.446343391202</v>
      </c>
      <c r="B45">
        <v>34.5462574687648</v>
      </c>
      <c r="C45">
        <v>74.435029124706006</v>
      </c>
      <c r="D45">
        <v>7620284.0184655003</v>
      </c>
      <c r="E45">
        <v>7.1195895669054E-4</v>
      </c>
      <c r="F45">
        <v>485.24019248650399</v>
      </c>
      <c r="G45">
        <v>1000000000</v>
      </c>
      <c r="H45">
        <v>100000</v>
      </c>
      <c r="I45">
        <v>373.18472535559999</v>
      </c>
      <c r="J45">
        <v>0</v>
      </c>
      <c r="K45">
        <v>124365.560591427</v>
      </c>
      <c r="L45">
        <v>0</v>
      </c>
      <c r="M45">
        <v>1420804096</v>
      </c>
      <c r="N45">
        <v>63389696</v>
      </c>
      <c r="O45">
        <v>15914287104</v>
      </c>
      <c r="P45">
        <v>713.35310771727302</v>
      </c>
      <c r="Q45">
        <v>909.45017519635496</v>
      </c>
      <c r="R45">
        <v>34.016838236167303</v>
      </c>
      <c r="S45">
        <v>1.17242174167163</v>
      </c>
      <c r="T45">
        <v>0</v>
      </c>
      <c r="U45">
        <v>7.7690961366418998</v>
      </c>
      <c r="V45">
        <v>93.484343732160298</v>
      </c>
      <c r="W45">
        <v>1921.95136034345</v>
      </c>
      <c r="X45">
        <v>1452.71909173279</v>
      </c>
    </row>
    <row r="46" spans="1:24" x14ac:dyDescent="0.25">
      <c r="A46" s="12">
        <v>45170.446354872685</v>
      </c>
      <c r="B46">
        <v>58.0710544793643</v>
      </c>
      <c r="C46">
        <v>58.393839565926598</v>
      </c>
      <c r="D46">
        <v>9040124.1591732502</v>
      </c>
      <c r="E46">
        <v>1.00999984072474E-3</v>
      </c>
      <c r="F46">
        <v>574.96576348717895</v>
      </c>
      <c r="G46">
        <v>1000000000</v>
      </c>
      <c r="H46">
        <v>100000</v>
      </c>
      <c r="I46">
        <v>447.86806840053902</v>
      </c>
      <c r="J46">
        <v>0</v>
      </c>
      <c r="K46">
        <v>154829.20170030501</v>
      </c>
      <c r="L46">
        <v>0</v>
      </c>
      <c r="M46">
        <v>1420726272</v>
      </c>
      <c r="N46">
        <v>63352832</v>
      </c>
      <c r="O46">
        <v>15914160128</v>
      </c>
      <c r="P46">
        <v>833.19600112352703</v>
      </c>
      <c r="Q46">
        <v>1129.75728965901</v>
      </c>
      <c r="R46">
        <v>56.487864482950897</v>
      </c>
      <c r="S46">
        <v>0.39402980738707699</v>
      </c>
      <c r="T46">
        <v>0.39402980738707699</v>
      </c>
      <c r="U46">
        <v>11.738452893097501</v>
      </c>
      <c r="V46">
        <v>92.079852592120503</v>
      </c>
      <c r="W46">
        <v>2232.27935894233</v>
      </c>
      <c r="X46">
        <v>1670.42684971012</v>
      </c>
    </row>
    <row r="47" spans="1:24" x14ac:dyDescent="0.25">
      <c r="A47" s="12">
        <v>45170.446366458331</v>
      </c>
      <c r="B47">
        <v>58.859716144497703</v>
      </c>
      <c r="C47">
        <v>57.2710733220609</v>
      </c>
      <c r="D47">
        <v>13097823.9129273</v>
      </c>
      <c r="E47">
        <v>7.4100643901565803E-4</v>
      </c>
      <c r="F47">
        <v>794.338219243813</v>
      </c>
      <c r="G47">
        <v>1000000000</v>
      </c>
      <c r="H47">
        <v>100000</v>
      </c>
      <c r="I47">
        <v>601.49887796827102</v>
      </c>
      <c r="J47">
        <v>0</v>
      </c>
      <c r="K47">
        <v>195015.52824599799</v>
      </c>
      <c r="L47">
        <v>0</v>
      </c>
      <c r="M47">
        <v>1420599296</v>
      </c>
      <c r="N47">
        <v>62652416</v>
      </c>
      <c r="O47">
        <v>15914545152</v>
      </c>
      <c r="P47">
        <v>1225.9786100781801</v>
      </c>
      <c r="Q47">
        <v>1814.4883096185699</v>
      </c>
      <c r="R47">
        <v>89.925081423827905</v>
      </c>
      <c r="S47">
        <v>3.1223325912672801</v>
      </c>
      <c r="T47">
        <v>0.390286578176264</v>
      </c>
      <c r="U47">
        <v>9.06206827507261</v>
      </c>
      <c r="V47">
        <v>89.287661550737198</v>
      </c>
      <c r="W47">
        <v>3321.23300725338</v>
      </c>
      <c r="X47">
        <v>2274.1053924514699</v>
      </c>
    </row>
    <row r="48" spans="1:24" x14ac:dyDescent="0.25">
      <c r="A48" s="12">
        <v>45170.446378113425</v>
      </c>
      <c r="B48">
        <v>63.614317917890503</v>
      </c>
      <c r="C48">
        <v>54.946407890995197</v>
      </c>
      <c r="D48">
        <v>13676268.1670589</v>
      </c>
      <c r="E48">
        <v>7.5912298214750405E-4</v>
      </c>
      <c r="F48">
        <v>837.95990583690696</v>
      </c>
      <c r="G48">
        <v>1000000000</v>
      </c>
      <c r="H48">
        <v>100000</v>
      </c>
      <c r="I48">
        <v>624.49855541636805</v>
      </c>
      <c r="J48">
        <v>0</v>
      </c>
      <c r="K48">
        <v>205246.56338156399</v>
      </c>
      <c r="L48">
        <v>0</v>
      </c>
      <c r="M48">
        <v>1420738560</v>
      </c>
      <c r="N48">
        <v>60764160</v>
      </c>
      <c r="O48">
        <v>15916498944</v>
      </c>
      <c r="P48">
        <v>1257.93270224568</v>
      </c>
      <c r="Q48">
        <v>1793.07534353253</v>
      </c>
      <c r="R48">
        <v>118.148375349042</v>
      </c>
      <c r="S48">
        <v>1.93922891543297</v>
      </c>
      <c r="T48">
        <v>1.16354529236175</v>
      </c>
      <c r="U48">
        <v>10.0195479739529</v>
      </c>
      <c r="V48">
        <v>88.916453659148701</v>
      </c>
      <c r="W48">
        <v>3368.7179626831999</v>
      </c>
      <c r="X48">
        <v>2328.21798481937</v>
      </c>
    </row>
    <row r="49" spans="1:24" x14ac:dyDescent="0.25">
      <c r="A49" s="12">
        <v>45170.446389583332</v>
      </c>
      <c r="B49">
        <v>42.144075820583303</v>
      </c>
      <c r="C49">
        <v>69.341940843684796</v>
      </c>
      <c r="D49">
        <v>9307136.2333960496</v>
      </c>
      <c r="E49">
        <v>7.1506874363972002E-4</v>
      </c>
      <c r="F49">
        <v>589.38220443134401</v>
      </c>
      <c r="G49">
        <v>1000000000</v>
      </c>
      <c r="H49">
        <v>100000</v>
      </c>
      <c r="I49">
        <v>472.31313642785801</v>
      </c>
      <c r="J49">
        <v>0</v>
      </c>
      <c r="K49">
        <v>149919.052171705</v>
      </c>
      <c r="L49">
        <v>0</v>
      </c>
      <c r="M49">
        <v>1420406784</v>
      </c>
      <c r="N49">
        <v>63295488</v>
      </c>
      <c r="O49">
        <v>15913832448</v>
      </c>
      <c r="P49">
        <v>882.05487444005996</v>
      </c>
      <c r="Q49">
        <v>1179.77362496616</v>
      </c>
      <c r="R49">
        <v>34.3133475182632</v>
      </c>
      <c r="S49">
        <v>1.9710933622475</v>
      </c>
      <c r="T49">
        <v>0.394212617266193</v>
      </c>
      <c r="U49">
        <v>9.7241500692410199</v>
      </c>
      <c r="V49">
        <v>92.247195592310902</v>
      </c>
      <c r="W49">
        <v>2430.1923771758102</v>
      </c>
      <c r="X49">
        <v>1775.2111260183799</v>
      </c>
    </row>
    <row r="50" spans="1:24" x14ac:dyDescent="0.25">
      <c r="A50" s="12">
        <v>45170.446401226851</v>
      </c>
      <c r="B50">
        <v>45.083763187522401</v>
      </c>
      <c r="C50">
        <v>65.891653889455796</v>
      </c>
      <c r="D50">
        <v>10619649.794969499</v>
      </c>
      <c r="E50">
        <v>6.9161580328875E-4</v>
      </c>
      <c r="F50">
        <v>651.89853870279296</v>
      </c>
      <c r="G50">
        <v>1000000000</v>
      </c>
      <c r="H50">
        <v>100000</v>
      </c>
      <c r="I50">
        <v>497.86763397880998</v>
      </c>
      <c r="J50">
        <v>0</v>
      </c>
      <c r="K50">
        <v>168275.28529374799</v>
      </c>
      <c r="L50">
        <v>0</v>
      </c>
      <c r="M50">
        <v>1419862016</v>
      </c>
      <c r="N50">
        <v>63234048</v>
      </c>
      <c r="O50">
        <v>15913644032</v>
      </c>
      <c r="P50">
        <v>1048.40389989549</v>
      </c>
      <c r="Q50">
        <v>1778.8085126189001</v>
      </c>
      <c r="R50">
        <v>69.562344068895598</v>
      </c>
      <c r="S50">
        <v>0.388155600094996</v>
      </c>
      <c r="T50">
        <v>0.38816553700555101</v>
      </c>
      <c r="U50">
        <v>12.275711507638</v>
      </c>
      <c r="V50">
        <v>90.742664821051093</v>
      </c>
      <c r="W50">
        <v>2636.4128402111401</v>
      </c>
      <c r="X50">
        <v>1945.7581383842501</v>
      </c>
    </row>
    <row r="51" spans="1:24" x14ac:dyDescent="0.25">
      <c r="A51" s="12">
        <v>45170.446412916666</v>
      </c>
      <c r="B51">
        <v>53.938222623729303</v>
      </c>
      <c r="C51">
        <v>64.904011736957202</v>
      </c>
      <c r="D51">
        <v>7776706.4311842499</v>
      </c>
      <c r="E51">
        <v>1.08134949277933E-3</v>
      </c>
      <c r="F51">
        <v>498.77478454502199</v>
      </c>
      <c r="G51">
        <v>1000000000</v>
      </c>
      <c r="H51">
        <v>100000</v>
      </c>
      <c r="I51">
        <v>377.04998593582002</v>
      </c>
      <c r="J51">
        <v>0</v>
      </c>
      <c r="K51">
        <v>127195.48711905201</v>
      </c>
      <c r="L51">
        <v>0</v>
      </c>
      <c r="M51">
        <v>1420972032</v>
      </c>
      <c r="N51">
        <v>61599744</v>
      </c>
      <c r="O51">
        <v>15915225088</v>
      </c>
      <c r="P51">
        <v>705.60797892976302</v>
      </c>
      <c r="Q51">
        <v>1240.0095337994301</v>
      </c>
      <c r="R51">
        <v>26.720077743483301</v>
      </c>
      <c r="S51">
        <v>0.77319699861997304</v>
      </c>
      <c r="T51">
        <v>0.386593550849195</v>
      </c>
      <c r="U51">
        <v>9.5359511614631192</v>
      </c>
      <c r="V51">
        <v>93.024847607201394</v>
      </c>
      <c r="W51">
        <v>2046.5600286490101</v>
      </c>
      <c r="X51">
        <v>1490.3865585809499</v>
      </c>
    </row>
    <row r="52" spans="1:24" x14ac:dyDescent="0.25">
      <c r="A52" s="12">
        <v>45170.446424467591</v>
      </c>
      <c r="B52">
        <v>46.733687022373701</v>
      </c>
      <c r="C52">
        <v>64.018337561309096</v>
      </c>
      <c r="D52">
        <v>10872773.7270135</v>
      </c>
      <c r="E52">
        <v>6.9611920380070497E-4</v>
      </c>
      <c r="F52">
        <v>671.38749265449906</v>
      </c>
      <c r="G52">
        <v>1000000000</v>
      </c>
      <c r="H52">
        <v>100000</v>
      </c>
      <c r="I52">
        <v>484.00023724197501</v>
      </c>
      <c r="J52">
        <v>0</v>
      </c>
      <c r="K52">
        <v>157293.06260745</v>
      </c>
      <c r="L52">
        <v>0</v>
      </c>
      <c r="M52">
        <v>1420300288</v>
      </c>
      <c r="N52">
        <v>64921600</v>
      </c>
      <c r="O52">
        <v>15912226816</v>
      </c>
      <c r="P52">
        <v>1069.2096338244</v>
      </c>
      <c r="Q52">
        <v>1364.8205447692901</v>
      </c>
      <c r="R52">
        <v>85.176025187511101</v>
      </c>
      <c r="S52">
        <v>3.13127727154626</v>
      </c>
      <c r="T52">
        <v>0</v>
      </c>
      <c r="U52">
        <v>9.1929591251582004</v>
      </c>
      <c r="V52">
        <v>91.110078374116497</v>
      </c>
      <c r="W52">
        <v>2446.0550292083999</v>
      </c>
      <c r="X52">
        <v>1873.87255412524</v>
      </c>
    </row>
    <row r="53" spans="1:24" x14ac:dyDescent="0.25">
      <c r="A53" s="12">
        <v>45170.446435937498</v>
      </c>
      <c r="B53">
        <v>37.466164600542101</v>
      </c>
      <c r="C53">
        <v>70.035781146311095</v>
      </c>
      <c r="D53">
        <v>8501638.9071045294</v>
      </c>
      <c r="E53">
        <v>6.7967020687259095E-4</v>
      </c>
      <c r="F53">
        <v>551.20384641168698</v>
      </c>
      <c r="G53">
        <v>1000000000</v>
      </c>
      <c r="H53">
        <v>100000</v>
      </c>
      <c r="I53">
        <v>417.94577365281799</v>
      </c>
      <c r="J53">
        <v>0</v>
      </c>
      <c r="K53">
        <v>139286.99102035401</v>
      </c>
      <c r="L53">
        <v>0</v>
      </c>
      <c r="M53">
        <v>1420419072</v>
      </c>
      <c r="N53">
        <v>63401984</v>
      </c>
      <c r="O53">
        <v>15913861120</v>
      </c>
      <c r="P53">
        <v>796.51984399051605</v>
      </c>
      <c r="Q53">
        <v>845.98685584797499</v>
      </c>
      <c r="R53">
        <v>45.4288884405237</v>
      </c>
      <c r="S53">
        <v>1.18312716173762</v>
      </c>
      <c r="T53">
        <v>0.39437908590433202</v>
      </c>
      <c r="U53">
        <v>5.3502309000047097</v>
      </c>
      <c r="V53">
        <v>92.512370346222198</v>
      </c>
      <c r="W53">
        <v>2050.35716494897</v>
      </c>
      <c r="X53">
        <v>1624.3351444622799</v>
      </c>
    </row>
    <row r="54" spans="1:24" x14ac:dyDescent="0.25">
      <c r="A54" s="12">
        <v>45170.446447627313</v>
      </c>
      <c r="B54">
        <v>58.788918590657097</v>
      </c>
      <c r="C54">
        <v>58.828500424416198</v>
      </c>
      <c r="D54">
        <v>11782896.0853779</v>
      </c>
      <c r="E54">
        <v>8.07201270458608E-4</v>
      </c>
      <c r="F54">
        <v>728.32443768192195</v>
      </c>
      <c r="G54">
        <v>1000000000</v>
      </c>
      <c r="H54">
        <v>100000</v>
      </c>
      <c r="I54">
        <v>524.472760830732</v>
      </c>
      <c r="J54">
        <v>0</v>
      </c>
      <c r="K54">
        <v>170420.00184759501</v>
      </c>
      <c r="L54">
        <v>0</v>
      </c>
      <c r="M54">
        <v>1421504512</v>
      </c>
      <c r="N54">
        <v>62287872</v>
      </c>
      <c r="O54">
        <v>15914790912</v>
      </c>
      <c r="P54">
        <v>1170.66278502406</v>
      </c>
      <c r="Q54">
        <v>1364.6187494067501</v>
      </c>
      <c r="R54">
        <v>38.593278627167003</v>
      </c>
      <c r="S54">
        <v>2.7057844693946298</v>
      </c>
      <c r="T54">
        <v>0</v>
      </c>
      <c r="U54">
        <v>6.8435407296079802</v>
      </c>
      <c r="V54">
        <v>90.284233190040396</v>
      </c>
      <c r="W54">
        <v>2822.25719601744</v>
      </c>
      <c r="X54">
        <v>2021.69405731544</v>
      </c>
    </row>
    <row r="55" spans="1:24" x14ac:dyDescent="0.25">
      <c r="A55" s="12">
        <v>45170.446459050923</v>
      </c>
      <c r="B55">
        <v>35.8035774383128</v>
      </c>
      <c r="C55">
        <v>73.735906649571703</v>
      </c>
      <c r="D55">
        <v>7990604.48675106</v>
      </c>
      <c r="E55">
        <v>7.0218655473700204E-4</v>
      </c>
      <c r="F55">
        <v>509.88208900087</v>
      </c>
      <c r="G55">
        <v>1000000000</v>
      </c>
      <c r="H55">
        <v>100000</v>
      </c>
      <c r="I55">
        <v>418.65070130687701</v>
      </c>
      <c r="J55">
        <v>0</v>
      </c>
      <c r="K55">
        <v>138489.24651947999</v>
      </c>
      <c r="L55">
        <v>0</v>
      </c>
      <c r="M55">
        <v>1421025280</v>
      </c>
      <c r="N55">
        <v>60637184</v>
      </c>
      <c r="O55">
        <v>15915982848</v>
      </c>
      <c r="P55">
        <v>750.12474326171696</v>
      </c>
      <c r="Q55">
        <v>949.82011410301197</v>
      </c>
      <c r="R55">
        <v>24.328370051731302</v>
      </c>
      <c r="S55">
        <v>2.7718172728135202</v>
      </c>
      <c r="T55">
        <v>0.79194634410197795</v>
      </c>
      <c r="U55">
        <v>9.3221385318668002</v>
      </c>
      <c r="V55">
        <v>93.214542902255005</v>
      </c>
      <c r="W55">
        <v>2194.6217150832599</v>
      </c>
      <c r="X55">
        <v>1593.5082383884001</v>
      </c>
    </row>
    <row r="56" spans="1:24" x14ac:dyDescent="0.25">
      <c r="A56" s="12">
        <v>45170.446470763891</v>
      </c>
      <c r="B56">
        <v>46.692637758595303</v>
      </c>
      <c r="C56">
        <v>64.624744726824304</v>
      </c>
      <c r="D56">
        <v>9204365.0030236598</v>
      </c>
      <c r="E56">
        <v>8.0511073581739404E-4</v>
      </c>
      <c r="F56">
        <v>579.94397987268906</v>
      </c>
      <c r="G56">
        <v>1000000000</v>
      </c>
      <c r="H56">
        <v>100000</v>
      </c>
      <c r="I56">
        <v>466.32633475282603</v>
      </c>
      <c r="J56">
        <v>0</v>
      </c>
      <c r="K56">
        <v>150700.46852793999</v>
      </c>
      <c r="L56">
        <v>0</v>
      </c>
      <c r="M56">
        <v>1421144064</v>
      </c>
      <c r="N56">
        <v>64229376</v>
      </c>
      <c r="O56">
        <v>15912067072</v>
      </c>
      <c r="P56">
        <v>866.45804147929903</v>
      </c>
      <c r="Q56">
        <v>1108.51302456074</v>
      </c>
      <c r="R56">
        <v>34.579283297349399</v>
      </c>
      <c r="S56">
        <v>1.1578015533255399</v>
      </c>
      <c r="T56">
        <v>0.38593055779226598</v>
      </c>
      <c r="U56">
        <v>5.8317385449404204</v>
      </c>
      <c r="V56">
        <v>91.858151599909505</v>
      </c>
      <c r="W56">
        <v>2386.9585270398902</v>
      </c>
      <c r="X56">
        <v>1734.89204200416</v>
      </c>
    </row>
    <row r="57" spans="1:24" x14ac:dyDescent="0.25">
      <c r="A57" s="12">
        <v>45170.446482291663</v>
      </c>
      <c r="B57">
        <v>33.910674785285003</v>
      </c>
      <c r="C57">
        <v>74.497074476495101</v>
      </c>
      <c r="D57">
        <v>6369151.3052226398</v>
      </c>
      <c r="E57">
        <v>8.3201987668665202E-4</v>
      </c>
      <c r="F57">
        <v>407.56439227431099</v>
      </c>
      <c r="G57">
        <v>1000000000</v>
      </c>
      <c r="H57">
        <v>100000</v>
      </c>
      <c r="I57">
        <v>348.33705448075398</v>
      </c>
      <c r="J57">
        <v>0</v>
      </c>
      <c r="K57">
        <v>114475.40156993399</v>
      </c>
      <c r="L57">
        <v>0</v>
      </c>
      <c r="M57">
        <v>1421107200</v>
      </c>
      <c r="N57">
        <v>62439424</v>
      </c>
      <c r="O57">
        <v>15913988096</v>
      </c>
      <c r="P57">
        <v>601.30805658205099</v>
      </c>
      <c r="Q57">
        <v>798.06328043861504</v>
      </c>
      <c r="R57">
        <v>25.096329573541301</v>
      </c>
      <c r="S57">
        <v>0.39214111578969502</v>
      </c>
      <c r="T57">
        <v>0</v>
      </c>
      <c r="U57">
        <v>7.06375016124636</v>
      </c>
      <c r="V57">
        <v>94.155427941572796</v>
      </c>
      <c r="W57">
        <v>1742.6891255867099</v>
      </c>
      <c r="X57">
        <v>1342.1517055929901</v>
      </c>
    </row>
    <row r="58" spans="1:24" x14ac:dyDescent="0.25">
      <c r="A58" s="12">
        <v>45170.446493877316</v>
      </c>
      <c r="B58">
        <v>43.678001339405398</v>
      </c>
      <c r="C58">
        <v>66.760521599036295</v>
      </c>
      <c r="D58">
        <v>10040259.200629599</v>
      </c>
      <c r="E58">
        <v>7.1105681302450899E-4</v>
      </c>
      <c r="F58">
        <v>614.30709909872905</v>
      </c>
      <c r="G58">
        <v>1000000000</v>
      </c>
      <c r="H58">
        <v>100000</v>
      </c>
      <c r="I58">
        <v>461.47947932294801</v>
      </c>
      <c r="J58">
        <v>0</v>
      </c>
      <c r="K58">
        <v>158143.62364798199</v>
      </c>
      <c r="L58">
        <v>0</v>
      </c>
      <c r="M58">
        <v>1421479936</v>
      </c>
      <c r="N58">
        <v>61501440</v>
      </c>
      <c r="O58">
        <v>15914844160</v>
      </c>
      <c r="P58">
        <v>1019.84967183707</v>
      </c>
      <c r="Q58">
        <v>1411.40801792927</v>
      </c>
      <c r="R58">
        <v>43.950426602185502</v>
      </c>
      <c r="S58">
        <v>0.39015551985361402</v>
      </c>
      <c r="T58">
        <v>0</v>
      </c>
      <c r="U58">
        <v>11.0434028289321</v>
      </c>
      <c r="V58">
        <v>91.562504837990303</v>
      </c>
      <c r="W58">
        <v>2405.2869831377802</v>
      </c>
      <c r="X58">
        <v>1801.9674906896</v>
      </c>
    </row>
    <row r="59" spans="1:24" x14ac:dyDescent="0.25">
      <c r="A59" s="12">
        <v>45170.446505324071</v>
      </c>
      <c r="B59">
        <v>49.500294777036302</v>
      </c>
      <c r="C59">
        <v>65.386906236632598</v>
      </c>
      <c r="D59">
        <v>11081397.1561839</v>
      </c>
      <c r="E59">
        <v>7.3609046435618795E-4</v>
      </c>
      <c r="F59">
        <v>672.43647405843603</v>
      </c>
      <c r="G59">
        <v>1000000000</v>
      </c>
      <c r="H59">
        <v>100000</v>
      </c>
      <c r="I59">
        <v>554.12810193086102</v>
      </c>
      <c r="J59">
        <v>0</v>
      </c>
      <c r="K59">
        <v>194266.39176414799</v>
      </c>
      <c r="L59">
        <v>0</v>
      </c>
      <c r="M59">
        <v>1420947456</v>
      </c>
      <c r="N59">
        <v>65720320</v>
      </c>
      <c r="O59">
        <v>15910522880</v>
      </c>
      <c r="P59">
        <v>1041.5181477897499</v>
      </c>
      <c r="Q59">
        <v>1339.8170347780799</v>
      </c>
      <c r="R59">
        <v>37.4137587070107</v>
      </c>
      <c r="S59">
        <v>1.1850542480758499</v>
      </c>
      <c r="T59">
        <v>0.39502145349854301</v>
      </c>
      <c r="U59">
        <v>13.8864253910725</v>
      </c>
      <c r="V59">
        <v>90.774510230229396</v>
      </c>
      <c r="W59">
        <v>2906.1389871337501</v>
      </c>
      <c r="X59">
        <v>2042.58898886923</v>
      </c>
    </row>
    <row r="60" spans="1:24" x14ac:dyDescent="0.25">
      <c r="A60" s="12">
        <v>45170.446517002318</v>
      </c>
      <c r="B60">
        <v>57.192803106735198</v>
      </c>
      <c r="C60">
        <v>59.4932071151892</v>
      </c>
      <c r="D60">
        <v>13321748.199138399</v>
      </c>
      <c r="E60">
        <v>7.1034475173160601E-4</v>
      </c>
      <c r="F60">
        <v>805.16234887847304</v>
      </c>
      <c r="G60">
        <v>1000000000</v>
      </c>
      <c r="H60">
        <v>100000</v>
      </c>
      <c r="I60">
        <v>647.50124854389503</v>
      </c>
      <c r="J60">
        <v>0</v>
      </c>
      <c r="K60">
        <v>208850.387401699</v>
      </c>
      <c r="L60">
        <v>0</v>
      </c>
      <c r="M60">
        <v>1421127680</v>
      </c>
      <c r="N60">
        <v>64843776</v>
      </c>
      <c r="O60">
        <v>15911268352</v>
      </c>
      <c r="P60">
        <v>1279.13722912959</v>
      </c>
      <c r="Q60">
        <v>1620.2404902308101</v>
      </c>
      <c r="R60">
        <v>75.360022801433402</v>
      </c>
      <c r="S60">
        <v>0.38732060938891999</v>
      </c>
      <c r="T60">
        <v>0.38732060938891999</v>
      </c>
      <c r="U60">
        <v>10.140468419766201</v>
      </c>
      <c r="V60">
        <v>88.974094178738397</v>
      </c>
      <c r="W60">
        <v>3496.30842628755</v>
      </c>
      <c r="X60">
        <v>2358.9670295343399</v>
      </c>
    </row>
    <row r="61" spans="1:24" x14ac:dyDescent="0.25">
      <c r="A61" s="12">
        <v>45170.446528414352</v>
      </c>
      <c r="B61">
        <v>65.924688770608398</v>
      </c>
      <c r="C61">
        <v>49.2129575203804</v>
      </c>
      <c r="D61">
        <v>10572046.6120154</v>
      </c>
      <c r="E61">
        <v>1.03913733150772E-3</v>
      </c>
      <c r="F61">
        <v>634.43500861254404</v>
      </c>
      <c r="G61">
        <v>1000000000</v>
      </c>
      <c r="H61">
        <v>100000</v>
      </c>
      <c r="I61">
        <v>507.75070178096598</v>
      </c>
      <c r="J61">
        <v>0</v>
      </c>
      <c r="K61">
        <v>170373.16362274301</v>
      </c>
      <c r="L61">
        <v>0</v>
      </c>
      <c r="M61">
        <v>1421864960</v>
      </c>
      <c r="N61">
        <v>63049728</v>
      </c>
      <c r="O61">
        <v>15913005056</v>
      </c>
      <c r="P61">
        <v>992.19149110492197</v>
      </c>
      <c r="Q61">
        <v>1343.8671268693799</v>
      </c>
      <c r="R61">
        <v>70.943211825683903</v>
      </c>
      <c r="S61">
        <v>3.56290259158515</v>
      </c>
      <c r="T61">
        <v>0</v>
      </c>
      <c r="U61">
        <v>8.1564193722307596</v>
      </c>
      <c r="V61">
        <v>90.975036788104504</v>
      </c>
      <c r="W61">
        <v>2750.5696699272298</v>
      </c>
      <c r="X61">
        <v>1900.26460247367</v>
      </c>
    </row>
    <row r="62" spans="1:24" x14ac:dyDescent="0.25">
      <c r="A62" s="12">
        <v>45170.446540069446</v>
      </c>
      <c r="B62">
        <v>55.201545762528603</v>
      </c>
      <c r="C62">
        <v>63.051990614445302</v>
      </c>
      <c r="D62">
        <v>11278546.1435034</v>
      </c>
      <c r="E62">
        <v>8.3408406240829003E-4</v>
      </c>
      <c r="F62">
        <v>661.80626807691397</v>
      </c>
      <c r="G62">
        <v>1000000000</v>
      </c>
      <c r="H62">
        <v>100000</v>
      </c>
      <c r="I62">
        <v>464.05935013801599</v>
      </c>
      <c r="J62">
        <v>0</v>
      </c>
      <c r="K62">
        <v>148761.329663943</v>
      </c>
      <c r="L62">
        <v>0</v>
      </c>
      <c r="M62">
        <v>1420189696</v>
      </c>
      <c r="N62">
        <v>61415424</v>
      </c>
      <c r="O62">
        <v>15914569728</v>
      </c>
      <c r="P62">
        <v>1136.7963523723499</v>
      </c>
      <c r="Q62">
        <v>1584.9564528268399</v>
      </c>
      <c r="R62">
        <v>49.6851552610296</v>
      </c>
      <c r="S62">
        <v>1.55269874444556</v>
      </c>
      <c r="T62">
        <v>0</v>
      </c>
      <c r="U62">
        <v>9.9434728221574105</v>
      </c>
      <c r="V62">
        <v>90.932338705157505</v>
      </c>
      <c r="W62">
        <v>2785.3498039333099</v>
      </c>
      <c r="X62">
        <v>2255.70604885074</v>
      </c>
    </row>
    <row r="63" spans="1:24" x14ac:dyDescent="0.25">
      <c r="A63" s="12">
        <v>45170.446551782406</v>
      </c>
      <c r="B63">
        <v>48.095755912704597</v>
      </c>
      <c r="C63">
        <v>64.964351627310506</v>
      </c>
      <c r="D63">
        <v>10886066.5581681</v>
      </c>
      <c r="E63">
        <v>7.14684112101245E-4</v>
      </c>
      <c r="F63">
        <v>672.95589311737604</v>
      </c>
      <c r="G63">
        <v>1000000000</v>
      </c>
      <c r="H63">
        <v>100000</v>
      </c>
      <c r="I63">
        <v>544.49147886589401</v>
      </c>
      <c r="J63">
        <v>0</v>
      </c>
      <c r="K63">
        <v>183791.072906188</v>
      </c>
      <c r="L63">
        <v>0</v>
      </c>
      <c r="M63">
        <v>1420693504</v>
      </c>
      <c r="N63">
        <v>65544192</v>
      </c>
      <c r="O63">
        <v>15910694912</v>
      </c>
      <c r="P63">
        <v>996.09330434994797</v>
      </c>
      <c r="Q63">
        <v>1238.1993158238899</v>
      </c>
      <c r="R63">
        <v>72.137709541216495</v>
      </c>
      <c r="S63">
        <v>2.70210791236947</v>
      </c>
      <c r="T63">
        <v>0.38602106291719301</v>
      </c>
      <c r="U63">
        <v>11.602303141412699</v>
      </c>
      <c r="V63">
        <v>90.619657536872694</v>
      </c>
      <c r="W63">
        <v>2857.8391231944902</v>
      </c>
      <c r="X63">
        <v>2017.8794915501901</v>
      </c>
    </row>
    <row r="64" spans="1:24" x14ac:dyDescent="0.25">
      <c r="A64" s="12">
        <v>45170.44656329861</v>
      </c>
      <c r="B64">
        <v>48.860589542909203</v>
      </c>
      <c r="C64">
        <v>62.728876990300201</v>
      </c>
      <c r="D64">
        <v>11109948.229371101</v>
      </c>
      <c r="E64">
        <v>7.0361804807234096E-4</v>
      </c>
      <c r="F64">
        <v>694.42804215098101</v>
      </c>
      <c r="G64">
        <v>1000000000</v>
      </c>
      <c r="H64">
        <v>100000</v>
      </c>
      <c r="I64">
        <v>506.50033754572303</v>
      </c>
      <c r="J64">
        <v>0</v>
      </c>
      <c r="K64">
        <v>175373.731953232</v>
      </c>
      <c r="L64">
        <v>0</v>
      </c>
      <c r="M64">
        <v>1420197888</v>
      </c>
      <c r="N64">
        <v>64708608</v>
      </c>
      <c r="O64">
        <v>15911694336</v>
      </c>
      <c r="P64">
        <v>1084.35290518221</v>
      </c>
      <c r="Q64">
        <v>1290.36990755696</v>
      </c>
      <c r="R64">
        <v>71.352230090766497</v>
      </c>
      <c r="S64">
        <v>2.3553477322335099</v>
      </c>
      <c r="T64">
        <v>0.39255293063042401</v>
      </c>
      <c r="U64">
        <v>9.7116702643818105</v>
      </c>
      <c r="V64">
        <v>90.824409391845407</v>
      </c>
      <c r="W64">
        <v>2658.1218111278499</v>
      </c>
      <c r="X64">
        <v>1971.73345687442</v>
      </c>
    </row>
    <row r="65" spans="1:24" x14ac:dyDescent="0.25">
      <c r="A65" s="12">
        <v>45170.446574895832</v>
      </c>
      <c r="B65">
        <v>51.963791207151701</v>
      </c>
      <c r="C65">
        <v>61.055209257797898</v>
      </c>
      <c r="D65">
        <v>11680174.2012028</v>
      </c>
      <c r="E65">
        <v>7.0747289887757004E-4</v>
      </c>
      <c r="F65">
        <v>734.481645416844</v>
      </c>
      <c r="G65">
        <v>1000000000</v>
      </c>
      <c r="H65">
        <v>100000</v>
      </c>
      <c r="I65">
        <v>510.94375333345698</v>
      </c>
      <c r="J65">
        <v>0</v>
      </c>
      <c r="K65">
        <v>168336.00798300901</v>
      </c>
      <c r="L65">
        <v>0</v>
      </c>
      <c r="M65">
        <v>1420713984</v>
      </c>
      <c r="N65">
        <v>61390848</v>
      </c>
      <c r="O65">
        <v>15915171840</v>
      </c>
      <c r="P65">
        <v>1092.7410349612001</v>
      </c>
      <c r="Q65">
        <v>1243.42952471384</v>
      </c>
      <c r="R65">
        <v>51.892724947929203</v>
      </c>
      <c r="S65">
        <v>1.5593129203221501</v>
      </c>
      <c r="T65">
        <v>0.77965646016107604</v>
      </c>
      <c r="U65">
        <v>11.5089967615191</v>
      </c>
      <c r="V65">
        <v>90.263919574780999</v>
      </c>
      <c r="W65">
        <v>2699.41963431054</v>
      </c>
      <c r="X65">
        <v>2059.74200562549</v>
      </c>
    </row>
    <row r="66" spans="1:24" x14ac:dyDescent="0.25">
      <c r="A66" s="12">
        <v>45170.446586423612</v>
      </c>
      <c r="B66">
        <v>45.641415429809001</v>
      </c>
      <c r="C66">
        <v>64.859381689282301</v>
      </c>
      <c r="D66">
        <v>9703775.4267516602</v>
      </c>
      <c r="E66">
        <v>7.7215619040811297E-4</v>
      </c>
      <c r="F66">
        <v>591.14235744760003</v>
      </c>
      <c r="G66">
        <v>1000000000</v>
      </c>
      <c r="H66">
        <v>100000</v>
      </c>
      <c r="I66">
        <v>452.64041291828102</v>
      </c>
      <c r="J66">
        <v>0</v>
      </c>
      <c r="K66">
        <v>155732.38933858901</v>
      </c>
      <c r="L66">
        <v>0</v>
      </c>
      <c r="M66">
        <v>1420832768</v>
      </c>
      <c r="N66">
        <v>65441792</v>
      </c>
      <c r="O66">
        <v>15911313408</v>
      </c>
      <c r="P66">
        <v>992.59726912678502</v>
      </c>
      <c r="Q66">
        <v>1041.77549580748</v>
      </c>
      <c r="R66">
        <v>47.1709521223042</v>
      </c>
      <c r="S66">
        <v>1.9600619551104399</v>
      </c>
      <c r="T66">
        <v>0</v>
      </c>
      <c r="U66">
        <v>9.8373808812245294</v>
      </c>
      <c r="V66">
        <v>91.962153351542995</v>
      </c>
      <c r="W66">
        <v>2326.4312131808701</v>
      </c>
      <c r="X66">
        <v>1749.33977764205</v>
      </c>
    </row>
    <row r="67" spans="1:24" x14ac:dyDescent="0.25">
      <c r="A67" s="12">
        <v>45170.446598136572</v>
      </c>
      <c r="B67">
        <v>64.502740130581401</v>
      </c>
      <c r="C67">
        <v>56.622806978516202</v>
      </c>
      <c r="D67">
        <v>11129748.5132394</v>
      </c>
      <c r="E67">
        <v>9.6224200335638102E-4</v>
      </c>
      <c r="F67">
        <v>670.28477642424605</v>
      </c>
      <c r="G67">
        <v>1000000000</v>
      </c>
      <c r="H67">
        <v>100000</v>
      </c>
      <c r="I67">
        <v>519.02582245240296</v>
      </c>
      <c r="J67">
        <v>0</v>
      </c>
      <c r="K67">
        <v>169935.97461521599</v>
      </c>
      <c r="L67">
        <v>0</v>
      </c>
      <c r="M67">
        <v>1422016512</v>
      </c>
      <c r="N67">
        <v>64815104</v>
      </c>
      <c r="O67">
        <v>15911469056</v>
      </c>
      <c r="P67">
        <v>1037.06302429061</v>
      </c>
      <c r="Q67">
        <v>1636.16711649281</v>
      </c>
      <c r="R67">
        <v>63.271719308483398</v>
      </c>
      <c r="S67">
        <v>2.7034696126740898</v>
      </c>
      <c r="T67">
        <v>0</v>
      </c>
      <c r="U67">
        <v>8.8542863919684294</v>
      </c>
      <c r="V67">
        <v>90.558060425146607</v>
      </c>
      <c r="W67">
        <v>3012.3270114523302</v>
      </c>
      <c r="X67">
        <v>1984.1615726894699</v>
      </c>
    </row>
    <row r="68" spans="1:24" x14ac:dyDescent="0.25">
      <c r="A68" s="12">
        <v>45170.446609560182</v>
      </c>
      <c r="B68">
        <v>36.7137303073767</v>
      </c>
      <c r="C68">
        <v>70.501297333222297</v>
      </c>
      <c r="D68">
        <v>7217108.5885228701</v>
      </c>
      <c r="E68">
        <v>8.0577771076585701E-4</v>
      </c>
      <c r="F68">
        <v>455.42517557304899</v>
      </c>
      <c r="G68">
        <v>1000000000</v>
      </c>
      <c r="H68">
        <v>100000</v>
      </c>
      <c r="I68">
        <v>356.243692892696</v>
      </c>
      <c r="J68">
        <v>0</v>
      </c>
      <c r="K68">
        <v>115702.283938251</v>
      </c>
      <c r="L68">
        <v>0</v>
      </c>
      <c r="M68">
        <v>1420328960</v>
      </c>
      <c r="N68">
        <v>61624320</v>
      </c>
      <c r="O68">
        <v>15914917888</v>
      </c>
      <c r="P68">
        <v>680.10159552241998</v>
      </c>
      <c r="Q68">
        <v>783.33130198564504</v>
      </c>
      <c r="R68">
        <v>45.542517557304897</v>
      </c>
      <c r="S68">
        <v>1.18654402296218</v>
      </c>
      <c r="T68">
        <v>0</v>
      </c>
      <c r="U68">
        <v>7.0544430397510602</v>
      </c>
      <c r="V68">
        <v>93.823335068781006</v>
      </c>
      <c r="W68">
        <v>1806.51986310642</v>
      </c>
      <c r="X68">
        <v>1429.02299535365</v>
      </c>
    </row>
    <row r="69" spans="1:24" x14ac:dyDescent="0.25">
      <c r="A69" s="12">
        <v>45170.446621319446</v>
      </c>
      <c r="B69">
        <v>51.511932858938799</v>
      </c>
      <c r="C69">
        <v>59.373191688817002</v>
      </c>
      <c r="D69">
        <v>11790096.3329925</v>
      </c>
      <c r="E69">
        <v>7.0000014987926296E-4</v>
      </c>
      <c r="F69">
        <v>736.242352747003</v>
      </c>
      <c r="G69">
        <v>1000000000</v>
      </c>
      <c r="H69">
        <v>100000</v>
      </c>
      <c r="I69">
        <v>580.51773195178703</v>
      </c>
      <c r="J69">
        <v>0</v>
      </c>
      <c r="K69">
        <v>191639.843464695</v>
      </c>
      <c r="L69">
        <v>0</v>
      </c>
      <c r="M69">
        <v>1421058048</v>
      </c>
      <c r="N69">
        <v>61743104</v>
      </c>
      <c r="O69">
        <v>15914958848</v>
      </c>
      <c r="P69">
        <v>1120.62591040608</v>
      </c>
      <c r="Q69">
        <v>1555.27501022057</v>
      </c>
      <c r="R69">
        <v>54.207937618587898</v>
      </c>
      <c r="S69">
        <v>1.5392502408126201</v>
      </c>
      <c r="T69">
        <v>0.76962512040631004</v>
      </c>
      <c r="U69">
        <v>11.1083035186718</v>
      </c>
      <c r="V69">
        <v>89.596697719624103</v>
      </c>
      <c r="W69">
        <v>2989.3213599486699</v>
      </c>
      <c r="X69">
        <v>2158.4615160855901</v>
      </c>
    </row>
    <row r="70" spans="1:24" x14ac:dyDescent="0.25">
      <c r="A70" s="12">
        <v>45170.446632789353</v>
      </c>
      <c r="B70">
        <v>45.616007214650999</v>
      </c>
      <c r="C70">
        <v>64.939524752407294</v>
      </c>
      <c r="D70">
        <v>10381077.149866801</v>
      </c>
      <c r="E70">
        <v>7.0451711546781195E-4</v>
      </c>
      <c r="F70">
        <v>647.47799044718499</v>
      </c>
      <c r="G70">
        <v>1000000000</v>
      </c>
      <c r="H70">
        <v>100000</v>
      </c>
      <c r="I70">
        <v>499.22368422329703</v>
      </c>
      <c r="J70">
        <v>0</v>
      </c>
      <c r="K70">
        <v>167888.42073794699</v>
      </c>
      <c r="L70">
        <v>0</v>
      </c>
      <c r="M70">
        <v>1421119488</v>
      </c>
      <c r="N70">
        <v>64573440</v>
      </c>
      <c r="O70">
        <v>15912288256</v>
      </c>
      <c r="P70">
        <v>1019.62655505</v>
      </c>
      <c r="Q70">
        <v>1118.4627591992601</v>
      </c>
      <c r="R70">
        <v>53.452232856231802</v>
      </c>
      <c r="S70">
        <v>0.393953675396573</v>
      </c>
      <c r="T70">
        <v>0.78791743613632903</v>
      </c>
      <c r="U70">
        <v>10.965329716594701</v>
      </c>
      <c r="V70">
        <v>91.294271252767999</v>
      </c>
      <c r="W70">
        <v>2592.9375598749398</v>
      </c>
      <c r="X70">
        <v>1919.2377193473401</v>
      </c>
    </row>
    <row r="71" spans="1:24" x14ac:dyDescent="0.25">
      <c r="A71" s="12">
        <v>45170.446644224539</v>
      </c>
      <c r="B71">
        <v>47.462608262685201</v>
      </c>
      <c r="C71">
        <v>65.230713531672606</v>
      </c>
      <c r="D71">
        <v>10628121.1822905</v>
      </c>
      <c r="E71">
        <v>7.2682137119569798E-4</v>
      </c>
      <c r="F71">
        <v>652.99169546352095</v>
      </c>
      <c r="G71">
        <v>1000000000</v>
      </c>
      <c r="H71">
        <v>100000</v>
      </c>
      <c r="I71">
        <v>503.15794208584401</v>
      </c>
      <c r="J71">
        <v>0</v>
      </c>
      <c r="K71">
        <v>164782.707447775</v>
      </c>
      <c r="L71">
        <v>0</v>
      </c>
      <c r="M71">
        <v>1419489280</v>
      </c>
      <c r="N71">
        <v>63283200</v>
      </c>
      <c r="O71">
        <v>15913586688</v>
      </c>
      <c r="P71">
        <v>981.00612853356802</v>
      </c>
      <c r="Q71">
        <v>1429.49499844107</v>
      </c>
      <c r="R71">
        <v>37.458438344419001</v>
      </c>
      <c r="S71">
        <v>2.3728773062216</v>
      </c>
      <c r="T71">
        <v>0</v>
      </c>
      <c r="U71">
        <v>7.0623004441823696</v>
      </c>
      <c r="V71">
        <v>90.930592111224399</v>
      </c>
      <c r="W71">
        <v>2634.2393668156301</v>
      </c>
      <c r="X71">
        <v>1910.3803555653701</v>
      </c>
    </row>
    <row r="72" spans="1:24" x14ac:dyDescent="0.25">
      <c r="A72" s="12">
        <v>45170.446655914355</v>
      </c>
      <c r="B72">
        <v>41.108933027596102</v>
      </c>
      <c r="C72">
        <v>67.897577652902697</v>
      </c>
      <c r="D72">
        <v>9333797.4612642992</v>
      </c>
      <c r="E72">
        <v>7.0355955638229297E-4</v>
      </c>
      <c r="F72">
        <v>584.29721687602103</v>
      </c>
      <c r="G72">
        <v>1000000000</v>
      </c>
      <c r="H72">
        <v>100000</v>
      </c>
      <c r="I72">
        <v>454.56342804422599</v>
      </c>
      <c r="J72">
        <v>0</v>
      </c>
      <c r="K72">
        <v>146713.06982050501</v>
      </c>
      <c r="L72">
        <v>0</v>
      </c>
      <c r="M72">
        <v>1420345344</v>
      </c>
      <c r="N72">
        <v>62210048</v>
      </c>
      <c r="O72">
        <v>15914508288</v>
      </c>
      <c r="P72">
        <v>931.90454420395804</v>
      </c>
      <c r="Q72">
        <v>1198.3044617287801</v>
      </c>
      <c r="R72">
        <v>35.652033572096101</v>
      </c>
      <c r="S72">
        <v>0.77370161232978796</v>
      </c>
      <c r="T72">
        <v>0.77370161232978796</v>
      </c>
      <c r="U72">
        <v>4.4478558289614796</v>
      </c>
      <c r="V72">
        <v>91.823402520331101</v>
      </c>
      <c r="W72">
        <v>2327.2855248451601</v>
      </c>
      <c r="X72">
        <v>2074.7502870428202</v>
      </c>
    </row>
    <row r="73" spans="1:24" x14ac:dyDescent="0.25">
      <c r="A73" s="12">
        <v>45170.446667314813</v>
      </c>
      <c r="B73">
        <v>55.859364260375202</v>
      </c>
      <c r="C73">
        <v>58.720305183264003</v>
      </c>
      <c r="D73">
        <v>8890376.6008020304</v>
      </c>
      <c r="E73">
        <v>1.0272389172931401E-3</v>
      </c>
      <c r="F73">
        <v>543.76682659293203</v>
      </c>
      <c r="G73">
        <v>1000000000</v>
      </c>
      <c r="H73">
        <v>100000</v>
      </c>
      <c r="I73">
        <v>435.21635934397</v>
      </c>
      <c r="J73">
        <v>0</v>
      </c>
      <c r="K73">
        <v>140911.69486367801</v>
      </c>
      <c r="L73">
        <v>0</v>
      </c>
      <c r="M73">
        <v>1420374016</v>
      </c>
      <c r="N73">
        <v>60588032</v>
      </c>
      <c r="O73">
        <v>15916273664</v>
      </c>
      <c r="P73">
        <v>836.95453719994202</v>
      </c>
      <c r="Q73">
        <v>1036.8091357798</v>
      </c>
      <c r="R73">
        <v>38.550633228603402</v>
      </c>
      <c r="S73">
        <v>0.39630118890356603</v>
      </c>
      <c r="T73">
        <v>0.79259223262655498</v>
      </c>
      <c r="U73">
        <v>4.8889320848133</v>
      </c>
      <c r="V73">
        <v>92.232119296772595</v>
      </c>
      <c r="W73">
        <v>2298.8351288425101</v>
      </c>
      <c r="X73">
        <v>1660.72069987431</v>
      </c>
    </row>
    <row r="74" spans="1:24" x14ac:dyDescent="0.25">
      <c r="A74" s="12">
        <v>45170.446678958331</v>
      </c>
      <c r="B74">
        <v>47.971740500611403</v>
      </c>
      <c r="C74">
        <v>62.421898090810203</v>
      </c>
      <c r="D74">
        <v>10906176.505291799</v>
      </c>
      <c r="E74">
        <v>7.0467124576427495E-4</v>
      </c>
      <c r="F74">
        <v>680.81706331771204</v>
      </c>
      <c r="G74">
        <v>1000000000</v>
      </c>
      <c r="H74">
        <v>100000</v>
      </c>
      <c r="I74">
        <v>529.74524780779598</v>
      </c>
      <c r="J74">
        <v>0</v>
      </c>
      <c r="K74">
        <v>171343.26780689001</v>
      </c>
      <c r="L74">
        <v>0</v>
      </c>
      <c r="M74">
        <v>1419898880</v>
      </c>
      <c r="N74">
        <v>65028096</v>
      </c>
      <c r="O74">
        <v>15912005632</v>
      </c>
      <c r="P74">
        <v>1077.3805790312399</v>
      </c>
      <c r="Q74">
        <v>1515.6876227146099</v>
      </c>
      <c r="R74">
        <v>73.548120708774704</v>
      </c>
      <c r="S74">
        <v>1.55284533938689</v>
      </c>
      <c r="T74">
        <v>0</v>
      </c>
      <c r="U74">
        <v>11.876022020688501</v>
      </c>
      <c r="V74">
        <v>90.640929087491401</v>
      </c>
      <c r="W74">
        <v>2674.5674706393602</v>
      </c>
      <c r="X74">
        <v>2015.61606482966</v>
      </c>
    </row>
    <row r="75" spans="1:24" x14ac:dyDescent="0.25">
      <c r="A75" s="12">
        <v>45170.446690682867</v>
      </c>
      <c r="B75">
        <v>46.034754313573004</v>
      </c>
      <c r="C75">
        <v>63.496553418142199</v>
      </c>
      <c r="D75">
        <v>9931921.5081207007</v>
      </c>
      <c r="E75">
        <v>7.5056347328880397E-4</v>
      </c>
      <c r="F75">
        <v>613.32592461867796</v>
      </c>
      <c r="G75">
        <v>1000000000</v>
      </c>
      <c r="H75">
        <v>100000</v>
      </c>
      <c r="I75">
        <v>535.30217575414395</v>
      </c>
      <c r="J75">
        <v>0</v>
      </c>
      <c r="K75">
        <v>172071.995518018</v>
      </c>
      <c r="L75">
        <v>0</v>
      </c>
      <c r="M75">
        <v>1420414976</v>
      </c>
      <c r="N75">
        <v>63692800</v>
      </c>
      <c r="O75">
        <v>15913394176</v>
      </c>
      <c r="P75">
        <v>880.97701249575005</v>
      </c>
      <c r="Q75">
        <v>1317.51494918086</v>
      </c>
      <c r="R75">
        <v>42.468622799682997</v>
      </c>
      <c r="S75">
        <v>0.77160806280795802</v>
      </c>
      <c r="T75">
        <v>0</v>
      </c>
      <c r="U75">
        <v>8.9502485886609406</v>
      </c>
      <c r="V75">
        <v>91.612953691960598</v>
      </c>
      <c r="W75">
        <v>2610.33883859447</v>
      </c>
      <c r="X75">
        <v>1928.8655890181601</v>
      </c>
    </row>
    <row r="76" spans="1:24" x14ac:dyDescent="0.25">
      <c r="A76" s="12">
        <v>45170.446702187503</v>
      </c>
      <c r="B76">
        <v>40.517798753617299</v>
      </c>
      <c r="C76">
        <v>69.6560021781209</v>
      </c>
      <c r="D76">
        <v>9280532.7433086708</v>
      </c>
      <c r="E76">
        <v>6.9550982437068302E-4</v>
      </c>
      <c r="F76">
        <v>582.53649299317703</v>
      </c>
      <c r="G76">
        <v>1000000000</v>
      </c>
      <c r="H76">
        <v>100000</v>
      </c>
      <c r="I76">
        <v>439.669166559617</v>
      </c>
      <c r="J76">
        <v>0</v>
      </c>
      <c r="K76">
        <v>143927.764194552</v>
      </c>
      <c r="L76">
        <v>0</v>
      </c>
      <c r="M76">
        <v>1421455360</v>
      </c>
      <c r="N76">
        <v>61915136</v>
      </c>
      <c r="O76">
        <v>15915220992</v>
      </c>
      <c r="P76">
        <v>869.27725379292804</v>
      </c>
      <c r="Q76">
        <v>1066.47440858854</v>
      </c>
      <c r="R76">
        <v>37.225993507336</v>
      </c>
      <c r="S76">
        <v>0.39302365406352102</v>
      </c>
      <c r="T76">
        <v>0.393033715597853</v>
      </c>
      <c r="U76">
        <v>2.5288861619894898</v>
      </c>
      <c r="V76">
        <v>91.950641734721202</v>
      </c>
      <c r="W76">
        <v>2297.9505181285199</v>
      </c>
      <c r="X76">
        <v>1720.4445647985001</v>
      </c>
    </row>
    <row r="77" spans="1:24" x14ac:dyDescent="0.25">
      <c r="A77" s="12">
        <v>45170.446713738427</v>
      </c>
      <c r="B77">
        <v>47.948687989620197</v>
      </c>
      <c r="C77">
        <v>62.839335921192898</v>
      </c>
      <c r="D77">
        <v>9910269.4317284897</v>
      </c>
      <c r="E77">
        <v>7.8830291081923303E-4</v>
      </c>
      <c r="F77">
        <v>608.25683139333898</v>
      </c>
      <c r="G77">
        <v>1000000000</v>
      </c>
      <c r="H77">
        <v>100000</v>
      </c>
      <c r="I77">
        <v>476.98558771537</v>
      </c>
      <c r="J77">
        <v>0</v>
      </c>
      <c r="K77">
        <v>154366.96600079199</v>
      </c>
      <c r="L77">
        <v>0</v>
      </c>
      <c r="M77">
        <v>1419968512</v>
      </c>
      <c r="N77">
        <v>64958464</v>
      </c>
      <c r="O77">
        <v>15912435712</v>
      </c>
      <c r="P77">
        <v>1001.06849186482</v>
      </c>
      <c r="Q77">
        <v>1295.67723721843</v>
      </c>
      <c r="R77">
        <v>45.093175309226098</v>
      </c>
      <c r="S77">
        <v>3.5228807932486599</v>
      </c>
      <c r="T77">
        <v>0.39142563223626797</v>
      </c>
      <c r="U77">
        <v>11.145249151804199</v>
      </c>
      <c r="V77">
        <v>91.518723837402106</v>
      </c>
      <c r="W77">
        <v>2365.8885978907301</v>
      </c>
      <c r="X77">
        <v>1843.8098348661299</v>
      </c>
    </row>
    <row r="78" spans="1:24" x14ac:dyDescent="0.25">
      <c r="A78" s="12">
        <v>45170.446725451387</v>
      </c>
      <c r="B78">
        <v>58.788326264442901</v>
      </c>
      <c r="C78">
        <v>57.454697622920499</v>
      </c>
      <c r="D78">
        <v>10041045.882989001</v>
      </c>
      <c r="E78">
        <v>9.3864365000820695E-4</v>
      </c>
      <c r="F78">
        <v>626.31668583996395</v>
      </c>
      <c r="G78">
        <v>1000000000</v>
      </c>
      <c r="H78">
        <v>100000</v>
      </c>
      <c r="I78">
        <v>514.68610934167395</v>
      </c>
      <c r="J78">
        <v>0</v>
      </c>
      <c r="K78">
        <v>173353.39437097299</v>
      </c>
      <c r="L78">
        <v>0</v>
      </c>
      <c r="M78">
        <v>1421254656</v>
      </c>
      <c r="N78">
        <v>63729664</v>
      </c>
      <c r="O78">
        <v>15913132032</v>
      </c>
      <c r="P78">
        <v>903.91130527376595</v>
      </c>
      <c r="Q78">
        <v>1537.14315956937</v>
      </c>
      <c r="R78">
        <v>24.697030198736702</v>
      </c>
      <c r="S78">
        <v>4.2447621488135896</v>
      </c>
      <c r="T78">
        <v>0.38589285647251398</v>
      </c>
      <c r="U78">
        <v>14.718765379948801</v>
      </c>
      <c r="V78">
        <v>91.030744783190499</v>
      </c>
      <c r="W78">
        <v>2733.46730239618</v>
      </c>
      <c r="X78">
        <v>1930.31988033326</v>
      </c>
    </row>
    <row r="79" spans="1:24" x14ac:dyDescent="0.25">
      <c r="A79" s="12">
        <v>45170.446736979167</v>
      </c>
      <c r="B79">
        <v>36.971423860706203</v>
      </c>
      <c r="C79">
        <v>72.235856397045296</v>
      </c>
      <c r="D79">
        <v>8369636.6341711003</v>
      </c>
      <c r="E79">
        <v>6.8694008424062297E-4</v>
      </c>
      <c r="F79">
        <v>538.20413706375098</v>
      </c>
      <c r="G79">
        <v>1000000000</v>
      </c>
      <c r="H79">
        <v>100000</v>
      </c>
      <c r="I79">
        <v>412.69011256194301</v>
      </c>
      <c r="J79">
        <v>0</v>
      </c>
      <c r="K79">
        <v>133389.276455149</v>
      </c>
      <c r="L79">
        <v>0</v>
      </c>
      <c r="M79">
        <v>1420640256</v>
      </c>
      <c r="N79">
        <v>61489152</v>
      </c>
      <c r="O79">
        <v>15915470848</v>
      </c>
      <c r="P79">
        <v>848.47480563221995</v>
      </c>
      <c r="Q79">
        <v>1143.6837912604699</v>
      </c>
      <c r="R79">
        <v>33.135702468477199</v>
      </c>
      <c r="S79">
        <v>1.9611623325654799</v>
      </c>
      <c r="T79">
        <v>0</v>
      </c>
      <c r="U79">
        <v>5.4722225820292101</v>
      </c>
      <c r="V79">
        <v>92.7098517397705</v>
      </c>
      <c r="W79">
        <v>2118.6767335905101</v>
      </c>
      <c r="X79">
        <v>1595.53427946698</v>
      </c>
    </row>
    <row r="80" spans="1:24" x14ac:dyDescent="0.25">
      <c r="A80" s="12">
        <v>45170.446748449074</v>
      </c>
      <c r="B80">
        <v>50.511785124238898</v>
      </c>
      <c r="C80">
        <v>62.675394451718397</v>
      </c>
      <c r="D80">
        <v>11554545.241769601</v>
      </c>
      <c r="E80">
        <v>7.0280904463401197E-4</v>
      </c>
      <c r="F80">
        <v>718.73499180694103</v>
      </c>
      <c r="G80">
        <v>1000000000</v>
      </c>
      <c r="H80">
        <v>100000</v>
      </c>
      <c r="I80">
        <v>566.30664382541295</v>
      </c>
      <c r="J80">
        <v>0</v>
      </c>
      <c r="K80">
        <v>184506.94428720299</v>
      </c>
      <c r="L80">
        <v>0</v>
      </c>
      <c r="M80">
        <v>1420972032</v>
      </c>
      <c r="N80">
        <v>60305408</v>
      </c>
      <c r="O80">
        <v>15916732416</v>
      </c>
      <c r="P80">
        <v>1082.1403247430301</v>
      </c>
      <c r="Q80">
        <v>1378.9213466408401</v>
      </c>
      <c r="R80">
        <v>42.397288842544299</v>
      </c>
      <c r="S80">
        <v>2.3658472498987702</v>
      </c>
      <c r="T80">
        <v>1.5772314999325101</v>
      </c>
      <c r="U80">
        <v>9.7034915817224405</v>
      </c>
      <c r="V80">
        <v>90.195878525011395</v>
      </c>
      <c r="W80">
        <v>2921.3750931029299</v>
      </c>
      <c r="X80">
        <v>2119.8644421272102</v>
      </c>
    </row>
    <row r="81" spans="1:24" x14ac:dyDescent="0.25">
      <c r="A81" s="12">
        <v>45170.446760162034</v>
      </c>
      <c r="B81">
        <v>48.467174971143898</v>
      </c>
      <c r="C81">
        <v>64.082949095737007</v>
      </c>
      <c r="D81">
        <v>11048323.164225001</v>
      </c>
      <c r="E81">
        <v>7.1322668217059201E-4</v>
      </c>
      <c r="F81">
        <v>679.52143225592204</v>
      </c>
      <c r="G81">
        <v>1000000000</v>
      </c>
      <c r="H81">
        <v>100000</v>
      </c>
      <c r="I81">
        <v>488.89986768413002</v>
      </c>
      <c r="J81">
        <v>0</v>
      </c>
      <c r="K81">
        <v>158148.736592562</v>
      </c>
      <c r="L81">
        <v>0</v>
      </c>
      <c r="M81">
        <v>1420439552</v>
      </c>
      <c r="N81">
        <v>63848448</v>
      </c>
      <c r="O81">
        <v>15913443328</v>
      </c>
      <c r="P81">
        <v>1107.18535691698</v>
      </c>
      <c r="Q81">
        <v>1253.36147897204</v>
      </c>
      <c r="R81">
        <v>51.359178019342899</v>
      </c>
      <c r="S81">
        <v>1.92912591766131</v>
      </c>
      <c r="T81">
        <v>0.38582123267226798</v>
      </c>
      <c r="U81">
        <v>6.2442453254906098</v>
      </c>
      <c r="V81">
        <v>91.193217005528595</v>
      </c>
      <c r="W81">
        <v>2624.2564614883499</v>
      </c>
      <c r="X81">
        <v>1906.2156457179201</v>
      </c>
    </row>
    <row r="82" spans="1:24" x14ac:dyDescent="0.25">
      <c r="A82" s="12">
        <v>45170.446771689814</v>
      </c>
      <c r="B82">
        <v>45.482524585474202</v>
      </c>
      <c r="C82">
        <v>67.500566522611805</v>
      </c>
      <c r="D82">
        <v>8864328.0371707398</v>
      </c>
      <c r="E82">
        <v>8.1880672342684105E-4</v>
      </c>
      <c r="F82">
        <v>555.47498292946705</v>
      </c>
      <c r="G82">
        <v>1000000000</v>
      </c>
      <c r="H82">
        <v>100000</v>
      </c>
      <c r="I82">
        <v>432.92896499566098</v>
      </c>
      <c r="J82">
        <v>0</v>
      </c>
      <c r="K82">
        <v>140797.33880148901</v>
      </c>
      <c r="L82">
        <v>0</v>
      </c>
      <c r="M82">
        <v>1419911168</v>
      </c>
      <c r="N82">
        <v>61964288</v>
      </c>
      <c r="O82">
        <v>15915520000</v>
      </c>
      <c r="P82">
        <v>841.75051662729402</v>
      </c>
      <c r="Q82">
        <v>1087.8470280517399</v>
      </c>
      <c r="R82">
        <v>29.129791148199899</v>
      </c>
      <c r="S82">
        <v>1.1771214865553301</v>
      </c>
      <c r="T82">
        <v>0.39237717709416398</v>
      </c>
      <c r="U82">
        <v>5.8306828646597504</v>
      </c>
      <c r="V82">
        <v>92.039794798277697</v>
      </c>
      <c r="W82">
        <v>2291.20874513945</v>
      </c>
      <c r="X82">
        <v>1679.48313102725</v>
      </c>
    </row>
    <row r="83" spans="1:24" x14ac:dyDescent="0.25">
      <c r="A83" s="12">
        <v>45170.446783206018</v>
      </c>
      <c r="B83">
        <v>56.232888507754801</v>
      </c>
      <c r="C83">
        <v>57.849584052352803</v>
      </c>
      <c r="D83">
        <v>10496869.5587814</v>
      </c>
      <c r="E83">
        <v>9.1056889703951304E-4</v>
      </c>
      <c r="F83">
        <v>617.55128028368199</v>
      </c>
      <c r="G83">
        <v>1000000000</v>
      </c>
      <c r="H83">
        <v>100000</v>
      </c>
      <c r="I83">
        <v>458.89582941405303</v>
      </c>
      <c r="J83">
        <v>0</v>
      </c>
      <c r="K83">
        <v>149794.84518308699</v>
      </c>
      <c r="L83">
        <v>0</v>
      </c>
      <c r="M83">
        <v>1421217792</v>
      </c>
      <c r="N83">
        <v>61370368</v>
      </c>
      <c r="O83">
        <v>15911452672</v>
      </c>
      <c r="P83">
        <v>1009.16916534162</v>
      </c>
      <c r="Q83">
        <v>1205.98225629382</v>
      </c>
      <c r="R83">
        <v>54.224014854177</v>
      </c>
      <c r="S83">
        <v>0.78449900261934802</v>
      </c>
      <c r="T83">
        <v>0.39224448051605698</v>
      </c>
      <c r="U83">
        <v>6.6446186882975802</v>
      </c>
      <c r="V83">
        <v>91.303423126879906</v>
      </c>
      <c r="W83">
        <v>2618.8190877720999</v>
      </c>
      <c r="X83">
        <v>1787.3841933413901</v>
      </c>
    </row>
    <row r="84" spans="1:24" x14ac:dyDescent="0.25">
      <c r="A84" s="12">
        <v>45170.446794675925</v>
      </c>
      <c r="B84">
        <v>44.259911484215301</v>
      </c>
      <c r="C84">
        <v>66.924943710963305</v>
      </c>
      <c r="D84">
        <v>10203851.5993504</v>
      </c>
      <c r="E84">
        <v>6.9808963376557305E-4</v>
      </c>
      <c r="F84">
        <v>634.02541678461205</v>
      </c>
      <c r="G84">
        <v>1000000000</v>
      </c>
      <c r="H84">
        <v>100000</v>
      </c>
      <c r="I84">
        <v>523.97960399874796</v>
      </c>
      <c r="J84">
        <v>0</v>
      </c>
      <c r="K84">
        <v>174488.236915421</v>
      </c>
      <c r="L84">
        <v>0</v>
      </c>
      <c r="M84">
        <v>1420013568</v>
      </c>
      <c r="N84">
        <v>64188416</v>
      </c>
      <c r="O84">
        <v>15909523456</v>
      </c>
      <c r="P84">
        <v>953.05731440234695</v>
      </c>
      <c r="Q84">
        <v>1150.9378584943599</v>
      </c>
      <c r="R84">
        <v>52.498919861146199</v>
      </c>
      <c r="S84">
        <v>2.3661990771243002</v>
      </c>
      <c r="T84">
        <v>0</v>
      </c>
      <c r="U84">
        <v>8.5069690178600403</v>
      </c>
      <c r="V84">
        <v>91.337071330541306</v>
      </c>
      <c r="W84">
        <v>2575.4758570343101</v>
      </c>
      <c r="X84">
        <v>1906.11462880469</v>
      </c>
    </row>
    <row r="85" spans="1:24" x14ac:dyDescent="0.25">
      <c r="A85" s="12">
        <v>45170.44680633102</v>
      </c>
      <c r="B85">
        <v>38.887333924881297</v>
      </c>
      <c r="C85">
        <v>72.176797422597502</v>
      </c>
      <c r="D85">
        <v>9027918.8825408109</v>
      </c>
      <c r="E85">
        <v>7.0467623475958005E-4</v>
      </c>
      <c r="F85">
        <v>551.88896991157196</v>
      </c>
      <c r="G85">
        <v>1000000000</v>
      </c>
      <c r="H85">
        <v>100000</v>
      </c>
      <c r="I85">
        <v>415.90193955566298</v>
      </c>
      <c r="J85">
        <v>0</v>
      </c>
      <c r="K85">
        <v>135961.22259832299</v>
      </c>
      <c r="L85">
        <v>0</v>
      </c>
      <c r="M85">
        <v>1421209600</v>
      </c>
      <c r="N85">
        <v>63127552</v>
      </c>
      <c r="O85">
        <v>15910719488</v>
      </c>
      <c r="P85">
        <v>919.15321247862505</v>
      </c>
      <c r="Q85">
        <v>1308.2547883875</v>
      </c>
      <c r="R85">
        <v>32.756000012737097</v>
      </c>
      <c r="S85">
        <v>1.16311638607837</v>
      </c>
      <c r="T85">
        <v>0</v>
      </c>
      <c r="U85">
        <v>8.5011205666156506</v>
      </c>
      <c r="V85">
        <v>92.474467160152599</v>
      </c>
      <c r="W85">
        <v>2286.9643645256501</v>
      </c>
      <c r="X85">
        <v>1638.79260669785</v>
      </c>
    </row>
    <row r="86" spans="1:24" x14ac:dyDescent="0.25">
      <c r="A86" s="12">
        <v>45170.446818032404</v>
      </c>
      <c r="B86">
        <v>47.671716154071099</v>
      </c>
      <c r="C86">
        <v>65.9110711202229</v>
      </c>
      <c r="D86">
        <v>11249817.835629201</v>
      </c>
      <c r="E86">
        <v>7.1681527425723301E-4</v>
      </c>
      <c r="F86">
        <v>664.98765579460201</v>
      </c>
      <c r="G86">
        <v>1000000000</v>
      </c>
      <c r="H86">
        <v>100000</v>
      </c>
      <c r="I86">
        <v>544.26073018903401</v>
      </c>
      <c r="J86">
        <v>0</v>
      </c>
      <c r="K86">
        <v>181496.110043583</v>
      </c>
      <c r="L86">
        <v>0</v>
      </c>
      <c r="M86">
        <v>1420128256</v>
      </c>
      <c r="N86">
        <v>63283200</v>
      </c>
      <c r="O86">
        <v>15910748160</v>
      </c>
      <c r="P86">
        <v>1053.88668663876</v>
      </c>
      <c r="Q86">
        <v>1492.2639656819299</v>
      </c>
      <c r="R86">
        <v>39.582598559202502</v>
      </c>
      <c r="S86">
        <v>3.09267413289334</v>
      </c>
      <c r="T86">
        <v>0</v>
      </c>
      <c r="U86">
        <v>9.1526923979793509</v>
      </c>
      <c r="V86">
        <v>90.602051120864203</v>
      </c>
      <c r="W86">
        <v>2990.4653211477398</v>
      </c>
      <c r="X86">
        <v>2046.4203455107599</v>
      </c>
    </row>
    <row r="87" spans="1:24" x14ac:dyDescent="0.25">
      <c r="A87" s="12">
        <v>45170.446829502318</v>
      </c>
      <c r="B87">
        <v>47.438722629158498</v>
      </c>
      <c r="C87">
        <v>63.782986912279902</v>
      </c>
      <c r="D87">
        <v>9574914.64377933</v>
      </c>
      <c r="E87">
        <v>7.7462946301492196E-4</v>
      </c>
      <c r="F87">
        <v>612.40343840765604</v>
      </c>
      <c r="G87">
        <v>1000000000</v>
      </c>
      <c r="H87">
        <v>100000</v>
      </c>
      <c r="I87">
        <v>505.45983960829602</v>
      </c>
      <c r="J87">
        <v>0</v>
      </c>
      <c r="K87">
        <v>165830.17456466399</v>
      </c>
      <c r="L87">
        <v>0</v>
      </c>
      <c r="M87">
        <v>1420201984</v>
      </c>
      <c r="N87">
        <v>60243968</v>
      </c>
      <c r="O87">
        <v>15913922560</v>
      </c>
      <c r="P87">
        <v>942.31435168492806</v>
      </c>
      <c r="Q87">
        <v>1090.6229273783799</v>
      </c>
      <c r="R87">
        <v>33.293761890366802</v>
      </c>
      <c r="S87">
        <v>1.1823158288953199</v>
      </c>
      <c r="T87">
        <v>0.78820718957954194</v>
      </c>
      <c r="U87">
        <v>8.1738674585092692</v>
      </c>
      <c r="V87">
        <v>91.497431226463505</v>
      </c>
      <c r="W87">
        <v>2451.63155738155</v>
      </c>
      <c r="X87">
        <v>1871.5129789887999</v>
      </c>
    </row>
    <row r="88" spans="1:24" x14ac:dyDescent="0.25">
      <c r="A88" s="12">
        <v>45170.446841053243</v>
      </c>
      <c r="B88">
        <v>47.617591642561301</v>
      </c>
      <c r="C88">
        <v>68.258564525094698</v>
      </c>
      <c r="D88">
        <v>10665833.057582701</v>
      </c>
      <c r="E88">
        <v>7.4921122996776505E-4</v>
      </c>
      <c r="F88">
        <v>635.57753083902503</v>
      </c>
      <c r="G88">
        <v>1000000000</v>
      </c>
      <c r="H88">
        <v>100000</v>
      </c>
      <c r="I88">
        <v>506.25655058944398</v>
      </c>
      <c r="J88">
        <v>0</v>
      </c>
      <c r="K88">
        <v>167441.59726485601</v>
      </c>
      <c r="L88">
        <v>0</v>
      </c>
      <c r="M88">
        <v>1419997184</v>
      </c>
      <c r="N88">
        <v>64389120</v>
      </c>
      <c r="O88">
        <v>15909953536</v>
      </c>
      <c r="P88">
        <v>1014.51807761686</v>
      </c>
      <c r="Q88">
        <v>1458.6203586289901</v>
      </c>
      <c r="R88">
        <v>42.104505197537897</v>
      </c>
      <c r="S88">
        <v>0.78318407306844195</v>
      </c>
      <c r="T88">
        <v>0</v>
      </c>
      <c r="U88">
        <v>9.9338315971290996</v>
      </c>
      <c r="V88">
        <v>91.388233241991102</v>
      </c>
      <c r="W88">
        <v>2878.14367671741</v>
      </c>
      <c r="X88">
        <v>1973.8993031893301</v>
      </c>
    </row>
    <row r="89" spans="1:24" x14ac:dyDescent="0.25">
      <c r="A89" s="12">
        <v>45170.446852627312</v>
      </c>
      <c r="B89">
        <v>85.770046737330603</v>
      </c>
      <c r="C89">
        <v>50.2148997850502</v>
      </c>
      <c r="D89">
        <v>11667290.1331816</v>
      </c>
      <c r="E89">
        <v>1.25116609798555E-3</v>
      </c>
      <c r="F89">
        <v>685.50893546659097</v>
      </c>
      <c r="G89">
        <v>1000000000</v>
      </c>
      <c r="H89">
        <v>100000</v>
      </c>
      <c r="I89">
        <v>519.62776449362502</v>
      </c>
      <c r="J89">
        <v>0</v>
      </c>
      <c r="K89">
        <v>165133.70641942401</v>
      </c>
      <c r="L89">
        <v>0</v>
      </c>
      <c r="M89">
        <v>1420705792</v>
      </c>
      <c r="N89">
        <v>63107072</v>
      </c>
      <c r="O89">
        <v>15911493632</v>
      </c>
      <c r="P89">
        <v>1145.1796502109501</v>
      </c>
      <c r="Q89">
        <v>1785.7207983655901</v>
      </c>
      <c r="R89">
        <v>69.949891374141899</v>
      </c>
      <c r="S89">
        <v>1.56140857540579</v>
      </c>
      <c r="T89">
        <v>1.1710614280617799</v>
      </c>
      <c r="U89">
        <v>10.9997112018698</v>
      </c>
      <c r="V89">
        <v>90.135665170046096</v>
      </c>
      <c r="W89">
        <v>3094.78305122453</v>
      </c>
      <c r="X89">
        <v>2010.5597349253301</v>
      </c>
    </row>
    <row r="90" spans="1:24" x14ac:dyDescent="0.25">
      <c r="A90" s="12">
        <v>45170.44686434028</v>
      </c>
      <c r="B90">
        <v>46.682835687782699</v>
      </c>
      <c r="C90">
        <v>65.458743352216899</v>
      </c>
      <c r="D90">
        <v>10579376.6489229</v>
      </c>
      <c r="E90">
        <v>7.0930952317714102E-4</v>
      </c>
      <c r="F90">
        <v>658.19087342676698</v>
      </c>
      <c r="G90">
        <v>1000000000</v>
      </c>
      <c r="H90">
        <v>100000</v>
      </c>
      <c r="I90">
        <v>499.07866528606201</v>
      </c>
      <c r="J90">
        <v>0</v>
      </c>
      <c r="K90">
        <v>170074.14983447301</v>
      </c>
      <c r="L90">
        <v>0</v>
      </c>
      <c r="M90">
        <v>1420251136</v>
      </c>
      <c r="N90">
        <v>61329408</v>
      </c>
      <c r="O90">
        <v>15913463808</v>
      </c>
      <c r="P90">
        <v>1001.12215432629</v>
      </c>
      <c r="Q90">
        <v>1146.3985182808501</v>
      </c>
      <c r="R90">
        <v>46.448905482069101</v>
      </c>
      <c r="S90">
        <v>4.6322140619492203</v>
      </c>
      <c r="T90">
        <v>0</v>
      </c>
      <c r="U90">
        <v>9.6718257919900097</v>
      </c>
      <c r="V90">
        <v>90.942087096296902</v>
      </c>
      <c r="W90">
        <v>2692.0599687905601</v>
      </c>
      <c r="X90">
        <v>1915.2761451967999</v>
      </c>
    </row>
    <row r="91" spans="1:24" x14ac:dyDescent="0.25">
      <c r="A91" s="12">
        <v>45170.446875798611</v>
      </c>
      <c r="B91">
        <v>55.629141749236403</v>
      </c>
      <c r="C91">
        <v>58.811702528569697</v>
      </c>
      <c r="D91">
        <v>12524046.855766799</v>
      </c>
      <c r="E91">
        <v>6.9784544951726802E-4</v>
      </c>
      <c r="F91">
        <v>797.11514509205199</v>
      </c>
      <c r="G91">
        <v>1000000000</v>
      </c>
      <c r="H91">
        <v>100000</v>
      </c>
      <c r="I91">
        <v>605.16092764276198</v>
      </c>
      <c r="J91">
        <v>0</v>
      </c>
      <c r="K91">
        <v>193208.991860195</v>
      </c>
      <c r="L91">
        <v>0</v>
      </c>
      <c r="M91">
        <v>1420488704</v>
      </c>
      <c r="N91">
        <v>60682240</v>
      </c>
      <c r="O91">
        <v>15914246144</v>
      </c>
      <c r="P91">
        <v>1240.6304159354099</v>
      </c>
      <c r="Q91">
        <v>1785.1742222783901</v>
      </c>
      <c r="R91">
        <v>33.339416714876698</v>
      </c>
      <c r="S91">
        <v>2.3679767703373198</v>
      </c>
      <c r="T91">
        <v>0</v>
      </c>
      <c r="U91">
        <v>7.6489059568444704</v>
      </c>
      <c r="V91">
        <v>89.215614956621096</v>
      </c>
      <c r="W91">
        <v>3219.7794263730898</v>
      </c>
      <c r="X91">
        <v>2269.1009073216101</v>
      </c>
    </row>
    <row r="92" spans="1:24" x14ac:dyDescent="0.25">
      <c r="A92" s="12">
        <v>45170.446887268517</v>
      </c>
      <c r="B92">
        <v>51.129684609833802</v>
      </c>
      <c r="C92">
        <v>64.847650889055302</v>
      </c>
      <c r="D92">
        <v>11539467.990026999</v>
      </c>
      <c r="E92">
        <v>7.34637397087148E-4</v>
      </c>
      <c r="F92">
        <v>695.99159319883904</v>
      </c>
      <c r="G92">
        <v>1000000000</v>
      </c>
      <c r="H92">
        <v>100000</v>
      </c>
      <c r="I92">
        <v>552.75854068545505</v>
      </c>
      <c r="J92">
        <v>0</v>
      </c>
      <c r="K92">
        <v>184857.38452054799</v>
      </c>
      <c r="L92">
        <v>0</v>
      </c>
      <c r="M92">
        <v>1420730368</v>
      </c>
      <c r="N92">
        <v>64217088</v>
      </c>
      <c r="O92">
        <v>15910903808</v>
      </c>
      <c r="P92">
        <v>1128.7168011442</v>
      </c>
      <c r="Q92">
        <v>1157.96862172792</v>
      </c>
      <c r="R92">
        <v>47.4081230149934</v>
      </c>
      <c r="S92">
        <v>2.36407966668569</v>
      </c>
      <c r="T92">
        <v>0</v>
      </c>
      <c r="U92">
        <v>10.5589809003545</v>
      </c>
      <c r="V92">
        <v>90.588194116485198</v>
      </c>
      <c r="W92">
        <v>2979.6509656657499</v>
      </c>
      <c r="X92">
        <v>2163.6260397268202</v>
      </c>
    </row>
    <row r="93" spans="1:24" x14ac:dyDescent="0.25">
      <c r="A93" s="12">
        <v>45170.446898923612</v>
      </c>
      <c r="B93">
        <v>46.4404202480629</v>
      </c>
      <c r="C93">
        <v>66.482500671628102</v>
      </c>
      <c r="D93">
        <v>10296500.305379</v>
      </c>
      <c r="E93">
        <v>7.1607961084949902E-4</v>
      </c>
      <c r="F93">
        <v>648.56084352973301</v>
      </c>
      <c r="G93">
        <v>1000000000</v>
      </c>
      <c r="H93">
        <v>100000</v>
      </c>
      <c r="I93">
        <v>497.59415407105098</v>
      </c>
      <c r="J93">
        <v>0</v>
      </c>
      <c r="K93">
        <v>164440.46649286899</v>
      </c>
      <c r="L93">
        <v>0</v>
      </c>
      <c r="M93">
        <v>1421754368</v>
      </c>
      <c r="N93">
        <v>62574592</v>
      </c>
      <c r="O93">
        <v>15912763392</v>
      </c>
      <c r="P93">
        <v>997.17471195076905</v>
      </c>
      <c r="Q93">
        <v>1191.8422852001199</v>
      </c>
      <c r="R93">
        <v>52.639700929672003</v>
      </c>
      <c r="S93">
        <v>1.55182114280578</v>
      </c>
      <c r="T93">
        <v>0</v>
      </c>
      <c r="U93">
        <v>12.7100656830024</v>
      </c>
      <c r="V93">
        <v>91.165623760094903</v>
      </c>
      <c r="W93">
        <v>2613.1142103012598</v>
      </c>
      <c r="X93">
        <v>1891.05642585086</v>
      </c>
    </row>
    <row r="94" spans="1:24" x14ac:dyDescent="0.25">
      <c r="A94" s="12">
        <v>45170.446910625004</v>
      </c>
      <c r="B94">
        <v>48.153923204384398</v>
      </c>
      <c r="C94">
        <v>65.534047088957806</v>
      </c>
      <c r="D94">
        <v>8773459.0113315992</v>
      </c>
      <c r="E94">
        <v>8.9485288692323301E-4</v>
      </c>
      <c r="F94">
        <v>538.08590392171698</v>
      </c>
      <c r="G94">
        <v>1000000000</v>
      </c>
      <c r="H94">
        <v>100000</v>
      </c>
      <c r="I94">
        <v>405.542684941</v>
      </c>
      <c r="J94">
        <v>0</v>
      </c>
      <c r="K94">
        <v>133708.412353547</v>
      </c>
      <c r="L94">
        <v>0</v>
      </c>
      <c r="M94">
        <v>1422491648</v>
      </c>
      <c r="N94">
        <v>60760064</v>
      </c>
      <c r="O94">
        <v>15914717184</v>
      </c>
      <c r="P94">
        <v>887.24826437091895</v>
      </c>
      <c r="Q94">
        <v>1180.03030032832</v>
      </c>
      <c r="R94">
        <v>33.630368995107297</v>
      </c>
      <c r="S94">
        <v>1.15920579263603</v>
      </c>
      <c r="T94">
        <v>0</v>
      </c>
      <c r="U94">
        <v>12.672791025327401</v>
      </c>
      <c r="V94">
        <v>92.502192793945397</v>
      </c>
      <c r="W94">
        <v>2394.6800981516099</v>
      </c>
      <c r="X94">
        <v>1650.8554662598201</v>
      </c>
    </row>
    <row r="95" spans="1:24" x14ac:dyDescent="0.25">
      <c r="A95" s="12">
        <v>45170.446922141207</v>
      </c>
      <c r="B95">
        <v>45.783885379595397</v>
      </c>
      <c r="C95">
        <v>67.655168204242898</v>
      </c>
      <c r="D95">
        <v>8798240.7282102704</v>
      </c>
      <c r="E95">
        <v>8.4314838162053102E-4</v>
      </c>
      <c r="F95">
        <v>543.03572788121903</v>
      </c>
      <c r="G95">
        <v>1000000000</v>
      </c>
      <c r="H95">
        <v>100000</v>
      </c>
      <c r="I95">
        <v>442.473556051363</v>
      </c>
      <c r="J95">
        <v>0</v>
      </c>
      <c r="K95">
        <v>150366.59305030899</v>
      </c>
      <c r="L95">
        <v>0</v>
      </c>
      <c r="M95">
        <v>1421352960</v>
      </c>
      <c r="N95">
        <v>64167936</v>
      </c>
      <c r="O95">
        <v>15911440384</v>
      </c>
      <c r="P95">
        <v>836.67726962439701</v>
      </c>
      <c r="Q95">
        <v>1132.33005480417</v>
      </c>
      <c r="R95">
        <v>28.157408112359501</v>
      </c>
      <c r="S95">
        <v>1.17841466282979</v>
      </c>
      <c r="T95">
        <v>0.39279818376845099</v>
      </c>
      <c r="U95">
        <v>4.5488145412757302</v>
      </c>
      <c r="V95">
        <v>92.264715527011901</v>
      </c>
      <c r="W95">
        <v>2255.6095141436499</v>
      </c>
      <c r="X95">
        <v>1695.4782170513599</v>
      </c>
    </row>
    <row r="96" spans="1:24" x14ac:dyDescent="0.25">
      <c r="A96" s="12">
        <v>45170.446933634259</v>
      </c>
      <c r="B96">
        <v>61.672949736847897</v>
      </c>
      <c r="C96">
        <v>53.770033389569797</v>
      </c>
      <c r="D96">
        <v>13298455.7438697</v>
      </c>
      <c r="E96">
        <v>7.4889991472556095E-4</v>
      </c>
      <c r="F96">
        <v>823.50236180394904</v>
      </c>
      <c r="G96">
        <v>1000000000</v>
      </c>
      <c r="H96">
        <v>100000</v>
      </c>
      <c r="I96">
        <v>638.26466672824404</v>
      </c>
      <c r="J96">
        <v>0</v>
      </c>
      <c r="K96">
        <v>205877.60390419399</v>
      </c>
      <c r="L96">
        <v>0</v>
      </c>
      <c r="M96">
        <v>1420673024</v>
      </c>
      <c r="N96">
        <v>65024000</v>
      </c>
      <c r="O96">
        <v>15910875136</v>
      </c>
      <c r="P96">
        <v>1290.6235059078999</v>
      </c>
      <c r="Q96">
        <v>1586.6011273875499</v>
      </c>
      <c r="R96">
        <v>72.484315464406194</v>
      </c>
      <c r="S96">
        <v>1.9662858568402299</v>
      </c>
      <c r="T96">
        <v>0</v>
      </c>
      <c r="U96">
        <v>13.483200816023899</v>
      </c>
      <c r="V96">
        <v>88.810980563658106</v>
      </c>
      <c r="W96">
        <v>3298.0363536304799</v>
      </c>
      <c r="X96">
        <v>2377.88823787399</v>
      </c>
    </row>
    <row r="97" spans="1:24" x14ac:dyDescent="0.25">
      <c r="A97" s="12">
        <v>45170.446945243057</v>
      </c>
      <c r="B97">
        <v>41.840340651187297</v>
      </c>
      <c r="C97">
        <v>68.251120637919996</v>
      </c>
      <c r="D97">
        <v>9812971.4054229409</v>
      </c>
      <c r="E97">
        <v>7.0504190627838903E-4</v>
      </c>
      <c r="F97">
        <v>593.48145026536099</v>
      </c>
      <c r="G97">
        <v>1000000000</v>
      </c>
      <c r="H97">
        <v>100000</v>
      </c>
      <c r="I97">
        <v>439.874486667268</v>
      </c>
      <c r="J97">
        <v>0</v>
      </c>
      <c r="K97">
        <v>144145.17361957699</v>
      </c>
      <c r="L97">
        <v>0</v>
      </c>
      <c r="M97">
        <v>1420861440</v>
      </c>
      <c r="N97">
        <v>61038592</v>
      </c>
      <c r="O97">
        <v>15915028480</v>
      </c>
      <c r="P97">
        <v>889.72345149025602</v>
      </c>
      <c r="Q97">
        <v>889.72345149025602</v>
      </c>
      <c r="R97">
        <v>36.905569176165301</v>
      </c>
      <c r="S97">
        <v>1.16881664844608</v>
      </c>
      <c r="T97">
        <v>0</v>
      </c>
      <c r="U97">
        <v>4.93665153000501</v>
      </c>
      <c r="V97">
        <v>91.995858055621994</v>
      </c>
      <c r="W97">
        <v>2277.1733629509499</v>
      </c>
      <c r="X97">
        <v>1714.61279496833</v>
      </c>
    </row>
    <row r="98" spans="1:24" x14ac:dyDescent="0.25">
      <c r="A98" s="12">
        <v>45170.446956805557</v>
      </c>
      <c r="B98">
        <v>44.298022929304999</v>
      </c>
      <c r="C98">
        <v>66.832278099125503</v>
      </c>
      <c r="D98">
        <v>9947042.1900725905</v>
      </c>
      <c r="E98">
        <v>7.2336600625747904E-4</v>
      </c>
      <c r="F98">
        <v>612.37246950046995</v>
      </c>
      <c r="G98">
        <v>1000000000</v>
      </c>
      <c r="H98">
        <v>100000</v>
      </c>
      <c r="I98">
        <v>475.28908989007101</v>
      </c>
      <c r="J98">
        <v>0</v>
      </c>
      <c r="K98">
        <v>162945.10975208101</v>
      </c>
      <c r="L98">
        <v>0</v>
      </c>
      <c r="M98">
        <v>1421713408</v>
      </c>
      <c r="N98">
        <v>60801024</v>
      </c>
      <c r="O98">
        <v>15915397120</v>
      </c>
      <c r="P98">
        <v>1007.6128705669501</v>
      </c>
      <c r="Q98">
        <v>1252.76198008919</v>
      </c>
      <c r="R98">
        <v>38.023127191205703</v>
      </c>
      <c r="S98">
        <v>2.3452335947720502</v>
      </c>
      <c r="T98">
        <v>0</v>
      </c>
      <c r="U98">
        <v>9.7085116044409698</v>
      </c>
      <c r="V98">
        <v>91.489526274321094</v>
      </c>
      <c r="W98">
        <v>2455.49352966365</v>
      </c>
      <c r="X98">
        <v>1823.1088879572801</v>
      </c>
    </row>
    <row r="99" spans="1:24" x14ac:dyDescent="0.25">
      <c r="A99" s="12">
        <v>45170.446968414355</v>
      </c>
      <c r="B99">
        <v>70.106929774280403</v>
      </c>
      <c r="C99">
        <v>49.879749011406503</v>
      </c>
      <c r="D99">
        <v>11931001.7504787</v>
      </c>
      <c r="E99">
        <v>9.7219923623715102E-4</v>
      </c>
      <c r="F99">
        <v>721.10423835783399</v>
      </c>
      <c r="G99">
        <v>1000000000</v>
      </c>
      <c r="H99">
        <v>100000</v>
      </c>
      <c r="I99">
        <v>557.53425897929299</v>
      </c>
      <c r="J99">
        <v>0</v>
      </c>
      <c r="K99">
        <v>177114.37157342199</v>
      </c>
      <c r="L99">
        <v>0</v>
      </c>
      <c r="M99">
        <v>1421922304</v>
      </c>
      <c r="N99">
        <v>65060864</v>
      </c>
      <c r="O99">
        <v>15911337984</v>
      </c>
      <c r="P99">
        <v>1037.27303996147</v>
      </c>
      <c r="Q99">
        <v>1281.6306311062399</v>
      </c>
      <c r="R99">
        <v>50.8662740750339</v>
      </c>
      <c r="S99">
        <v>1.9480331011629299</v>
      </c>
      <c r="T99">
        <v>0</v>
      </c>
      <c r="U99">
        <v>8.8318174750274601</v>
      </c>
      <c r="V99">
        <v>89.922605101298899</v>
      </c>
      <c r="W99">
        <v>2982.15998988924</v>
      </c>
      <c r="X99">
        <v>2097.4857721528701</v>
      </c>
    </row>
    <row r="100" spans="1:24" x14ac:dyDescent="0.25">
      <c r="A100" s="12">
        <v>45170.446979884262</v>
      </c>
      <c r="B100">
        <v>46.302892509024801</v>
      </c>
      <c r="C100">
        <v>63.968978675360098</v>
      </c>
      <c r="D100">
        <v>10502623.643245799</v>
      </c>
      <c r="E100">
        <v>7.28888558921376E-4</v>
      </c>
      <c r="F100">
        <v>635.23152703623202</v>
      </c>
      <c r="G100">
        <v>1000000000</v>
      </c>
      <c r="H100">
        <v>100000</v>
      </c>
      <c r="I100">
        <v>473.90288524925199</v>
      </c>
      <c r="J100">
        <v>0</v>
      </c>
      <c r="K100">
        <v>151164.9373544</v>
      </c>
      <c r="L100">
        <v>0</v>
      </c>
      <c r="M100">
        <v>1421844480</v>
      </c>
      <c r="N100">
        <v>62251008</v>
      </c>
      <c r="O100">
        <v>15914344448</v>
      </c>
      <c r="P100">
        <v>893.35735389540002</v>
      </c>
      <c r="Q100">
        <v>1141.4001406428799</v>
      </c>
      <c r="R100">
        <v>47.390288524925197</v>
      </c>
      <c r="S100">
        <v>0.78776425898683899</v>
      </c>
      <c r="T100">
        <v>0</v>
      </c>
      <c r="U100">
        <v>7.4376945273550499</v>
      </c>
      <c r="V100">
        <v>91.276190199617702</v>
      </c>
      <c r="W100">
        <v>2509.6686837986999</v>
      </c>
      <c r="X100">
        <v>1854.27107653909</v>
      </c>
    </row>
    <row r="101" spans="1:24" x14ac:dyDescent="0.25">
      <c r="A101" s="12">
        <v>45170.446991539349</v>
      </c>
      <c r="B101">
        <v>45.7226927625806</v>
      </c>
      <c r="C101">
        <v>66.805603245456695</v>
      </c>
      <c r="D101">
        <v>10412169.8279138</v>
      </c>
      <c r="E101">
        <v>7.0909098916777005E-4</v>
      </c>
      <c r="F101">
        <v>644.82307541765704</v>
      </c>
      <c r="G101">
        <v>1000000000</v>
      </c>
      <c r="H101">
        <v>100000</v>
      </c>
      <c r="I101">
        <v>510.69192721829802</v>
      </c>
      <c r="J101">
        <v>0</v>
      </c>
      <c r="K101">
        <v>167723.549092842</v>
      </c>
      <c r="L101">
        <v>0</v>
      </c>
      <c r="M101">
        <v>1421565952</v>
      </c>
      <c r="N101">
        <v>60116992</v>
      </c>
      <c r="O101">
        <v>15916765184</v>
      </c>
      <c r="P101">
        <v>907.12398745195799</v>
      </c>
      <c r="Q101">
        <v>1054.1714684408801</v>
      </c>
      <c r="R101">
        <v>65.575228008575195</v>
      </c>
      <c r="S101">
        <v>1.1643091958846701</v>
      </c>
      <c r="T101">
        <v>0</v>
      </c>
      <c r="U101">
        <v>12.2890814766065</v>
      </c>
      <c r="V101">
        <v>91.367015120877994</v>
      </c>
      <c r="W101">
        <v>2664.7388108939199</v>
      </c>
      <c r="X101">
        <v>1941.4241746781199</v>
      </c>
    </row>
    <row r="102" spans="1:24" x14ac:dyDescent="0.25">
      <c r="A102" s="12">
        <v>45170.447003113426</v>
      </c>
      <c r="B102">
        <v>51.376365531689302</v>
      </c>
      <c r="C102">
        <v>63.087816580474303</v>
      </c>
      <c r="D102">
        <v>10294674.701442899</v>
      </c>
      <c r="E102">
        <v>7.9520148519886702E-4</v>
      </c>
      <c r="F102">
        <v>646.08953919425198</v>
      </c>
      <c r="G102">
        <v>1000000000</v>
      </c>
      <c r="H102">
        <v>100000</v>
      </c>
      <c r="I102">
        <v>490.06791672628998</v>
      </c>
      <c r="J102">
        <v>0</v>
      </c>
      <c r="K102">
        <v>159892.158871494</v>
      </c>
      <c r="L102">
        <v>0</v>
      </c>
      <c r="M102">
        <v>1421086720</v>
      </c>
      <c r="N102">
        <v>59498496</v>
      </c>
      <c r="O102">
        <v>15917568000</v>
      </c>
      <c r="P102">
        <v>913.12654687980205</v>
      </c>
      <c r="Q102">
        <v>1305.18088026083</v>
      </c>
      <c r="R102">
        <v>62.008593544959197</v>
      </c>
      <c r="S102">
        <v>1.17201521268485</v>
      </c>
      <c r="T102">
        <v>0.78134680886961805</v>
      </c>
      <c r="U102">
        <v>8.5824233622545805</v>
      </c>
      <c r="V102">
        <v>91.276669179311298</v>
      </c>
      <c r="W102">
        <v>2578.3573251436201</v>
      </c>
      <c r="X102">
        <v>1857.2573905320801</v>
      </c>
    </row>
    <row r="103" spans="1:24" x14ac:dyDescent="0.25">
      <c r="A103" s="12">
        <v>45170.447014641206</v>
      </c>
      <c r="B103">
        <v>51.320115920252398</v>
      </c>
      <c r="C103">
        <v>64.212852764343197</v>
      </c>
      <c r="D103">
        <v>11245671.395245999</v>
      </c>
      <c r="E103">
        <v>7.3809492099682905E-4</v>
      </c>
      <c r="F103">
        <v>695.28558135762296</v>
      </c>
      <c r="G103">
        <v>1000000000</v>
      </c>
      <c r="H103">
        <v>100000</v>
      </c>
      <c r="I103">
        <v>560.84363633320504</v>
      </c>
      <c r="J103">
        <v>0</v>
      </c>
      <c r="K103">
        <v>185843.91643811899</v>
      </c>
      <c r="L103">
        <v>0</v>
      </c>
      <c r="M103">
        <v>1421426688</v>
      </c>
      <c r="N103">
        <v>63967232</v>
      </c>
      <c r="O103">
        <v>15913132032</v>
      </c>
      <c r="P103">
        <v>1094.5982240420799</v>
      </c>
      <c r="Q103">
        <v>1487.8910781433699</v>
      </c>
      <c r="R103">
        <v>39.128625790688702</v>
      </c>
      <c r="S103">
        <v>3.1353932013839398</v>
      </c>
      <c r="T103">
        <v>0</v>
      </c>
      <c r="U103">
        <v>9.85744546021151</v>
      </c>
      <c r="V103">
        <v>90.544767796291097</v>
      </c>
      <c r="W103">
        <v>3003.87450300826</v>
      </c>
      <c r="X103">
        <v>2107.9293022112001</v>
      </c>
    </row>
    <row r="104" spans="1:24" x14ac:dyDescent="0.25">
      <c r="A104" s="12">
        <v>45170.447026250004</v>
      </c>
      <c r="B104">
        <v>29.150359790460499</v>
      </c>
      <c r="C104">
        <v>75.6592500516266</v>
      </c>
      <c r="D104">
        <v>6613563.3969832696</v>
      </c>
      <c r="E104">
        <v>6.7795829769313901E-4</v>
      </c>
      <c r="F104">
        <v>429.97196479725801</v>
      </c>
      <c r="G104">
        <v>1000000000</v>
      </c>
      <c r="H104">
        <v>100000</v>
      </c>
      <c r="I104">
        <v>323.22718467357703</v>
      </c>
      <c r="J104">
        <v>0</v>
      </c>
      <c r="K104">
        <v>103658.160033002</v>
      </c>
      <c r="L104">
        <v>0</v>
      </c>
      <c r="M104">
        <v>1421496320</v>
      </c>
      <c r="N104">
        <v>61816832</v>
      </c>
      <c r="O104">
        <v>15915393024</v>
      </c>
      <c r="P104">
        <v>630.49253306697699</v>
      </c>
      <c r="Q104">
        <v>728.25878028305897</v>
      </c>
      <c r="R104">
        <v>26.935598722798002</v>
      </c>
      <c r="S104">
        <v>1.1690870510350699</v>
      </c>
      <c r="T104">
        <v>0</v>
      </c>
      <c r="U104">
        <v>6.0837459309708999</v>
      </c>
      <c r="V104">
        <v>94.085290241612697</v>
      </c>
      <c r="W104">
        <v>1568.2504145273499</v>
      </c>
      <c r="X104">
        <v>1279.93974671666</v>
      </c>
    </row>
    <row r="105" spans="1:24" x14ac:dyDescent="0.25">
      <c r="A105" s="12">
        <v>45170.447037893522</v>
      </c>
      <c r="B105">
        <v>58.991091291447603</v>
      </c>
      <c r="C105">
        <v>60.1442706965382</v>
      </c>
      <c r="D105">
        <v>8422895.5641451497</v>
      </c>
      <c r="E105">
        <v>1.1389638112168699E-3</v>
      </c>
      <c r="F105">
        <v>517.94502509267795</v>
      </c>
      <c r="G105">
        <v>1000000000</v>
      </c>
      <c r="H105">
        <v>100000</v>
      </c>
      <c r="I105">
        <v>372.80112170778102</v>
      </c>
      <c r="J105">
        <v>0</v>
      </c>
      <c r="K105">
        <v>122451.747640624</v>
      </c>
      <c r="L105">
        <v>0</v>
      </c>
      <c r="M105">
        <v>1421017088</v>
      </c>
      <c r="N105">
        <v>60764160</v>
      </c>
      <c r="O105">
        <v>15916687360</v>
      </c>
      <c r="P105">
        <v>800.27974126603795</v>
      </c>
      <c r="Q105">
        <v>1141.2685005880801</v>
      </c>
      <c r="R105">
        <v>64.618861096015493</v>
      </c>
      <c r="S105">
        <v>2.71829238784286</v>
      </c>
      <c r="T105">
        <v>0</v>
      </c>
      <c r="U105">
        <v>4.8595874838679096</v>
      </c>
      <c r="V105">
        <v>92.914050556578005</v>
      </c>
      <c r="W105">
        <v>2131.4282798439499</v>
      </c>
      <c r="X105">
        <v>1474.3041693137</v>
      </c>
    </row>
    <row r="106" spans="1:24" x14ac:dyDescent="0.25">
      <c r="A106" s="12">
        <v>45170.447049363429</v>
      </c>
      <c r="B106">
        <v>43.675218166792703</v>
      </c>
      <c r="C106">
        <v>69.880349066868305</v>
      </c>
      <c r="D106">
        <v>9586560.9529818501</v>
      </c>
      <c r="E106">
        <v>7.47840955757388E-4</v>
      </c>
      <c r="F106">
        <v>583.98256451672296</v>
      </c>
      <c r="G106">
        <v>1000000000</v>
      </c>
      <c r="H106">
        <v>100000</v>
      </c>
      <c r="I106">
        <v>438.74337748665698</v>
      </c>
      <c r="J106">
        <v>0</v>
      </c>
      <c r="K106">
        <v>151758.81275897101</v>
      </c>
      <c r="L106">
        <v>0</v>
      </c>
      <c r="M106">
        <v>1420533760</v>
      </c>
      <c r="N106">
        <v>64888832</v>
      </c>
      <c r="O106">
        <v>15912747008</v>
      </c>
      <c r="P106">
        <v>1015.66570374497</v>
      </c>
      <c r="Q106">
        <v>1262.7740427891799</v>
      </c>
      <c r="R106">
        <v>49.421667808841903</v>
      </c>
      <c r="S106">
        <v>4.3341148137766297</v>
      </c>
      <c r="T106">
        <v>0</v>
      </c>
      <c r="U106">
        <v>12.5297846327584</v>
      </c>
      <c r="V106">
        <v>91.985819372813694</v>
      </c>
      <c r="W106">
        <v>2416.61869530582</v>
      </c>
      <c r="X106">
        <v>1744.88745529176</v>
      </c>
    </row>
    <row r="107" spans="1:24" x14ac:dyDescent="0.25">
      <c r="A107" s="12">
        <v>45170.447061006947</v>
      </c>
      <c r="B107">
        <v>54.042724759051197</v>
      </c>
      <c r="C107">
        <v>58.3657452206524</v>
      </c>
      <c r="D107">
        <v>12043721.9309792</v>
      </c>
      <c r="E107">
        <v>7.2506670003004805E-4</v>
      </c>
      <c r="F107">
        <v>745.40184203704905</v>
      </c>
      <c r="G107">
        <v>1000000000</v>
      </c>
      <c r="H107">
        <v>100000</v>
      </c>
      <c r="I107">
        <v>552.59123223013205</v>
      </c>
      <c r="J107">
        <v>0</v>
      </c>
      <c r="K107">
        <v>180110.95015685001</v>
      </c>
      <c r="L107">
        <v>0</v>
      </c>
      <c r="M107">
        <v>1420460032</v>
      </c>
      <c r="N107">
        <v>64577536</v>
      </c>
      <c r="O107">
        <v>15913209856</v>
      </c>
      <c r="P107">
        <v>1121.08437042372</v>
      </c>
      <c r="Q107">
        <v>1268.1770005856899</v>
      </c>
      <c r="R107">
        <v>32.7976810496301</v>
      </c>
      <c r="S107">
        <v>1.1646018363992101</v>
      </c>
      <c r="T107">
        <v>0.38820723745178698</v>
      </c>
      <c r="U107">
        <v>4.5022419581632898</v>
      </c>
      <c r="V107">
        <v>90.207732561854698</v>
      </c>
      <c r="W107">
        <v>2840.4779527225101</v>
      </c>
      <c r="X107">
        <v>2090.1067650718801</v>
      </c>
    </row>
    <row r="108" spans="1:24" x14ac:dyDescent="0.25">
      <c r="A108" s="12">
        <v>45170.447072546296</v>
      </c>
      <c r="B108">
        <v>43.997791585660501</v>
      </c>
      <c r="C108">
        <v>66.252430183467794</v>
      </c>
      <c r="D108">
        <v>10170875.530239301</v>
      </c>
      <c r="E108">
        <v>6.9086601391678303E-4</v>
      </c>
      <c r="F108">
        <v>636.827012138996</v>
      </c>
      <c r="G108">
        <v>1000000000</v>
      </c>
      <c r="H108">
        <v>100000</v>
      </c>
      <c r="I108">
        <v>481.38104854601301</v>
      </c>
      <c r="J108">
        <v>0</v>
      </c>
      <c r="K108">
        <v>159770.37001242099</v>
      </c>
      <c r="L108">
        <v>0</v>
      </c>
      <c r="M108">
        <v>1420578816</v>
      </c>
      <c r="N108">
        <v>62136320</v>
      </c>
      <c r="O108">
        <v>15915728896</v>
      </c>
      <c r="P108">
        <v>1006.8886932087401</v>
      </c>
      <c r="Q108">
        <v>1056.02967524781</v>
      </c>
      <c r="R108">
        <v>28.080561165184101</v>
      </c>
      <c r="S108">
        <v>1.5670515010849</v>
      </c>
      <c r="T108">
        <v>0.39175786070642099</v>
      </c>
      <c r="U108">
        <v>13.0286416897879</v>
      </c>
      <c r="V108">
        <v>91.145321586548107</v>
      </c>
      <c r="W108">
        <v>2432.9800495262998</v>
      </c>
      <c r="X108">
        <v>1826.2393529214301</v>
      </c>
    </row>
    <row r="109" spans="1:24" x14ac:dyDescent="0.25">
      <c r="A109" s="12">
        <v>45170.447084131942</v>
      </c>
      <c r="B109">
        <v>42.448160421463101</v>
      </c>
      <c r="C109">
        <v>67.175438237026995</v>
      </c>
      <c r="D109">
        <v>8479113.9240756296</v>
      </c>
      <c r="E109">
        <v>7.7078063623649902E-4</v>
      </c>
      <c r="F109">
        <v>550.75953223147496</v>
      </c>
      <c r="G109">
        <v>1000000000</v>
      </c>
      <c r="H109">
        <v>100000</v>
      </c>
      <c r="I109">
        <v>462.79793724713801</v>
      </c>
      <c r="J109">
        <v>0</v>
      </c>
      <c r="K109">
        <v>154522.533734417</v>
      </c>
      <c r="L109">
        <v>0</v>
      </c>
      <c r="M109">
        <v>1421832192</v>
      </c>
      <c r="N109">
        <v>60915712</v>
      </c>
      <c r="O109">
        <v>15916900352</v>
      </c>
      <c r="P109">
        <v>793.65348201776999</v>
      </c>
      <c r="Q109">
        <v>989.56794357379397</v>
      </c>
      <c r="R109">
        <v>15.9930172698795</v>
      </c>
      <c r="S109">
        <v>1.95212563136266</v>
      </c>
      <c r="T109">
        <v>0</v>
      </c>
      <c r="U109">
        <v>7.8599060783226902</v>
      </c>
      <c r="V109">
        <v>92.299421947408007</v>
      </c>
      <c r="W109">
        <v>2259.0136893704698</v>
      </c>
      <c r="X109">
        <v>1710.25328429773</v>
      </c>
    </row>
    <row r="110" spans="1:24" x14ac:dyDescent="0.25">
      <c r="A110" s="12">
        <v>45170.447095648145</v>
      </c>
      <c r="B110">
        <v>31.073150235566001</v>
      </c>
      <c r="C110">
        <v>75.461929210499704</v>
      </c>
      <c r="D110">
        <v>7003002.1917808196</v>
      </c>
      <c r="E110">
        <v>6.9172248886206105E-4</v>
      </c>
      <c r="F110">
        <v>449.158770140493</v>
      </c>
      <c r="G110">
        <v>1000000000</v>
      </c>
      <c r="H110">
        <v>100000</v>
      </c>
      <c r="I110">
        <v>383.84485501939201</v>
      </c>
      <c r="J110">
        <v>0</v>
      </c>
      <c r="K110">
        <v>122934.855870399</v>
      </c>
      <c r="L110">
        <v>0</v>
      </c>
      <c r="M110">
        <v>1422364672</v>
      </c>
      <c r="N110">
        <v>63709184</v>
      </c>
      <c r="O110">
        <v>15913938944</v>
      </c>
      <c r="P110">
        <v>685.293694039858</v>
      </c>
      <c r="Q110">
        <v>981.71838574331503</v>
      </c>
      <c r="R110">
        <v>34.164201755652698</v>
      </c>
      <c r="S110">
        <v>1.96279402290067</v>
      </c>
      <c r="T110">
        <v>0</v>
      </c>
      <c r="U110">
        <v>7.7484497844526201</v>
      </c>
      <c r="V110">
        <v>93.565074181116401</v>
      </c>
      <c r="W110">
        <v>1902.1421742191301</v>
      </c>
      <c r="X110">
        <v>1502.22004778531</v>
      </c>
    </row>
    <row r="111" spans="1:24" x14ac:dyDescent="0.25">
      <c r="A111" s="12">
        <v>45170.447107361113</v>
      </c>
      <c r="B111">
        <v>87.372090519263807</v>
      </c>
      <c r="C111">
        <v>49.104201466507597</v>
      </c>
      <c r="D111">
        <v>13177101.269747101</v>
      </c>
      <c r="E111">
        <v>1.10012415666048E-3</v>
      </c>
      <c r="F111">
        <v>794.26404259364904</v>
      </c>
      <c r="G111">
        <v>1000000000</v>
      </c>
      <c r="H111">
        <v>100000</v>
      </c>
      <c r="I111">
        <v>649.04412435824304</v>
      </c>
      <c r="J111">
        <v>0</v>
      </c>
      <c r="K111">
        <v>208251.29009317301</v>
      </c>
      <c r="L111">
        <v>0</v>
      </c>
      <c r="M111">
        <v>1421299712</v>
      </c>
      <c r="N111">
        <v>63954944</v>
      </c>
      <c r="O111">
        <v>15913185280</v>
      </c>
      <c r="P111">
        <v>1283.2698897128701</v>
      </c>
      <c r="Q111">
        <v>1915.5198738670199</v>
      </c>
      <c r="R111">
        <v>50.382420612283703</v>
      </c>
      <c r="S111">
        <v>2.7010570590623399</v>
      </c>
      <c r="T111">
        <v>0</v>
      </c>
      <c r="U111">
        <v>12.022873805857101</v>
      </c>
      <c r="V111">
        <v>88.785098242976403</v>
      </c>
      <c r="W111">
        <v>3656.1831114914098</v>
      </c>
      <c r="X111">
        <v>2365.0100969766099</v>
      </c>
    </row>
    <row r="112" spans="1:24" x14ac:dyDescent="0.25">
      <c r="A112" s="12">
        <v>45170.447118773147</v>
      </c>
      <c r="B112">
        <v>47.241907477479899</v>
      </c>
      <c r="C112">
        <v>62.823520079027901</v>
      </c>
      <c r="D112">
        <v>8996997.4267395101</v>
      </c>
      <c r="E112">
        <v>8.64007788376026E-4</v>
      </c>
      <c r="F112">
        <v>546.755669509624</v>
      </c>
      <c r="G112">
        <v>1000000000</v>
      </c>
      <c r="H112">
        <v>100000</v>
      </c>
      <c r="I112">
        <v>434.15849081654801</v>
      </c>
      <c r="J112">
        <v>0</v>
      </c>
      <c r="K112">
        <v>138176.01164735199</v>
      </c>
      <c r="L112">
        <v>0</v>
      </c>
      <c r="M112">
        <v>1420615680</v>
      </c>
      <c r="N112">
        <v>62062592</v>
      </c>
      <c r="O112">
        <v>15915200512</v>
      </c>
      <c r="P112">
        <v>868.31698163309602</v>
      </c>
      <c r="Q112">
        <v>1017.43216422663</v>
      </c>
      <c r="R112">
        <v>15.2158349585238</v>
      </c>
      <c r="S112">
        <v>1.9812994273655899</v>
      </c>
      <c r="T112">
        <v>0.39626597204054098</v>
      </c>
      <c r="U112">
        <v>4.5011180517141103</v>
      </c>
      <c r="V112">
        <v>92.354074292438995</v>
      </c>
      <c r="W112">
        <v>2170.7924540827398</v>
      </c>
      <c r="X112">
        <v>1654.46845449016</v>
      </c>
    </row>
    <row r="113" spans="1:24" x14ac:dyDescent="0.25">
      <c r="A113" s="12">
        <v>45170.447130474538</v>
      </c>
      <c r="B113">
        <v>37.720860882221103</v>
      </c>
      <c r="C113">
        <v>71.258207303723907</v>
      </c>
      <c r="D113">
        <v>7721151.8473627605</v>
      </c>
      <c r="E113">
        <v>8.18454752503723E-4</v>
      </c>
      <c r="F113">
        <v>460.87713871171701</v>
      </c>
      <c r="G113">
        <v>1000000000</v>
      </c>
      <c r="H113">
        <v>100000</v>
      </c>
      <c r="I113">
        <v>359.009444962131</v>
      </c>
      <c r="J113">
        <v>0</v>
      </c>
      <c r="K113">
        <v>117399.05552282299</v>
      </c>
      <c r="L113">
        <v>0</v>
      </c>
      <c r="M113">
        <v>1421135872</v>
      </c>
      <c r="N113">
        <v>60104704</v>
      </c>
      <c r="O113">
        <v>15917170688</v>
      </c>
      <c r="P113">
        <v>741.75505157465204</v>
      </c>
      <c r="Q113">
        <v>1034.5010452627801</v>
      </c>
      <c r="R113">
        <v>21.758148179523101</v>
      </c>
      <c r="S113">
        <v>3.8633223078441499</v>
      </c>
      <c r="T113">
        <v>0.38632728573186098</v>
      </c>
      <c r="U113">
        <v>5.73493568860252</v>
      </c>
      <c r="V113">
        <v>93.507462479908199</v>
      </c>
      <c r="W113">
        <v>1908.78299938543</v>
      </c>
      <c r="X113">
        <v>1457.79592802804</v>
      </c>
    </row>
    <row r="114" spans="1:24" x14ac:dyDescent="0.25">
      <c r="A114" s="12">
        <v>45170.447141932869</v>
      </c>
      <c r="B114">
        <v>42.696323309324498</v>
      </c>
      <c r="C114">
        <v>68.154561498257195</v>
      </c>
      <c r="D114">
        <v>9674922.2819622494</v>
      </c>
      <c r="E114">
        <v>7.1539766804487104E-4</v>
      </c>
      <c r="F114">
        <v>596.82196215994497</v>
      </c>
      <c r="G114">
        <v>1000000000</v>
      </c>
      <c r="H114">
        <v>100000</v>
      </c>
      <c r="I114">
        <v>426.15713710913099</v>
      </c>
      <c r="J114">
        <v>0</v>
      </c>
      <c r="K114">
        <v>142310.22766751901</v>
      </c>
      <c r="L114">
        <v>0</v>
      </c>
      <c r="M114">
        <v>1422057472</v>
      </c>
      <c r="N114">
        <v>63766528</v>
      </c>
      <c r="O114">
        <v>15913607168</v>
      </c>
      <c r="P114">
        <v>902.806826008445</v>
      </c>
      <c r="Q114">
        <v>1100.7376290259499</v>
      </c>
      <c r="R114">
        <v>57.561509040806897</v>
      </c>
      <c r="S114">
        <v>3.1557712947407501</v>
      </c>
      <c r="T114">
        <v>0</v>
      </c>
      <c r="U114">
        <v>9.6660517372798598</v>
      </c>
      <c r="V114">
        <v>91.838640212988807</v>
      </c>
      <c r="W114">
        <v>2270.1451284865502</v>
      </c>
      <c r="X114">
        <v>1675.3428683982199</v>
      </c>
    </row>
    <row r="115" spans="1:24" x14ac:dyDescent="0.25">
      <c r="A115" s="12">
        <v>45170.447153530091</v>
      </c>
      <c r="B115">
        <v>28.9237779604005</v>
      </c>
      <c r="C115">
        <v>76.611083376133394</v>
      </c>
      <c r="D115">
        <v>6584034.25380137</v>
      </c>
      <c r="E115">
        <v>6.8028194467368696E-4</v>
      </c>
      <c r="F115">
        <v>425.18800451980502</v>
      </c>
      <c r="G115">
        <v>1000000000</v>
      </c>
      <c r="H115">
        <v>100000</v>
      </c>
      <c r="I115">
        <v>319.39005034351601</v>
      </c>
      <c r="J115">
        <v>0</v>
      </c>
      <c r="K115">
        <v>102232.76273933001</v>
      </c>
      <c r="L115">
        <v>0</v>
      </c>
      <c r="M115">
        <v>1422176256</v>
      </c>
      <c r="N115">
        <v>61865984</v>
      </c>
      <c r="O115">
        <v>15915597824</v>
      </c>
      <c r="P115">
        <v>641.77438240900199</v>
      </c>
      <c r="Q115">
        <v>641.77438240900199</v>
      </c>
      <c r="R115">
        <v>21.958065961116699</v>
      </c>
      <c r="S115">
        <v>1.9493408712145299</v>
      </c>
      <c r="T115">
        <v>0</v>
      </c>
      <c r="U115">
        <v>5.6521433637295697</v>
      </c>
      <c r="V115">
        <v>94.157526599795304</v>
      </c>
      <c r="W115">
        <v>1553.0341197953401</v>
      </c>
      <c r="X115">
        <v>1270.5735440228</v>
      </c>
    </row>
    <row r="116" spans="1:24" x14ac:dyDescent="0.25">
      <c r="A116" s="12">
        <v>45170.447165266203</v>
      </c>
      <c r="B116">
        <v>61.120967422080298</v>
      </c>
      <c r="C116">
        <v>56.020153837380498</v>
      </c>
      <c r="D116">
        <v>10534981.9962855</v>
      </c>
      <c r="E116">
        <v>9.3721623938826197E-4</v>
      </c>
      <c r="F116">
        <v>652.13014798131906</v>
      </c>
      <c r="G116">
        <v>1000000000</v>
      </c>
      <c r="H116">
        <v>100000</v>
      </c>
      <c r="I116">
        <v>516.96852880818597</v>
      </c>
      <c r="J116">
        <v>0</v>
      </c>
      <c r="K116">
        <v>170777.199115834</v>
      </c>
      <c r="L116">
        <v>0</v>
      </c>
      <c r="M116">
        <v>1422024704</v>
      </c>
      <c r="N116">
        <v>61153280</v>
      </c>
      <c r="O116">
        <v>15915618304</v>
      </c>
      <c r="P116">
        <v>1017.16517786496</v>
      </c>
      <c r="Q116">
        <v>1455.2072137253299</v>
      </c>
      <c r="R116">
        <v>50.315639254231797</v>
      </c>
      <c r="S116">
        <v>0.77079508956416898</v>
      </c>
      <c r="T116">
        <v>0</v>
      </c>
      <c r="U116">
        <v>8.2753843418638198</v>
      </c>
      <c r="V116">
        <v>91.099632800618906</v>
      </c>
      <c r="W116">
        <v>2789.0649445434001</v>
      </c>
      <c r="X116">
        <v>1906.0748046897199</v>
      </c>
    </row>
    <row r="117" spans="1:24" x14ac:dyDescent="0.25">
      <c r="A117" s="12">
        <v>45170.44717673611</v>
      </c>
      <c r="B117">
        <v>33.216163895189801</v>
      </c>
      <c r="C117">
        <v>73.109856031684103</v>
      </c>
      <c r="D117">
        <v>7366730.2392328996</v>
      </c>
      <c r="E117">
        <v>7.0817227274619701E-4</v>
      </c>
      <c r="F117">
        <v>469.04707124953097</v>
      </c>
      <c r="G117">
        <v>1000000000</v>
      </c>
      <c r="H117">
        <v>100000</v>
      </c>
      <c r="I117">
        <v>405.49875837056197</v>
      </c>
      <c r="J117">
        <v>0</v>
      </c>
      <c r="K117">
        <v>129590.140510902</v>
      </c>
      <c r="L117">
        <v>0</v>
      </c>
      <c r="M117">
        <v>1420746752</v>
      </c>
      <c r="N117">
        <v>63975424</v>
      </c>
      <c r="O117">
        <v>15913086976</v>
      </c>
      <c r="P117">
        <v>694.996628152531</v>
      </c>
      <c r="Q117">
        <v>892.70249044265597</v>
      </c>
      <c r="R117">
        <v>32.278508129000002</v>
      </c>
      <c r="S117">
        <v>1.18205362841956</v>
      </c>
      <c r="T117">
        <v>0.39402460074029699</v>
      </c>
      <c r="U117">
        <v>4.2532425350882903</v>
      </c>
      <c r="V117">
        <v>93.344834417473393</v>
      </c>
      <c r="W117">
        <v>1934.6930809819301</v>
      </c>
      <c r="X117">
        <v>1534.23783950653</v>
      </c>
    </row>
    <row r="118" spans="1:24" x14ac:dyDescent="0.25">
      <c r="A118" s="12">
        <v>45170.447188206017</v>
      </c>
      <c r="B118">
        <v>52.164972609601897</v>
      </c>
      <c r="C118">
        <v>63.325145839729799</v>
      </c>
      <c r="D118">
        <v>10375242.655337799</v>
      </c>
      <c r="E118">
        <v>8.0077487797037205E-4</v>
      </c>
      <c r="F118">
        <v>651.43411324901899</v>
      </c>
      <c r="G118">
        <v>1000000000</v>
      </c>
      <c r="H118">
        <v>100000</v>
      </c>
      <c r="I118">
        <v>499.93780784226999</v>
      </c>
      <c r="J118">
        <v>0</v>
      </c>
      <c r="K118">
        <v>159206.457376582</v>
      </c>
      <c r="L118">
        <v>0</v>
      </c>
      <c r="M118">
        <v>1420865536</v>
      </c>
      <c r="N118">
        <v>64241664</v>
      </c>
      <c r="O118">
        <v>15913144320</v>
      </c>
      <c r="P118">
        <v>963.51650238692105</v>
      </c>
      <c r="Q118">
        <v>1013.00529548645</v>
      </c>
      <c r="R118">
        <v>61.608497532077799</v>
      </c>
      <c r="S118">
        <v>1.18356414524182</v>
      </c>
      <c r="T118">
        <v>0</v>
      </c>
      <c r="U118">
        <v>10.0495087503837</v>
      </c>
      <c r="V118">
        <v>91.2736939062424</v>
      </c>
      <c r="W118">
        <v>2585.53694560851</v>
      </c>
      <c r="X118">
        <v>1891.6838668456001</v>
      </c>
    </row>
    <row r="119" spans="1:24" x14ac:dyDescent="0.25">
      <c r="A119" s="12">
        <v>45170.447199872688</v>
      </c>
      <c r="B119">
        <v>47.114530057602401</v>
      </c>
      <c r="C119">
        <v>64.508528315029295</v>
      </c>
      <c r="D119">
        <v>10857462.4244263</v>
      </c>
      <c r="E119">
        <v>6.99705463836309E-4</v>
      </c>
      <c r="F119">
        <v>673.34742336062197</v>
      </c>
      <c r="G119">
        <v>1000000000</v>
      </c>
      <c r="H119">
        <v>100000</v>
      </c>
      <c r="I119">
        <v>493.85422214078</v>
      </c>
      <c r="J119">
        <v>0</v>
      </c>
      <c r="K119">
        <v>163991.335355374</v>
      </c>
      <c r="L119">
        <v>0</v>
      </c>
      <c r="M119">
        <v>1420984320</v>
      </c>
      <c r="N119">
        <v>62337024</v>
      </c>
      <c r="O119">
        <v>15915081728</v>
      </c>
      <c r="P119">
        <v>1061.09240500127</v>
      </c>
      <c r="Q119">
        <v>1353.63657273527</v>
      </c>
      <c r="R119">
        <v>57.517158401938303</v>
      </c>
      <c r="S119">
        <v>2.7116092939087801</v>
      </c>
      <c r="T119">
        <v>0</v>
      </c>
      <c r="U119">
        <v>9.7419877036134004</v>
      </c>
      <c r="V119">
        <v>90.963718737659804</v>
      </c>
      <c r="W119">
        <v>2600.1722298255499</v>
      </c>
      <c r="X119">
        <v>1899.0579024088199</v>
      </c>
    </row>
    <row r="120" spans="1:24" x14ac:dyDescent="0.25">
      <c r="A120" s="12">
        <v>45170.447211446757</v>
      </c>
      <c r="B120">
        <v>49.785399829055699</v>
      </c>
      <c r="C120">
        <v>62.544220913987502</v>
      </c>
      <c r="D120">
        <v>11064293.364383901</v>
      </c>
      <c r="E120">
        <v>7.1128575965624696E-4</v>
      </c>
      <c r="F120">
        <v>699.933536189096</v>
      </c>
      <c r="G120">
        <v>1000000000</v>
      </c>
      <c r="H120">
        <v>100000</v>
      </c>
      <c r="I120">
        <v>540.94863296900098</v>
      </c>
      <c r="J120">
        <v>0</v>
      </c>
      <c r="K120">
        <v>176591.231370405</v>
      </c>
      <c r="L120">
        <v>0</v>
      </c>
      <c r="M120">
        <v>1420505088</v>
      </c>
      <c r="N120">
        <v>61530112</v>
      </c>
      <c r="O120">
        <v>15916089344</v>
      </c>
      <c r="P120">
        <v>1089.89650635159</v>
      </c>
      <c r="Q120">
        <v>1237.882454003</v>
      </c>
      <c r="R120">
        <v>23.997721240769</v>
      </c>
      <c r="S120">
        <v>1.9529495474618099</v>
      </c>
      <c r="T120">
        <v>0.390583910046711</v>
      </c>
      <c r="U120">
        <v>7.8210173379979704</v>
      </c>
      <c r="V120">
        <v>90.793750657439205</v>
      </c>
      <c r="W120">
        <v>2778.7361386707098</v>
      </c>
      <c r="X120">
        <v>2017.8083943279901</v>
      </c>
    </row>
    <row r="121" spans="1:24" x14ac:dyDescent="0.25">
      <c r="A121" s="12">
        <v>45170.447222847222</v>
      </c>
      <c r="B121">
        <v>50.132080115915798</v>
      </c>
      <c r="C121">
        <v>63.6623621152103</v>
      </c>
      <c r="D121">
        <v>11005253.078830499</v>
      </c>
      <c r="E121">
        <v>7.3387809029264997E-4</v>
      </c>
      <c r="F121">
        <v>683.126619799992</v>
      </c>
      <c r="G121">
        <v>1000000000</v>
      </c>
      <c r="H121">
        <v>100000</v>
      </c>
      <c r="I121">
        <v>530.86957229627899</v>
      </c>
      <c r="J121">
        <v>0</v>
      </c>
      <c r="K121">
        <v>169281.41550859399</v>
      </c>
      <c r="L121">
        <v>0</v>
      </c>
      <c r="M121">
        <v>1421643776</v>
      </c>
      <c r="N121">
        <v>65540096</v>
      </c>
      <c r="O121">
        <v>15912185856</v>
      </c>
      <c r="P121">
        <v>993.73099670756596</v>
      </c>
      <c r="Q121">
        <v>1142.9429032611999</v>
      </c>
      <c r="R121">
        <v>31.4664564841006</v>
      </c>
      <c r="S121">
        <v>2.7754536526939999</v>
      </c>
      <c r="T121">
        <v>0</v>
      </c>
      <c r="U121">
        <v>10.3923325018587</v>
      </c>
      <c r="V121">
        <v>90.404462049487506</v>
      </c>
      <c r="W121">
        <v>2720.3259153996701</v>
      </c>
      <c r="X121">
        <v>2003.70274514886</v>
      </c>
    </row>
    <row r="122" spans="1:24" x14ac:dyDescent="0.25">
      <c r="A122" s="12">
        <v>45170.447234490741</v>
      </c>
      <c r="B122">
        <v>52.276726488842897</v>
      </c>
      <c r="C122">
        <v>60.865258849816499</v>
      </c>
      <c r="D122">
        <v>9144418.4096076302</v>
      </c>
      <c r="E122">
        <v>9.4416504327255596E-4</v>
      </c>
      <c r="F122">
        <v>553.65800639411998</v>
      </c>
      <c r="G122">
        <v>1000000000</v>
      </c>
      <c r="H122">
        <v>100000</v>
      </c>
      <c r="I122">
        <v>433.38400500509198</v>
      </c>
      <c r="J122">
        <v>0</v>
      </c>
      <c r="K122">
        <v>137106.39758342301</v>
      </c>
      <c r="L122">
        <v>0</v>
      </c>
      <c r="M122">
        <v>1421160448</v>
      </c>
      <c r="N122">
        <v>62865408</v>
      </c>
      <c r="O122">
        <v>15914749952</v>
      </c>
      <c r="P122">
        <v>877.70201013645999</v>
      </c>
      <c r="Q122">
        <v>1277.2900147512401</v>
      </c>
      <c r="R122">
        <v>18.8860002181118</v>
      </c>
      <c r="S122">
        <v>0.77659616979289903</v>
      </c>
      <c r="T122">
        <v>0.38830305511193602</v>
      </c>
      <c r="U122">
        <v>7.9733489093259697</v>
      </c>
      <c r="V122">
        <v>91.942127606107604</v>
      </c>
      <c r="W122">
        <v>2443.2520282167802</v>
      </c>
      <c r="X122">
        <v>2027.7600234183201</v>
      </c>
    </row>
    <row r="123" spans="1:24" x14ac:dyDescent="0.25">
      <c r="A123" s="12">
        <v>45170.447246076386</v>
      </c>
      <c r="B123">
        <v>54.2396132538804</v>
      </c>
      <c r="C123">
        <v>62.359076626262102</v>
      </c>
      <c r="D123">
        <v>10447489.473202599</v>
      </c>
      <c r="E123">
        <v>8.29160359708387E-4</v>
      </c>
      <c r="F123">
        <v>654.14255259707795</v>
      </c>
      <c r="G123">
        <v>1000000000</v>
      </c>
      <c r="H123">
        <v>100000</v>
      </c>
      <c r="I123">
        <v>494.35200539779203</v>
      </c>
      <c r="J123">
        <v>0</v>
      </c>
      <c r="K123">
        <v>158687.99242361099</v>
      </c>
      <c r="L123">
        <v>0</v>
      </c>
      <c r="M123">
        <v>1421279232</v>
      </c>
      <c r="N123">
        <v>61845504</v>
      </c>
      <c r="O123">
        <v>15915909120</v>
      </c>
      <c r="P123">
        <v>1028.6516475953999</v>
      </c>
      <c r="Q123">
        <v>1077.5875026751801</v>
      </c>
      <c r="R123">
        <v>44.941091399799298</v>
      </c>
      <c r="S123">
        <v>0.39012373642723802</v>
      </c>
      <c r="T123">
        <v>0.78023748581465802</v>
      </c>
      <c r="U123">
        <v>4.8110267306116796</v>
      </c>
      <c r="V123">
        <v>91.214940371879393</v>
      </c>
      <c r="W123">
        <v>2566.6356643885301</v>
      </c>
      <c r="X123">
        <v>1888.52452971156</v>
      </c>
    </row>
    <row r="124" spans="1:24" x14ac:dyDescent="0.25">
      <c r="A124" s="12">
        <v>45170.447257743057</v>
      </c>
      <c r="B124">
        <v>46.591965406060901</v>
      </c>
      <c r="C124">
        <v>63.419046608931303</v>
      </c>
      <c r="D124">
        <v>10899310.8045497</v>
      </c>
      <c r="E124">
        <v>7.0722919394850404E-4</v>
      </c>
      <c r="F124">
        <v>658.79211873836596</v>
      </c>
      <c r="G124">
        <v>1000000000</v>
      </c>
      <c r="H124">
        <v>100000</v>
      </c>
      <c r="I124">
        <v>463.33722808857999</v>
      </c>
      <c r="J124">
        <v>0</v>
      </c>
      <c r="K124">
        <v>154826.069471569</v>
      </c>
      <c r="L124">
        <v>0</v>
      </c>
      <c r="M124">
        <v>1420197888</v>
      </c>
      <c r="N124">
        <v>60981248</v>
      </c>
      <c r="O124">
        <v>15916994560</v>
      </c>
      <c r="P124">
        <v>1010.01562782478</v>
      </c>
      <c r="Q124">
        <v>1301.7097285914699</v>
      </c>
      <c r="R124">
        <v>67.466662762362802</v>
      </c>
      <c r="S124">
        <v>3.1005087711656798</v>
      </c>
      <c r="T124">
        <v>0.38755863558167603</v>
      </c>
      <c r="U124">
        <v>12.410627214569301</v>
      </c>
      <c r="V124">
        <v>91.003851476799596</v>
      </c>
      <c r="W124">
        <v>2428.7998594450601</v>
      </c>
      <c r="X124">
        <v>1872.1998916555599</v>
      </c>
    </row>
    <row r="125" spans="1:24" x14ac:dyDescent="0.25">
      <c r="A125" s="12">
        <v>45170.447269317126</v>
      </c>
      <c r="B125">
        <v>43.914429597184899</v>
      </c>
      <c r="C125">
        <v>67.047298412106599</v>
      </c>
      <c r="D125">
        <v>9979285.5685060006</v>
      </c>
      <c r="E125">
        <v>7.0904649164134402E-4</v>
      </c>
      <c r="F125">
        <v>619.34293254552097</v>
      </c>
      <c r="G125">
        <v>1000000000</v>
      </c>
      <c r="H125">
        <v>100000</v>
      </c>
      <c r="I125">
        <v>469.25983095936903</v>
      </c>
      <c r="J125">
        <v>0</v>
      </c>
      <c r="K125">
        <v>153755.13480495999</v>
      </c>
      <c r="L125">
        <v>0</v>
      </c>
      <c r="M125">
        <v>1421139968</v>
      </c>
      <c r="N125">
        <v>64270336</v>
      </c>
      <c r="O125">
        <v>15913680896</v>
      </c>
      <c r="P125">
        <v>995.55124052147596</v>
      </c>
      <c r="Q125">
        <v>1191.6598265940399</v>
      </c>
      <c r="R125">
        <v>50.027700528717297</v>
      </c>
      <c r="S125">
        <v>1.95420712542387</v>
      </c>
      <c r="T125">
        <v>0</v>
      </c>
      <c r="U125">
        <v>10.497089530906001</v>
      </c>
      <c r="V125">
        <v>91.579045422968704</v>
      </c>
      <c r="W125">
        <v>2436.3490157485298</v>
      </c>
      <c r="X125">
        <v>1845.0215954990899</v>
      </c>
    </row>
    <row r="126" spans="1:24" x14ac:dyDescent="0.25">
      <c r="A126" s="12">
        <v>45170.447280868058</v>
      </c>
      <c r="B126">
        <v>44.593729474129702</v>
      </c>
      <c r="C126">
        <v>67.6473545113288</v>
      </c>
      <c r="D126">
        <v>10369863.454013599</v>
      </c>
      <c r="E126">
        <v>7.1298085611457495E-4</v>
      </c>
      <c r="F126">
        <v>625.50215711849103</v>
      </c>
      <c r="G126">
        <v>1000000000</v>
      </c>
      <c r="H126">
        <v>100000</v>
      </c>
      <c r="I126">
        <v>479.15069086961302</v>
      </c>
      <c r="J126">
        <v>0</v>
      </c>
      <c r="K126">
        <v>154527.10021275299</v>
      </c>
      <c r="L126">
        <v>0</v>
      </c>
      <c r="M126">
        <v>1421193216</v>
      </c>
      <c r="N126">
        <v>63619072</v>
      </c>
      <c r="O126">
        <v>15914311680</v>
      </c>
      <c r="P126">
        <v>926.22434804084196</v>
      </c>
      <c r="Q126">
        <v>1270.0500529953899</v>
      </c>
      <c r="R126">
        <v>40.096292122980103</v>
      </c>
      <c r="S126">
        <v>4.3068982760799797</v>
      </c>
      <c r="T126">
        <v>0.39154076296874102</v>
      </c>
      <c r="U126">
        <v>11.121379440717</v>
      </c>
      <c r="V126">
        <v>91.456216304746405</v>
      </c>
      <c r="W126">
        <v>2568.1675104768801</v>
      </c>
      <c r="X126">
        <v>1838.4149938386399</v>
      </c>
    </row>
    <row r="127" spans="1:24" x14ac:dyDescent="0.25">
      <c r="A127" s="12">
        <v>45170.447292569443</v>
      </c>
      <c r="B127">
        <v>65.998554872865199</v>
      </c>
      <c r="C127">
        <v>55.311850586231401</v>
      </c>
      <c r="D127">
        <v>10281091.5379816</v>
      </c>
      <c r="E127">
        <v>1.0664536515730401E-3</v>
      </c>
      <c r="F127">
        <v>618.85785869118695</v>
      </c>
      <c r="G127">
        <v>1000000000</v>
      </c>
      <c r="H127">
        <v>100000</v>
      </c>
      <c r="I127">
        <v>475.51218854706201</v>
      </c>
      <c r="J127">
        <v>0</v>
      </c>
      <c r="K127">
        <v>156300.16436183901</v>
      </c>
      <c r="L127">
        <v>0</v>
      </c>
      <c r="M127">
        <v>1421885440</v>
      </c>
      <c r="N127">
        <v>61251584</v>
      </c>
      <c r="O127">
        <v>15915954176</v>
      </c>
      <c r="P127">
        <v>1039.00896083776</v>
      </c>
      <c r="Q127">
        <v>1771.5547648156601</v>
      </c>
      <c r="R127">
        <v>48.440950600428401</v>
      </c>
      <c r="S127">
        <v>2.7031825717153399</v>
      </c>
      <c r="T127">
        <v>0</v>
      </c>
      <c r="U127">
        <v>10.4086423703802</v>
      </c>
      <c r="V127">
        <v>91.2104477017308</v>
      </c>
      <c r="W127">
        <v>2871.8563570254</v>
      </c>
      <c r="X127">
        <v>1872.39102933084</v>
      </c>
    </row>
    <row r="128" spans="1:24" x14ac:dyDescent="0.25">
      <c r="A128" s="12">
        <v>45170.447304085646</v>
      </c>
      <c r="B128">
        <v>45.783056029538997</v>
      </c>
      <c r="C128">
        <v>66.459274881588897</v>
      </c>
      <c r="D128">
        <v>10523624.583516</v>
      </c>
      <c r="E128">
        <v>7.18769977688491E-4</v>
      </c>
      <c r="F128">
        <v>636.91138826036297</v>
      </c>
      <c r="G128">
        <v>1000000000</v>
      </c>
      <c r="H128">
        <v>100000</v>
      </c>
      <c r="I128">
        <v>493.25471866851399</v>
      </c>
      <c r="J128">
        <v>0</v>
      </c>
      <c r="K128">
        <v>158152.93352338899</v>
      </c>
      <c r="L128">
        <v>0</v>
      </c>
      <c r="M128">
        <v>1420804096</v>
      </c>
      <c r="N128">
        <v>65323008</v>
      </c>
      <c r="O128">
        <v>15912079360</v>
      </c>
      <c r="P128">
        <v>998.56454247760405</v>
      </c>
      <c r="Q128">
        <v>1441.5896563937199</v>
      </c>
      <c r="R128">
        <v>47.215828467250901</v>
      </c>
      <c r="S128">
        <v>2.35470786853702</v>
      </c>
      <c r="T128">
        <v>0.78490262284567403</v>
      </c>
      <c r="U128">
        <v>10.128654707547</v>
      </c>
      <c r="V128">
        <v>91.036527584768393</v>
      </c>
      <c r="W128">
        <v>2568.7419870374501</v>
      </c>
      <c r="X128">
        <v>1904.7066122107999</v>
      </c>
    </row>
    <row r="129" spans="1:24" x14ac:dyDescent="0.25">
      <c r="A129" s="12">
        <v>45170.447315625002</v>
      </c>
      <c r="B129">
        <v>40.900074643890797</v>
      </c>
      <c r="C129">
        <v>67.939289635459303</v>
      </c>
      <c r="D129">
        <v>9391643.4900822397</v>
      </c>
      <c r="E129">
        <v>6.9185063507662295E-4</v>
      </c>
      <c r="F129">
        <v>591.16101030492905</v>
      </c>
      <c r="G129">
        <v>1000000000</v>
      </c>
      <c r="H129">
        <v>100000</v>
      </c>
      <c r="I129">
        <v>476.742750245911</v>
      </c>
      <c r="J129">
        <v>0</v>
      </c>
      <c r="K129">
        <v>163389.275364278</v>
      </c>
      <c r="L129">
        <v>0</v>
      </c>
      <c r="M129">
        <v>1422446592</v>
      </c>
      <c r="N129">
        <v>63840256</v>
      </c>
      <c r="O129">
        <v>15913652224</v>
      </c>
      <c r="P129">
        <v>930.40111469044098</v>
      </c>
      <c r="Q129">
        <v>1127.12022847612</v>
      </c>
      <c r="R129">
        <v>27.099061592925398</v>
      </c>
      <c r="S129">
        <v>2.7444502111597999</v>
      </c>
      <c r="T129">
        <v>0</v>
      </c>
      <c r="U129">
        <v>5.9047362487174198</v>
      </c>
      <c r="V129">
        <v>91.903170302792006</v>
      </c>
      <c r="W129">
        <v>2326.5046212000402</v>
      </c>
      <c r="X129">
        <v>1784.52338934153</v>
      </c>
    </row>
    <row r="130" spans="1:24" x14ac:dyDescent="0.25">
      <c r="A130" s="12">
        <v>45170.447327164351</v>
      </c>
      <c r="B130">
        <v>49.8608777258708</v>
      </c>
      <c r="C130">
        <v>62.190769081484198</v>
      </c>
      <c r="D130">
        <v>10694634.8695004</v>
      </c>
      <c r="E130">
        <v>7.5135936833030902E-4</v>
      </c>
      <c r="F130">
        <v>663.65082928222296</v>
      </c>
      <c r="G130">
        <v>1000000000</v>
      </c>
      <c r="H130">
        <v>100000</v>
      </c>
      <c r="I130">
        <v>483.201963314247</v>
      </c>
      <c r="J130">
        <v>0</v>
      </c>
      <c r="K130">
        <v>161100.73756140901</v>
      </c>
      <c r="L130">
        <v>0</v>
      </c>
      <c r="M130">
        <v>1421766656</v>
      </c>
      <c r="N130">
        <v>62656512</v>
      </c>
      <c r="O130">
        <v>15915130880</v>
      </c>
      <c r="P130">
        <v>1009.51115572084</v>
      </c>
      <c r="Q130">
        <v>1205.9999208859699</v>
      </c>
      <c r="R130">
        <v>58.144634589681203</v>
      </c>
      <c r="S130">
        <v>0.78314858711975399</v>
      </c>
      <c r="T130">
        <v>0.78314858711975399</v>
      </c>
      <c r="U130">
        <v>6.8053181327492203</v>
      </c>
      <c r="V130">
        <v>91.1371538019621</v>
      </c>
      <c r="W130">
        <v>2643.57588643085</v>
      </c>
      <c r="X130">
        <v>1884.6881556655201</v>
      </c>
    </row>
    <row r="131" spans="1:24" x14ac:dyDescent="0.25">
      <c r="A131" s="12">
        <v>45170.447338749997</v>
      </c>
      <c r="B131">
        <v>52.751632028592901</v>
      </c>
      <c r="C131">
        <v>60.894166139067003</v>
      </c>
      <c r="D131">
        <v>12180876.834868001</v>
      </c>
      <c r="E131">
        <v>6.9656978541351002E-4</v>
      </c>
      <c r="F131">
        <v>757.32435333533499</v>
      </c>
      <c r="G131">
        <v>1000000000</v>
      </c>
      <c r="H131">
        <v>100000</v>
      </c>
      <c r="I131">
        <v>543.51510318525402</v>
      </c>
      <c r="J131">
        <v>0</v>
      </c>
      <c r="K131">
        <v>174078.69575069699</v>
      </c>
      <c r="L131">
        <v>0</v>
      </c>
      <c r="M131">
        <v>1421238272</v>
      </c>
      <c r="N131">
        <v>61558784</v>
      </c>
      <c r="O131">
        <v>15916380160</v>
      </c>
      <c r="P131">
        <v>1174.9517671798801</v>
      </c>
      <c r="Q131">
        <v>1370.7770617098599</v>
      </c>
      <c r="R131">
        <v>65.941170607034394</v>
      </c>
      <c r="S131">
        <v>2.7318651528413498</v>
      </c>
      <c r="T131">
        <v>1.17079649669218</v>
      </c>
      <c r="U131">
        <v>12.189883096189099</v>
      </c>
      <c r="V131">
        <v>90.024646401714193</v>
      </c>
      <c r="W131">
        <v>2969.3508946076699</v>
      </c>
      <c r="X131">
        <v>2086.1388519316301</v>
      </c>
    </row>
    <row r="132" spans="1:24" x14ac:dyDescent="0.25">
      <c r="A132" s="12">
        <v>45170.447350381946</v>
      </c>
      <c r="B132">
        <v>61.767979288470997</v>
      </c>
      <c r="C132">
        <v>57.498853605410901</v>
      </c>
      <c r="D132">
        <v>11282412.440369001</v>
      </c>
      <c r="E132">
        <v>9.1279419643219297E-4</v>
      </c>
      <c r="F132">
        <v>676.68235288859603</v>
      </c>
      <c r="G132">
        <v>1000000000</v>
      </c>
      <c r="H132">
        <v>100000</v>
      </c>
      <c r="I132">
        <v>567.21903109779396</v>
      </c>
      <c r="J132">
        <v>0</v>
      </c>
      <c r="K132">
        <v>193672.46012335899</v>
      </c>
      <c r="L132">
        <v>0</v>
      </c>
      <c r="M132">
        <v>1422680064</v>
      </c>
      <c r="N132">
        <v>64278528</v>
      </c>
      <c r="O132">
        <v>15912910848</v>
      </c>
      <c r="P132">
        <v>1143.3941521602901</v>
      </c>
      <c r="Q132">
        <v>1634.9839791117099</v>
      </c>
      <c r="R132">
        <v>33.834117644429803</v>
      </c>
      <c r="S132">
        <v>1.1661778567516199</v>
      </c>
      <c r="T132">
        <v>1.1661778567516199</v>
      </c>
      <c r="U132">
        <v>12.5370388946208</v>
      </c>
      <c r="V132">
        <v>90.321613438929006</v>
      </c>
      <c r="W132">
        <v>3146.5729409319702</v>
      </c>
      <c r="X132">
        <v>2107.6665050265301</v>
      </c>
    </row>
    <row r="133" spans="1:24" x14ac:dyDescent="0.25">
      <c r="A133" s="12">
        <v>45170.447361874998</v>
      </c>
      <c r="B133">
        <v>48.755299658773303</v>
      </c>
      <c r="C133">
        <v>65.030565977421901</v>
      </c>
      <c r="D133">
        <v>11363095.216212099</v>
      </c>
      <c r="E133">
        <v>7.1401195129404198E-4</v>
      </c>
      <c r="F133">
        <v>682.84732906804402</v>
      </c>
      <c r="G133">
        <v>1000000000</v>
      </c>
      <c r="H133">
        <v>100000</v>
      </c>
      <c r="I133">
        <v>483.43173739330501</v>
      </c>
      <c r="J133">
        <v>0</v>
      </c>
      <c r="K133">
        <v>162993.038859964</v>
      </c>
      <c r="L133">
        <v>0</v>
      </c>
      <c r="M133">
        <v>1421770752</v>
      </c>
      <c r="N133">
        <v>62234624</v>
      </c>
      <c r="O133">
        <v>15915577344</v>
      </c>
      <c r="P133">
        <v>1074.6284662472001</v>
      </c>
      <c r="Q133">
        <v>1370.7304054005999</v>
      </c>
      <c r="R133">
        <v>59.421817721260503</v>
      </c>
      <c r="S133">
        <v>1.1802287339625399</v>
      </c>
      <c r="T133">
        <v>0</v>
      </c>
      <c r="U133">
        <v>11.875878534545199</v>
      </c>
      <c r="V133">
        <v>90.721154432033899</v>
      </c>
      <c r="W133">
        <v>2740.4536613483001</v>
      </c>
      <c r="X133">
        <v>1934.73409902612</v>
      </c>
    </row>
    <row r="134" spans="1:24" x14ac:dyDescent="0.25">
      <c r="A134" s="12">
        <v>45170.447373506948</v>
      </c>
      <c r="B134">
        <v>44.1702043774552</v>
      </c>
      <c r="C134">
        <v>66.797363791711106</v>
      </c>
      <c r="D134">
        <v>10227735.0060816</v>
      </c>
      <c r="E134">
        <v>6.9390621040103405E-4</v>
      </c>
      <c r="F134">
        <v>636.55988635739902</v>
      </c>
      <c r="G134">
        <v>1000000000</v>
      </c>
      <c r="H134">
        <v>100000</v>
      </c>
      <c r="I134">
        <v>480.40378923535002</v>
      </c>
      <c r="J134">
        <v>0</v>
      </c>
      <c r="K134">
        <v>159854.11221185699</v>
      </c>
      <c r="L134">
        <v>0</v>
      </c>
      <c r="M134">
        <v>1421082624</v>
      </c>
      <c r="N134">
        <v>62300160</v>
      </c>
      <c r="O134">
        <v>15915610112</v>
      </c>
      <c r="P134">
        <v>1014.5173188821</v>
      </c>
      <c r="Q134">
        <v>1259.19502520073</v>
      </c>
      <c r="R134">
        <v>27.8494950281362</v>
      </c>
      <c r="S134">
        <v>1.1655523329397</v>
      </c>
      <c r="T134">
        <v>0.77703157329175598</v>
      </c>
      <c r="U134">
        <v>9.0873059248645003</v>
      </c>
      <c r="V134">
        <v>91.656426426572693</v>
      </c>
      <c r="W134">
        <v>2526.3470489809301</v>
      </c>
      <c r="X134">
        <v>1837.07204703455</v>
      </c>
    </row>
    <row r="135" spans="1:24" x14ac:dyDescent="0.25">
      <c r="A135" s="12">
        <v>45170.447384988423</v>
      </c>
      <c r="B135">
        <v>43.788107904060901</v>
      </c>
      <c r="C135">
        <v>65.939264492875594</v>
      </c>
      <c r="D135">
        <v>10152849.3417143</v>
      </c>
      <c r="E135">
        <v>6.9156070520233904E-4</v>
      </c>
      <c r="F135">
        <v>633.16576523776996</v>
      </c>
      <c r="G135">
        <v>1000000000</v>
      </c>
      <c r="H135">
        <v>100000</v>
      </c>
      <c r="I135">
        <v>489.99771004069498</v>
      </c>
      <c r="J135">
        <v>0</v>
      </c>
      <c r="K135">
        <v>162339.46765885199</v>
      </c>
      <c r="L135">
        <v>0</v>
      </c>
      <c r="M135">
        <v>1421602816</v>
      </c>
      <c r="N135">
        <v>65077248</v>
      </c>
      <c r="O135">
        <v>15913127936</v>
      </c>
      <c r="P135">
        <v>941.68284193006002</v>
      </c>
      <c r="Q135">
        <v>1139.29508713165</v>
      </c>
      <c r="R135">
        <v>51.419512782048201</v>
      </c>
      <c r="S135">
        <v>0.78769190191221805</v>
      </c>
      <c r="T135">
        <v>0</v>
      </c>
      <c r="U135">
        <v>6.6585045821739204</v>
      </c>
      <c r="V135">
        <v>91.1688067352421</v>
      </c>
      <c r="W135">
        <v>2485.2764511323298</v>
      </c>
      <c r="X135">
        <v>1879.3327808968199</v>
      </c>
    </row>
    <row r="136" spans="1:24" x14ac:dyDescent="0.25">
      <c r="A136" s="12">
        <v>45170.447396631942</v>
      </c>
      <c r="B136">
        <v>55.011406937860002</v>
      </c>
      <c r="C136">
        <v>61.652943145069599</v>
      </c>
      <c r="D136">
        <v>11120974.032389401</v>
      </c>
      <c r="E136">
        <v>8.2091977326113202E-4</v>
      </c>
      <c r="F136">
        <v>670.07138970730296</v>
      </c>
      <c r="G136">
        <v>1000000000</v>
      </c>
      <c r="H136">
        <v>100000</v>
      </c>
      <c r="I136">
        <v>535.85827752557304</v>
      </c>
      <c r="J136">
        <v>0</v>
      </c>
      <c r="K136">
        <v>185496.43943196899</v>
      </c>
      <c r="L136">
        <v>0</v>
      </c>
      <c r="M136">
        <v>1421701120</v>
      </c>
      <c r="N136">
        <v>64040960</v>
      </c>
      <c r="O136">
        <v>15914397696</v>
      </c>
      <c r="P136">
        <v>1114.4659167090299</v>
      </c>
      <c r="Q136">
        <v>1505.1751988380599</v>
      </c>
      <c r="R136">
        <v>36.784334449807403</v>
      </c>
      <c r="S136">
        <v>0.38837078941020903</v>
      </c>
      <c r="T136">
        <v>0.776751521239891</v>
      </c>
      <c r="U136">
        <v>10.2852042680022</v>
      </c>
      <c r="V136">
        <v>90.682401937419598</v>
      </c>
      <c r="W136">
        <v>2902.97990793075</v>
      </c>
      <c r="X136">
        <v>2046.0043323703701</v>
      </c>
    </row>
    <row r="137" spans="1:24" x14ac:dyDescent="0.25">
      <c r="A137" s="12">
        <v>45170.447408159722</v>
      </c>
      <c r="B137">
        <v>65.238345926730901</v>
      </c>
      <c r="C137">
        <v>59.6243934370384</v>
      </c>
      <c r="D137">
        <v>8381456.7950174799</v>
      </c>
      <c r="E137">
        <v>1.29660638686568E-3</v>
      </c>
      <c r="F137">
        <v>503.02909925092098</v>
      </c>
      <c r="G137">
        <v>1000000000</v>
      </c>
      <c r="H137">
        <v>100000</v>
      </c>
      <c r="I137">
        <v>417.68484089497701</v>
      </c>
      <c r="J137">
        <v>0</v>
      </c>
      <c r="K137">
        <v>139924.421699817</v>
      </c>
      <c r="L137">
        <v>0</v>
      </c>
      <c r="M137">
        <v>1421840384</v>
      </c>
      <c r="N137">
        <v>62332928</v>
      </c>
      <c r="O137">
        <v>15915417600</v>
      </c>
      <c r="P137">
        <v>795.20767785774399</v>
      </c>
      <c r="Q137">
        <v>1191.8074666883099</v>
      </c>
      <c r="R137">
        <v>20.081001966104601</v>
      </c>
      <c r="S137">
        <v>1.56919512793283</v>
      </c>
      <c r="T137">
        <v>0</v>
      </c>
      <c r="U137">
        <v>9.3789763404541802</v>
      </c>
      <c r="V137">
        <v>92.556220369829902</v>
      </c>
      <c r="W137">
        <v>2297.2666249223698</v>
      </c>
      <c r="X137">
        <v>1597.4437064036199</v>
      </c>
    </row>
    <row r="138" spans="1:24" x14ac:dyDescent="0.25">
      <c r="A138" s="12">
        <v>45170.447419872682</v>
      </c>
      <c r="B138">
        <v>63.116596127010702</v>
      </c>
      <c r="C138">
        <v>56.179403316432698</v>
      </c>
      <c r="D138">
        <v>14887700.570798701</v>
      </c>
      <c r="E138">
        <v>7.2827849445713199E-4</v>
      </c>
      <c r="F138">
        <v>866.87978840562505</v>
      </c>
      <c r="G138">
        <v>1000000000</v>
      </c>
      <c r="H138">
        <v>100000</v>
      </c>
      <c r="I138">
        <v>633.60312926796496</v>
      </c>
      <c r="J138">
        <v>0</v>
      </c>
      <c r="K138">
        <v>204975.06039007701</v>
      </c>
      <c r="L138">
        <v>0</v>
      </c>
      <c r="M138">
        <v>1420713984</v>
      </c>
      <c r="N138">
        <v>60977152</v>
      </c>
      <c r="O138">
        <v>15917592576</v>
      </c>
      <c r="P138">
        <v>1381.86766726461</v>
      </c>
      <c r="Q138">
        <v>1575.60590959927</v>
      </c>
      <c r="R138">
        <v>78.088373185911493</v>
      </c>
      <c r="S138">
        <v>1.93009108178406</v>
      </c>
      <c r="T138">
        <v>0.772034456305419</v>
      </c>
      <c r="U138">
        <v>11.60205969405</v>
      </c>
      <c r="V138">
        <v>88.4169632349533</v>
      </c>
      <c r="W138">
        <v>3571.30749773035</v>
      </c>
      <c r="X138">
        <v>2400.97036036176</v>
      </c>
    </row>
    <row r="139" spans="1:24" x14ac:dyDescent="0.25">
      <c r="A139" s="12">
        <v>45170.447431412038</v>
      </c>
      <c r="B139">
        <v>45.201367128330702</v>
      </c>
      <c r="C139">
        <v>65.902370259846194</v>
      </c>
      <c r="D139">
        <v>10374230.052999301</v>
      </c>
      <c r="E139">
        <v>7.0233646308917499E-4</v>
      </c>
      <c r="F139">
        <v>643.59350397752405</v>
      </c>
      <c r="G139">
        <v>1000000000</v>
      </c>
      <c r="H139">
        <v>100000</v>
      </c>
      <c r="I139">
        <v>503.24601089831299</v>
      </c>
      <c r="J139">
        <v>0</v>
      </c>
      <c r="K139">
        <v>162217.642429325</v>
      </c>
      <c r="L139">
        <v>0</v>
      </c>
      <c r="M139">
        <v>1421545472</v>
      </c>
      <c r="N139">
        <v>65228800</v>
      </c>
      <c r="O139">
        <v>15913488384</v>
      </c>
      <c r="P139">
        <v>1040.5764129730001</v>
      </c>
      <c r="Q139">
        <v>1237.0629032838999</v>
      </c>
      <c r="R139">
        <v>22.0546060553045</v>
      </c>
      <c r="S139">
        <v>1.9579439823837901</v>
      </c>
      <c r="T139">
        <v>0.39158478659721802</v>
      </c>
      <c r="U139">
        <v>7.1932126372957601</v>
      </c>
      <c r="V139">
        <v>91.311663676967299</v>
      </c>
      <c r="W139">
        <v>2565.35167706929</v>
      </c>
      <c r="X139">
        <v>1946.8202254273299</v>
      </c>
    </row>
    <row r="140" spans="1:24" x14ac:dyDescent="0.25">
      <c r="A140" s="12">
        <v>45170.447442824072</v>
      </c>
      <c r="B140">
        <v>42.063947140011599</v>
      </c>
      <c r="C140">
        <v>67.584297032528994</v>
      </c>
      <c r="D140">
        <v>9732430.7977458797</v>
      </c>
      <c r="E140">
        <v>7.0288097912608199E-4</v>
      </c>
      <c r="F140">
        <v>598.45815379348903</v>
      </c>
      <c r="G140">
        <v>1000000000</v>
      </c>
      <c r="H140">
        <v>100000</v>
      </c>
      <c r="I140">
        <v>488.90988157366297</v>
      </c>
      <c r="J140">
        <v>0</v>
      </c>
      <c r="K140">
        <v>155304.96258867899</v>
      </c>
      <c r="L140">
        <v>0</v>
      </c>
      <c r="M140">
        <v>1420869632</v>
      </c>
      <c r="N140">
        <v>62849024</v>
      </c>
      <c r="O140">
        <v>15916064768</v>
      </c>
      <c r="P140">
        <v>902.75890995966904</v>
      </c>
      <c r="Q140">
        <v>1301.39290053736</v>
      </c>
      <c r="R140">
        <v>40.573434155490702</v>
      </c>
      <c r="S140">
        <v>0.79243932247731097</v>
      </c>
      <c r="T140">
        <v>0</v>
      </c>
      <c r="U140">
        <v>4.9072813027225699</v>
      </c>
      <c r="V140">
        <v>91.622184406031593</v>
      </c>
      <c r="W140">
        <v>2477.0081551927101</v>
      </c>
      <c r="X140">
        <v>1858.2632843214701</v>
      </c>
    </row>
    <row r="141" spans="1:24" x14ac:dyDescent="0.25">
      <c r="A141" s="12">
        <v>45170.447454409725</v>
      </c>
      <c r="B141">
        <v>38.937927569261397</v>
      </c>
      <c r="C141">
        <v>71.233032708158802</v>
      </c>
      <c r="D141">
        <v>9031944.0334060397</v>
      </c>
      <c r="E141">
        <v>6.9731683082467004E-4</v>
      </c>
      <c r="F141">
        <v>558.383254294881</v>
      </c>
      <c r="G141">
        <v>1000000000</v>
      </c>
      <c r="H141">
        <v>100000</v>
      </c>
      <c r="I141">
        <v>416.53992315020702</v>
      </c>
      <c r="J141">
        <v>0</v>
      </c>
      <c r="K141">
        <v>144284.63467507999</v>
      </c>
      <c r="L141">
        <v>0</v>
      </c>
      <c r="M141">
        <v>1420791808</v>
      </c>
      <c r="N141">
        <v>61034496</v>
      </c>
      <c r="O141">
        <v>15917953024</v>
      </c>
      <c r="P141">
        <v>855.055573660856</v>
      </c>
      <c r="Q141">
        <v>1296.5679142661099</v>
      </c>
      <c r="R141">
        <v>39.955867928077403</v>
      </c>
      <c r="S141">
        <v>1.9510219208145601</v>
      </c>
      <c r="T141">
        <v>0</v>
      </c>
      <c r="U141">
        <v>10.643429774129</v>
      </c>
      <c r="V141">
        <v>92.531459757731696</v>
      </c>
      <c r="W141">
        <v>2282.4789553914202</v>
      </c>
      <c r="X141">
        <v>1668.15748599723</v>
      </c>
    </row>
    <row r="142" spans="1:24" x14ac:dyDescent="0.25">
      <c r="A142" s="12">
        <v>45170.447466053243</v>
      </c>
      <c r="B142">
        <v>52.521849059383598</v>
      </c>
      <c r="C142">
        <v>61.837194993254997</v>
      </c>
      <c r="D142">
        <v>11931718.9120366</v>
      </c>
      <c r="E142">
        <v>7.1488477263540698E-4</v>
      </c>
      <c r="F142">
        <v>734.71665322324702</v>
      </c>
      <c r="G142">
        <v>1000000000</v>
      </c>
      <c r="H142">
        <v>100000</v>
      </c>
      <c r="I142">
        <v>558.74256983960004</v>
      </c>
      <c r="J142">
        <v>0</v>
      </c>
      <c r="K142">
        <v>179227.11841659099</v>
      </c>
      <c r="L142">
        <v>0</v>
      </c>
      <c r="M142">
        <v>1420312576</v>
      </c>
      <c r="N142">
        <v>61022208</v>
      </c>
      <c r="O142">
        <v>15918039040</v>
      </c>
      <c r="P142">
        <v>1171.17214816912</v>
      </c>
      <c r="Q142">
        <v>1561.8942655124699</v>
      </c>
      <c r="R142">
        <v>39.768154436982201</v>
      </c>
      <c r="S142">
        <v>1.5533861282469601</v>
      </c>
      <c r="T142">
        <v>0.38835150289734999</v>
      </c>
      <c r="U142">
        <v>14.1754114435197</v>
      </c>
      <c r="V142">
        <v>89.819917561673904</v>
      </c>
      <c r="W142">
        <v>2935.8840013102099</v>
      </c>
      <c r="X142">
        <v>2101.74696199451</v>
      </c>
    </row>
    <row r="143" spans="1:24" x14ac:dyDescent="0.25">
      <c r="A143" s="12">
        <v>45170.44747777778</v>
      </c>
      <c r="B143">
        <v>79.703230803423494</v>
      </c>
      <c r="C143">
        <v>50.530032406330903</v>
      </c>
      <c r="D143">
        <v>13283390.427388599</v>
      </c>
      <c r="E143">
        <v>1.0367138821635699E-3</v>
      </c>
      <c r="F143">
        <v>768.80976043428097</v>
      </c>
      <c r="G143">
        <v>1000000000</v>
      </c>
      <c r="H143">
        <v>100000</v>
      </c>
      <c r="I143">
        <v>591.16437291416401</v>
      </c>
      <c r="J143">
        <v>0</v>
      </c>
      <c r="K143">
        <v>194902.649998876</v>
      </c>
      <c r="L143">
        <v>0</v>
      </c>
      <c r="M143">
        <v>1420681216</v>
      </c>
      <c r="N143">
        <v>65470464</v>
      </c>
      <c r="O143">
        <v>15913213952</v>
      </c>
      <c r="P143">
        <v>1324.44505584442</v>
      </c>
      <c r="Q143">
        <v>1956.0731003603901</v>
      </c>
      <c r="R143">
        <v>70.071236188490303</v>
      </c>
      <c r="S143">
        <v>1.1565357241407599</v>
      </c>
      <c r="T143">
        <v>0.38550861833126898</v>
      </c>
      <c r="U143">
        <v>10.946374213577</v>
      </c>
      <c r="V143">
        <v>89.241583690168696</v>
      </c>
      <c r="W143">
        <v>3362.4324182279702</v>
      </c>
      <c r="X143">
        <v>2262.01793442281</v>
      </c>
    </row>
    <row r="144" spans="1:24" x14ac:dyDescent="0.25">
      <c r="A144" s="12">
        <v>45170.447489212966</v>
      </c>
      <c r="B144">
        <v>44.596342330153298</v>
      </c>
      <c r="C144">
        <v>67.000864073123793</v>
      </c>
      <c r="D144">
        <v>10193806.4966236</v>
      </c>
      <c r="E144">
        <v>6.9229572005475497E-4</v>
      </c>
      <c r="F144">
        <v>644.21138621920602</v>
      </c>
      <c r="G144">
        <v>1000000000</v>
      </c>
      <c r="H144">
        <v>100000</v>
      </c>
      <c r="I144">
        <v>481.13271769516098</v>
      </c>
      <c r="J144">
        <v>0</v>
      </c>
      <c r="K144">
        <v>164924.192338024</v>
      </c>
      <c r="L144">
        <v>0</v>
      </c>
      <c r="M144">
        <v>1420795904</v>
      </c>
      <c r="N144">
        <v>63086592</v>
      </c>
      <c r="O144">
        <v>15915749376</v>
      </c>
      <c r="P144">
        <v>949.09759259024497</v>
      </c>
      <c r="Q144">
        <v>1197.2607838224801</v>
      </c>
      <c r="R144">
        <v>41.5293503694771</v>
      </c>
      <c r="S144">
        <v>1.1869534783070601</v>
      </c>
      <c r="T144">
        <v>0.39565453564450997</v>
      </c>
      <c r="U144">
        <v>14.9353585994621</v>
      </c>
      <c r="V144">
        <v>91.333461021550903</v>
      </c>
      <c r="W144">
        <v>2619.38780623092</v>
      </c>
      <c r="X144">
        <v>1851.6012798879001</v>
      </c>
    </row>
    <row r="145" spans="1:24" x14ac:dyDescent="0.25">
      <c r="A145" s="12">
        <v>45170.447500949071</v>
      </c>
      <c r="B145">
        <v>45.736407905293198</v>
      </c>
      <c r="C145">
        <v>66.963777573037504</v>
      </c>
      <c r="D145">
        <v>10607529.3655398</v>
      </c>
      <c r="E145">
        <v>6.9894584159188404E-4</v>
      </c>
      <c r="F145">
        <v>654.33027235228496</v>
      </c>
      <c r="G145">
        <v>1000000000</v>
      </c>
      <c r="H145">
        <v>100000</v>
      </c>
      <c r="I145">
        <v>477.93702122117202</v>
      </c>
      <c r="J145">
        <v>0</v>
      </c>
      <c r="K145">
        <v>157275.77028226599</v>
      </c>
      <c r="L145">
        <v>0</v>
      </c>
      <c r="M145">
        <v>1420308480</v>
      </c>
      <c r="N145">
        <v>61128704</v>
      </c>
      <c r="O145">
        <v>15917355008</v>
      </c>
      <c r="P145">
        <v>1070.1847526725601</v>
      </c>
      <c r="Q145">
        <v>1263.33043547534</v>
      </c>
      <c r="R145">
        <v>43.359234914910402</v>
      </c>
      <c r="S145">
        <v>2.3097329460898699</v>
      </c>
      <c r="T145">
        <v>0.769910982029957</v>
      </c>
      <c r="U145">
        <v>10.305375520940199</v>
      </c>
      <c r="V145">
        <v>91.210095082651193</v>
      </c>
      <c r="W145">
        <v>2593.6705976373701</v>
      </c>
      <c r="X145">
        <v>1863.46166418399</v>
      </c>
    </row>
    <row r="146" spans="1:24" x14ac:dyDescent="0.25">
      <c r="A146" s="12">
        <v>45170.447512361112</v>
      </c>
      <c r="B146">
        <v>55.5509970222353</v>
      </c>
      <c r="C146">
        <v>59.871742819473198</v>
      </c>
      <c r="D146">
        <v>11900311.558638301</v>
      </c>
      <c r="E146">
        <v>7.7249649064832797E-4</v>
      </c>
      <c r="F146">
        <v>719.110768598037</v>
      </c>
      <c r="G146">
        <v>1000000000</v>
      </c>
      <c r="H146">
        <v>100000</v>
      </c>
      <c r="I146">
        <v>526.40125374101694</v>
      </c>
      <c r="J146">
        <v>0</v>
      </c>
      <c r="K146">
        <v>172752.923202668</v>
      </c>
      <c r="L146">
        <v>0</v>
      </c>
      <c r="M146">
        <v>1421246464</v>
      </c>
      <c r="N146">
        <v>65658880</v>
      </c>
      <c r="O146">
        <v>15912931328</v>
      </c>
      <c r="P146">
        <v>1121.7722285887501</v>
      </c>
      <c r="Q146">
        <v>1221.1697678307901</v>
      </c>
      <c r="R146">
        <v>62.884157479659002</v>
      </c>
      <c r="S146">
        <v>1.5847805887756501</v>
      </c>
      <c r="T146">
        <v>0.396190075896029</v>
      </c>
      <c r="U146">
        <v>11.6484771044592</v>
      </c>
      <c r="V146">
        <v>90.411392812692895</v>
      </c>
      <c r="W146">
        <v>2948.4555773123998</v>
      </c>
      <c r="X146">
        <v>2063.0060695746201</v>
      </c>
    </row>
    <row r="147" spans="1:24" x14ac:dyDescent="0.25">
      <c r="A147" s="12">
        <v>45170.447524016206</v>
      </c>
      <c r="B147">
        <v>50.050303634865998</v>
      </c>
      <c r="C147">
        <v>62.547977706454198</v>
      </c>
      <c r="D147">
        <v>11442535.7128246</v>
      </c>
      <c r="E147">
        <v>7.0461524014242896E-4</v>
      </c>
      <c r="F147">
        <v>710.318382527523</v>
      </c>
      <c r="G147">
        <v>1000000000</v>
      </c>
      <c r="H147">
        <v>100000</v>
      </c>
      <c r="I147">
        <v>520.56899642576502</v>
      </c>
      <c r="J147">
        <v>0</v>
      </c>
      <c r="K147">
        <v>170730.73559111901</v>
      </c>
      <c r="L147">
        <v>0</v>
      </c>
      <c r="M147">
        <v>1421160448</v>
      </c>
      <c r="N147">
        <v>64475136</v>
      </c>
      <c r="O147">
        <v>15913869312</v>
      </c>
      <c r="P147">
        <v>1105.71239126312</v>
      </c>
      <c r="Q147">
        <v>1447.4599767029399</v>
      </c>
      <c r="R147">
        <v>41.724995896721602</v>
      </c>
      <c r="S147">
        <v>0.776137350431502</v>
      </c>
      <c r="T147">
        <v>0</v>
      </c>
      <c r="U147">
        <v>9.5800036420089896</v>
      </c>
      <c r="V147">
        <v>90.750280676102307</v>
      </c>
      <c r="W147">
        <v>2756.8300860333902</v>
      </c>
      <c r="X147">
        <v>2009.75396902542</v>
      </c>
    </row>
    <row r="148" spans="1:24" x14ac:dyDescent="0.25">
      <c r="A148" s="12">
        <v>45170.44753542824</v>
      </c>
      <c r="B148">
        <v>48.152039939312402</v>
      </c>
      <c r="C148">
        <v>65.254281215419496</v>
      </c>
      <c r="D148">
        <v>10846935.323241601</v>
      </c>
      <c r="E148">
        <v>7.2362800330097096E-4</v>
      </c>
      <c r="F148">
        <v>665.34066846530902</v>
      </c>
      <c r="G148">
        <v>1000000000</v>
      </c>
      <c r="H148">
        <v>100000</v>
      </c>
      <c r="I148">
        <v>583.18732373102603</v>
      </c>
      <c r="J148">
        <v>0</v>
      </c>
      <c r="K148">
        <v>187323.82533770101</v>
      </c>
      <c r="L148">
        <v>0</v>
      </c>
      <c r="M148">
        <v>1420894208</v>
      </c>
      <c r="N148">
        <v>62529536</v>
      </c>
      <c r="O148">
        <v>15915909120</v>
      </c>
      <c r="P148">
        <v>1069.00772036956</v>
      </c>
      <c r="Q148">
        <v>1466.58933933054</v>
      </c>
      <c r="R148">
        <v>27.384448244761199</v>
      </c>
      <c r="S148">
        <v>1.18870720547044</v>
      </c>
      <c r="T148">
        <v>0</v>
      </c>
      <c r="U148">
        <v>8.8653920729387199</v>
      </c>
      <c r="V148">
        <v>90.2594620990089</v>
      </c>
      <c r="W148">
        <v>2975.7767092640502</v>
      </c>
      <c r="X148">
        <v>2109.6167536704902</v>
      </c>
    </row>
    <row r="149" spans="1:24" x14ac:dyDescent="0.25">
      <c r="A149" s="12">
        <v>45170.447547083335</v>
      </c>
      <c r="B149">
        <v>72.741256846557206</v>
      </c>
      <c r="C149">
        <v>49.580059281541999</v>
      </c>
      <c r="D149">
        <v>9414754.5790455397</v>
      </c>
      <c r="E149">
        <v>1.2649395753286301E-3</v>
      </c>
      <c r="F149">
        <v>575.12767280887101</v>
      </c>
      <c r="G149">
        <v>1000000000</v>
      </c>
      <c r="H149">
        <v>100000</v>
      </c>
      <c r="I149">
        <v>445.00379519581099</v>
      </c>
      <c r="J149">
        <v>0</v>
      </c>
      <c r="K149">
        <v>145313.60537228899</v>
      </c>
      <c r="L149">
        <v>0</v>
      </c>
      <c r="M149">
        <v>1421037568</v>
      </c>
      <c r="N149">
        <v>61169664</v>
      </c>
      <c r="O149">
        <v>15916937216</v>
      </c>
      <c r="P149">
        <v>886.034342220231</v>
      </c>
      <c r="Q149">
        <v>1327.06488924465</v>
      </c>
      <c r="R149">
        <v>19.866240856955802</v>
      </c>
      <c r="S149">
        <v>1.9398297512932301</v>
      </c>
      <c r="T149">
        <v>0.38796992301980698</v>
      </c>
      <c r="U149">
        <v>6.88841030359443</v>
      </c>
      <c r="V149">
        <v>91.698389164532301</v>
      </c>
      <c r="W149">
        <v>2413.74826412013</v>
      </c>
      <c r="X149">
        <v>1728.3629545551501</v>
      </c>
    </row>
    <row r="150" spans="1:24" x14ac:dyDescent="0.25">
      <c r="A150" s="12">
        <v>45170.447558784719</v>
      </c>
      <c r="B150">
        <v>45.461731712306502</v>
      </c>
      <c r="C150">
        <v>66.650181268520697</v>
      </c>
      <c r="D150">
        <v>10470913.3732567</v>
      </c>
      <c r="E150">
        <v>7.1176472475304299E-4</v>
      </c>
      <c r="F150">
        <v>638.72305804794803</v>
      </c>
      <c r="G150">
        <v>1000000000</v>
      </c>
      <c r="H150">
        <v>100000</v>
      </c>
      <c r="I150">
        <v>499.31136890745199</v>
      </c>
      <c r="J150">
        <v>0</v>
      </c>
      <c r="K150">
        <v>163896.73218925699</v>
      </c>
      <c r="L150">
        <v>0</v>
      </c>
      <c r="M150">
        <v>1421705216</v>
      </c>
      <c r="N150">
        <v>64446464</v>
      </c>
      <c r="O150">
        <v>15913902080</v>
      </c>
      <c r="P150">
        <v>1044.1045654777599</v>
      </c>
      <c r="Q150">
        <v>1335.7815037504299</v>
      </c>
      <c r="R150">
        <v>33.617003055155102</v>
      </c>
      <c r="S150">
        <v>3.0897762418651098</v>
      </c>
      <c r="T150">
        <v>0</v>
      </c>
      <c r="U150">
        <v>6.9204857701714602</v>
      </c>
      <c r="V150">
        <v>91.240321214126794</v>
      </c>
      <c r="W150">
        <v>2674.5292136527801</v>
      </c>
      <c r="X150">
        <v>1925.0677925996199</v>
      </c>
    </row>
    <row r="151" spans="1:24" x14ac:dyDescent="0.25">
      <c r="A151" s="12">
        <v>45170.447570381948</v>
      </c>
      <c r="B151">
        <v>36.882769007331298</v>
      </c>
      <c r="C151">
        <v>72.4575675923669</v>
      </c>
      <c r="D151">
        <v>8629893.8415411208</v>
      </c>
      <c r="E151">
        <v>7.0902112186415397E-4</v>
      </c>
      <c r="F151">
        <v>520.17481306862101</v>
      </c>
      <c r="G151">
        <v>1000000000</v>
      </c>
      <c r="H151">
        <v>100000</v>
      </c>
      <c r="I151">
        <v>442.29835353051601</v>
      </c>
      <c r="J151">
        <v>0</v>
      </c>
      <c r="K151">
        <v>146930.91399314799</v>
      </c>
      <c r="L151">
        <v>0</v>
      </c>
      <c r="M151">
        <v>1421537280</v>
      </c>
      <c r="N151">
        <v>62361600</v>
      </c>
      <c r="O151">
        <v>15916265472</v>
      </c>
      <c r="P151">
        <v>786.75192456443995</v>
      </c>
      <c r="Q151">
        <v>982.44148955762603</v>
      </c>
      <c r="R151">
        <v>23.961987550185999</v>
      </c>
      <c r="S151">
        <v>0.78003961253323195</v>
      </c>
      <c r="T151">
        <v>0.39001481401309501</v>
      </c>
      <c r="U151">
        <v>7.5653109070655002</v>
      </c>
      <c r="V151">
        <v>92.591026504173399</v>
      </c>
      <c r="W151">
        <v>2277.3872334155899</v>
      </c>
      <c r="X151">
        <v>1656.3723894066</v>
      </c>
    </row>
    <row r="152" spans="1:24" x14ac:dyDescent="0.25">
      <c r="A152" s="12">
        <v>45170.447581851855</v>
      </c>
      <c r="B152">
        <v>45.966476959101598</v>
      </c>
      <c r="C152">
        <v>65.0552773117399</v>
      </c>
      <c r="D152">
        <v>10432366.7606392</v>
      </c>
      <c r="E152">
        <v>6.9877312225339304E-4</v>
      </c>
      <c r="F152">
        <v>657.80189377854595</v>
      </c>
      <c r="G152">
        <v>1000000000</v>
      </c>
      <c r="H152">
        <v>100000</v>
      </c>
      <c r="I152">
        <v>531.68956751732196</v>
      </c>
      <c r="J152">
        <v>0</v>
      </c>
      <c r="K152">
        <v>177368.41124822601</v>
      </c>
      <c r="L152">
        <v>0</v>
      </c>
      <c r="M152">
        <v>1420849152</v>
      </c>
      <c r="N152">
        <v>61952000</v>
      </c>
      <c r="O152">
        <v>15916896256</v>
      </c>
      <c r="P152">
        <v>1008.8986100897901</v>
      </c>
      <c r="Q152">
        <v>1206.6427376673901</v>
      </c>
      <c r="R152">
        <v>67.596206876016197</v>
      </c>
      <c r="S152">
        <v>0</v>
      </c>
      <c r="T152">
        <v>0.39411512059995302</v>
      </c>
      <c r="U152">
        <v>6.9900220661285601</v>
      </c>
      <c r="V152">
        <v>91.191335863910894</v>
      </c>
      <c r="W152">
        <v>2761.3554958157602</v>
      </c>
      <c r="X152">
        <v>1931.0319397118601</v>
      </c>
    </row>
    <row r="153" spans="1:24" x14ac:dyDescent="0.25">
      <c r="A153" s="12">
        <v>45170.447593379628</v>
      </c>
      <c r="B153">
        <v>46.341068052716601</v>
      </c>
      <c r="C153">
        <v>65.833022602938698</v>
      </c>
      <c r="D153">
        <v>7909926.0584852099</v>
      </c>
      <c r="E153">
        <v>9.3651075079211098E-4</v>
      </c>
      <c r="F153">
        <v>494.82806952693602</v>
      </c>
      <c r="G153">
        <v>1000000000</v>
      </c>
      <c r="H153">
        <v>100000</v>
      </c>
      <c r="I153">
        <v>372.37568720992601</v>
      </c>
      <c r="J153">
        <v>0</v>
      </c>
      <c r="K153">
        <v>122147.255069269</v>
      </c>
      <c r="L153">
        <v>0</v>
      </c>
      <c r="M153">
        <v>1421897728</v>
      </c>
      <c r="N153">
        <v>60227584</v>
      </c>
      <c r="O153">
        <v>15918669824</v>
      </c>
      <c r="P153">
        <v>756.79587104119696</v>
      </c>
      <c r="Q153">
        <v>953.52264918983701</v>
      </c>
      <c r="R153">
        <v>15.0556207766816</v>
      </c>
      <c r="S153">
        <v>1.17621198654834</v>
      </c>
      <c r="T153">
        <v>0</v>
      </c>
      <c r="U153">
        <v>5.5105622405108399</v>
      </c>
      <c r="V153">
        <v>93.045266601660003</v>
      </c>
      <c r="W153">
        <v>1923.1046272081301</v>
      </c>
      <c r="X153">
        <v>1484.48420858081</v>
      </c>
    </row>
    <row r="154" spans="1:24" x14ac:dyDescent="0.25">
      <c r="A154" s="12">
        <v>45170.447605092595</v>
      </c>
      <c r="B154">
        <v>46.4600220008262</v>
      </c>
      <c r="C154">
        <v>63.484823767611303</v>
      </c>
      <c r="D154">
        <v>9782312.4815212302</v>
      </c>
      <c r="E154">
        <v>6.6884791472269904E-4</v>
      </c>
      <c r="F154">
        <v>694.64075212175305</v>
      </c>
      <c r="G154">
        <v>1000000000</v>
      </c>
      <c r="H154">
        <v>100000</v>
      </c>
      <c r="I154">
        <v>453.542112694004</v>
      </c>
      <c r="J154">
        <v>0</v>
      </c>
      <c r="K154">
        <v>150026.592711451</v>
      </c>
      <c r="L154">
        <v>0</v>
      </c>
      <c r="M154">
        <v>1421512704</v>
      </c>
      <c r="N154">
        <v>63557632</v>
      </c>
      <c r="O154">
        <v>15915589632</v>
      </c>
      <c r="P154">
        <v>803.33276169983696</v>
      </c>
      <c r="Q154">
        <v>949.57292004125895</v>
      </c>
      <c r="R154">
        <v>18.774074381668999</v>
      </c>
      <c r="S154">
        <v>0.38597784760065401</v>
      </c>
      <c r="T154">
        <v>0.77194581429488496</v>
      </c>
      <c r="U154">
        <v>7.3665022846137704</v>
      </c>
      <c r="V154">
        <v>92.007354556268695</v>
      </c>
      <c r="W154">
        <v>3624.3844648401</v>
      </c>
      <c r="X154">
        <v>1730.1791706474901</v>
      </c>
    </row>
    <row r="155" spans="1:24" x14ac:dyDescent="0.25">
      <c r="A155" s="12">
        <v>45170.447616550926</v>
      </c>
      <c r="B155">
        <v>41.947842089499296</v>
      </c>
      <c r="C155">
        <v>68.506056989687906</v>
      </c>
      <c r="D155">
        <v>9488546.77262979</v>
      </c>
      <c r="E155">
        <v>7.1868527318283502E-4</v>
      </c>
      <c r="F155">
        <v>583.67914968608795</v>
      </c>
      <c r="G155">
        <v>1000000000</v>
      </c>
      <c r="H155">
        <v>100000</v>
      </c>
      <c r="I155">
        <v>473.60816817089199</v>
      </c>
      <c r="J155">
        <v>0</v>
      </c>
      <c r="K155">
        <v>158984.90997971999</v>
      </c>
      <c r="L155">
        <v>0</v>
      </c>
      <c r="M155">
        <v>1421627392</v>
      </c>
      <c r="N155">
        <v>62812160</v>
      </c>
      <c r="O155">
        <v>15916392448</v>
      </c>
      <c r="P155">
        <v>943.17703426783203</v>
      </c>
      <c r="Q155">
        <v>995.68796122921003</v>
      </c>
      <c r="R155">
        <v>37.363544184057503</v>
      </c>
      <c r="S155">
        <v>1.1833754865050901</v>
      </c>
      <c r="T155">
        <v>0</v>
      </c>
      <c r="U155">
        <v>5.7240223799917098</v>
      </c>
      <c r="V155">
        <v>91.609502549487601</v>
      </c>
      <c r="W155">
        <v>2403.38473400154</v>
      </c>
      <c r="X155">
        <v>1802.53855050115</v>
      </c>
    </row>
    <row r="156" spans="1:24" x14ac:dyDescent="0.25">
      <c r="A156" s="12">
        <v>45170.447628020833</v>
      </c>
      <c r="B156">
        <v>46.976356142123201</v>
      </c>
      <c r="C156">
        <v>63.169880972043302</v>
      </c>
      <c r="D156">
        <v>9794014.3817719799</v>
      </c>
      <c r="E156">
        <v>7.1630785813751798E-4</v>
      </c>
      <c r="F156">
        <v>655.79152534857303</v>
      </c>
      <c r="G156">
        <v>1000000000</v>
      </c>
      <c r="H156">
        <v>100000</v>
      </c>
      <c r="I156">
        <v>454.009517549012</v>
      </c>
      <c r="J156">
        <v>0</v>
      </c>
      <c r="K156">
        <v>148874.76535451601</v>
      </c>
      <c r="L156">
        <v>0</v>
      </c>
      <c r="M156">
        <v>1421340672</v>
      </c>
      <c r="N156">
        <v>60608512</v>
      </c>
      <c r="O156">
        <v>15918559232</v>
      </c>
      <c r="P156">
        <v>874.72500381109705</v>
      </c>
      <c r="Q156">
        <v>1072.4713714546599</v>
      </c>
      <c r="R156">
        <v>25.2227509749451</v>
      </c>
      <c r="S156">
        <v>1.57647243281932</v>
      </c>
      <c r="T156">
        <v>0</v>
      </c>
      <c r="U156">
        <v>6.98812646366006</v>
      </c>
      <c r="V156">
        <v>91.756285130742199</v>
      </c>
      <c r="W156">
        <v>2385.0633321908099</v>
      </c>
      <c r="X156">
        <v>1736.33417711522</v>
      </c>
    </row>
    <row r="157" spans="1:24" x14ac:dyDescent="0.25">
      <c r="A157" s="12">
        <v>45170.447639722224</v>
      </c>
      <c r="B157">
        <v>40.590628275043699</v>
      </c>
      <c r="C157">
        <v>69.524562228292794</v>
      </c>
      <c r="D157">
        <v>8309405.94512654</v>
      </c>
      <c r="E157">
        <v>7.8282422055154404E-4</v>
      </c>
      <c r="F157">
        <v>518.54619798569797</v>
      </c>
      <c r="G157">
        <v>1000000000</v>
      </c>
      <c r="H157">
        <v>100000</v>
      </c>
      <c r="I157">
        <v>433.44128762926601</v>
      </c>
      <c r="J157">
        <v>0</v>
      </c>
      <c r="K157">
        <v>142861.45672902101</v>
      </c>
      <c r="L157">
        <v>0</v>
      </c>
      <c r="M157">
        <v>1421979648</v>
      </c>
      <c r="N157">
        <v>63811584</v>
      </c>
      <c r="O157">
        <v>15915397120</v>
      </c>
      <c r="P157">
        <v>773.86092905499197</v>
      </c>
      <c r="Q157">
        <v>1032.14443606695</v>
      </c>
      <c r="R157">
        <v>41.562863197326898</v>
      </c>
      <c r="S157">
        <v>2.3192170897033999</v>
      </c>
      <c r="T157">
        <v>0.38653123395410999</v>
      </c>
      <c r="U157">
        <v>4.13902695892578</v>
      </c>
      <c r="V157">
        <v>92.648247572354805</v>
      </c>
      <c r="W157">
        <v>2258.2489003880901</v>
      </c>
      <c r="X157">
        <v>1860.43292407082</v>
      </c>
    </row>
    <row r="158" spans="1:24" x14ac:dyDescent="0.25">
      <c r="A158" s="12">
        <v>45170.44765130787</v>
      </c>
      <c r="B158">
        <v>39.617505180558403</v>
      </c>
      <c r="C158">
        <v>70.090202782859805</v>
      </c>
      <c r="D158">
        <v>8940064.1889037509</v>
      </c>
      <c r="E158">
        <v>6.5090305876354198E-4</v>
      </c>
      <c r="F158">
        <v>608.65361382818105</v>
      </c>
      <c r="G158">
        <v>1000000000</v>
      </c>
      <c r="H158">
        <v>100000</v>
      </c>
      <c r="I158">
        <v>446.74575596255602</v>
      </c>
      <c r="J158">
        <v>0</v>
      </c>
      <c r="K158">
        <v>153584.594653865</v>
      </c>
      <c r="L158">
        <v>0</v>
      </c>
      <c r="M158">
        <v>1422082048</v>
      </c>
      <c r="N158">
        <v>63467520</v>
      </c>
      <c r="O158">
        <v>15915798528</v>
      </c>
      <c r="P158">
        <v>855.51312551218905</v>
      </c>
      <c r="Q158">
        <v>855.51312551218905</v>
      </c>
      <c r="R158">
        <v>12.9926058781056</v>
      </c>
      <c r="S158">
        <v>0.39040832615241</v>
      </c>
      <c r="T158">
        <v>0.78080665797959903</v>
      </c>
      <c r="U158">
        <v>7.4744060322548798</v>
      </c>
      <c r="V158">
        <v>92.3580490997211</v>
      </c>
      <c r="W158">
        <v>2340.6679205017999</v>
      </c>
      <c r="X158">
        <v>1684.0416080467701</v>
      </c>
    </row>
    <row r="159" spans="1:24" x14ac:dyDescent="0.25">
      <c r="A159" s="12">
        <v>45170.44766273148</v>
      </c>
      <c r="B159">
        <v>42.3219524068383</v>
      </c>
      <c r="C159">
        <v>68.302366252758603</v>
      </c>
      <c r="D159">
        <v>9572033.5027452298</v>
      </c>
      <c r="E159">
        <v>6.7094681422675097E-4</v>
      </c>
      <c r="F159">
        <v>630.80700029981006</v>
      </c>
      <c r="G159">
        <v>1000000000</v>
      </c>
      <c r="H159">
        <v>100000</v>
      </c>
      <c r="I159">
        <v>392.86214464899899</v>
      </c>
      <c r="J159">
        <v>0</v>
      </c>
      <c r="K159">
        <v>133095.21440675599</v>
      </c>
      <c r="L159">
        <v>0</v>
      </c>
      <c r="M159">
        <v>1420972032</v>
      </c>
      <c r="N159">
        <v>61509632</v>
      </c>
      <c r="O159">
        <v>15918120960</v>
      </c>
      <c r="P159">
        <v>879.88970025768106</v>
      </c>
      <c r="Q159">
        <v>1134.03505671876</v>
      </c>
      <c r="R159">
        <v>47.5889711301622</v>
      </c>
      <c r="S159">
        <v>0.79100539037900497</v>
      </c>
      <c r="T159">
        <v>0.39550775762400098</v>
      </c>
      <c r="U159">
        <v>9.8253854967934</v>
      </c>
      <c r="V159">
        <v>92.105325772216105</v>
      </c>
      <c r="W159">
        <v>2272.1202386400801</v>
      </c>
      <c r="X159">
        <v>1650.4260200460501</v>
      </c>
    </row>
    <row r="160" spans="1:24" x14ac:dyDescent="0.25">
      <c r="A160" s="12">
        <v>45170.447674317133</v>
      </c>
      <c r="B160">
        <v>57.300474132943002</v>
      </c>
      <c r="C160">
        <v>66.853884190685207</v>
      </c>
      <c r="D160">
        <v>7878973.9082768196</v>
      </c>
      <c r="E160">
        <v>1.1490983596866601E-3</v>
      </c>
      <c r="F160">
        <v>498.63128807707602</v>
      </c>
      <c r="G160">
        <v>1000000000</v>
      </c>
      <c r="H160">
        <v>100000</v>
      </c>
      <c r="I160">
        <v>340.74803453764099</v>
      </c>
      <c r="J160">
        <v>0</v>
      </c>
      <c r="K160">
        <v>108565.721291426</v>
      </c>
      <c r="L160">
        <v>0</v>
      </c>
      <c r="M160">
        <v>1420701696</v>
      </c>
      <c r="N160">
        <v>60211200</v>
      </c>
      <c r="O160">
        <v>15919632384</v>
      </c>
      <c r="P160">
        <v>744.44951827138595</v>
      </c>
      <c r="Q160">
        <v>989.26848736734598</v>
      </c>
      <c r="R160">
        <v>36.972660638981601</v>
      </c>
      <c r="S160">
        <v>0.78071146523128299</v>
      </c>
      <c r="T160">
        <v>0.390350736062264</v>
      </c>
      <c r="U160">
        <v>4.7532012417834197</v>
      </c>
      <c r="V160">
        <v>93.254243223024702</v>
      </c>
      <c r="W160">
        <v>2512.1424012540401</v>
      </c>
      <c r="X160">
        <v>1403.9618431829499</v>
      </c>
    </row>
    <row r="161" spans="1:24" x14ac:dyDescent="0.25">
      <c r="A161" s="12">
        <v>45170.447686041669</v>
      </c>
      <c r="B161">
        <v>38.424942735379901</v>
      </c>
      <c r="C161">
        <v>70.312411276254196</v>
      </c>
      <c r="D161">
        <v>8870814.3450957108</v>
      </c>
      <c r="E161">
        <v>7.1263758061803695E-4</v>
      </c>
      <c r="F161">
        <v>539.20952235520497</v>
      </c>
      <c r="G161">
        <v>1000000000</v>
      </c>
      <c r="H161">
        <v>100000</v>
      </c>
      <c r="I161">
        <v>403.913360152525</v>
      </c>
      <c r="J161">
        <v>0</v>
      </c>
      <c r="K161">
        <v>135971.65545046501</v>
      </c>
      <c r="L161">
        <v>0</v>
      </c>
      <c r="M161">
        <v>1420148736</v>
      </c>
      <c r="N161">
        <v>63774720</v>
      </c>
      <c r="O161">
        <v>15916023808</v>
      </c>
      <c r="P161">
        <v>859.180008148404</v>
      </c>
      <c r="Q161">
        <v>1150.5111603366499</v>
      </c>
      <c r="R161">
        <v>29.626896832703601</v>
      </c>
      <c r="S161">
        <v>0</v>
      </c>
      <c r="T161">
        <v>0.385760354169145</v>
      </c>
      <c r="U161">
        <v>5.4899278952147501</v>
      </c>
      <c r="V161">
        <v>92.807119329148406</v>
      </c>
      <c r="W161">
        <v>2028.4548698124399</v>
      </c>
      <c r="X161">
        <v>1612.6907509268301</v>
      </c>
    </row>
    <row r="162" spans="1:24" x14ac:dyDescent="0.25">
      <c r="A162" s="12">
        <v>45170.447697442127</v>
      </c>
      <c r="B162">
        <v>44.342563655677999</v>
      </c>
      <c r="C162">
        <v>66.452963245088199</v>
      </c>
      <c r="D162">
        <v>10153740.114349101</v>
      </c>
      <c r="E162">
        <v>7.00320497397351E-4</v>
      </c>
      <c r="F162">
        <v>633.18004320318096</v>
      </c>
      <c r="G162">
        <v>1000000000</v>
      </c>
      <c r="H162">
        <v>100000</v>
      </c>
      <c r="I162">
        <v>458.64964667922698</v>
      </c>
      <c r="J162">
        <v>0</v>
      </c>
      <c r="K162">
        <v>153663.867023264</v>
      </c>
      <c r="L162">
        <v>0</v>
      </c>
      <c r="M162">
        <v>1420484608</v>
      </c>
      <c r="N162">
        <v>62570496</v>
      </c>
      <c r="O162">
        <v>15916806144</v>
      </c>
      <c r="P162">
        <v>1021.81458895128</v>
      </c>
      <c r="Q162">
        <v>1375.9489400376799</v>
      </c>
      <c r="R162">
        <v>20.294232153948101</v>
      </c>
      <c r="S162">
        <v>1.58547495908459</v>
      </c>
      <c r="T162">
        <v>0</v>
      </c>
      <c r="U162">
        <v>12.402503437056</v>
      </c>
      <c r="V162">
        <v>91.172846602836998</v>
      </c>
      <c r="W162">
        <v>2468.7933415277798</v>
      </c>
      <c r="X162">
        <v>1859.9663769093399</v>
      </c>
    </row>
    <row r="163" spans="1:24" x14ac:dyDescent="0.25">
      <c r="A163" s="12">
        <v>45170.447709155094</v>
      </c>
      <c r="B163">
        <v>56.195449473165098</v>
      </c>
      <c r="C163">
        <v>57.163995735629101</v>
      </c>
      <c r="D163">
        <v>12646424.021851299</v>
      </c>
      <c r="E163">
        <v>7.2065896696120501E-4</v>
      </c>
      <c r="F163">
        <v>779.78301128554301</v>
      </c>
      <c r="G163">
        <v>1000000000</v>
      </c>
      <c r="H163">
        <v>100000</v>
      </c>
      <c r="I163">
        <v>583.10770172176206</v>
      </c>
      <c r="J163">
        <v>0</v>
      </c>
      <c r="K163">
        <v>188480.17555924301</v>
      </c>
      <c r="L163">
        <v>0</v>
      </c>
      <c r="M163">
        <v>1419546624</v>
      </c>
      <c r="N163">
        <v>62115840</v>
      </c>
      <c r="O163">
        <v>15917223936</v>
      </c>
      <c r="P163">
        <v>1225.51449175421</v>
      </c>
      <c r="Q163">
        <v>1370.7972581153899</v>
      </c>
      <c r="R163">
        <v>46.450952510038697</v>
      </c>
      <c r="S163">
        <v>2.3163574516836198</v>
      </c>
      <c r="T163">
        <v>0</v>
      </c>
      <c r="U163">
        <v>11.206297685460999</v>
      </c>
      <c r="V163">
        <v>89.469787138239298</v>
      </c>
      <c r="W163">
        <v>3074.6577289091501</v>
      </c>
      <c r="X163">
        <v>2217.7859028197199</v>
      </c>
    </row>
    <row r="164" spans="1:24" x14ac:dyDescent="0.25">
      <c r="A164" s="12">
        <v>45170.447720682867</v>
      </c>
      <c r="B164">
        <v>53.1223115616543</v>
      </c>
      <c r="C164">
        <v>62.612025063689003</v>
      </c>
      <c r="D164">
        <v>10989946.329749299</v>
      </c>
      <c r="E164">
        <v>7.99093893040568E-4</v>
      </c>
      <c r="F164">
        <v>664.74818340864203</v>
      </c>
      <c r="G164">
        <v>1000000000</v>
      </c>
      <c r="H164">
        <v>100000</v>
      </c>
      <c r="I164">
        <v>512.11718057161295</v>
      </c>
      <c r="J164">
        <v>0</v>
      </c>
      <c r="K164">
        <v>164170.70997257601</v>
      </c>
      <c r="L164">
        <v>0</v>
      </c>
      <c r="M164">
        <v>1419726848</v>
      </c>
      <c r="N164">
        <v>66330624</v>
      </c>
      <c r="O164">
        <v>15912804352</v>
      </c>
      <c r="P164">
        <v>1033.2717231533099</v>
      </c>
      <c r="Q164">
        <v>1426.8990462593299</v>
      </c>
      <c r="R164">
        <v>30.1245400336242</v>
      </c>
      <c r="S164">
        <v>1.17679476842638</v>
      </c>
      <c r="T164">
        <v>0</v>
      </c>
      <c r="U164">
        <v>7.4250832308126196</v>
      </c>
      <c r="V164">
        <v>90.906123034286097</v>
      </c>
      <c r="W164">
        <v>2795.5573151203298</v>
      </c>
      <c r="X164">
        <v>1970.1449181990199</v>
      </c>
    </row>
    <row r="165" spans="1:24" x14ac:dyDescent="0.25">
      <c r="A165" s="12">
        <v>45170.447732395834</v>
      </c>
      <c r="B165">
        <v>55.981478670107698</v>
      </c>
      <c r="C165">
        <v>60.093112696725797</v>
      </c>
      <c r="D165">
        <v>9632435.0471912399</v>
      </c>
      <c r="E165">
        <v>9.6820490007943998E-4</v>
      </c>
      <c r="F165">
        <v>578.157678892837</v>
      </c>
      <c r="G165">
        <v>1000000000</v>
      </c>
      <c r="H165">
        <v>100000</v>
      </c>
      <c r="I165">
        <v>420.02908295633398</v>
      </c>
      <c r="J165">
        <v>0</v>
      </c>
      <c r="K165">
        <v>135715.844069952</v>
      </c>
      <c r="L165">
        <v>0</v>
      </c>
      <c r="M165">
        <v>1421307904</v>
      </c>
      <c r="N165">
        <v>63418368</v>
      </c>
      <c r="O165">
        <v>15915139072</v>
      </c>
      <c r="P165">
        <v>924.06398250393602</v>
      </c>
      <c r="Q165">
        <v>1264.0404637674101</v>
      </c>
      <c r="R165">
        <v>44.473667607141302</v>
      </c>
      <c r="S165">
        <v>0.77216684694600402</v>
      </c>
      <c r="T165">
        <v>0</v>
      </c>
      <c r="U165">
        <v>8.49823357876625</v>
      </c>
      <c r="V165">
        <v>91.869510573225</v>
      </c>
      <c r="W165">
        <v>2409.48448058245</v>
      </c>
      <c r="X165">
        <v>1699.8824063174</v>
      </c>
    </row>
    <row r="166" spans="1:24" x14ac:dyDescent="0.25">
      <c r="A166" s="12">
        <v>45170.447743865741</v>
      </c>
      <c r="B166">
        <v>56.288820267445999</v>
      </c>
      <c r="C166">
        <v>56.813469604944999</v>
      </c>
      <c r="D166">
        <v>12481449.387441101</v>
      </c>
      <c r="E166">
        <v>7.4685395373316396E-4</v>
      </c>
      <c r="F166">
        <v>753.73508417342703</v>
      </c>
      <c r="G166">
        <v>1000000000</v>
      </c>
      <c r="H166">
        <v>100000</v>
      </c>
      <c r="I166">
        <v>597.33757674788296</v>
      </c>
      <c r="J166">
        <v>0</v>
      </c>
      <c r="K166">
        <v>198885.16060408999</v>
      </c>
      <c r="L166">
        <v>0</v>
      </c>
      <c r="M166">
        <v>1420877824</v>
      </c>
      <c r="N166">
        <v>63393792</v>
      </c>
      <c r="O166">
        <v>15915163648</v>
      </c>
      <c r="P166">
        <v>1219.9005579192401</v>
      </c>
      <c r="Q166">
        <v>1517.56033011624</v>
      </c>
      <c r="R166">
        <v>62.559002970217499</v>
      </c>
      <c r="S166">
        <v>2.3647055476219099</v>
      </c>
      <c r="T166">
        <v>0.39411254656515099</v>
      </c>
      <c r="U166">
        <v>10.535301736932301</v>
      </c>
      <c r="V166">
        <v>89.625180423880295</v>
      </c>
      <c r="W166">
        <v>3099.6976955565801</v>
      </c>
      <c r="X166">
        <v>2211.76345985027</v>
      </c>
    </row>
    <row r="167" spans="1:24" x14ac:dyDescent="0.25">
      <c r="A167" s="12">
        <v>45170.447755266207</v>
      </c>
      <c r="B167">
        <v>67.811623064350897</v>
      </c>
      <c r="C167">
        <v>51.5611787638138</v>
      </c>
      <c r="D167">
        <v>15492858.8579282</v>
      </c>
      <c r="E167">
        <v>7.1573892461332703E-4</v>
      </c>
      <c r="F167">
        <v>947.38413850014501</v>
      </c>
      <c r="G167">
        <v>1000000000</v>
      </c>
      <c r="H167">
        <v>100000</v>
      </c>
      <c r="I167">
        <v>769.87640377046102</v>
      </c>
      <c r="J167">
        <v>0</v>
      </c>
      <c r="K167">
        <v>247792.68304333699</v>
      </c>
      <c r="L167">
        <v>0</v>
      </c>
      <c r="M167">
        <v>1420783616</v>
      </c>
      <c r="N167">
        <v>61353984</v>
      </c>
      <c r="O167">
        <v>15917469696</v>
      </c>
      <c r="P167">
        <v>1567.1397151849301</v>
      </c>
      <c r="Q167">
        <v>2014.4592067037299</v>
      </c>
      <c r="R167">
        <v>49.702165724311698</v>
      </c>
      <c r="S167">
        <v>1.5849762309356501</v>
      </c>
      <c r="T167">
        <v>0</v>
      </c>
      <c r="U167">
        <v>10.0526039663256</v>
      </c>
      <c r="V167">
        <v>87.0075871924588</v>
      </c>
      <c r="W167">
        <v>4187.1538797950698</v>
      </c>
      <c r="X167">
        <v>2789.4072600379</v>
      </c>
    </row>
    <row r="168" spans="1:24" x14ac:dyDescent="0.25">
      <c r="A168" s="12">
        <v>45170.447766921294</v>
      </c>
      <c r="B168">
        <v>43.469685731559998</v>
      </c>
      <c r="C168">
        <v>65.7361007542859</v>
      </c>
      <c r="D168">
        <v>10001990.735688901</v>
      </c>
      <c r="E168">
        <v>7.1254039006336703E-4</v>
      </c>
      <c r="F168">
        <v>610.100449011416</v>
      </c>
      <c r="G168">
        <v>1000000000</v>
      </c>
      <c r="H168">
        <v>100000</v>
      </c>
      <c r="I168">
        <v>433.23093773449102</v>
      </c>
      <c r="J168">
        <v>0</v>
      </c>
      <c r="K168">
        <v>139565.94278052999</v>
      </c>
      <c r="L168">
        <v>0</v>
      </c>
      <c r="M168">
        <v>1420095488</v>
      </c>
      <c r="N168">
        <v>65347584</v>
      </c>
      <c r="O168">
        <v>15913611264</v>
      </c>
      <c r="P168">
        <v>968.80771626405601</v>
      </c>
      <c r="Q168">
        <v>1115.86775934824</v>
      </c>
      <c r="R168">
        <v>29.809468192740201</v>
      </c>
      <c r="S168">
        <v>0.388127161995869</v>
      </c>
      <c r="T168">
        <v>0.77624438806357199</v>
      </c>
      <c r="U168">
        <v>8.7912794345661993</v>
      </c>
      <c r="V168">
        <v>91.9835043720567</v>
      </c>
      <c r="W168">
        <v>2276.4497209855899</v>
      </c>
      <c r="X168">
        <v>1758.75862337167</v>
      </c>
    </row>
    <row r="169" spans="1:24" x14ac:dyDescent="0.25">
      <c r="A169" s="12">
        <v>45170.447778692127</v>
      </c>
      <c r="B169">
        <v>41.8351392545515</v>
      </c>
      <c r="C169">
        <v>68.157930847586897</v>
      </c>
      <c r="D169">
        <v>9548670.0793014392</v>
      </c>
      <c r="E169">
        <v>7.1120406326849895E-4</v>
      </c>
      <c r="F169">
        <v>588.21457050021604</v>
      </c>
      <c r="G169">
        <v>1000000000</v>
      </c>
      <c r="H169">
        <v>100000</v>
      </c>
      <c r="I169">
        <v>465.260019810372</v>
      </c>
      <c r="J169">
        <v>0</v>
      </c>
      <c r="K169">
        <v>151350.16644435999</v>
      </c>
      <c r="L169">
        <v>0</v>
      </c>
      <c r="M169">
        <v>1420607488</v>
      </c>
      <c r="N169">
        <v>63660032</v>
      </c>
      <c r="O169">
        <v>15914975232</v>
      </c>
      <c r="P169">
        <v>897.07640183310605</v>
      </c>
      <c r="Q169">
        <v>1284.62914560749</v>
      </c>
      <c r="R169">
        <v>30.4927285710814</v>
      </c>
      <c r="S169">
        <v>6.1478866762508098</v>
      </c>
      <c r="T169">
        <v>0.38424783557501602</v>
      </c>
      <c r="U169">
        <v>11.2398910299382</v>
      </c>
      <c r="V169">
        <v>91.649881296603994</v>
      </c>
      <c r="W169">
        <v>2395.1546474381698</v>
      </c>
      <c r="X169">
        <v>1760.70916587857</v>
      </c>
    </row>
    <row r="170" spans="1:24" x14ac:dyDescent="0.25">
      <c r="A170" s="12">
        <v>45170.447790104168</v>
      </c>
      <c r="B170">
        <v>51.771773878818102</v>
      </c>
      <c r="C170">
        <v>61.353506412206897</v>
      </c>
      <c r="D170">
        <v>11076250.9908855</v>
      </c>
      <c r="E170">
        <v>7.4758455658883397E-4</v>
      </c>
      <c r="F170">
        <v>692.517142642463</v>
      </c>
      <c r="G170">
        <v>1000000000</v>
      </c>
      <c r="H170">
        <v>100000</v>
      </c>
      <c r="I170">
        <v>516.09257043193804</v>
      </c>
      <c r="J170">
        <v>0</v>
      </c>
      <c r="K170">
        <v>164435.81277479301</v>
      </c>
      <c r="L170">
        <v>0</v>
      </c>
      <c r="M170">
        <v>1420038144</v>
      </c>
      <c r="N170">
        <v>62238720</v>
      </c>
      <c r="O170">
        <v>15916969984</v>
      </c>
      <c r="P170">
        <v>1089.9793972776599</v>
      </c>
      <c r="Q170">
        <v>1487.4416519128699</v>
      </c>
      <c r="R170">
        <v>42.585241568057697</v>
      </c>
      <c r="S170">
        <v>0.79214058642433705</v>
      </c>
      <c r="T170">
        <v>0.39606522351241502</v>
      </c>
      <c r="U170">
        <v>8.9038325612011597</v>
      </c>
      <c r="V170">
        <v>90.555321729736903</v>
      </c>
      <c r="W170">
        <v>2818.7374180761999</v>
      </c>
      <c r="X170">
        <v>1997.4506164065101</v>
      </c>
    </row>
    <row r="171" spans="1:24" x14ac:dyDescent="0.25">
      <c r="A171" s="12">
        <v>45170.447801678238</v>
      </c>
      <c r="B171">
        <v>54.333335965859199</v>
      </c>
      <c r="C171">
        <v>60.531435008882703</v>
      </c>
      <c r="D171">
        <v>8273698.6444775397</v>
      </c>
      <c r="E171">
        <v>1.05945371264456E-3</v>
      </c>
      <c r="F171">
        <v>512.85933012512601</v>
      </c>
      <c r="G171">
        <v>1000000000</v>
      </c>
      <c r="H171">
        <v>100000</v>
      </c>
      <c r="I171">
        <v>386.89388062070901</v>
      </c>
      <c r="J171">
        <v>0</v>
      </c>
      <c r="K171">
        <v>128852.65758512099</v>
      </c>
      <c r="L171">
        <v>0</v>
      </c>
      <c r="M171">
        <v>1420152832</v>
      </c>
      <c r="N171">
        <v>65388544</v>
      </c>
      <c r="O171">
        <v>15913885696</v>
      </c>
      <c r="P171">
        <v>768.78913229283</v>
      </c>
      <c r="Q171">
        <v>964.735387077479</v>
      </c>
      <c r="R171">
        <v>28.992047901810199</v>
      </c>
      <c r="S171">
        <v>1.1715106976690199</v>
      </c>
      <c r="T171">
        <v>0.39051023051230099</v>
      </c>
      <c r="U171">
        <v>9.4027861654830396</v>
      </c>
      <c r="V171">
        <v>92.793550218147999</v>
      </c>
      <c r="W171">
        <v>1978.45733785112</v>
      </c>
      <c r="X171">
        <v>1523.5821035296101</v>
      </c>
    </row>
    <row r="172" spans="1:24" x14ac:dyDescent="0.25">
      <c r="A172" s="12">
        <v>45170.447813263891</v>
      </c>
      <c r="B172">
        <v>55.004264628033603</v>
      </c>
      <c r="C172">
        <v>61.165780836366402</v>
      </c>
      <c r="D172">
        <v>9649221.5060862303</v>
      </c>
      <c r="E172">
        <v>8.8695690814767603E-4</v>
      </c>
      <c r="F172">
        <v>620.14891390845503</v>
      </c>
      <c r="G172">
        <v>1000000000</v>
      </c>
      <c r="H172">
        <v>100000</v>
      </c>
      <c r="I172">
        <v>487.331191606</v>
      </c>
      <c r="J172">
        <v>0</v>
      </c>
      <c r="K172">
        <v>163341.83132423501</v>
      </c>
      <c r="L172">
        <v>0</v>
      </c>
      <c r="M172">
        <v>1421053952</v>
      </c>
      <c r="N172">
        <v>63422464</v>
      </c>
      <c r="O172">
        <v>15915913216</v>
      </c>
      <c r="P172">
        <v>972.66512423000904</v>
      </c>
      <c r="Q172">
        <v>1119.4636594064</v>
      </c>
      <c r="R172">
        <v>30.957514220872898</v>
      </c>
      <c r="S172">
        <v>2.3405273279221799</v>
      </c>
      <c r="T172">
        <v>0.78017577597406096</v>
      </c>
      <c r="U172">
        <v>10.669868657845001</v>
      </c>
      <c r="V172">
        <v>91.678617711273304</v>
      </c>
      <c r="W172">
        <v>2373.7423000972599</v>
      </c>
      <c r="X172">
        <v>1826.4933390315</v>
      </c>
    </row>
    <row r="173" spans="1:24" x14ac:dyDescent="0.25">
      <c r="A173" s="12">
        <v>45170.447824918978</v>
      </c>
      <c r="B173">
        <v>46.223216512009699</v>
      </c>
      <c r="C173">
        <v>66.349637456203098</v>
      </c>
      <c r="D173">
        <v>10822128.7294544</v>
      </c>
      <c r="E173">
        <v>7.0075276709866499E-4</v>
      </c>
      <c r="F173">
        <v>659.63003224191402</v>
      </c>
      <c r="G173">
        <v>1000000000</v>
      </c>
      <c r="H173">
        <v>100000</v>
      </c>
      <c r="I173">
        <v>473.860730993061</v>
      </c>
      <c r="J173">
        <v>0</v>
      </c>
      <c r="K173">
        <v>153087.81209117899</v>
      </c>
      <c r="L173">
        <v>0</v>
      </c>
      <c r="M173">
        <v>1420566528</v>
      </c>
      <c r="N173">
        <v>62787584</v>
      </c>
      <c r="O173">
        <v>15916687360</v>
      </c>
      <c r="P173">
        <v>979.51086113031204</v>
      </c>
      <c r="Q173">
        <v>1125.5434134489201</v>
      </c>
      <c r="R173">
        <v>45.697261269771097</v>
      </c>
      <c r="S173">
        <v>0.776099030733025</v>
      </c>
      <c r="T173">
        <v>0</v>
      </c>
      <c r="U173">
        <v>7.2561707944373204</v>
      </c>
      <c r="V173">
        <v>91.2954421504474</v>
      </c>
      <c r="W173">
        <v>2599.7767987606699</v>
      </c>
      <c r="X173">
        <v>1845.7719878094499</v>
      </c>
    </row>
    <row r="174" spans="1:24" x14ac:dyDescent="0.25">
      <c r="A174" s="12">
        <v>45170.44783646991</v>
      </c>
      <c r="B174">
        <v>40.764099848089302</v>
      </c>
      <c r="C174">
        <v>69.189717543978503</v>
      </c>
      <c r="D174">
        <v>9315265.4358773101</v>
      </c>
      <c r="E174">
        <v>6.9640401455701604E-4</v>
      </c>
      <c r="F174">
        <v>585.34732469135895</v>
      </c>
      <c r="G174">
        <v>1000000000</v>
      </c>
      <c r="H174">
        <v>100000</v>
      </c>
      <c r="I174">
        <v>426.98280876458699</v>
      </c>
      <c r="J174">
        <v>0</v>
      </c>
      <c r="K174">
        <v>141469.62807574801</v>
      </c>
      <c r="L174">
        <v>0</v>
      </c>
      <c r="M174">
        <v>1421225984</v>
      </c>
      <c r="N174">
        <v>61505536</v>
      </c>
      <c r="O174">
        <v>15918059520</v>
      </c>
      <c r="P174">
        <v>914.10404129883602</v>
      </c>
      <c r="Q174">
        <v>1209.7846248329899</v>
      </c>
      <c r="R174">
        <v>41.094589575934499</v>
      </c>
      <c r="S174">
        <v>1.95764903703709</v>
      </c>
      <c r="T174">
        <v>0</v>
      </c>
      <c r="U174">
        <v>9.5568410117916098</v>
      </c>
      <c r="V174">
        <v>92.385663064618299</v>
      </c>
      <c r="W174">
        <v>2302.2993233151601</v>
      </c>
      <c r="X174">
        <v>1691.8943220531</v>
      </c>
    </row>
    <row r="175" spans="1:24" x14ac:dyDescent="0.25">
      <c r="A175" s="12">
        <v>45170.447848043979</v>
      </c>
      <c r="B175">
        <v>46.917060274776198</v>
      </c>
      <c r="C175">
        <v>68.621074307705896</v>
      </c>
      <c r="D175">
        <v>10414674.5839926</v>
      </c>
      <c r="E175">
        <v>7.4492100817092201E-4</v>
      </c>
      <c r="F175">
        <v>629.78826503942196</v>
      </c>
      <c r="G175">
        <v>1000000000</v>
      </c>
      <c r="H175">
        <v>100000</v>
      </c>
      <c r="I175">
        <v>469.84203899766402</v>
      </c>
      <c r="J175">
        <v>0</v>
      </c>
      <c r="K175">
        <v>161199.80458836001</v>
      </c>
      <c r="L175">
        <v>0</v>
      </c>
      <c r="M175">
        <v>1420738560</v>
      </c>
      <c r="N175">
        <v>64770048</v>
      </c>
      <c r="O175">
        <v>15915012096</v>
      </c>
      <c r="P175">
        <v>988.66760972061695</v>
      </c>
      <c r="Q175">
        <v>1331.5523317976299</v>
      </c>
      <c r="R175">
        <v>42.985548248722502</v>
      </c>
      <c r="S175">
        <v>0.781034590659896</v>
      </c>
      <c r="T175">
        <v>0</v>
      </c>
      <c r="U175">
        <v>7.0568837114723699</v>
      </c>
      <c r="V175">
        <v>91.494835724307194</v>
      </c>
      <c r="W175">
        <v>2627.11676273587</v>
      </c>
      <c r="X175">
        <v>1819.38832122499</v>
      </c>
    </row>
    <row r="176" spans="1:24" x14ac:dyDescent="0.25">
      <c r="A176" s="12">
        <v>45170.447859618056</v>
      </c>
      <c r="B176">
        <v>52.062488586954402</v>
      </c>
      <c r="C176">
        <v>64.413078945173496</v>
      </c>
      <c r="D176">
        <v>10289868.318679599</v>
      </c>
      <c r="E176">
        <v>8.4788267659381201E-4</v>
      </c>
      <c r="F176">
        <v>614.04274595898005</v>
      </c>
      <c r="G176">
        <v>1000000000</v>
      </c>
      <c r="H176">
        <v>100000</v>
      </c>
      <c r="I176">
        <v>471.03279046690398</v>
      </c>
      <c r="J176">
        <v>0</v>
      </c>
      <c r="K176">
        <v>156288.87989084201</v>
      </c>
      <c r="L176">
        <v>0</v>
      </c>
      <c r="M176">
        <v>1420451840</v>
      </c>
      <c r="N176">
        <v>63741952</v>
      </c>
      <c r="O176">
        <v>15915622400</v>
      </c>
      <c r="P176">
        <v>969.06746064210301</v>
      </c>
      <c r="Q176">
        <v>1214.0845172544</v>
      </c>
      <c r="R176">
        <v>37.002575896550901</v>
      </c>
      <c r="S176">
        <v>1.5625746910702301</v>
      </c>
      <c r="T176">
        <v>1.5625746910702301</v>
      </c>
      <c r="U176">
        <v>7.4174545543276897</v>
      </c>
      <c r="V176">
        <v>91.521904747046904</v>
      </c>
      <c r="W176">
        <v>2498.17390782659</v>
      </c>
      <c r="X176">
        <v>1819.1266366439399</v>
      </c>
    </row>
    <row r="177" spans="1:24" x14ac:dyDescent="0.25">
      <c r="A177" s="12">
        <v>45170.447871168981</v>
      </c>
      <c r="B177">
        <v>63.465274104554901</v>
      </c>
      <c r="C177">
        <v>55.108779219300899</v>
      </c>
      <c r="D177">
        <v>9501580.3441187106</v>
      </c>
      <c r="E177">
        <v>1.1210618640052101E-3</v>
      </c>
      <c r="F177">
        <v>566.15239589243401</v>
      </c>
      <c r="G177">
        <v>1000000000</v>
      </c>
      <c r="H177">
        <v>100000</v>
      </c>
      <c r="I177">
        <v>485.98922479262001</v>
      </c>
      <c r="J177">
        <v>0</v>
      </c>
      <c r="K177">
        <v>153602.65622363001</v>
      </c>
      <c r="L177">
        <v>0</v>
      </c>
      <c r="M177">
        <v>1420652544</v>
      </c>
      <c r="N177">
        <v>62767104</v>
      </c>
      <c r="O177">
        <v>15915626496</v>
      </c>
      <c r="P177">
        <v>968.97233066899798</v>
      </c>
      <c r="Q177">
        <v>1957.98545411295</v>
      </c>
      <c r="R177">
        <v>26.0530306074394</v>
      </c>
      <c r="S177">
        <v>0.78279515936507005</v>
      </c>
      <c r="T177">
        <v>0.391392569793515</v>
      </c>
      <c r="U177">
        <v>8.4129663542867199</v>
      </c>
      <c r="V177">
        <v>91.557385122493201</v>
      </c>
      <c r="W177">
        <v>2782.6640768022799</v>
      </c>
      <c r="X177">
        <v>1854.7753713219299</v>
      </c>
    </row>
    <row r="178" spans="1:24" x14ac:dyDescent="0.25">
      <c r="A178" s="12">
        <v>45170.447882627312</v>
      </c>
      <c r="B178">
        <v>42.2777848420304</v>
      </c>
      <c r="C178">
        <v>68.547378337998197</v>
      </c>
      <c r="D178">
        <v>9526498.2246693298</v>
      </c>
      <c r="E178">
        <v>7.1555570142438395E-4</v>
      </c>
      <c r="F178">
        <v>590.79290487182595</v>
      </c>
      <c r="G178">
        <v>1000000000</v>
      </c>
      <c r="H178">
        <v>100000</v>
      </c>
      <c r="I178">
        <v>478.693738306402</v>
      </c>
      <c r="J178">
        <v>0</v>
      </c>
      <c r="K178">
        <v>154189.87885473599</v>
      </c>
      <c r="L178">
        <v>0</v>
      </c>
      <c r="M178">
        <v>1420365824</v>
      </c>
      <c r="N178">
        <v>60547072</v>
      </c>
      <c r="O178">
        <v>15917854720</v>
      </c>
      <c r="P178">
        <v>891.743820515935</v>
      </c>
      <c r="Q178">
        <v>1139.1699088810501</v>
      </c>
      <c r="R178">
        <v>20.198048029805999</v>
      </c>
      <c r="S178">
        <v>1.57809457275854</v>
      </c>
      <c r="T178">
        <v>0</v>
      </c>
      <c r="U178">
        <v>6.1033729208667102</v>
      </c>
      <c r="V178">
        <v>91.762295831174001</v>
      </c>
      <c r="W178">
        <v>2505.56785809743</v>
      </c>
      <c r="X178">
        <v>1816.8144202810499</v>
      </c>
    </row>
    <row r="179" spans="1:24" x14ac:dyDescent="0.25">
      <c r="A179" s="12">
        <v>45170.447894282406</v>
      </c>
      <c r="B179">
        <v>47.244638656957399</v>
      </c>
      <c r="C179">
        <v>63.975873658422998</v>
      </c>
      <c r="D179">
        <v>10626946.8376093</v>
      </c>
      <c r="E179">
        <v>7.2310030297628605E-4</v>
      </c>
      <c r="F179">
        <v>653.33367521868399</v>
      </c>
      <c r="G179">
        <v>1000000000</v>
      </c>
      <c r="H179">
        <v>100000</v>
      </c>
      <c r="I179">
        <v>486.52507729050899</v>
      </c>
      <c r="J179">
        <v>0</v>
      </c>
      <c r="K179">
        <v>156248.025026007</v>
      </c>
      <c r="L179">
        <v>0</v>
      </c>
      <c r="M179">
        <v>1421316096</v>
      </c>
      <c r="N179">
        <v>65007616</v>
      </c>
      <c r="O179">
        <v>15913549824</v>
      </c>
      <c r="P179">
        <v>1081.2771615701299</v>
      </c>
      <c r="Q179">
        <v>1275.8871924863299</v>
      </c>
      <c r="R179">
        <v>43.687966124045701</v>
      </c>
      <c r="S179">
        <v>1.1636102291493999</v>
      </c>
      <c r="T179">
        <v>0.38787669606068198</v>
      </c>
      <c r="U179">
        <v>5.7471643287289398</v>
      </c>
      <c r="V179">
        <v>91.061032367840099</v>
      </c>
      <c r="W179">
        <v>2557.7318348986801</v>
      </c>
      <c r="X179">
        <v>1917.3059678530001</v>
      </c>
    </row>
    <row r="180" spans="1:24" x14ac:dyDescent="0.25">
      <c r="A180" s="12">
        <v>45170.447905937501</v>
      </c>
      <c r="B180">
        <v>42.943796772033103</v>
      </c>
      <c r="C180">
        <v>66.914044657972397</v>
      </c>
      <c r="D180">
        <v>9865476.7176777404</v>
      </c>
      <c r="E180">
        <v>7.07528517135819E-4</v>
      </c>
      <c r="F180">
        <v>606.98386934857501</v>
      </c>
      <c r="G180">
        <v>1000000000</v>
      </c>
      <c r="H180">
        <v>100000</v>
      </c>
      <c r="I180">
        <v>483.79892696032101</v>
      </c>
      <c r="J180">
        <v>0</v>
      </c>
      <c r="K180">
        <v>159911.93690513901</v>
      </c>
      <c r="L180">
        <v>0</v>
      </c>
      <c r="M180">
        <v>1420623872</v>
      </c>
      <c r="N180">
        <v>64114688</v>
      </c>
      <c r="O180">
        <v>15914614784</v>
      </c>
      <c r="P180">
        <v>917.92650618344203</v>
      </c>
      <c r="Q180">
        <v>1113.631616268</v>
      </c>
      <c r="R180">
        <v>17.881685185391699</v>
      </c>
      <c r="S180">
        <v>2.3282332566378101</v>
      </c>
      <c r="T180">
        <v>0.38803390920868702</v>
      </c>
      <c r="U180">
        <v>8.0347913297040403</v>
      </c>
      <c r="V180">
        <v>91.757572482433503</v>
      </c>
      <c r="W180">
        <v>2437.8697469417398</v>
      </c>
      <c r="X180">
        <v>1840.8201471406001</v>
      </c>
    </row>
    <row r="181" spans="1:24" x14ac:dyDescent="0.25">
      <c r="A181" s="12">
        <v>45170.447917476849</v>
      </c>
      <c r="B181">
        <v>36.455629967129703</v>
      </c>
      <c r="C181">
        <v>72.459828082712704</v>
      </c>
      <c r="D181">
        <v>8224324.6220424501</v>
      </c>
      <c r="E181">
        <v>7.0700398716628198E-4</v>
      </c>
      <c r="F181">
        <v>515.64144954392304</v>
      </c>
      <c r="G181">
        <v>1000000000</v>
      </c>
      <c r="H181">
        <v>100000</v>
      </c>
      <c r="I181">
        <v>400.27419915958302</v>
      </c>
      <c r="J181">
        <v>0</v>
      </c>
      <c r="K181">
        <v>129967.72831558999</v>
      </c>
      <c r="L181">
        <v>0</v>
      </c>
      <c r="M181">
        <v>1419735040</v>
      </c>
      <c r="N181">
        <v>61558784</v>
      </c>
      <c r="O181">
        <v>15917248512</v>
      </c>
      <c r="P181">
        <v>775.46856127909098</v>
      </c>
      <c r="Q181">
        <v>1168.7204060674501</v>
      </c>
      <c r="R181">
        <v>30.095804448088899</v>
      </c>
      <c r="S181">
        <v>0.39187294259933603</v>
      </c>
      <c r="T181">
        <v>0</v>
      </c>
      <c r="U181">
        <v>4.7760887984509202</v>
      </c>
      <c r="V181">
        <v>92.592414620693901</v>
      </c>
      <c r="W181">
        <v>2064.5721851388998</v>
      </c>
      <c r="X181">
        <v>1563.9786378190199</v>
      </c>
    </row>
    <row r="182" spans="1:24" x14ac:dyDescent="0.25">
      <c r="A182" s="12">
        <v>45170.447928877315</v>
      </c>
      <c r="B182">
        <v>60.224889640121702</v>
      </c>
      <c r="C182">
        <v>56.947827754380597</v>
      </c>
      <c r="D182">
        <v>10372404.513963399</v>
      </c>
      <c r="E182">
        <v>9.4522293810959804E-4</v>
      </c>
      <c r="F182">
        <v>637.13954385308205</v>
      </c>
      <c r="G182">
        <v>1000000000</v>
      </c>
      <c r="H182">
        <v>100000</v>
      </c>
      <c r="I182">
        <v>552.93161050944195</v>
      </c>
      <c r="J182">
        <v>0</v>
      </c>
      <c r="K182">
        <v>175562.38093393701</v>
      </c>
      <c r="L182">
        <v>0</v>
      </c>
      <c r="M182">
        <v>1421926400</v>
      </c>
      <c r="N182">
        <v>65753088</v>
      </c>
      <c r="O182">
        <v>15912464384</v>
      </c>
      <c r="P182">
        <v>1038.90269570948</v>
      </c>
      <c r="Q182">
        <v>1672.99857932123</v>
      </c>
      <c r="R182">
        <v>17.247408034239399</v>
      </c>
      <c r="S182">
        <v>2.37789900764884</v>
      </c>
      <c r="T182">
        <v>0</v>
      </c>
      <c r="U182">
        <v>6.8656272732714401</v>
      </c>
      <c r="V182">
        <v>90.533755259278493</v>
      </c>
      <c r="W182">
        <v>2932.0593658207099</v>
      </c>
      <c r="X182">
        <v>2466.3793488962401</v>
      </c>
    </row>
    <row r="183" spans="1:24" x14ac:dyDescent="0.25">
      <c r="A183" s="12">
        <v>45170.447940474536</v>
      </c>
      <c r="B183">
        <v>46.620744733952201</v>
      </c>
      <c r="C183">
        <v>65.318957771787893</v>
      </c>
      <c r="D183">
        <v>10617133.888044599</v>
      </c>
      <c r="E183">
        <v>7.0757540274958195E-4</v>
      </c>
      <c r="F183">
        <v>658.87488699006201</v>
      </c>
      <c r="G183">
        <v>1000000000</v>
      </c>
      <c r="H183">
        <v>100000</v>
      </c>
      <c r="I183">
        <v>523.10672845877605</v>
      </c>
      <c r="J183">
        <v>0</v>
      </c>
      <c r="K183">
        <v>170297.195790698</v>
      </c>
      <c r="L183">
        <v>0</v>
      </c>
      <c r="M183">
        <v>1421864960</v>
      </c>
      <c r="N183">
        <v>64266240</v>
      </c>
      <c r="O183">
        <v>15914123264</v>
      </c>
      <c r="P183">
        <v>1051.2049333341399</v>
      </c>
      <c r="Q183">
        <v>1295.78727774712</v>
      </c>
      <c r="R183">
        <v>47.918173599277203</v>
      </c>
      <c r="S183">
        <v>2.7297294599181301</v>
      </c>
      <c r="T183">
        <v>0</v>
      </c>
      <c r="U183">
        <v>11.088649296196399</v>
      </c>
      <c r="V183">
        <v>90.898083258460602</v>
      </c>
      <c r="W183">
        <v>2716.3614659090199</v>
      </c>
      <c r="X183">
        <v>1968.63829870364</v>
      </c>
    </row>
    <row r="184" spans="1:24" x14ac:dyDescent="0.25">
      <c r="A184" s="12">
        <v>45170.447952060182</v>
      </c>
      <c r="B184">
        <v>38.744111474369703</v>
      </c>
      <c r="C184">
        <v>70.706255510972795</v>
      </c>
      <c r="D184">
        <v>8147797.7445261301</v>
      </c>
      <c r="E184">
        <v>7.5614035025184801E-4</v>
      </c>
      <c r="F184">
        <v>512.40970449384304</v>
      </c>
      <c r="G184">
        <v>1000000000</v>
      </c>
      <c r="H184">
        <v>100000</v>
      </c>
      <c r="I184">
        <v>370.57310013102398</v>
      </c>
      <c r="J184">
        <v>0</v>
      </c>
      <c r="K184">
        <v>120271.44740371</v>
      </c>
      <c r="L184">
        <v>0</v>
      </c>
      <c r="M184">
        <v>1421647872</v>
      </c>
      <c r="N184">
        <v>62189568</v>
      </c>
      <c r="O184">
        <v>15915999232</v>
      </c>
      <c r="P184">
        <v>760.12433746552495</v>
      </c>
      <c r="Q184">
        <v>1004.84242245771</v>
      </c>
      <c r="R184">
        <v>38.955123733450002</v>
      </c>
      <c r="S184">
        <v>0.39016788515681999</v>
      </c>
      <c r="T184">
        <v>0.39016788515681999</v>
      </c>
      <c r="U184">
        <v>5.5805803606208704</v>
      </c>
      <c r="V184">
        <v>93.146337477891095</v>
      </c>
      <c r="W184">
        <v>2001.69405030343</v>
      </c>
      <c r="X184">
        <v>1517.2521269515501</v>
      </c>
    </row>
    <row r="185" spans="1:24" x14ac:dyDescent="0.25">
      <c r="A185" s="12">
        <v>45170.4479637037</v>
      </c>
      <c r="B185">
        <v>15.2198982026403</v>
      </c>
      <c r="C185">
        <v>87.382694448862694</v>
      </c>
      <c r="D185">
        <v>3440839.38125306</v>
      </c>
      <c r="E185">
        <v>6.4058605727685596E-4</v>
      </c>
      <c r="F185">
        <v>237.59956664879601</v>
      </c>
      <c r="G185">
        <v>1000000000</v>
      </c>
      <c r="H185">
        <v>100000</v>
      </c>
      <c r="I185">
        <v>191.86910612224901</v>
      </c>
      <c r="J185">
        <v>0</v>
      </c>
      <c r="K185">
        <v>63412.242503180401</v>
      </c>
      <c r="L185">
        <v>0</v>
      </c>
      <c r="M185">
        <v>1421762560</v>
      </c>
      <c r="N185">
        <v>60858368</v>
      </c>
      <c r="O185">
        <v>15917391872</v>
      </c>
      <c r="P185">
        <v>287.30658896026</v>
      </c>
      <c r="Q185">
        <v>287.30658896026</v>
      </c>
      <c r="R185">
        <v>14.9121066934391</v>
      </c>
      <c r="S185">
        <v>0</v>
      </c>
      <c r="T185">
        <v>0</v>
      </c>
      <c r="U185">
        <v>1.7534893430889</v>
      </c>
      <c r="V185">
        <v>96.723377604580804</v>
      </c>
      <c r="W185">
        <v>949.40412614895604</v>
      </c>
      <c r="X185">
        <v>826.13071081652595</v>
      </c>
    </row>
    <row r="186" spans="1:24" x14ac:dyDescent="0.25">
      <c r="A186" s="13">
        <v>45170.447974537034</v>
      </c>
      <c r="B186">
        <v>17.456410170764599</v>
      </c>
      <c r="C186">
        <v>86.069247869294003</v>
      </c>
      <c r="D186">
        <v>3972132.6748572201</v>
      </c>
      <c r="E186">
        <v>7.3781571373765498E-4</v>
      </c>
      <c r="F186">
        <v>236.59931420786199</v>
      </c>
      <c r="G186">
        <v>1000000000</v>
      </c>
      <c r="H186">
        <v>100000</v>
      </c>
      <c r="I186">
        <v>168.99951014847301</v>
      </c>
      <c r="J186">
        <v>0</v>
      </c>
      <c r="K186">
        <v>55849.367530242504</v>
      </c>
      <c r="L186">
        <v>0</v>
      </c>
      <c r="M186">
        <v>1421877248</v>
      </c>
      <c r="N186">
        <v>62566400</v>
      </c>
      <c r="O186">
        <v>15915745280</v>
      </c>
      <c r="P186">
        <v>414.54585724654902</v>
      </c>
      <c r="Q186">
        <v>414.54585724654902</v>
      </c>
      <c r="R186">
        <v>13.9176067181095</v>
      </c>
      <c r="S186">
        <v>0</v>
      </c>
      <c r="T186">
        <v>0</v>
      </c>
      <c r="U186">
        <v>4.4731255781938799</v>
      </c>
      <c r="V186">
        <v>96.636171630311395</v>
      </c>
      <c r="W186">
        <v>859.90927222605603</v>
      </c>
      <c r="X186">
        <v>788.333009104349</v>
      </c>
    </row>
    <row r="187" spans="1:24" x14ac:dyDescent="0.25">
      <c r="A187" s="12">
        <v>45170.447986898151</v>
      </c>
      <c r="B187">
        <v>7.4553662553889799</v>
      </c>
      <c r="C187">
        <v>93.442594531588995</v>
      </c>
      <c r="D187">
        <v>1721801.56091037</v>
      </c>
      <c r="E187">
        <v>6.0983623386321102E-4</v>
      </c>
      <c r="F187">
        <v>122.25060434614799</v>
      </c>
      <c r="G187">
        <v>1000000000</v>
      </c>
      <c r="H187">
        <v>100000</v>
      </c>
      <c r="I187">
        <v>78.160222450816505</v>
      </c>
      <c r="J187">
        <v>0</v>
      </c>
      <c r="K187">
        <v>25863.0171981483</v>
      </c>
      <c r="L187">
        <v>0</v>
      </c>
      <c r="M187">
        <v>1421475840</v>
      </c>
      <c r="N187">
        <v>61595648</v>
      </c>
      <c r="O187">
        <v>15916711936</v>
      </c>
      <c r="P187">
        <v>150.30812009772399</v>
      </c>
      <c r="Q187">
        <v>200.41082679696501</v>
      </c>
      <c r="R187">
        <v>2.00410826796965</v>
      </c>
      <c r="S187">
        <v>0.78286356008368796</v>
      </c>
      <c r="T187">
        <v>0</v>
      </c>
      <c r="U187">
        <v>2.14205498953894</v>
      </c>
      <c r="V187">
        <v>98.4217069802569</v>
      </c>
      <c r="W187">
        <v>467.95928057091402</v>
      </c>
      <c r="X187">
        <v>495.01474218850399</v>
      </c>
    </row>
    <row r="188" spans="1:24" x14ac:dyDescent="0.25">
      <c r="A188" s="12">
        <v>45170.447998541669</v>
      </c>
      <c r="B188">
        <v>9.2722459615791095</v>
      </c>
      <c r="C188">
        <v>92.146049898994093</v>
      </c>
      <c r="D188">
        <v>1406368.46881461</v>
      </c>
      <c r="E188">
        <v>9.7187223642660999E-4</v>
      </c>
      <c r="F188">
        <v>95.403070876534301</v>
      </c>
      <c r="G188">
        <v>1000000000</v>
      </c>
      <c r="H188">
        <v>100000</v>
      </c>
      <c r="I188">
        <v>59.626919297833901</v>
      </c>
      <c r="J188">
        <v>0</v>
      </c>
      <c r="K188">
        <v>19631.169396823501</v>
      </c>
      <c r="L188">
        <v>0</v>
      </c>
      <c r="M188">
        <v>1421541376</v>
      </c>
      <c r="N188">
        <v>61186048</v>
      </c>
      <c r="O188">
        <v>15917137920</v>
      </c>
      <c r="P188">
        <v>114.284928654181</v>
      </c>
      <c r="Q188">
        <v>162.98024608074601</v>
      </c>
      <c r="R188">
        <v>7.9502559063778602</v>
      </c>
      <c r="S188">
        <v>1.16461595659118</v>
      </c>
      <c r="T188">
        <v>0</v>
      </c>
      <c r="U188">
        <v>2.1718422462010798</v>
      </c>
      <c r="V188">
        <v>98.409109181640304</v>
      </c>
      <c r="W188">
        <v>344.84234993913901</v>
      </c>
      <c r="X188">
        <v>403.47548724867602</v>
      </c>
    </row>
    <row r="189" spans="1:24" x14ac:dyDescent="0.25">
      <c r="A189" s="12">
        <v>45170.448010011576</v>
      </c>
      <c r="B189">
        <v>3.8239212405405798</v>
      </c>
      <c r="C189">
        <v>96.738144734309103</v>
      </c>
      <c r="D189">
        <v>787275.30542569002</v>
      </c>
      <c r="E189">
        <v>7.8958666833483496E-4</v>
      </c>
      <c r="F189">
        <v>48.429829319985799</v>
      </c>
      <c r="G189">
        <v>1000000000</v>
      </c>
      <c r="H189">
        <v>100000</v>
      </c>
      <c r="I189">
        <v>30.2686433249911</v>
      </c>
      <c r="J189">
        <v>0</v>
      </c>
      <c r="K189">
        <v>9328.7958727622699</v>
      </c>
      <c r="L189">
        <v>0</v>
      </c>
      <c r="M189">
        <v>1421656064</v>
      </c>
      <c r="N189">
        <v>61710336</v>
      </c>
      <c r="O189">
        <v>15916621824</v>
      </c>
      <c r="P189">
        <v>129.14621151996201</v>
      </c>
      <c r="Q189">
        <v>129.14621151996201</v>
      </c>
      <c r="R189">
        <v>2.0179095549994099</v>
      </c>
      <c r="S189">
        <v>0</v>
      </c>
      <c r="T189">
        <v>0</v>
      </c>
      <c r="U189">
        <v>1.46970748112355</v>
      </c>
      <c r="V189">
        <v>99.181771660041804</v>
      </c>
      <c r="W189">
        <v>173.540221729949</v>
      </c>
      <c r="X189">
        <v>308.74016191490898</v>
      </c>
    </row>
    <row r="190" spans="1:24" x14ac:dyDescent="0.25">
      <c r="A190" s="12">
        <v>45170.448021620374</v>
      </c>
      <c r="B190">
        <v>4.8055751052067004</v>
      </c>
      <c r="C190">
        <v>95.792459773497797</v>
      </c>
      <c r="D190">
        <v>1118932.6893585301</v>
      </c>
      <c r="E190">
        <v>6.5135326749151995E-4</v>
      </c>
      <c r="F190">
        <v>73.777709972103693</v>
      </c>
      <c r="G190">
        <v>1000000000</v>
      </c>
      <c r="H190">
        <v>100000</v>
      </c>
      <c r="I190">
        <v>47.855811873797002</v>
      </c>
      <c r="J190">
        <v>0</v>
      </c>
      <c r="K190">
        <v>15256.0340269342</v>
      </c>
      <c r="L190">
        <v>0</v>
      </c>
      <c r="M190">
        <v>1421656064</v>
      </c>
      <c r="N190">
        <v>61669376</v>
      </c>
      <c r="O190">
        <v>15916670976</v>
      </c>
      <c r="P190">
        <v>95.711623747594004</v>
      </c>
      <c r="Q190">
        <v>95.711623747594004</v>
      </c>
      <c r="R190">
        <v>1.9939921614081999</v>
      </c>
      <c r="S190">
        <v>0</v>
      </c>
      <c r="T190">
        <v>0</v>
      </c>
      <c r="U190">
        <v>0</v>
      </c>
      <c r="V190">
        <v>98.832095698342201</v>
      </c>
      <c r="W190">
        <v>272.17993003222</v>
      </c>
      <c r="X190">
        <v>369.88554594122201</v>
      </c>
    </row>
    <row r="191" spans="1:24" x14ac:dyDescent="0.25">
      <c r="A191" s="12">
        <v>45170.448033263892</v>
      </c>
      <c r="B191">
        <v>2.9839763454227099E-2</v>
      </c>
      <c r="C191">
        <v>100.132299564568</v>
      </c>
      <c r="D191">
        <v>8148.2889372771097</v>
      </c>
      <c r="E191">
        <v>1.4997481706280301E-4</v>
      </c>
      <c r="F191">
        <v>1.98932835382742</v>
      </c>
      <c r="G191">
        <v>1000000000</v>
      </c>
      <c r="H191">
        <v>100000</v>
      </c>
      <c r="I191">
        <v>0</v>
      </c>
      <c r="J191">
        <v>0</v>
      </c>
      <c r="K191">
        <v>0</v>
      </c>
      <c r="L191">
        <v>0</v>
      </c>
      <c r="M191">
        <v>1421656064</v>
      </c>
      <c r="N191">
        <v>61669376</v>
      </c>
      <c r="O191">
        <v>15916666880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99.763261263341903</v>
      </c>
      <c r="W191">
        <v>41.775895430375797</v>
      </c>
      <c r="X191">
        <v>190.975521967432</v>
      </c>
    </row>
    <row r="192" spans="1:24" x14ac:dyDescent="0.25">
      <c r="A192" s="12">
        <v>45170.448044837962</v>
      </c>
      <c r="B192">
        <v>0.65993037734519</v>
      </c>
      <c r="C192">
        <v>99.5195006926769</v>
      </c>
      <c r="D192">
        <v>167917.63092010899</v>
      </c>
      <c r="E192">
        <v>7.3331715066739201E-4</v>
      </c>
      <c r="F192">
        <v>8.9990155671266692</v>
      </c>
      <c r="G192">
        <v>1000000000</v>
      </c>
      <c r="H192">
        <v>100000</v>
      </c>
      <c r="I192">
        <v>0</v>
      </c>
      <c r="J192">
        <v>0</v>
      </c>
      <c r="K192">
        <v>0</v>
      </c>
      <c r="L192">
        <v>0</v>
      </c>
      <c r="M192">
        <v>1421754368</v>
      </c>
      <c r="N192">
        <v>61349888</v>
      </c>
      <c r="O192">
        <v>15916986368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1.05488870924097E-2</v>
      </c>
      <c r="V192">
        <v>99.667515077159294</v>
      </c>
      <c r="W192">
        <v>76.991577629861496</v>
      </c>
      <c r="X192">
        <v>204.97757680677401</v>
      </c>
    </row>
    <row r="193" spans="1:24" x14ac:dyDescent="0.25">
      <c r="A193" s="12">
        <v>45170.448056412039</v>
      </c>
      <c r="B193">
        <v>1.07988499224832</v>
      </c>
      <c r="C193">
        <v>99.079448038783795</v>
      </c>
      <c r="D193">
        <v>69624.919552706706</v>
      </c>
      <c r="E193">
        <v>1.5428730912868799E-3</v>
      </c>
      <c r="F193">
        <v>6.9992882133063299</v>
      </c>
      <c r="G193">
        <v>1000000000</v>
      </c>
      <c r="H193">
        <v>100000</v>
      </c>
      <c r="I193">
        <v>0</v>
      </c>
      <c r="J193">
        <v>0</v>
      </c>
      <c r="K193">
        <v>0</v>
      </c>
      <c r="L193">
        <v>0</v>
      </c>
      <c r="M193">
        <v>1421754368</v>
      </c>
      <c r="N193">
        <v>61349888</v>
      </c>
      <c r="O193">
        <v>15916990464</v>
      </c>
      <c r="P193">
        <v>0</v>
      </c>
      <c r="Q193">
        <v>0.99989831618661895</v>
      </c>
      <c r="R193">
        <v>0</v>
      </c>
      <c r="S193">
        <v>0</v>
      </c>
      <c r="T193">
        <v>0</v>
      </c>
      <c r="U193">
        <v>0</v>
      </c>
      <c r="V193">
        <v>99.964323799515299</v>
      </c>
      <c r="W193">
        <v>61.993695603570401</v>
      </c>
      <c r="X193">
        <v>206.97895145063001</v>
      </c>
    </row>
    <row r="194" spans="1:24" x14ac:dyDescent="0.25">
      <c r="A194" s="12">
        <v>45170.448067986108</v>
      </c>
      <c r="B194">
        <v>3.9995776446007297E-2</v>
      </c>
      <c r="C194">
        <v>100.119427388467</v>
      </c>
      <c r="D194">
        <v>8191.1328491878103</v>
      </c>
      <c r="E194">
        <v>2.00019889708359E-4</v>
      </c>
      <c r="F194">
        <v>1.9997882932587401</v>
      </c>
      <c r="G194">
        <v>1000000000</v>
      </c>
      <c r="H194">
        <v>100000</v>
      </c>
      <c r="I194">
        <v>0</v>
      </c>
      <c r="J194">
        <v>0</v>
      </c>
      <c r="K194">
        <v>0</v>
      </c>
      <c r="L194">
        <v>0</v>
      </c>
      <c r="M194">
        <v>1421803520</v>
      </c>
      <c r="N194">
        <v>61349888</v>
      </c>
      <c r="O194">
        <v>15916990464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0.40113763986523399</v>
      </c>
      <c r="V194">
        <v>99.514921224318698</v>
      </c>
      <c r="W194">
        <v>37.9959775719161</v>
      </c>
      <c r="X194">
        <v>197.97904103261499</v>
      </c>
    </row>
    <row r="195" spans="1:24" x14ac:dyDescent="0.25">
      <c r="A195" s="12">
        <v>45170.448079560185</v>
      </c>
      <c r="B195">
        <v>0.559940702279628</v>
      </c>
      <c r="C195">
        <v>99.609451359101001</v>
      </c>
      <c r="D195">
        <v>61433.141664993302</v>
      </c>
      <c r="E195">
        <v>1.39997882708465E-3</v>
      </c>
      <c r="F195">
        <v>3.9995534938146702</v>
      </c>
      <c r="G195">
        <v>1000000000</v>
      </c>
      <c r="H195">
        <v>100000</v>
      </c>
      <c r="I195">
        <v>0</v>
      </c>
      <c r="J195">
        <v>0</v>
      </c>
      <c r="K195">
        <v>0</v>
      </c>
      <c r="L195">
        <v>0</v>
      </c>
      <c r="M195">
        <v>1421803520</v>
      </c>
      <c r="N195">
        <v>61349888</v>
      </c>
      <c r="O195">
        <v>15916990464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1.05888786377517E-2</v>
      </c>
      <c r="V195">
        <v>99.753906061348104</v>
      </c>
      <c r="W195">
        <v>43.9950884319613</v>
      </c>
      <c r="X195">
        <v>196.978009570372</v>
      </c>
    </row>
    <row r="196" spans="1:24" x14ac:dyDescent="0.25">
      <c r="A196" s="12">
        <v>45170.448091134262</v>
      </c>
      <c r="B196">
        <v>0.51994462589734103</v>
      </c>
      <c r="C196">
        <v>99.649387340248197</v>
      </c>
      <c r="D196">
        <v>8191.1722611511404</v>
      </c>
      <c r="E196">
        <v>2.5999377644609399E-3</v>
      </c>
      <c r="F196">
        <v>1.9997979153201</v>
      </c>
      <c r="G196">
        <v>1000000000</v>
      </c>
      <c r="H196">
        <v>100000</v>
      </c>
      <c r="I196">
        <v>0</v>
      </c>
      <c r="J196">
        <v>0</v>
      </c>
      <c r="K196">
        <v>0</v>
      </c>
      <c r="L196">
        <v>0</v>
      </c>
      <c r="M196">
        <v>1421803520</v>
      </c>
      <c r="N196">
        <v>61349888</v>
      </c>
      <c r="O196">
        <v>15916990464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1.0648865895779199E-2</v>
      </c>
      <c r="V196">
        <v>99.757235854381506</v>
      </c>
      <c r="W196">
        <v>33.996564560441698</v>
      </c>
      <c r="X196">
        <v>191.98059987072901</v>
      </c>
    </row>
    <row r="197" spans="1:24" x14ac:dyDescent="0.25">
      <c r="A197" s="12">
        <v>45170.448102708331</v>
      </c>
      <c r="B197">
        <v>0.589937938528866</v>
      </c>
      <c r="C197">
        <v>99.569525285939903</v>
      </c>
      <c r="D197">
        <v>65529.083813121899</v>
      </c>
      <c r="E197">
        <v>1.1800371488423799E-3</v>
      </c>
      <c r="F197">
        <v>4.9994723368165497</v>
      </c>
      <c r="G197">
        <v>1000000000</v>
      </c>
      <c r="H197">
        <v>100000</v>
      </c>
      <c r="I197">
        <v>0</v>
      </c>
      <c r="J197">
        <v>0</v>
      </c>
      <c r="K197">
        <v>0</v>
      </c>
      <c r="L197">
        <v>0</v>
      </c>
      <c r="M197">
        <v>1421803520</v>
      </c>
      <c r="N197">
        <v>61349888</v>
      </c>
      <c r="O197">
        <v>15916990464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1.05188934124145E-2</v>
      </c>
      <c r="V197">
        <v>99.703011243217205</v>
      </c>
      <c r="W197">
        <v>59.9936680417986</v>
      </c>
      <c r="X197">
        <v>203.978471342115</v>
      </c>
    </row>
    <row r="198" spans="1:24" x14ac:dyDescent="0.25">
      <c r="A198" s="12">
        <v>45170.448114293984</v>
      </c>
      <c r="B198">
        <v>0.50994604770815199</v>
      </c>
      <c r="C198">
        <v>99.649457087440098</v>
      </c>
      <c r="D198">
        <v>12286.667744443601</v>
      </c>
      <c r="E198">
        <v>2.5498926918153799E-3</v>
      </c>
      <c r="F198">
        <v>1.9997831615305399</v>
      </c>
      <c r="G198">
        <v>1000000000</v>
      </c>
      <c r="H198">
        <v>100000</v>
      </c>
      <c r="I198">
        <v>0</v>
      </c>
      <c r="J198">
        <v>0</v>
      </c>
      <c r="K198">
        <v>0</v>
      </c>
      <c r="L198">
        <v>0</v>
      </c>
      <c r="M198">
        <v>1421803520</v>
      </c>
      <c r="N198">
        <v>61349888</v>
      </c>
      <c r="O198">
        <v>15916994560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1.05788807544193E-2</v>
      </c>
      <c r="V198">
        <v>99.765214840269905</v>
      </c>
      <c r="W198">
        <v>39.995663230610901</v>
      </c>
      <c r="X198">
        <v>197.97853299152399</v>
      </c>
    </row>
    <row r="199" spans="1:24" x14ac:dyDescent="0.25">
      <c r="A199" s="12">
        <v>45170.448125868053</v>
      </c>
      <c r="B199">
        <v>0.51994493783108298</v>
      </c>
      <c r="C199">
        <v>99.649447123549606</v>
      </c>
      <c r="D199">
        <v>12286.738685681799</v>
      </c>
      <c r="E199">
        <v>2.6000981653348E-3</v>
      </c>
      <c r="F199">
        <v>1.9997947079560201</v>
      </c>
      <c r="G199">
        <v>1000000000</v>
      </c>
      <c r="H199">
        <v>100000</v>
      </c>
      <c r="I199">
        <v>0</v>
      </c>
      <c r="J199">
        <v>0</v>
      </c>
      <c r="K199">
        <v>0</v>
      </c>
      <c r="L199">
        <v>0</v>
      </c>
      <c r="M199">
        <v>1421869056</v>
      </c>
      <c r="N199">
        <v>61353984</v>
      </c>
      <c r="O199">
        <v>15916990464</v>
      </c>
      <c r="P199">
        <v>0.99989735397801405</v>
      </c>
      <c r="Q199">
        <v>12.9986656017141</v>
      </c>
      <c r="R199">
        <v>0</v>
      </c>
      <c r="S199">
        <v>0</v>
      </c>
      <c r="T199">
        <v>0</v>
      </c>
      <c r="U199">
        <v>0</v>
      </c>
      <c r="V199">
        <v>99.930297381507202</v>
      </c>
      <c r="W199">
        <v>92.9904539199553</v>
      </c>
      <c r="X199">
        <v>307.96838502522797</v>
      </c>
    </row>
    <row r="200" spans="1:24" x14ac:dyDescent="0.25">
      <c r="A200" s="12">
        <v>45170.44813744213</v>
      </c>
      <c r="B200">
        <v>0.52994356101075202</v>
      </c>
      <c r="C200">
        <v>99.649387340248197</v>
      </c>
      <c r="D200">
        <v>8191.0592812043296</v>
      </c>
      <c r="E200">
        <v>2.64998283710649E-3</v>
      </c>
      <c r="F200">
        <v>1.99977033232527</v>
      </c>
      <c r="G200">
        <v>1000000000</v>
      </c>
      <c r="H200">
        <v>100000</v>
      </c>
      <c r="I200">
        <v>0</v>
      </c>
      <c r="J200">
        <v>0</v>
      </c>
      <c r="K200">
        <v>0</v>
      </c>
      <c r="L200">
        <v>0</v>
      </c>
      <c r="M200">
        <v>1421869056</v>
      </c>
      <c r="N200">
        <v>61353984</v>
      </c>
      <c r="O200">
        <v>15916990464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1.0648865895779199E-2</v>
      </c>
      <c r="V200">
        <v>99.519771144373095</v>
      </c>
      <c r="W200">
        <v>45.994717643481302</v>
      </c>
      <c r="X200">
        <v>219.97473655578</v>
      </c>
    </row>
    <row r="201" spans="1:24" x14ac:dyDescent="0.25">
      <c r="A201" s="12">
        <v>45170.448149016207</v>
      </c>
      <c r="B201">
        <v>0.51994493783108298</v>
      </c>
      <c r="C201">
        <v>99.639448182437405</v>
      </c>
      <c r="D201">
        <v>8191.1302217370703</v>
      </c>
      <c r="E201">
        <v>2.5999377644609399E-3</v>
      </c>
      <c r="F201">
        <v>1.99978765179127</v>
      </c>
      <c r="G201">
        <v>1000000000</v>
      </c>
      <c r="H201">
        <v>100000</v>
      </c>
      <c r="I201">
        <v>0</v>
      </c>
      <c r="J201">
        <v>0</v>
      </c>
      <c r="K201">
        <v>0</v>
      </c>
      <c r="L201">
        <v>0</v>
      </c>
      <c r="M201">
        <v>1421869056</v>
      </c>
      <c r="N201">
        <v>61353984</v>
      </c>
      <c r="O201">
        <v>15916990464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0.40116751636001202</v>
      </c>
      <c r="V201">
        <v>99.766104769504906</v>
      </c>
      <c r="W201">
        <v>33.996390080451697</v>
      </c>
      <c r="X201">
        <v>196.97908370144</v>
      </c>
    </row>
    <row r="202" spans="1:24" x14ac:dyDescent="0.25">
      <c r="A202" s="12">
        <v>45170.448160590277</v>
      </c>
      <c r="B202">
        <v>1.0598888176630199</v>
      </c>
      <c r="C202">
        <v>99.029611793722793</v>
      </c>
      <c r="D202">
        <v>73720.857766435307</v>
      </c>
      <c r="E202">
        <v>2.1199862696851899E-3</v>
      </c>
      <c r="F202">
        <v>4.9995156362871098</v>
      </c>
      <c r="G202">
        <v>1000000000</v>
      </c>
      <c r="H202">
        <v>100000</v>
      </c>
      <c r="I202">
        <v>0</v>
      </c>
      <c r="J202">
        <v>0</v>
      </c>
      <c r="K202">
        <v>0</v>
      </c>
      <c r="L202">
        <v>0</v>
      </c>
      <c r="M202">
        <v>1421869056</v>
      </c>
      <c r="N202">
        <v>61353984</v>
      </c>
      <c r="O202">
        <v>15916990464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1.04888997144225E-2</v>
      </c>
      <c r="V202">
        <v>99.738797400152706</v>
      </c>
      <c r="W202">
        <v>51.994962617386001</v>
      </c>
      <c r="X202">
        <v>200.980528578742</v>
      </c>
    </row>
    <row r="203" spans="1:24" x14ac:dyDescent="0.25">
      <c r="A203" s="12">
        <v>45170.448172164353</v>
      </c>
      <c r="B203">
        <v>0.51994478186416604</v>
      </c>
      <c r="C203">
        <v>99.649417231889899</v>
      </c>
      <c r="D203">
        <v>8191.1407315501401</v>
      </c>
      <c r="E203">
        <v>2.6000981653348E-3</v>
      </c>
      <c r="F203">
        <v>1.9997902176636</v>
      </c>
      <c r="G203">
        <v>1000000000</v>
      </c>
      <c r="H203">
        <v>100000</v>
      </c>
      <c r="I203">
        <v>0</v>
      </c>
      <c r="J203">
        <v>0</v>
      </c>
      <c r="K203">
        <v>0</v>
      </c>
      <c r="L203">
        <v>0</v>
      </c>
      <c r="M203">
        <v>1421869056</v>
      </c>
      <c r="N203">
        <v>61353984</v>
      </c>
      <c r="O203">
        <v>15916990464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1.06188722757694E-2</v>
      </c>
      <c r="V203">
        <v>99.774743922195398</v>
      </c>
      <c r="W203">
        <v>37.996014135608497</v>
      </c>
      <c r="X203">
        <v>200.978916875192</v>
      </c>
    </row>
    <row r="204" spans="1:24" x14ac:dyDescent="0.25">
      <c r="A204" s="12">
        <v>45170.448183738423</v>
      </c>
      <c r="B204">
        <v>0.51994498982007697</v>
      </c>
      <c r="C204">
        <v>99.649457087440098</v>
      </c>
      <c r="D204">
        <v>8191.0881827545199</v>
      </c>
      <c r="E204">
        <v>2.5999377644609399E-3</v>
      </c>
      <c r="F204">
        <v>1.9997773883678001</v>
      </c>
      <c r="G204">
        <v>1000000000</v>
      </c>
      <c r="H204">
        <v>100000</v>
      </c>
      <c r="I204">
        <v>0</v>
      </c>
      <c r="J204">
        <v>0</v>
      </c>
      <c r="K204">
        <v>0</v>
      </c>
      <c r="L204">
        <v>0</v>
      </c>
      <c r="M204">
        <v>1421869056</v>
      </c>
      <c r="N204">
        <v>61353984</v>
      </c>
      <c r="O204">
        <v>15916990464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1.05788807544193E-2</v>
      </c>
      <c r="V204">
        <v>99.759485446439697</v>
      </c>
      <c r="W204">
        <v>39.995547767356001</v>
      </c>
      <c r="X204">
        <v>198.977850142596</v>
      </c>
    </row>
    <row r="205" spans="1:24" x14ac:dyDescent="0.25">
      <c r="A205" s="12">
        <v>45170.4481953125</v>
      </c>
      <c r="B205">
        <v>0.51994493783108298</v>
      </c>
      <c r="C205">
        <v>99.659446064661694</v>
      </c>
      <c r="D205">
        <v>12286.6598621344</v>
      </c>
      <c r="E205">
        <v>2.6000981653348E-3</v>
      </c>
      <c r="F205">
        <v>1.99978187860261</v>
      </c>
      <c r="G205">
        <v>1000000000</v>
      </c>
      <c r="H205">
        <v>100000</v>
      </c>
      <c r="I205">
        <v>0</v>
      </c>
      <c r="J205">
        <v>0</v>
      </c>
      <c r="K205">
        <v>0</v>
      </c>
      <c r="L205">
        <v>0</v>
      </c>
      <c r="M205">
        <v>1421869056</v>
      </c>
      <c r="N205">
        <v>61353984</v>
      </c>
      <c r="O205">
        <v>15916994560</v>
      </c>
      <c r="P205">
        <v>0</v>
      </c>
      <c r="Q205">
        <v>0.99989093930130502</v>
      </c>
      <c r="R205">
        <v>0</v>
      </c>
      <c r="S205">
        <v>0</v>
      </c>
      <c r="T205">
        <v>0</v>
      </c>
      <c r="U205">
        <v>0</v>
      </c>
      <c r="V205">
        <v>99.9761925212119</v>
      </c>
      <c r="W205">
        <v>55.993892600873103</v>
      </c>
      <c r="X205">
        <v>219.976006646287</v>
      </c>
    </row>
    <row r="206" spans="1:24" x14ac:dyDescent="0.25">
      <c r="A206" s="12">
        <v>45170.448206886576</v>
      </c>
      <c r="B206">
        <v>0.51994478186416604</v>
      </c>
      <c r="C206">
        <v>99.639418293777098</v>
      </c>
      <c r="D206">
        <v>8191.1670062007797</v>
      </c>
      <c r="E206">
        <v>2.5999377644609399E-3</v>
      </c>
      <c r="F206">
        <v>1.9997966323732299</v>
      </c>
      <c r="G206">
        <v>1000000000</v>
      </c>
      <c r="H206">
        <v>100000</v>
      </c>
      <c r="I206">
        <v>0</v>
      </c>
      <c r="J206">
        <v>0</v>
      </c>
      <c r="K206">
        <v>0</v>
      </c>
      <c r="L206">
        <v>0</v>
      </c>
      <c r="M206">
        <v>1421869056</v>
      </c>
      <c r="N206">
        <v>61353984</v>
      </c>
      <c r="O206">
        <v>15916994560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0.40119739283688199</v>
      </c>
      <c r="V206">
        <v>99.520920878202702</v>
      </c>
      <c r="W206">
        <v>33.996542750345</v>
      </c>
      <c r="X206">
        <v>194.98017165639001</v>
      </c>
    </row>
    <row r="207" spans="1:24" x14ac:dyDescent="0.25">
      <c r="A207" s="12">
        <v>45170.448218472222</v>
      </c>
      <c r="B207">
        <v>1.02989103752822</v>
      </c>
      <c r="C207">
        <v>99.149509981843906</v>
      </c>
      <c r="D207">
        <v>12286.577098498101</v>
      </c>
      <c r="E207">
        <v>3.4333272381001198E-3</v>
      </c>
      <c r="F207">
        <v>2.99965261193802</v>
      </c>
      <c r="G207">
        <v>1000000000</v>
      </c>
      <c r="H207">
        <v>100000</v>
      </c>
      <c r="I207">
        <v>0</v>
      </c>
      <c r="J207">
        <v>0</v>
      </c>
      <c r="K207">
        <v>0</v>
      </c>
      <c r="L207">
        <v>0</v>
      </c>
      <c r="M207">
        <v>1421869056</v>
      </c>
      <c r="N207">
        <v>61353984</v>
      </c>
      <c r="O207">
        <v>15916998656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99.748906565685303</v>
      </c>
      <c r="W207">
        <v>53.993747014884399</v>
      </c>
      <c r="X207">
        <v>197.977072387909</v>
      </c>
    </row>
    <row r="208" spans="1:24" x14ac:dyDescent="0.25">
      <c r="A208" s="12">
        <v>45170.448230046299</v>
      </c>
      <c r="B208">
        <v>0.51994509379809395</v>
      </c>
      <c r="C208">
        <v>99.639478071115605</v>
      </c>
      <c r="D208">
        <v>8191.24320364089</v>
      </c>
      <c r="E208">
        <v>2.5999377644609399E-3</v>
      </c>
      <c r="F208">
        <v>1.9998152352638801</v>
      </c>
      <c r="G208">
        <v>1000000000</v>
      </c>
      <c r="H208">
        <v>100000</v>
      </c>
      <c r="I208">
        <v>0</v>
      </c>
      <c r="J208">
        <v>0</v>
      </c>
      <c r="K208">
        <v>0</v>
      </c>
      <c r="L208">
        <v>0</v>
      </c>
      <c r="M208">
        <v>1421869056</v>
      </c>
      <c r="N208">
        <v>61353984</v>
      </c>
      <c r="O208">
        <v>15916998656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0.40113763986523399</v>
      </c>
      <c r="V208">
        <v>99.764984817603207</v>
      </c>
      <c r="W208">
        <v>33.996858999486101</v>
      </c>
      <c r="X208">
        <v>192.98217020296499</v>
      </c>
    </row>
    <row r="209" spans="1:24" x14ac:dyDescent="0.25">
      <c r="A209" s="12">
        <v>45170.448241620368</v>
      </c>
      <c r="B209">
        <v>0.51994493783108298</v>
      </c>
      <c r="C209">
        <v>99.649447123549606</v>
      </c>
      <c r="D209">
        <v>12286.6795679264</v>
      </c>
      <c r="E209">
        <v>2.6000981653348E-3</v>
      </c>
      <c r="F209">
        <v>1.9997850859255299</v>
      </c>
      <c r="G209">
        <v>1000000000</v>
      </c>
      <c r="H209">
        <v>100000</v>
      </c>
      <c r="I209">
        <v>0</v>
      </c>
      <c r="J209">
        <v>0</v>
      </c>
      <c r="K209">
        <v>0</v>
      </c>
      <c r="L209">
        <v>0</v>
      </c>
      <c r="M209">
        <v>1421869056</v>
      </c>
      <c r="N209">
        <v>61353984</v>
      </c>
      <c r="O209">
        <v>15916998656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1.05888786377517E-2</v>
      </c>
      <c r="V209">
        <v>99.753336121704706</v>
      </c>
      <c r="W209">
        <v>43.9952718903617</v>
      </c>
      <c r="X209">
        <v>205.97786385032899</v>
      </c>
    </row>
    <row r="210" spans="1:24" x14ac:dyDescent="0.25">
      <c r="A210" s="12">
        <v>45170.448253194445</v>
      </c>
      <c r="B210">
        <v>0.51994498982007697</v>
      </c>
      <c r="C210">
        <v>99.649457087440098</v>
      </c>
      <c r="D210">
        <v>8191.1118296291097</v>
      </c>
      <c r="E210">
        <v>2.5999377644609399E-3</v>
      </c>
      <c r="F210">
        <v>1.9997831615305399</v>
      </c>
      <c r="G210">
        <v>1000000000</v>
      </c>
      <c r="H210">
        <v>100000</v>
      </c>
      <c r="I210">
        <v>0</v>
      </c>
      <c r="J210">
        <v>0</v>
      </c>
      <c r="K210">
        <v>0</v>
      </c>
      <c r="L210">
        <v>0</v>
      </c>
      <c r="M210">
        <v>1421869056</v>
      </c>
      <c r="N210">
        <v>61353984</v>
      </c>
      <c r="O210">
        <v>15916998656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1.05788807544193E-2</v>
      </c>
      <c r="V210">
        <v>99.760795307856398</v>
      </c>
      <c r="W210">
        <v>39.995663230610901</v>
      </c>
      <c r="X210">
        <v>199.97831615305401</v>
      </c>
    </row>
    <row r="211" spans="1:24" x14ac:dyDescent="0.25">
      <c r="A211" s="12">
        <v>45170.448264768522</v>
      </c>
      <c r="B211">
        <v>0.51994493783108298</v>
      </c>
      <c r="C211">
        <v>99.649447123549606</v>
      </c>
      <c r="D211">
        <v>12286.718979700099</v>
      </c>
      <c r="E211">
        <v>2.6000981653348E-3</v>
      </c>
      <c r="F211">
        <v>1.99979150060224</v>
      </c>
      <c r="G211">
        <v>1000000000</v>
      </c>
      <c r="H211">
        <v>100000</v>
      </c>
      <c r="I211">
        <v>0</v>
      </c>
      <c r="J211">
        <v>0</v>
      </c>
      <c r="K211">
        <v>0</v>
      </c>
      <c r="L211">
        <v>0</v>
      </c>
      <c r="M211">
        <v>1421869056</v>
      </c>
      <c r="N211">
        <v>61353984</v>
      </c>
      <c r="O211">
        <v>15917006848</v>
      </c>
      <c r="P211">
        <v>0</v>
      </c>
      <c r="Q211">
        <v>0.99989575030112099</v>
      </c>
      <c r="R211">
        <v>0</v>
      </c>
      <c r="S211">
        <v>0</v>
      </c>
      <c r="T211">
        <v>0</v>
      </c>
      <c r="U211">
        <v>0</v>
      </c>
      <c r="V211">
        <v>99.9721029542971</v>
      </c>
      <c r="W211">
        <v>49.994787515055997</v>
      </c>
      <c r="X211">
        <v>199.97915006022399</v>
      </c>
    </row>
    <row r="212" spans="1:24" x14ac:dyDescent="0.25">
      <c r="A212" s="12">
        <v>45170.448276342591</v>
      </c>
      <c r="B212">
        <v>1.04988682220056</v>
      </c>
      <c r="C212">
        <v>99.049322483036306</v>
      </c>
      <c r="D212">
        <v>73720.266583951205</v>
      </c>
      <c r="E212">
        <v>2.09996824062697E-3</v>
      </c>
      <c r="F212">
        <v>4.9994755441590204</v>
      </c>
      <c r="G212">
        <v>1000000000</v>
      </c>
      <c r="H212">
        <v>100000</v>
      </c>
      <c r="I212">
        <v>0</v>
      </c>
      <c r="J212">
        <v>0</v>
      </c>
      <c r="K212">
        <v>0</v>
      </c>
      <c r="L212">
        <v>0</v>
      </c>
      <c r="M212">
        <v>1421869056</v>
      </c>
      <c r="N212">
        <v>61358080</v>
      </c>
      <c r="O212">
        <v>15917002752</v>
      </c>
      <c r="P212">
        <v>0.99989510883180399</v>
      </c>
      <c r="Q212">
        <v>0.99989510883180399</v>
      </c>
      <c r="R212">
        <v>0</v>
      </c>
      <c r="S212">
        <v>0</v>
      </c>
      <c r="T212">
        <v>0</v>
      </c>
      <c r="U212">
        <v>0.40135673374410702</v>
      </c>
      <c r="V212">
        <v>99.501283761610495</v>
      </c>
      <c r="W212">
        <v>47.994965223926599</v>
      </c>
      <c r="X212">
        <v>196.97933643986499</v>
      </c>
    </row>
    <row r="213" spans="1:24" x14ac:dyDescent="0.25">
      <c r="A213" s="12">
        <v>45170.448287881947</v>
      </c>
      <c r="B213">
        <v>4.1133383221773201</v>
      </c>
      <c r="C213">
        <v>98.700054667269498</v>
      </c>
      <c r="D213">
        <v>562480.89841351099</v>
      </c>
      <c r="E213">
        <v>7.1929942751521102E-4</v>
      </c>
      <c r="F213">
        <v>57.187163259079199</v>
      </c>
      <c r="G213">
        <v>1000000000</v>
      </c>
      <c r="H213">
        <v>100000</v>
      </c>
      <c r="I213">
        <v>0</v>
      </c>
      <c r="J213">
        <v>0</v>
      </c>
      <c r="K213">
        <v>0</v>
      </c>
      <c r="L213">
        <v>0</v>
      </c>
      <c r="M213">
        <v>1421869056</v>
      </c>
      <c r="N213">
        <v>61358080</v>
      </c>
      <c r="O213">
        <v>15917002752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99.630170754706199</v>
      </c>
      <c r="W213">
        <v>164.53850481559601</v>
      </c>
      <c r="X213">
        <v>206.67641458544401</v>
      </c>
    </row>
    <row r="214" spans="1:24" x14ac:dyDescent="0.25">
      <c r="A214" s="12">
        <v>45170.44829940972</v>
      </c>
      <c r="B214">
        <v>4.01548773619851E-2</v>
      </c>
      <c r="C214">
        <v>100.07599310540699</v>
      </c>
      <c r="D214">
        <v>8223.5123090126508</v>
      </c>
      <c r="E214">
        <v>2.00019889708359E-4</v>
      </c>
      <c r="F214">
        <v>2.0076934348175399</v>
      </c>
      <c r="G214">
        <v>1000000000</v>
      </c>
      <c r="H214">
        <v>100000</v>
      </c>
      <c r="I214">
        <v>0</v>
      </c>
      <c r="J214">
        <v>0</v>
      </c>
      <c r="K214">
        <v>0</v>
      </c>
      <c r="L214">
        <v>0</v>
      </c>
      <c r="M214">
        <v>1421869056</v>
      </c>
      <c r="N214">
        <v>61358080</v>
      </c>
      <c r="O214">
        <v>15917002752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1.1813564919896</v>
      </c>
      <c r="V214">
        <v>99.820407310998505</v>
      </c>
      <c r="W214">
        <v>38.146175261533301</v>
      </c>
      <c r="X214">
        <v>208.80011722102401</v>
      </c>
    </row>
    <row r="215" spans="1:24" x14ac:dyDescent="0.25">
      <c r="A215" s="12">
        <v>45170.448310879627</v>
      </c>
      <c r="B215">
        <v>0.52493327038172</v>
      </c>
      <c r="C215">
        <v>99.636372666684196</v>
      </c>
      <c r="D215">
        <v>8269.7125195561803</v>
      </c>
      <c r="E215">
        <v>2.5999377644609399E-3</v>
      </c>
      <c r="F215">
        <v>2.0189727830947701</v>
      </c>
      <c r="G215">
        <v>1000000000</v>
      </c>
      <c r="H215">
        <v>100000</v>
      </c>
      <c r="I215">
        <v>0</v>
      </c>
      <c r="J215">
        <v>0</v>
      </c>
      <c r="K215">
        <v>0</v>
      </c>
      <c r="L215">
        <v>0</v>
      </c>
      <c r="M215">
        <v>1421869056</v>
      </c>
      <c r="N215">
        <v>61358080</v>
      </c>
      <c r="O215">
        <v>15917006848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0.23428175651959399</v>
      </c>
      <c r="V215">
        <v>99.809055522898603</v>
      </c>
      <c r="W215">
        <v>46.436374011179701</v>
      </c>
      <c r="X215">
        <v>211.99214222495101</v>
      </c>
    </row>
    <row r="216" spans="1:24" x14ac:dyDescent="0.25">
      <c r="A216" s="12">
        <v>45170.448322546297</v>
      </c>
      <c r="B216">
        <v>0.505850407933638</v>
      </c>
      <c r="C216">
        <v>99.662448998376505</v>
      </c>
      <c r="D216">
        <v>12187.9026381327</v>
      </c>
      <c r="E216">
        <v>2.55005309268924E-3</v>
      </c>
      <c r="F216">
        <v>1.98370811167525</v>
      </c>
      <c r="G216">
        <v>1000000000</v>
      </c>
      <c r="H216">
        <v>100000</v>
      </c>
      <c r="I216">
        <v>0</v>
      </c>
      <c r="J216">
        <v>0</v>
      </c>
      <c r="K216">
        <v>0</v>
      </c>
      <c r="L216">
        <v>0</v>
      </c>
      <c r="M216">
        <v>1421869056</v>
      </c>
      <c r="N216">
        <v>61358080</v>
      </c>
      <c r="O216">
        <v>15917006848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3.8752108701900399E-2</v>
      </c>
      <c r="V216">
        <v>99.790845734272594</v>
      </c>
      <c r="W216">
        <v>41.657870345180399</v>
      </c>
      <c r="X216">
        <v>202.338227390876</v>
      </c>
    </row>
    <row r="217" spans="1:24" x14ac:dyDescent="0.25">
      <c r="A217" s="12">
        <v>45170.448334120367</v>
      </c>
      <c r="B217">
        <v>1.04988944664126</v>
      </c>
      <c r="C217">
        <v>99.029572186048796</v>
      </c>
      <c r="D217">
        <v>69624.941886238506</v>
      </c>
      <c r="E217">
        <v>2.09996824062697E-3</v>
      </c>
      <c r="F217">
        <v>4.9994931846161599</v>
      </c>
      <c r="G217">
        <v>1000000000</v>
      </c>
      <c r="H217">
        <v>100000</v>
      </c>
      <c r="I217">
        <v>0</v>
      </c>
      <c r="J217">
        <v>0</v>
      </c>
      <c r="K217">
        <v>0</v>
      </c>
      <c r="L217">
        <v>0</v>
      </c>
      <c r="M217">
        <v>1421869056</v>
      </c>
      <c r="N217">
        <v>60571648</v>
      </c>
      <c r="O217">
        <v>15917793280</v>
      </c>
      <c r="P217">
        <v>63.993512763086798</v>
      </c>
      <c r="Q217">
        <v>63.993512763086798</v>
      </c>
      <c r="R217">
        <v>0</v>
      </c>
      <c r="S217">
        <v>0</v>
      </c>
      <c r="T217">
        <v>0</v>
      </c>
      <c r="U217">
        <v>1.0528891307748299E-2</v>
      </c>
      <c r="V217">
        <v>99.734807924725501</v>
      </c>
      <c r="W217">
        <v>45.995337298468698</v>
      </c>
      <c r="X217">
        <v>203.97932193233899</v>
      </c>
    </row>
    <row r="218" spans="1:24" x14ac:dyDescent="0.25">
      <c r="A218" s="12">
        <v>45170.448345694444</v>
      </c>
      <c r="B218">
        <v>0.51994498982007697</v>
      </c>
      <c r="C218">
        <v>99.639458145328206</v>
      </c>
      <c r="D218">
        <v>8191.1433590076203</v>
      </c>
      <c r="E218">
        <v>2.6000981653348E-3</v>
      </c>
      <c r="F218">
        <v>1.99979085913271</v>
      </c>
      <c r="G218">
        <v>1000000000</v>
      </c>
      <c r="H218">
        <v>100000</v>
      </c>
      <c r="I218">
        <v>0</v>
      </c>
      <c r="J218">
        <v>0</v>
      </c>
      <c r="K218">
        <v>0</v>
      </c>
      <c r="L218">
        <v>0</v>
      </c>
      <c r="M218">
        <v>1421869056</v>
      </c>
      <c r="N218">
        <v>60309504</v>
      </c>
      <c r="O218">
        <v>15918059520</v>
      </c>
      <c r="P218">
        <v>0</v>
      </c>
      <c r="Q218">
        <v>0.99989542956635902</v>
      </c>
      <c r="R218">
        <v>0</v>
      </c>
      <c r="S218">
        <v>0</v>
      </c>
      <c r="T218">
        <v>0</v>
      </c>
      <c r="U218">
        <v>1.05788807544193E-2</v>
      </c>
      <c r="V218">
        <v>99.976592476515904</v>
      </c>
      <c r="W218">
        <v>53.994353196583397</v>
      </c>
      <c r="X218">
        <v>205.97845849066999</v>
      </c>
    </row>
    <row r="219" spans="1:24" x14ac:dyDescent="0.25">
      <c r="A219" s="12">
        <v>45170.448357291665</v>
      </c>
      <c r="B219">
        <v>0.52903973996798404</v>
      </c>
      <c r="C219">
        <v>99.689054397363293</v>
      </c>
      <c r="D219">
        <v>8177.1053019211804</v>
      </c>
      <c r="E219">
        <v>2.64998283710649E-3</v>
      </c>
      <c r="F219">
        <v>1.99636359910185</v>
      </c>
      <c r="G219">
        <v>1000000000</v>
      </c>
      <c r="H219">
        <v>100000</v>
      </c>
      <c r="I219">
        <v>0</v>
      </c>
      <c r="J219">
        <v>0</v>
      </c>
      <c r="K219">
        <v>0</v>
      </c>
      <c r="L219">
        <v>0</v>
      </c>
      <c r="M219">
        <v>1421918208</v>
      </c>
      <c r="N219">
        <v>60309504</v>
      </c>
      <c r="O219">
        <v>15918059520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99.519082912605299</v>
      </c>
      <c r="W219">
        <v>35.934544783833303</v>
      </c>
      <c r="X219">
        <v>198.63817811063399</v>
      </c>
    </row>
    <row r="220" spans="1:24" x14ac:dyDescent="0.25">
      <c r="A220" s="12">
        <v>45170.448368865742</v>
      </c>
      <c r="B220">
        <v>0.51994524976519896</v>
      </c>
      <c r="C220">
        <v>99.639507959811795</v>
      </c>
      <c r="D220">
        <v>8191.1880260426697</v>
      </c>
      <c r="E220">
        <v>2.5999377644609399E-3</v>
      </c>
      <c r="F220">
        <v>1.9998017641705701</v>
      </c>
      <c r="G220">
        <v>1000000000</v>
      </c>
      <c r="H220">
        <v>100000</v>
      </c>
      <c r="I220">
        <v>0</v>
      </c>
      <c r="J220">
        <v>0</v>
      </c>
      <c r="K220">
        <v>0</v>
      </c>
      <c r="L220">
        <v>0</v>
      </c>
      <c r="M220">
        <v>1421918208</v>
      </c>
      <c r="N220">
        <v>60309504</v>
      </c>
      <c r="O220">
        <v>15918059520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1.0528891307748299E-2</v>
      </c>
      <c r="V220">
        <v>99.765894651293195</v>
      </c>
      <c r="W220">
        <v>39.996035283411402</v>
      </c>
      <c r="X220">
        <v>197.98037465288601</v>
      </c>
    </row>
    <row r="221" spans="1:24" x14ac:dyDescent="0.25">
      <c r="A221" s="12">
        <v>45170.448380439811</v>
      </c>
      <c r="B221">
        <v>0.51994462589734103</v>
      </c>
      <c r="C221">
        <v>99.649387340248197</v>
      </c>
      <c r="D221">
        <v>8191.0619086095503</v>
      </c>
      <c r="E221">
        <v>2.6000981653348E-3</v>
      </c>
      <c r="F221">
        <v>1.99977097378163</v>
      </c>
      <c r="G221">
        <v>1000000000</v>
      </c>
      <c r="H221">
        <v>100000</v>
      </c>
      <c r="I221">
        <v>0</v>
      </c>
      <c r="J221">
        <v>0</v>
      </c>
      <c r="K221">
        <v>0</v>
      </c>
      <c r="L221">
        <v>0</v>
      </c>
      <c r="M221">
        <v>1421918208</v>
      </c>
      <c r="N221">
        <v>60309504</v>
      </c>
      <c r="O221">
        <v>15918059520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99.765614962006495</v>
      </c>
      <c r="W221">
        <v>39.995419475632602</v>
      </c>
      <c r="X221">
        <v>202.97675383883501</v>
      </c>
    </row>
    <row r="222" spans="1:24" x14ac:dyDescent="0.25">
      <c r="A222" s="12">
        <v>45170.448392013888</v>
      </c>
      <c r="B222">
        <v>1.0398896677062499</v>
      </c>
      <c r="C222">
        <v>99.149480240146502</v>
      </c>
      <c r="D222">
        <v>16382.3129926406</v>
      </c>
      <c r="E222">
        <v>3.4665836859479201E-3</v>
      </c>
      <c r="F222">
        <v>2.9996910997266699</v>
      </c>
      <c r="G222">
        <v>1000000000</v>
      </c>
      <c r="H222">
        <v>100000</v>
      </c>
      <c r="I222">
        <v>0</v>
      </c>
      <c r="J222">
        <v>0</v>
      </c>
      <c r="K222">
        <v>0</v>
      </c>
      <c r="L222">
        <v>0</v>
      </c>
      <c r="M222">
        <v>1421873152</v>
      </c>
      <c r="N222">
        <v>60309504</v>
      </c>
      <c r="O222">
        <v>15918071808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0.40118743401325002</v>
      </c>
      <c r="V222">
        <v>99.750056519003294</v>
      </c>
      <c r="W222">
        <v>47.995057595626697</v>
      </c>
      <c r="X222">
        <v>205.97878884789799</v>
      </c>
    </row>
    <row r="223" spans="1:24" x14ac:dyDescent="0.25">
      <c r="A223" s="12">
        <v>45170.448403587965</v>
      </c>
      <c r="B223">
        <v>2.99968323345054E-2</v>
      </c>
      <c r="C223">
        <v>100.119427388467</v>
      </c>
      <c r="D223">
        <v>8191.1696336751202</v>
      </c>
      <c r="E223">
        <v>1.50135217936667E-4</v>
      </c>
      <c r="F223">
        <v>1.99979727384646</v>
      </c>
      <c r="G223">
        <v>1000000000</v>
      </c>
      <c r="H223">
        <v>100000</v>
      </c>
      <c r="I223">
        <v>0</v>
      </c>
      <c r="J223">
        <v>0</v>
      </c>
      <c r="K223">
        <v>0</v>
      </c>
      <c r="L223">
        <v>0</v>
      </c>
      <c r="M223">
        <v>1421873152</v>
      </c>
      <c r="N223">
        <v>60309504</v>
      </c>
      <c r="O223">
        <v>15918059520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1.05588849817483E-2</v>
      </c>
      <c r="V223">
        <v>99.769084384688895</v>
      </c>
      <c r="W223">
        <v>45.995337298468698</v>
      </c>
      <c r="X223">
        <v>198.97982874772299</v>
      </c>
    </row>
    <row r="224" spans="1:24" x14ac:dyDescent="0.25">
      <c r="A224" s="12">
        <v>45170.448415162035</v>
      </c>
      <c r="B224">
        <v>0.51994493783108298</v>
      </c>
      <c r="C224">
        <v>99.649447123549606</v>
      </c>
      <c r="D224">
        <v>12286.7071561415</v>
      </c>
      <c r="E224">
        <v>2.5999377644609399E-3</v>
      </c>
      <c r="F224">
        <v>1.9997895761949001</v>
      </c>
      <c r="G224">
        <v>1000000000</v>
      </c>
      <c r="H224">
        <v>100000</v>
      </c>
      <c r="I224">
        <v>0</v>
      </c>
      <c r="J224">
        <v>0</v>
      </c>
      <c r="K224">
        <v>0</v>
      </c>
      <c r="L224">
        <v>0</v>
      </c>
      <c r="M224">
        <v>1421799424</v>
      </c>
      <c r="N224">
        <v>60309504</v>
      </c>
      <c r="O224">
        <v>15918104576</v>
      </c>
      <c r="P224">
        <v>0</v>
      </c>
      <c r="Q224">
        <v>0.99989478809745402</v>
      </c>
      <c r="R224">
        <v>0</v>
      </c>
      <c r="S224">
        <v>0</v>
      </c>
      <c r="T224">
        <v>0</v>
      </c>
      <c r="U224">
        <v>1.05888786377517E-2</v>
      </c>
      <c r="V224">
        <v>99.969173264551202</v>
      </c>
      <c r="W224">
        <v>71.992424743016699</v>
      </c>
      <c r="X224">
        <v>227.97601168621901</v>
      </c>
    </row>
    <row r="225" spans="1:24" x14ac:dyDescent="0.25">
      <c r="A225" s="12">
        <v>45170.448426585652</v>
      </c>
      <c r="B225">
        <v>0.52688240136786701</v>
      </c>
      <c r="C225">
        <v>99.641567981761696</v>
      </c>
      <c r="D225">
        <v>8300.4261961188604</v>
      </c>
      <c r="E225">
        <v>2.5999377644609399E-3</v>
      </c>
      <c r="F225">
        <v>2.0264712392868298</v>
      </c>
      <c r="G225">
        <v>1000000000</v>
      </c>
      <c r="H225">
        <v>100000</v>
      </c>
      <c r="I225">
        <v>0</v>
      </c>
      <c r="J225">
        <v>0</v>
      </c>
      <c r="K225">
        <v>0</v>
      </c>
      <c r="L225">
        <v>0</v>
      </c>
      <c r="M225">
        <v>1421799424</v>
      </c>
      <c r="N225">
        <v>60313600</v>
      </c>
      <c r="O225">
        <v>15918108672</v>
      </c>
      <c r="P225">
        <v>1.01323561964341</v>
      </c>
      <c r="Q225">
        <v>1.01323561964341</v>
      </c>
      <c r="R225">
        <v>0</v>
      </c>
      <c r="S225">
        <v>0</v>
      </c>
      <c r="T225">
        <v>0</v>
      </c>
      <c r="U225">
        <v>0.25964156798176002</v>
      </c>
      <c r="V225">
        <v>99.513130264074405</v>
      </c>
      <c r="W225">
        <v>38.502953546449803</v>
      </c>
      <c r="X225">
        <v>199.60741706975199</v>
      </c>
    </row>
    <row r="226" spans="1:24" x14ac:dyDescent="0.25">
      <c r="A226" s="12">
        <v>45170.448438159721</v>
      </c>
      <c r="B226">
        <v>0.51994457390842097</v>
      </c>
      <c r="C226">
        <v>99.639378442258007</v>
      </c>
      <c r="D226">
        <v>12286.6401564056</v>
      </c>
      <c r="E226">
        <v>2.6000981653348E-3</v>
      </c>
      <c r="F226">
        <v>1.9997786712899699</v>
      </c>
      <c r="G226">
        <v>1000000000</v>
      </c>
      <c r="H226">
        <v>100000</v>
      </c>
      <c r="I226">
        <v>0</v>
      </c>
      <c r="J226">
        <v>0</v>
      </c>
      <c r="K226">
        <v>0</v>
      </c>
      <c r="L226">
        <v>0</v>
      </c>
      <c r="M226">
        <v>1421799424</v>
      </c>
      <c r="N226">
        <v>60313600</v>
      </c>
      <c r="O226">
        <v>15918108672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1.06588637651228E-2</v>
      </c>
      <c r="V226">
        <v>99.754466173905797</v>
      </c>
      <c r="W226">
        <v>33.996237411929599</v>
      </c>
      <c r="X226">
        <v>194.97842045077201</v>
      </c>
    </row>
    <row r="227" spans="1:24" x14ac:dyDescent="0.25">
      <c r="A227" s="12">
        <v>45170.448449733798</v>
      </c>
      <c r="B227">
        <v>1.0598854263854001</v>
      </c>
      <c r="C227">
        <v>99.029294933217699</v>
      </c>
      <c r="D227">
        <v>65529.125852401099</v>
      </c>
      <c r="E227">
        <v>2.1199862696851899E-3</v>
      </c>
      <c r="F227">
        <v>4.9994755441590204</v>
      </c>
      <c r="G227">
        <v>1000000000</v>
      </c>
      <c r="H227">
        <v>100000</v>
      </c>
      <c r="I227">
        <v>0</v>
      </c>
      <c r="J227">
        <v>0</v>
      </c>
      <c r="K227">
        <v>0</v>
      </c>
      <c r="L227">
        <v>0</v>
      </c>
      <c r="M227">
        <v>1421799424</v>
      </c>
      <c r="N227">
        <v>60313600</v>
      </c>
      <c r="O227">
        <v>15918108672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0.40139660902655999</v>
      </c>
      <c r="V227">
        <v>99.7515568567038</v>
      </c>
      <c r="W227">
        <v>51.994545659253802</v>
      </c>
      <c r="X227">
        <v>203.97860220168801</v>
      </c>
    </row>
    <row r="228" spans="1:24" x14ac:dyDescent="0.25">
      <c r="A228" s="12">
        <v>45170.448461319444</v>
      </c>
      <c r="B228">
        <v>2.9996913317619601E-2</v>
      </c>
      <c r="C228">
        <v>100.119697683108</v>
      </c>
      <c r="D228">
        <v>8191.1617512571702</v>
      </c>
      <c r="E228">
        <v>1.4997481706280301E-4</v>
      </c>
      <c r="F228">
        <v>1.9997953494280201</v>
      </c>
      <c r="G228">
        <v>1000000000</v>
      </c>
      <c r="H228">
        <v>100000</v>
      </c>
      <c r="I228">
        <v>0</v>
      </c>
      <c r="J228">
        <v>0</v>
      </c>
      <c r="K228">
        <v>0</v>
      </c>
      <c r="L228">
        <v>0</v>
      </c>
      <c r="M228">
        <v>1421787136</v>
      </c>
      <c r="N228">
        <v>60313600</v>
      </c>
      <c r="O228">
        <v>15918125056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99.765104170780802</v>
      </c>
      <c r="W228">
        <v>33.996520940276298</v>
      </c>
      <c r="X228">
        <v>192.98025121980399</v>
      </c>
    </row>
    <row r="229" spans="1:24" x14ac:dyDescent="0.25">
      <c r="A229" s="12">
        <v>45170.44847289352</v>
      </c>
      <c r="B229">
        <v>0.52994371997693801</v>
      </c>
      <c r="C229">
        <v>99.639418293777098</v>
      </c>
      <c r="D229">
        <v>12286.596804024701</v>
      </c>
      <c r="E229">
        <v>2.64998283710649E-3</v>
      </c>
      <c r="F229">
        <v>1.99977161523839</v>
      </c>
      <c r="G229">
        <v>1000000000</v>
      </c>
      <c r="H229">
        <v>100000</v>
      </c>
      <c r="I229">
        <v>0</v>
      </c>
      <c r="J229">
        <v>0</v>
      </c>
      <c r="K229">
        <v>0</v>
      </c>
      <c r="L229">
        <v>0</v>
      </c>
      <c r="M229">
        <v>1421672448</v>
      </c>
      <c r="N229">
        <v>60313600</v>
      </c>
      <c r="O229">
        <v>15918120960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99.757295775188595</v>
      </c>
      <c r="W229">
        <v>53.9938336114366</v>
      </c>
      <c r="X229">
        <v>209.97601960003101</v>
      </c>
    </row>
    <row r="230" spans="1:24" x14ac:dyDescent="0.25">
      <c r="A230" s="12">
        <v>45170.44848446759</v>
      </c>
      <c r="B230">
        <v>1.03989060350851</v>
      </c>
      <c r="C230">
        <v>99.139570517181497</v>
      </c>
      <c r="D230">
        <v>16382.407581989701</v>
      </c>
      <c r="E230">
        <v>2.60001796489787E-3</v>
      </c>
      <c r="F230">
        <v>3.99961122607171</v>
      </c>
      <c r="G230">
        <v>1000000000</v>
      </c>
      <c r="H230">
        <v>100000</v>
      </c>
      <c r="I230">
        <v>0</v>
      </c>
      <c r="J230">
        <v>0</v>
      </c>
      <c r="K230">
        <v>0</v>
      </c>
      <c r="L230">
        <v>0</v>
      </c>
      <c r="M230">
        <v>1421672448</v>
      </c>
      <c r="N230">
        <v>60313600</v>
      </c>
      <c r="O230">
        <v>15918104576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0.79168671455762596</v>
      </c>
      <c r="V230">
        <v>99.759805268485707</v>
      </c>
      <c r="W230">
        <v>49.995140325896401</v>
      </c>
      <c r="X230">
        <v>210.97949217528301</v>
      </c>
    </row>
    <row r="231" spans="1:24" x14ac:dyDescent="0.25">
      <c r="A231" s="12">
        <v>45170.448496041667</v>
      </c>
      <c r="B231">
        <v>0.51994410600860397</v>
      </c>
      <c r="C231">
        <v>99.649287701572007</v>
      </c>
      <c r="D231">
        <v>8191.1223393949804</v>
      </c>
      <c r="E231">
        <v>2.5999377644609399E-3</v>
      </c>
      <c r="F231">
        <v>1.99978572739135</v>
      </c>
      <c r="G231">
        <v>1000000000</v>
      </c>
      <c r="H231">
        <v>100000</v>
      </c>
      <c r="I231">
        <v>0</v>
      </c>
      <c r="J231">
        <v>0</v>
      </c>
      <c r="K231">
        <v>0</v>
      </c>
      <c r="L231">
        <v>0</v>
      </c>
      <c r="M231">
        <v>1421672448</v>
      </c>
      <c r="N231">
        <v>60313600</v>
      </c>
      <c r="O231">
        <v>15918112768</v>
      </c>
      <c r="P231">
        <v>0</v>
      </c>
      <c r="Q231">
        <v>0.99989286369567598</v>
      </c>
      <c r="R231">
        <v>0</v>
      </c>
      <c r="S231">
        <v>0</v>
      </c>
      <c r="T231">
        <v>0</v>
      </c>
      <c r="U231">
        <v>0</v>
      </c>
      <c r="V231">
        <v>99.981471991760799</v>
      </c>
      <c r="W231">
        <v>49.994643184783797</v>
      </c>
      <c r="X231">
        <v>199.97857273913499</v>
      </c>
    </row>
    <row r="232" spans="1:24" x14ac:dyDescent="0.25">
      <c r="A232" s="12">
        <v>45170.448507615743</v>
      </c>
      <c r="B232">
        <v>0.51994592562373498</v>
      </c>
      <c r="C232">
        <v>99.6496364378104</v>
      </c>
      <c r="D232">
        <v>8191.1144570680499</v>
      </c>
      <c r="E232">
        <v>2.6000981653348E-3</v>
      </c>
      <c r="F232">
        <v>1.99978380299513</v>
      </c>
      <c r="G232">
        <v>1000000000</v>
      </c>
      <c r="H232">
        <v>100000</v>
      </c>
      <c r="I232">
        <v>0</v>
      </c>
      <c r="J232">
        <v>0</v>
      </c>
      <c r="K232">
        <v>0</v>
      </c>
      <c r="L232">
        <v>0</v>
      </c>
      <c r="M232">
        <v>1421672448</v>
      </c>
      <c r="N232">
        <v>60313600</v>
      </c>
      <c r="O232">
        <v>15918120960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0.400978298256982</v>
      </c>
      <c r="V232">
        <v>99.5164102933295</v>
      </c>
      <c r="W232">
        <v>39.9956760599026</v>
      </c>
      <c r="X232">
        <v>202.978056004005</v>
      </c>
    </row>
    <row r="233" spans="1:24" x14ac:dyDescent="0.25">
      <c r="A233" s="12">
        <v>45170.448519189813</v>
      </c>
      <c r="B233">
        <v>0.57993806261491199</v>
      </c>
      <c r="C233">
        <v>99.509372399027697</v>
      </c>
      <c r="D233">
        <v>69624.8078852623</v>
      </c>
      <c r="E233">
        <v>1.15995495943461E-3</v>
      </c>
      <c r="F233">
        <v>4.9994835625331904</v>
      </c>
      <c r="G233">
        <v>1000000000</v>
      </c>
      <c r="H233">
        <v>100000</v>
      </c>
      <c r="I233">
        <v>0</v>
      </c>
      <c r="J233">
        <v>0</v>
      </c>
      <c r="K233">
        <v>0</v>
      </c>
      <c r="L233">
        <v>0</v>
      </c>
      <c r="M233">
        <v>1421672448</v>
      </c>
      <c r="N233">
        <v>60313600</v>
      </c>
      <c r="O233">
        <v>15918120960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1.06788594978035E-2</v>
      </c>
      <c r="V233">
        <v>99.741587598444397</v>
      </c>
      <c r="W233">
        <v>53.994422475358498</v>
      </c>
      <c r="X233">
        <v>199.97934250132701</v>
      </c>
    </row>
    <row r="234" spans="1:24" x14ac:dyDescent="0.25">
      <c r="A234" s="12">
        <v>45170.44853076389</v>
      </c>
      <c r="B234">
        <v>0.51994498982007697</v>
      </c>
      <c r="C234">
        <v>99.639458145328206</v>
      </c>
      <c r="D234">
        <v>8191.1275942880202</v>
      </c>
      <c r="E234">
        <v>2.6000981653348E-3</v>
      </c>
      <c r="F234">
        <v>1.9997870103242199</v>
      </c>
      <c r="G234">
        <v>1000000000</v>
      </c>
      <c r="H234">
        <v>100000</v>
      </c>
      <c r="I234">
        <v>0</v>
      </c>
      <c r="J234">
        <v>0</v>
      </c>
      <c r="K234">
        <v>0</v>
      </c>
      <c r="L234">
        <v>0</v>
      </c>
      <c r="M234">
        <v>1421672448</v>
      </c>
      <c r="N234">
        <v>60313600</v>
      </c>
      <c r="O234">
        <v>15918120960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1.05788807544193E-2</v>
      </c>
      <c r="V234">
        <v>99.7705942711261</v>
      </c>
      <c r="W234">
        <v>43.995314227132901</v>
      </c>
      <c r="X234">
        <v>198.97880752725999</v>
      </c>
    </row>
    <row r="235" spans="1:24" x14ac:dyDescent="0.25">
      <c r="A235" s="12">
        <v>45170.448542337967</v>
      </c>
      <c r="B235">
        <v>0.51994524976519896</v>
      </c>
      <c r="C235">
        <v>99.649506906922596</v>
      </c>
      <c r="D235">
        <v>8191.1197119509798</v>
      </c>
      <c r="E235">
        <v>2.5999377644609399E-3</v>
      </c>
      <c r="F235">
        <v>1.9997850859255299</v>
      </c>
      <c r="G235">
        <v>1000000000</v>
      </c>
      <c r="H235">
        <v>100000</v>
      </c>
      <c r="I235">
        <v>0</v>
      </c>
      <c r="J235">
        <v>0</v>
      </c>
      <c r="K235">
        <v>0</v>
      </c>
      <c r="L235">
        <v>0</v>
      </c>
      <c r="M235">
        <v>1421672448</v>
      </c>
      <c r="N235">
        <v>60313600</v>
      </c>
      <c r="O235">
        <v>15918120960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1.0528891307748299E-2</v>
      </c>
      <c r="V235">
        <v>99.768924332267801</v>
      </c>
      <c r="W235">
        <v>39.995701718510603</v>
      </c>
      <c r="X235">
        <v>191.97936824885099</v>
      </c>
    </row>
    <row r="236" spans="1:24" x14ac:dyDescent="0.25">
      <c r="A236" s="12">
        <v>45170.448553912036</v>
      </c>
      <c r="B236">
        <v>0.51994462589734103</v>
      </c>
      <c r="C236">
        <v>99.639388405134795</v>
      </c>
      <c r="D236">
        <v>12286.718979700099</v>
      </c>
      <c r="E236">
        <v>2.6000981653348E-3</v>
      </c>
      <c r="F236">
        <v>1.99979150060224</v>
      </c>
      <c r="G236">
        <v>1000000000</v>
      </c>
      <c r="H236">
        <v>100000</v>
      </c>
      <c r="I236">
        <v>0</v>
      </c>
      <c r="J236">
        <v>0</v>
      </c>
      <c r="K236">
        <v>0</v>
      </c>
      <c r="L236">
        <v>0</v>
      </c>
      <c r="M236">
        <v>1421672448</v>
      </c>
      <c r="N236">
        <v>60313600</v>
      </c>
      <c r="O236">
        <v>15918120960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1.0648865895779199E-2</v>
      </c>
      <c r="V236">
        <v>99.773694101578101</v>
      </c>
      <c r="W236">
        <v>41.995621512646998</v>
      </c>
      <c r="X236">
        <v>208.97821181293401</v>
      </c>
    </row>
    <row r="237" spans="1:24" x14ac:dyDescent="0.25">
      <c r="A237" s="12">
        <v>45170.448565497682</v>
      </c>
      <c r="B237">
        <v>0.51994514578711903</v>
      </c>
      <c r="C237">
        <v>99.649486979123694</v>
      </c>
      <c r="D237">
        <v>12286.7110973252</v>
      </c>
      <c r="E237">
        <v>2.5999377644609399E-3</v>
      </c>
      <c r="F237">
        <v>1.9997902176636</v>
      </c>
      <c r="G237">
        <v>1000000000</v>
      </c>
      <c r="H237">
        <v>100000</v>
      </c>
      <c r="I237">
        <v>0</v>
      </c>
      <c r="J237">
        <v>0</v>
      </c>
      <c r="K237">
        <v>0</v>
      </c>
      <c r="L237">
        <v>0</v>
      </c>
      <c r="M237">
        <v>1421672448</v>
      </c>
      <c r="N237">
        <v>60313600</v>
      </c>
      <c r="O237">
        <v>15918129152</v>
      </c>
      <c r="P237">
        <v>0</v>
      </c>
      <c r="Q237">
        <v>0.99989510883180399</v>
      </c>
      <c r="R237">
        <v>0</v>
      </c>
      <c r="S237">
        <v>0</v>
      </c>
      <c r="T237">
        <v>0</v>
      </c>
      <c r="U237">
        <v>0</v>
      </c>
      <c r="V237">
        <v>99.990161038010399</v>
      </c>
      <c r="W237">
        <v>47.994965223926599</v>
      </c>
      <c r="X237">
        <v>199.97902176636001</v>
      </c>
    </row>
    <row r="238" spans="1:24" x14ac:dyDescent="0.25">
      <c r="A238" s="12">
        <v>45170.448577071758</v>
      </c>
      <c r="B238">
        <v>0.53994195623970398</v>
      </c>
      <c r="C238">
        <v>99.6292898513409</v>
      </c>
      <c r="D238">
        <v>12286.6480386895</v>
      </c>
      <c r="E238">
        <v>1.80001860650136E-3</v>
      </c>
      <c r="F238">
        <v>2.9996699313206898</v>
      </c>
      <c r="G238">
        <v>1000000000</v>
      </c>
      <c r="H238">
        <v>100000</v>
      </c>
      <c r="I238">
        <v>0</v>
      </c>
      <c r="J238">
        <v>0</v>
      </c>
      <c r="K238">
        <v>0</v>
      </c>
      <c r="L238">
        <v>0</v>
      </c>
      <c r="M238">
        <v>1421672448</v>
      </c>
      <c r="N238">
        <v>60317696</v>
      </c>
      <c r="O238">
        <v>15918125056</v>
      </c>
      <c r="P238">
        <v>0.99988997710689798</v>
      </c>
      <c r="Q238">
        <v>0.99988997710689798</v>
      </c>
      <c r="R238">
        <v>0</v>
      </c>
      <c r="S238">
        <v>0</v>
      </c>
      <c r="T238">
        <v>0</v>
      </c>
      <c r="U238">
        <v>0.40132685736283802</v>
      </c>
      <c r="V238">
        <v>99.506543046622397</v>
      </c>
      <c r="W238">
        <v>47.994718901131101</v>
      </c>
      <c r="X238">
        <v>204.97744530691401</v>
      </c>
    </row>
    <row r="239" spans="1:24" x14ac:dyDescent="0.25">
      <c r="A239" s="12">
        <v>45170.448588645835</v>
      </c>
      <c r="B239">
        <v>0.52994440883151295</v>
      </c>
      <c r="C239">
        <v>99.639547811434497</v>
      </c>
      <c r="D239">
        <v>8191.1617512571702</v>
      </c>
      <c r="E239">
        <v>2.64998283710649E-3</v>
      </c>
      <c r="F239">
        <v>1.9997953494280201</v>
      </c>
      <c r="G239">
        <v>1000000000</v>
      </c>
      <c r="H239">
        <v>100000</v>
      </c>
      <c r="I239">
        <v>0</v>
      </c>
      <c r="J239">
        <v>0</v>
      </c>
      <c r="K239">
        <v>0</v>
      </c>
      <c r="L239">
        <v>0</v>
      </c>
      <c r="M239">
        <v>1421672448</v>
      </c>
      <c r="N239">
        <v>60317696</v>
      </c>
      <c r="O239">
        <v>15918108672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1.04888997144225E-2</v>
      </c>
      <c r="V239">
        <v>99.7637947779277</v>
      </c>
      <c r="W239">
        <v>43.995497687416403</v>
      </c>
      <c r="X239">
        <v>204.97902331637201</v>
      </c>
    </row>
    <row r="240" spans="1:24" x14ac:dyDescent="0.25">
      <c r="A240" s="12">
        <v>45170.448600219905</v>
      </c>
      <c r="B240">
        <v>0.50994665957940699</v>
      </c>
      <c r="C240">
        <v>99.649576654281901</v>
      </c>
      <c r="D240">
        <v>12286.7110973252</v>
      </c>
      <c r="E240">
        <v>2.55005309268924E-3</v>
      </c>
      <c r="F240">
        <v>1.9997902176636</v>
      </c>
      <c r="G240">
        <v>1000000000</v>
      </c>
      <c r="H240">
        <v>100000</v>
      </c>
      <c r="I240">
        <v>0</v>
      </c>
      <c r="J240">
        <v>0</v>
      </c>
      <c r="K240">
        <v>0</v>
      </c>
      <c r="L240">
        <v>0</v>
      </c>
      <c r="M240">
        <v>1421672448</v>
      </c>
      <c r="N240">
        <v>60325888</v>
      </c>
      <c r="O240">
        <v>15918104576</v>
      </c>
      <c r="P240">
        <v>1.9997902176636</v>
      </c>
      <c r="Q240">
        <v>1.9997902176636</v>
      </c>
      <c r="R240">
        <v>0.99989510883180399</v>
      </c>
      <c r="S240">
        <v>0</v>
      </c>
      <c r="T240">
        <v>0</v>
      </c>
      <c r="U240">
        <v>1.0458905998433901E-2</v>
      </c>
      <c r="V240">
        <v>99.748306327158105</v>
      </c>
      <c r="W240">
        <v>65.993077182899</v>
      </c>
      <c r="X240">
        <v>197.97923154869699</v>
      </c>
    </row>
    <row r="241" spans="1:24" x14ac:dyDescent="0.25">
      <c r="A241" s="12">
        <v>45170.448611793981</v>
      </c>
      <c r="B241">
        <v>0.52994356101075202</v>
      </c>
      <c r="C241">
        <v>99.649387340248197</v>
      </c>
      <c r="D241">
        <v>16382.1973849194</v>
      </c>
      <c r="E241">
        <v>2.64998283710649E-3</v>
      </c>
      <c r="F241">
        <v>1.99977995421379</v>
      </c>
      <c r="G241">
        <v>1000000000</v>
      </c>
      <c r="H241">
        <v>100000</v>
      </c>
      <c r="I241">
        <v>0</v>
      </c>
      <c r="J241">
        <v>0</v>
      </c>
      <c r="K241">
        <v>0</v>
      </c>
      <c r="L241">
        <v>0</v>
      </c>
      <c r="M241">
        <v>1421672448</v>
      </c>
      <c r="N241">
        <v>60325888</v>
      </c>
      <c r="O241">
        <v>15918104576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1.0648865895779199E-2</v>
      </c>
      <c r="V241">
        <v>99.765644958811805</v>
      </c>
      <c r="W241">
        <v>41.995379038489702</v>
      </c>
      <c r="X241">
        <v>190.97898562741699</v>
      </c>
    </row>
    <row r="242" spans="1:24" x14ac:dyDescent="0.25">
      <c r="A242" s="12">
        <v>45170.448623368058</v>
      </c>
      <c r="B242">
        <v>0.51994498982007697</v>
      </c>
      <c r="C242">
        <v>99.649457087440098</v>
      </c>
      <c r="D242">
        <v>8191.10394732241</v>
      </c>
      <c r="E242">
        <v>2.5999377644609399E-3</v>
      </c>
      <c r="F242">
        <v>1.99978123713926</v>
      </c>
      <c r="G242">
        <v>1000000000</v>
      </c>
      <c r="H242">
        <v>100000</v>
      </c>
      <c r="I242">
        <v>0</v>
      </c>
      <c r="J242">
        <v>0</v>
      </c>
      <c r="K242">
        <v>0</v>
      </c>
      <c r="L242">
        <v>0</v>
      </c>
      <c r="M242">
        <v>1421672448</v>
      </c>
      <c r="N242">
        <v>60325888</v>
      </c>
      <c r="O242">
        <v>15918133248</v>
      </c>
      <c r="P242">
        <v>0</v>
      </c>
      <c r="Q242">
        <v>7.9991249485570401</v>
      </c>
      <c r="R242">
        <v>0</v>
      </c>
      <c r="S242">
        <v>0</v>
      </c>
      <c r="T242">
        <v>0</v>
      </c>
      <c r="U242">
        <v>0</v>
      </c>
      <c r="V242">
        <v>99.6468473635489</v>
      </c>
      <c r="W242">
        <v>77.991468248431204</v>
      </c>
      <c r="X242">
        <v>536.94126217189103</v>
      </c>
    </row>
    <row r="243" spans="1:24" x14ac:dyDescent="0.25">
      <c r="A243" s="12">
        <v>45170.448634942128</v>
      </c>
      <c r="B243">
        <v>1.0498891317076899</v>
      </c>
      <c r="C243">
        <v>99.039541424425494</v>
      </c>
      <c r="D243">
        <v>77816.336169689894</v>
      </c>
      <c r="E243">
        <v>2.1000324009765202E-3</v>
      </c>
      <c r="F243">
        <v>4.9995076178100497</v>
      </c>
      <c r="G243">
        <v>1000000000</v>
      </c>
      <c r="H243">
        <v>100000</v>
      </c>
      <c r="I243">
        <v>0</v>
      </c>
      <c r="J243">
        <v>0</v>
      </c>
      <c r="K243">
        <v>0</v>
      </c>
      <c r="L243">
        <v>0</v>
      </c>
      <c r="M243">
        <v>1421672448</v>
      </c>
      <c r="N243">
        <v>60325888</v>
      </c>
      <c r="O243">
        <v>15918108672</v>
      </c>
      <c r="P243">
        <v>0</v>
      </c>
      <c r="Q243">
        <v>4.9995076178100497</v>
      </c>
      <c r="R243">
        <v>0</v>
      </c>
      <c r="S243">
        <v>0</v>
      </c>
      <c r="T243">
        <v>0</v>
      </c>
      <c r="U243">
        <v>0.40113763986523399</v>
      </c>
      <c r="V243">
        <v>99.976382494008604</v>
      </c>
      <c r="W243">
        <v>79.992121884960895</v>
      </c>
      <c r="X243">
        <v>229.977350419262</v>
      </c>
    </row>
    <row r="244" spans="1:24" x14ac:dyDescent="0.25">
      <c r="A244" s="12">
        <v>45170.448646516204</v>
      </c>
      <c r="B244">
        <v>1.05988818179682</v>
      </c>
      <c r="C244">
        <v>99.129541833336503</v>
      </c>
      <c r="D244">
        <v>18429.989793201599</v>
      </c>
      <c r="E244">
        <v>2.64998283710649E-3</v>
      </c>
      <c r="F244">
        <v>3.9995637572052201</v>
      </c>
      <c r="G244">
        <v>1000000000</v>
      </c>
      <c r="H244">
        <v>100000</v>
      </c>
      <c r="I244">
        <v>0</v>
      </c>
      <c r="J244">
        <v>0</v>
      </c>
      <c r="K244">
        <v>0</v>
      </c>
      <c r="L244">
        <v>0</v>
      </c>
      <c r="M244">
        <v>1421754368</v>
      </c>
      <c r="N244">
        <v>60325888</v>
      </c>
      <c r="O244">
        <v>15918104576</v>
      </c>
      <c r="P244">
        <v>0</v>
      </c>
      <c r="Q244">
        <v>7.9991275144104401</v>
      </c>
      <c r="R244">
        <v>0</v>
      </c>
      <c r="S244">
        <v>0</v>
      </c>
      <c r="T244">
        <v>0</v>
      </c>
      <c r="U244">
        <v>1.05488870924097E-2</v>
      </c>
      <c r="V244">
        <v>99.327490949704796</v>
      </c>
      <c r="W244">
        <v>119.986912716156</v>
      </c>
      <c r="X244">
        <v>938.89759200392598</v>
      </c>
    </row>
    <row r="245" spans="1:24" x14ac:dyDescent="0.25">
      <c r="A245" s="12">
        <v>45170.448658090281</v>
      </c>
      <c r="B245">
        <v>0.50994584375139296</v>
      </c>
      <c r="C245">
        <v>99.679414046228203</v>
      </c>
      <c r="D245">
        <v>8191.1564963203</v>
      </c>
      <c r="E245">
        <v>2.5498926918153799E-3</v>
      </c>
      <c r="F245">
        <v>1.99979406648444</v>
      </c>
      <c r="G245">
        <v>1000000000</v>
      </c>
      <c r="H245">
        <v>100000</v>
      </c>
      <c r="I245">
        <v>0</v>
      </c>
      <c r="J245">
        <v>0</v>
      </c>
      <c r="K245">
        <v>0</v>
      </c>
      <c r="L245">
        <v>0</v>
      </c>
      <c r="M245">
        <v>1421754368</v>
      </c>
      <c r="N245">
        <v>60325888</v>
      </c>
      <c r="O245">
        <v>15918104576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1.06188722757694E-2</v>
      </c>
      <c r="V245">
        <v>99.738857733308706</v>
      </c>
      <c r="W245">
        <v>51.9946457285956</v>
      </c>
      <c r="X245">
        <v>234.97580281192199</v>
      </c>
    </row>
    <row r="246" spans="1:24" x14ac:dyDescent="0.25">
      <c r="A246" s="12">
        <v>45170.448669664351</v>
      </c>
      <c r="B246">
        <v>0.51994462589734103</v>
      </c>
      <c r="C246">
        <v>99.639388405134795</v>
      </c>
      <c r="D246">
        <v>12286.7032149603</v>
      </c>
      <c r="E246">
        <v>2.6000981653348E-3</v>
      </c>
      <c r="F246">
        <v>1.99978893472662</v>
      </c>
      <c r="G246">
        <v>1000000000</v>
      </c>
      <c r="H246">
        <v>100000</v>
      </c>
      <c r="I246">
        <v>0</v>
      </c>
      <c r="J246">
        <v>0</v>
      </c>
      <c r="K246">
        <v>0</v>
      </c>
      <c r="L246">
        <v>0</v>
      </c>
      <c r="M246">
        <v>1421754368</v>
      </c>
      <c r="N246">
        <v>60325888</v>
      </c>
      <c r="O246">
        <v>15918104576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1.0648865895779199E-2</v>
      </c>
      <c r="V246">
        <v>99.759425621171303</v>
      </c>
      <c r="W246">
        <v>41.995567629259</v>
      </c>
      <c r="X246">
        <v>201.97868240738799</v>
      </c>
    </row>
    <row r="247" spans="1:24" x14ac:dyDescent="0.25">
      <c r="A247" s="12">
        <v>45170.448681365742</v>
      </c>
      <c r="B247">
        <v>2.6413032962080099</v>
      </c>
      <c r="C247">
        <v>99.004357260111703</v>
      </c>
      <c r="D247">
        <v>86104.181660255606</v>
      </c>
      <c r="E247">
        <v>1.4052636137708999E-3</v>
      </c>
      <c r="F247">
        <v>18.7957198017561</v>
      </c>
      <c r="G247">
        <v>1000000000</v>
      </c>
      <c r="H247">
        <v>100000</v>
      </c>
      <c r="I247">
        <v>0</v>
      </c>
      <c r="J247">
        <v>0</v>
      </c>
      <c r="K247">
        <v>0</v>
      </c>
      <c r="L247">
        <v>0</v>
      </c>
      <c r="M247">
        <v>1421783040</v>
      </c>
      <c r="N247">
        <v>60325888</v>
      </c>
      <c r="O247">
        <v>15918116864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99.711365894106805</v>
      </c>
      <c r="W247">
        <v>88.043108545068307</v>
      </c>
      <c r="X247">
        <v>194.881936891892</v>
      </c>
    </row>
    <row r="248" spans="1:24" x14ac:dyDescent="0.25">
      <c r="A248" s="12">
        <v>45170.448692939812</v>
      </c>
      <c r="B248">
        <v>1.0698898013504601</v>
      </c>
      <c r="C248">
        <v>99.039798900713194</v>
      </c>
      <c r="D248">
        <v>65529.230950835103</v>
      </c>
      <c r="E248">
        <v>2.1400042987434098E-3</v>
      </c>
      <c r="F248">
        <v>4.9994835625331904</v>
      </c>
      <c r="G248">
        <v>1000000000</v>
      </c>
      <c r="H248">
        <v>100000</v>
      </c>
      <c r="I248">
        <v>0</v>
      </c>
      <c r="J248">
        <v>0</v>
      </c>
      <c r="K248">
        <v>0</v>
      </c>
      <c r="L248">
        <v>0</v>
      </c>
      <c r="M248">
        <v>1421783040</v>
      </c>
      <c r="N248">
        <v>60325888</v>
      </c>
      <c r="O248">
        <v>15918116864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1.0298939209263299E-2</v>
      </c>
      <c r="V248">
        <v>99.751615583594798</v>
      </c>
      <c r="W248">
        <v>45.995248775305399</v>
      </c>
      <c r="X248">
        <v>193.979962226288</v>
      </c>
    </row>
    <row r="249" spans="1:24" x14ac:dyDescent="0.25">
      <c r="A249" s="12">
        <v>45170.448704525465</v>
      </c>
      <c r="B249">
        <v>0.51994493783108298</v>
      </c>
      <c r="C249">
        <v>99.639448182437405</v>
      </c>
      <c r="D249">
        <v>16382.3235025143</v>
      </c>
      <c r="E249">
        <v>2.5999377644609399E-3</v>
      </c>
      <c r="F249">
        <v>1.9997953494280201</v>
      </c>
      <c r="G249">
        <v>1000000000</v>
      </c>
      <c r="H249">
        <v>100000</v>
      </c>
      <c r="I249">
        <v>0</v>
      </c>
      <c r="J249">
        <v>0</v>
      </c>
      <c r="K249">
        <v>0</v>
      </c>
      <c r="L249">
        <v>0</v>
      </c>
      <c r="M249">
        <v>1421434880</v>
      </c>
      <c r="N249">
        <v>60325888</v>
      </c>
      <c r="O249">
        <v>15918174208</v>
      </c>
      <c r="P249">
        <v>0</v>
      </c>
      <c r="Q249">
        <v>0.99989767471401003</v>
      </c>
      <c r="R249">
        <v>0</v>
      </c>
      <c r="S249">
        <v>0</v>
      </c>
      <c r="T249">
        <v>0</v>
      </c>
      <c r="U249">
        <v>0</v>
      </c>
      <c r="V249">
        <v>99.962453976123896</v>
      </c>
      <c r="W249">
        <v>98.989869796687003</v>
      </c>
      <c r="X249">
        <v>248.974521003788</v>
      </c>
    </row>
    <row r="250" spans="1:24" x14ac:dyDescent="0.25">
      <c r="A250" s="12">
        <v>45170.448716099534</v>
      </c>
      <c r="B250">
        <v>0.51994498982007697</v>
      </c>
      <c r="C250">
        <v>99.649457087440098</v>
      </c>
      <c r="D250">
        <v>8191.1144570680499</v>
      </c>
      <c r="E250">
        <v>2.6000981653348E-3</v>
      </c>
      <c r="F250">
        <v>1.99978380299513</v>
      </c>
      <c r="G250">
        <v>1000000000</v>
      </c>
      <c r="H250">
        <v>100000</v>
      </c>
      <c r="I250">
        <v>0</v>
      </c>
      <c r="J250">
        <v>0</v>
      </c>
      <c r="K250">
        <v>0</v>
      </c>
      <c r="L250">
        <v>0</v>
      </c>
      <c r="M250">
        <v>1421434880</v>
      </c>
      <c r="N250">
        <v>60329984</v>
      </c>
      <c r="O250">
        <v>15918170112</v>
      </c>
      <c r="P250">
        <v>0.99989190149756502</v>
      </c>
      <c r="Q250">
        <v>0.99989190149756502</v>
      </c>
      <c r="R250">
        <v>0</v>
      </c>
      <c r="S250">
        <v>0</v>
      </c>
      <c r="T250">
        <v>0</v>
      </c>
      <c r="U250">
        <v>0.40115755753041799</v>
      </c>
      <c r="V250">
        <v>99.521980574455199</v>
      </c>
      <c r="W250">
        <v>41.995459862897697</v>
      </c>
      <c r="X250">
        <v>201.978164102508</v>
      </c>
    </row>
    <row r="251" spans="1:24" x14ac:dyDescent="0.25">
      <c r="A251" s="12">
        <v>45170.448727673611</v>
      </c>
      <c r="B251">
        <v>0.51994478186416604</v>
      </c>
      <c r="C251">
        <v>99.649417231889899</v>
      </c>
      <c r="D251">
        <v>8191.1223393949804</v>
      </c>
      <c r="E251">
        <v>2.5999377644609399E-3</v>
      </c>
      <c r="F251">
        <v>1.99978572739135</v>
      </c>
      <c r="G251">
        <v>1000000000</v>
      </c>
      <c r="H251">
        <v>100000</v>
      </c>
      <c r="I251">
        <v>0</v>
      </c>
      <c r="J251">
        <v>0</v>
      </c>
      <c r="K251">
        <v>0</v>
      </c>
      <c r="L251">
        <v>0</v>
      </c>
      <c r="M251">
        <v>1421434880</v>
      </c>
      <c r="N251">
        <v>60329984</v>
      </c>
      <c r="O251">
        <v>15918170112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1.06188722757694E-2</v>
      </c>
      <c r="V251">
        <v>99.761235356805102</v>
      </c>
      <c r="W251">
        <v>31.996571638261599</v>
      </c>
      <c r="X251">
        <v>190.97953696587399</v>
      </c>
    </row>
    <row r="252" spans="1:24" x14ac:dyDescent="0.25">
      <c r="A252" s="12">
        <v>45170.448739247688</v>
      </c>
      <c r="B252">
        <v>0.51994493783108298</v>
      </c>
      <c r="C252">
        <v>99.649447123549606</v>
      </c>
      <c r="D252">
        <v>8191.1013198902201</v>
      </c>
      <c r="E252">
        <v>2.5999377644609399E-3</v>
      </c>
      <c r="F252">
        <v>1.9997805956763199</v>
      </c>
      <c r="G252">
        <v>1000000000</v>
      </c>
      <c r="H252">
        <v>100000</v>
      </c>
      <c r="I252">
        <v>0</v>
      </c>
      <c r="J252">
        <v>0</v>
      </c>
      <c r="K252">
        <v>0</v>
      </c>
      <c r="L252">
        <v>0</v>
      </c>
      <c r="M252">
        <v>1421434880</v>
      </c>
      <c r="N252">
        <v>60329984</v>
      </c>
      <c r="O252">
        <v>15918170112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99.761385269299893</v>
      </c>
      <c r="W252">
        <v>39.995611913526403</v>
      </c>
      <c r="X252">
        <v>196.97838867411701</v>
      </c>
    </row>
    <row r="253" spans="1:24" x14ac:dyDescent="0.25">
      <c r="A253" s="12">
        <v>45170.448750821757</v>
      </c>
      <c r="B253">
        <v>1.0198920954163</v>
      </c>
      <c r="C253">
        <v>99.139511039732</v>
      </c>
      <c r="D253">
        <v>12286.7426268857</v>
      </c>
      <c r="E253">
        <v>3.40007079025233E-3</v>
      </c>
      <c r="F253">
        <v>2.9996930241420299</v>
      </c>
      <c r="G253">
        <v>1000000000</v>
      </c>
      <c r="H253">
        <v>100000</v>
      </c>
      <c r="I253">
        <v>0</v>
      </c>
      <c r="J253">
        <v>0</v>
      </c>
      <c r="K253">
        <v>0</v>
      </c>
      <c r="L253">
        <v>0</v>
      </c>
      <c r="M253">
        <v>1421434880</v>
      </c>
      <c r="N253">
        <v>60329984</v>
      </c>
      <c r="O253">
        <v>15918170112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0.40115755753041799</v>
      </c>
      <c r="V253">
        <v>99.741957300917505</v>
      </c>
      <c r="W253">
        <v>51.994679085128503</v>
      </c>
      <c r="X253">
        <v>205.978920991086</v>
      </c>
    </row>
    <row r="254" spans="1:24" x14ac:dyDescent="0.25">
      <c r="A254" s="12">
        <v>45170.448762395834</v>
      </c>
      <c r="B254">
        <v>0.51994493783108298</v>
      </c>
      <c r="C254">
        <v>99.639448182437405</v>
      </c>
      <c r="D254">
        <v>12286.695332605599</v>
      </c>
      <c r="E254">
        <v>2.5999377644609399E-3</v>
      </c>
      <c r="F254">
        <v>1.99978765179127</v>
      </c>
      <c r="G254">
        <v>1000000000</v>
      </c>
      <c r="H254">
        <v>100000</v>
      </c>
      <c r="I254">
        <v>0</v>
      </c>
      <c r="J254">
        <v>0</v>
      </c>
      <c r="K254">
        <v>0</v>
      </c>
      <c r="L254">
        <v>0</v>
      </c>
      <c r="M254">
        <v>1421406208</v>
      </c>
      <c r="N254">
        <v>60329984</v>
      </c>
      <c r="O254">
        <v>15918182400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1.05888786377517E-2</v>
      </c>
      <c r="V254">
        <v>99.754515996755899</v>
      </c>
      <c r="W254">
        <v>47.9949036429906</v>
      </c>
      <c r="X254">
        <v>222.97632317472701</v>
      </c>
    </row>
    <row r="255" spans="1:24" x14ac:dyDescent="0.25">
      <c r="A255" s="12">
        <v>45170.448773969911</v>
      </c>
      <c r="B255">
        <v>0.52994356101075202</v>
      </c>
      <c r="C255">
        <v>99.639388405134795</v>
      </c>
      <c r="D255">
        <v>8191.1696336751202</v>
      </c>
      <c r="E255">
        <v>2.64998283710649E-3</v>
      </c>
      <c r="F255">
        <v>1.99979727384646</v>
      </c>
      <c r="G255">
        <v>1000000000</v>
      </c>
      <c r="H255">
        <v>100000</v>
      </c>
      <c r="I255">
        <v>0</v>
      </c>
      <c r="J255">
        <v>0</v>
      </c>
      <c r="K255">
        <v>0</v>
      </c>
      <c r="L255">
        <v>0</v>
      </c>
      <c r="M255">
        <v>1421406208</v>
      </c>
      <c r="N255">
        <v>60329984</v>
      </c>
      <c r="O255">
        <v>15918202880</v>
      </c>
      <c r="P255">
        <v>0</v>
      </c>
      <c r="Q255">
        <v>0.999898636923232</v>
      </c>
      <c r="R255">
        <v>0</v>
      </c>
      <c r="S255">
        <v>0</v>
      </c>
      <c r="T255">
        <v>0</v>
      </c>
      <c r="U255">
        <v>0</v>
      </c>
      <c r="V255">
        <v>99.992290821027495</v>
      </c>
      <c r="W255">
        <v>53.9945263938545</v>
      </c>
      <c r="X255">
        <v>199.979727384646</v>
      </c>
    </row>
    <row r="256" spans="1:24" x14ac:dyDescent="0.25">
      <c r="A256" s="12">
        <v>45170.44878554398</v>
      </c>
      <c r="B256">
        <v>0.51995897523685297</v>
      </c>
      <c r="C256">
        <v>99.652137446355397</v>
      </c>
      <c r="D256">
        <v>8191.5953067739702</v>
      </c>
      <c r="E256">
        <v>2.6000981653348E-3</v>
      </c>
      <c r="F256">
        <v>1.99990119794286</v>
      </c>
      <c r="G256">
        <v>1000000000</v>
      </c>
      <c r="H256">
        <v>100000</v>
      </c>
      <c r="I256">
        <v>0</v>
      </c>
      <c r="J256">
        <v>0</v>
      </c>
      <c r="K256">
        <v>0</v>
      </c>
      <c r="L256">
        <v>0</v>
      </c>
      <c r="M256">
        <v>1421398016</v>
      </c>
      <c r="N256">
        <v>60329984</v>
      </c>
      <c r="O256">
        <v>15918256128</v>
      </c>
      <c r="P256">
        <v>0</v>
      </c>
      <c r="Q256">
        <v>15.9992095835429</v>
      </c>
      <c r="R256">
        <v>0</v>
      </c>
      <c r="S256">
        <v>0.39059918172456098</v>
      </c>
      <c r="T256">
        <v>0</v>
      </c>
      <c r="U256">
        <v>1.17966692427967</v>
      </c>
      <c r="V256">
        <v>99.364760120426396</v>
      </c>
      <c r="W256">
        <v>281.98606890994301</v>
      </c>
      <c r="X256">
        <v>479.97628750628701</v>
      </c>
    </row>
    <row r="257" spans="1:24" x14ac:dyDescent="0.25">
      <c r="A257" s="12">
        <v>45170.448797118057</v>
      </c>
      <c r="B257">
        <v>0.49026832385364499</v>
      </c>
      <c r="C257">
        <v>99.654540930251102</v>
      </c>
      <c r="D257">
        <v>8196.1517275423594</v>
      </c>
      <c r="E257">
        <v>2.44996294739813E-3</v>
      </c>
      <c r="F257">
        <v>2.00101360535702</v>
      </c>
      <c r="G257">
        <v>1000000000</v>
      </c>
      <c r="H257">
        <v>100000</v>
      </c>
      <c r="I257">
        <v>0</v>
      </c>
      <c r="J257">
        <v>0</v>
      </c>
      <c r="K257">
        <v>0</v>
      </c>
      <c r="L257">
        <v>0</v>
      </c>
      <c r="M257">
        <v>1429716992</v>
      </c>
      <c r="N257">
        <v>60370944</v>
      </c>
      <c r="O257">
        <v>15913205760</v>
      </c>
      <c r="P257">
        <v>10.0050680267851</v>
      </c>
      <c r="Q257">
        <v>2174.1012822204002</v>
      </c>
      <c r="R257">
        <v>0</v>
      </c>
      <c r="S257">
        <v>1.17251171566198</v>
      </c>
      <c r="T257">
        <v>0</v>
      </c>
      <c r="U257">
        <v>3.0719512789349501</v>
      </c>
      <c r="V257">
        <v>96.161979451353702</v>
      </c>
      <c r="W257">
        <v>3426.7357991739</v>
      </c>
      <c r="X257">
        <v>11379.764373665301</v>
      </c>
    </row>
    <row r="258" spans="1:24" x14ac:dyDescent="0.25">
      <c r="A258" s="12">
        <v>45170.448808587964</v>
      </c>
      <c r="B258">
        <v>1.0594871779348101</v>
      </c>
      <c r="C258">
        <v>99.046915605791995</v>
      </c>
      <c r="D258">
        <v>74395.225067192994</v>
      </c>
      <c r="E258">
        <v>2.09996824062697E-3</v>
      </c>
      <c r="F258">
        <v>5.04524909581116</v>
      </c>
      <c r="G258">
        <v>1000000000</v>
      </c>
      <c r="H258">
        <v>100000</v>
      </c>
      <c r="I258">
        <v>0</v>
      </c>
      <c r="J258">
        <v>0</v>
      </c>
      <c r="K258">
        <v>0</v>
      </c>
      <c r="L258">
        <v>0</v>
      </c>
      <c r="M258">
        <v>1429671936</v>
      </c>
      <c r="N258">
        <v>60592128</v>
      </c>
      <c r="O258">
        <v>15912951808</v>
      </c>
      <c r="P258">
        <v>64.5791884263828</v>
      </c>
      <c r="Q258">
        <v>74.669686618005102</v>
      </c>
      <c r="R258">
        <v>0</v>
      </c>
      <c r="S258">
        <v>0.78830891215388099</v>
      </c>
      <c r="T258">
        <v>0</v>
      </c>
      <c r="U258">
        <v>2.2496948929186402</v>
      </c>
      <c r="V258">
        <v>97.992080081086002</v>
      </c>
      <c r="W258">
        <v>1998.92769176038</v>
      </c>
      <c r="X258">
        <v>6798.9776815151199</v>
      </c>
    </row>
  </sheetData>
  <mergeCells count="1">
    <mergeCell ref="Z3:AA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52"/>
  <sheetViews>
    <sheetView zoomScaleNormal="100" workbookViewId="0">
      <selection activeCell="J35" sqref="J35"/>
    </sheetView>
  </sheetViews>
  <sheetFormatPr baseColWidth="10" defaultRowHeight="15" x14ac:dyDescent="0.25"/>
  <cols>
    <col min="1" max="1" width="19.42578125" style="8" bestFit="1" customWidth="1"/>
    <col min="2" max="3" width="11.42578125" style="8"/>
    <col min="4" max="4" width="7" style="8" bestFit="1" customWidth="1"/>
    <col min="5" max="5" width="15.140625" style="8" customWidth="1"/>
    <col min="6" max="6" width="17.85546875" style="8" bestFit="1" customWidth="1"/>
    <col min="7" max="16384" width="11.42578125" style="8"/>
  </cols>
  <sheetData>
    <row r="1" spans="1:8" x14ac:dyDescent="0.25">
      <c r="D1" s="33"/>
      <c r="E1" s="33"/>
      <c r="F1" s="33"/>
      <c r="G1" s="33"/>
      <c r="H1" s="33"/>
    </row>
    <row r="2" spans="1:8" x14ac:dyDescent="0.25">
      <c r="A2" s="8" t="s">
        <v>129</v>
      </c>
      <c r="B2" s="8">
        <f>COUNT(A5:A7452)</f>
        <v>7448</v>
      </c>
      <c r="D2" s="33"/>
      <c r="E2" s="33"/>
      <c r="F2" s="33"/>
      <c r="G2" s="33"/>
      <c r="H2" s="33"/>
    </row>
    <row r="4" spans="1:8" x14ac:dyDescent="0.25">
      <c r="A4" s="9" t="s">
        <v>23</v>
      </c>
      <c r="D4" s="8" t="s">
        <v>126</v>
      </c>
      <c r="E4" s="8" t="s">
        <v>127</v>
      </c>
      <c r="F4" s="8" t="s">
        <v>128</v>
      </c>
    </row>
    <row r="5" spans="1:8" x14ac:dyDescent="0.25">
      <c r="A5" s="8">
        <v>1.3044922000000951E-2</v>
      </c>
      <c r="D5" s="8">
        <f>0.005</f>
        <v>5.0000000000000001E-3</v>
      </c>
      <c r="E5" s="8">
        <f>COUNTIF(A5:A7452,"&lt;0,005")</f>
        <v>2</v>
      </c>
      <c r="F5" s="8">
        <f>E5/$B$2</f>
        <v>2.6852846401718581E-4</v>
      </c>
    </row>
    <row r="6" spans="1:8" x14ac:dyDescent="0.25">
      <c r="A6" s="8">
        <v>9.6855469999973139E-3</v>
      </c>
      <c r="D6" s="8">
        <f>D5+0.0025</f>
        <v>7.4999999999999997E-3</v>
      </c>
      <c r="E6" s="8">
        <f>COUNTIF($A$5:$A$7452,"&lt;0,0075")-COUNTIF($A$5:$A$7452,"&lt;0,005")</f>
        <v>158</v>
      </c>
      <c r="F6" s="8">
        <f t="shared" ref="F6:F22" si="0">E6/$B$2</f>
        <v>2.121374865735768E-2</v>
      </c>
    </row>
    <row r="7" spans="1:8" x14ac:dyDescent="0.25">
      <c r="A7" s="8">
        <v>1.6962890999999217E-2</v>
      </c>
      <c r="D7" s="8">
        <f>D6+0.0025</f>
        <v>0.01</v>
      </c>
      <c r="E7" s="8">
        <f>COUNTIF($A$5:$A$7452,"&lt;0,01")-COUNTIF($A$5:$A$7452,"&lt;0,0075")</f>
        <v>758</v>
      </c>
      <c r="F7" s="8">
        <f t="shared" si="0"/>
        <v>0.10177228786251342</v>
      </c>
    </row>
    <row r="8" spans="1:8" x14ac:dyDescent="0.25">
      <c r="A8" s="8">
        <v>1.9609374999999998E-2</v>
      </c>
      <c r="D8" s="8">
        <f t="shared" ref="D8:D22" si="1">D7+0.0025</f>
        <v>1.2500000000000001E-2</v>
      </c>
      <c r="E8" s="8">
        <f>COUNTIF($A$5:$A$7452,"&lt;0,0125")-COUNTIF($A$5:$A$7452,"&lt;0,01")</f>
        <v>1079</v>
      </c>
      <c r="F8" s="8">
        <f t="shared" si="0"/>
        <v>0.14487110633727174</v>
      </c>
    </row>
    <row r="9" spans="1:8" x14ac:dyDescent="0.25">
      <c r="A9" s="8">
        <v>1.2931640999999218E-2</v>
      </c>
      <c r="D9" s="8">
        <f t="shared" si="1"/>
        <v>1.5000000000000001E-2</v>
      </c>
      <c r="E9" s="8">
        <f>COUNTIF($A$5:$A$7452,"&lt;0,015")-COUNTIF($A$5:$A$7452,"&lt;0,0125")</f>
        <v>1126</v>
      </c>
      <c r="F9" s="8">
        <f t="shared" si="0"/>
        <v>0.15118152524167561</v>
      </c>
    </row>
    <row r="10" spans="1:8" x14ac:dyDescent="0.25">
      <c r="A10" s="8">
        <v>1.105468800000017E-2</v>
      </c>
      <c r="D10" s="8">
        <f t="shared" si="1"/>
        <v>1.7500000000000002E-2</v>
      </c>
      <c r="E10" s="8">
        <f>COUNTIF($A$5:$A$7452,"&lt;0,0175")-COUNTIF($A$5:$A$7452,"&lt;0,015")</f>
        <v>1021</v>
      </c>
      <c r="F10" s="8">
        <f t="shared" si="0"/>
        <v>0.13708378088077336</v>
      </c>
    </row>
    <row r="11" spans="1:8" x14ac:dyDescent="0.25">
      <c r="A11" s="8">
        <v>2.1511718000001564E-2</v>
      </c>
      <c r="D11" s="8">
        <f t="shared" si="1"/>
        <v>0.02</v>
      </c>
      <c r="E11" s="8">
        <f>COUNTIF($A$5:$A$7452,"&lt;0,02")-COUNTIF($A$5:$A$7452,"&lt;0,0175")</f>
        <v>840</v>
      </c>
      <c r="F11" s="8">
        <f t="shared" si="0"/>
        <v>0.11278195488721804</v>
      </c>
    </row>
    <row r="12" spans="1:8" x14ac:dyDescent="0.25">
      <c r="A12" s="8">
        <v>1.7107422000000951E-2</v>
      </c>
      <c r="D12" s="8">
        <f t="shared" si="1"/>
        <v>2.2499999999999999E-2</v>
      </c>
      <c r="E12" s="8">
        <f>COUNTIF($A$5:$A$7452,"&lt;0,0225")-COUNTIF($A$5:$A$7452,"&lt;0,02")</f>
        <v>875</v>
      </c>
      <c r="F12" s="8">
        <f t="shared" si="0"/>
        <v>0.1174812030075188</v>
      </c>
    </row>
    <row r="13" spans="1:8" x14ac:dyDescent="0.25">
      <c r="A13" s="8">
        <v>7.5585940000019039E-3</v>
      </c>
      <c r="D13" s="8">
        <f t="shared" si="1"/>
        <v>2.4999999999999998E-2</v>
      </c>
      <c r="E13" s="8">
        <f>COUNTIF($A$5:$A$7452,"&lt;0,025")-COUNTIF($A$5:$A$7452,"&lt;0,0225")</f>
        <v>649</v>
      </c>
      <c r="F13" s="8">
        <f t="shared" si="0"/>
        <v>8.7137486573576797E-2</v>
      </c>
    </row>
    <row r="14" spans="1:8" x14ac:dyDescent="0.25">
      <c r="A14" s="8">
        <v>7.9648440000019034E-3</v>
      </c>
      <c r="D14" s="8">
        <f t="shared" si="1"/>
        <v>2.7499999999999997E-2</v>
      </c>
      <c r="E14" s="8">
        <f>COUNTIF($A$5:$A$7452,"&lt;0,0275")-COUNTIF($A$5:$A$7452,"&lt;0,025")</f>
        <v>360</v>
      </c>
      <c r="F14" s="8">
        <f t="shared" si="0"/>
        <v>4.8335123523093451E-2</v>
      </c>
    </row>
    <row r="15" spans="1:8" x14ac:dyDescent="0.25">
      <c r="A15" s="8">
        <v>1.6859374999999999E-2</v>
      </c>
      <c r="D15" s="8">
        <f t="shared" si="1"/>
        <v>2.9999999999999995E-2</v>
      </c>
      <c r="E15" s="8">
        <f>COUNTIF($A$5:$A$7452,"&lt;0,03")-COUNTIF($A$5:$A$7452,"&lt;0,0275")</f>
        <v>158</v>
      </c>
      <c r="F15" s="8">
        <f t="shared" si="0"/>
        <v>2.121374865735768E-2</v>
      </c>
    </row>
    <row r="16" spans="1:8" x14ac:dyDescent="0.25">
      <c r="A16" s="8">
        <v>1.8406249999999999E-2</v>
      </c>
      <c r="D16" s="8">
        <f t="shared" si="1"/>
        <v>3.2499999999999994E-2</v>
      </c>
      <c r="E16" s="8">
        <f>COUNTIF($A$5:$A$7452,"&lt;0,0325")-COUNTIF($A$5:$A$7452,"&lt;0,03")</f>
        <v>91</v>
      </c>
      <c r="F16" s="8">
        <f t="shared" si="0"/>
        <v>1.2218045112781954E-2</v>
      </c>
    </row>
    <row r="17" spans="1:6" x14ac:dyDescent="0.25">
      <c r="A17" s="8">
        <v>7.3789060000053726E-3</v>
      </c>
      <c r="D17" s="8">
        <f t="shared" si="1"/>
        <v>3.4999999999999996E-2</v>
      </c>
      <c r="E17" s="8">
        <f>COUNTIF($A$5:$A$7452,"&lt;0,035")-COUNTIF($A$5:$A$7452,"&lt;0,0325")</f>
        <v>33</v>
      </c>
      <c r="F17" s="8">
        <f t="shared" si="0"/>
        <v>4.4307196562835662E-3</v>
      </c>
    </row>
    <row r="18" spans="1:6" x14ac:dyDescent="0.25">
      <c r="A18" s="8">
        <v>2.0140624999999999E-2</v>
      </c>
      <c r="D18" s="8">
        <f t="shared" si="1"/>
        <v>3.7499999999999999E-2</v>
      </c>
      <c r="E18" s="8">
        <f>COUNTIF($A$5:$A$7452,"&lt;0,0375")-COUNTIF($A$5:$A$7452,"&lt;0,035")</f>
        <v>7</v>
      </c>
      <c r="F18" s="8">
        <f t="shared" si="0"/>
        <v>9.3984962406015032E-4</v>
      </c>
    </row>
    <row r="19" spans="1:6" x14ac:dyDescent="0.25">
      <c r="A19" s="8">
        <v>2.7699218000001566E-2</v>
      </c>
      <c r="D19" s="8">
        <f t="shared" si="1"/>
        <v>0.04</v>
      </c>
      <c r="E19" s="8">
        <f>COUNTIF($A$5:$A$7452,"&lt;0,04")-COUNTIF($A$5:$A$7452,"&lt;0,0375")</f>
        <v>15</v>
      </c>
      <c r="F19" s="8">
        <f t="shared" si="0"/>
        <v>2.0139634801288938E-3</v>
      </c>
    </row>
    <row r="20" spans="1:6" x14ac:dyDescent="0.25">
      <c r="A20" s="8">
        <v>1.6242188000003807E-2</v>
      </c>
      <c r="D20" s="8">
        <f t="shared" si="1"/>
        <v>4.2500000000000003E-2</v>
      </c>
      <c r="E20" s="8">
        <f>COUNTIF($A$5:$A$7452,"&lt;0,0425")-COUNTIF($A$5:$A$7452,"&lt;0,04")</f>
        <v>17</v>
      </c>
      <c r="F20" s="8">
        <f t="shared" si="0"/>
        <v>2.2824919441460797E-3</v>
      </c>
    </row>
    <row r="21" spans="1:6" x14ac:dyDescent="0.25">
      <c r="A21" s="8">
        <v>7.5820309999980965E-3</v>
      </c>
      <c r="D21" s="8">
        <f t="shared" si="1"/>
        <v>4.5000000000000005E-2</v>
      </c>
      <c r="E21" s="8">
        <f>COUNTIF($A$5:$A$7452,"&lt;0,045")-COUNTIF($A$5:$A$7452,"&lt;0,0425")</f>
        <v>14</v>
      </c>
      <c r="F21" s="8">
        <f t="shared" si="0"/>
        <v>1.8796992481203006E-3</v>
      </c>
    </row>
    <row r="22" spans="1:6" x14ac:dyDescent="0.25">
      <c r="A22" s="8">
        <v>1.3757812999996531E-2</v>
      </c>
      <c r="D22" s="8">
        <f t="shared" si="1"/>
        <v>4.7500000000000007E-2</v>
      </c>
      <c r="E22" s="8">
        <f>COUNTIF($A$5:$A$7452,"&lt;0,0475")-COUNTIF($A$5:$A$7452,"&lt;0,045")</f>
        <v>19</v>
      </c>
      <c r="F22" s="8">
        <f t="shared" si="0"/>
        <v>2.5510204081632651E-3</v>
      </c>
    </row>
    <row r="23" spans="1:6" x14ac:dyDescent="0.25">
      <c r="A23" s="8">
        <v>2.1593749999999998E-2</v>
      </c>
    </row>
    <row r="24" spans="1:6" x14ac:dyDescent="0.25">
      <c r="A24" s="8">
        <v>2.5496093999994626E-2</v>
      </c>
    </row>
    <row r="25" spans="1:6" x14ac:dyDescent="0.25">
      <c r="A25" s="8">
        <v>1.0140625E-2</v>
      </c>
    </row>
    <row r="26" spans="1:6" x14ac:dyDescent="0.25">
      <c r="A26" s="8">
        <v>1.4515625000000001E-2</v>
      </c>
    </row>
    <row r="27" spans="1:6" x14ac:dyDescent="0.25">
      <c r="A27" s="8">
        <v>1.7570311999996192E-2</v>
      </c>
    </row>
    <row r="28" spans="1:6" x14ac:dyDescent="0.25">
      <c r="A28" s="8">
        <v>1.3757813000003807E-2</v>
      </c>
    </row>
    <row r="29" spans="1:6" x14ac:dyDescent="0.25">
      <c r="A29" s="8">
        <v>2.9796875E-2</v>
      </c>
    </row>
    <row r="30" spans="1:6" x14ac:dyDescent="0.25">
      <c r="A30" s="8">
        <v>1.6828124999999999E-2</v>
      </c>
    </row>
    <row r="31" spans="1:6" x14ac:dyDescent="0.25">
      <c r="A31" s="8">
        <v>1.4835936999996193E-2</v>
      </c>
    </row>
    <row r="32" spans="1:6" x14ac:dyDescent="0.25">
      <c r="A32" s="8">
        <v>2.1945311999996192E-2</v>
      </c>
    </row>
    <row r="33" spans="1:1" x14ac:dyDescent="0.25">
      <c r="A33" s="8">
        <v>1.7531250000000002E-2</v>
      </c>
    </row>
    <row r="34" spans="1:1" x14ac:dyDescent="0.25">
      <c r="A34" s="8">
        <v>1.371875E-2</v>
      </c>
    </row>
    <row r="35" spans="1:1" x14ac:dyDescent="0.25">
      <c r="A35" s="8">
        <v>1.8093749999999999E-2</v>
      </c>
    </row>
    <row r="36" spans="1:1" x14ac:dyDescent="0.25">
      <c r="A36" s="8">
        <v>1.7093750000000001E-2</v>
      </c>
    </row>
    <row r="37" spans="1:1" x14ac:dyDescent="0.25">
      <c r="A37" s="8">
        <v>7.4843749999999997E-3</v>
      </c>
    </row>
    <row r="38" spans="1:1" x14ac:dyDescent="0.25">
      <c r="A38" s="8">
        <v>2.2390625000000001E-2</v>
      </c>
    </row>
    <row r="39" spans="1:1" x14ac:dyDescent="0.25">
      <c r="A39" s="8">
        <v>4.6039063000003808E-2</v>
      </c>
    </row>
    <row r="40" spans="1:1" x14ac:dyDescent="0.25">
      <c r="A40" s="8">
        <v>1.559375E-2</v>
      </c>
    </row>
    <row r="41" spans="1:1" x14ac:dyDescent="0.25">
      <c r="A41" s="8">
        <v>1.0867188000003808E-2</v>
      </c>
    </row>
    <row r="42" spans="1:1" x14ac:dyDescent="0.25">
      <c r="A42" s="8">
        <v>2.3351561999996193E-2</v>
      </c>
    </row>
    <row r="43" spans="1:1" x14ac:dyDescent="0.25">
      <c r="A43" s="8">
        <v>1.1171875E-2</v>
      </c>
    </row>
    <row r="44" spans="1:1" x14ac:dyDescent="0.25">
      <c r="A44" s="8">
        <v>2.1132813000003806E-2</v>
      </c>
    </row>
    <row r="45" spans="1:1" x14ac:dyDescent="0.25">
      <c r="A45" s="8">
        <v>1.8054686999996194E-2</v>
      </c>
    </row>
    <row r="46" spans="1:1" x14ac:dyDescent="0.25">
      <c r="A46" s="8">
        <v>2.4906250000000001E-2</v>
      </c>
    </row>
    <row r="47" spans="1:1" x14ac:dyDescent="0.25">
      <c r="A47" s="8">
        <v>1.6953124999999999E-2</v>
      </c>
    </row>
    <row r="48" spans="1:1" x14ac:dyDescent="0.25">
      <c r="A48" s="8">
        <v>1.6859374999999999E-2</v>
      </c>
    </row>
    <row r="49" spans="1:1" x14ac:dyDescent="0.25">
      <c r="A49" s="8">
        <v>1.7148436999996193E-2</v>
      </c>
    </row>
    <row r="50" spans="1:1" x14ac:dyDescent="0.25">
      <c r="A50" s="8">
        <v>5.7250000000000002E-2</v>
      </c>
    </row>
    <row r="51" spans="1:1" x14ac:dyDescent="0.25">
      <c r="A51" s="8">
        <v>7.8046869999961925E-3</v>
      </c>
    </row>
    <row r="52" spans="1:1" x14ac:dyDescent="0.25">
      <c r="A52" s="8">
        <v>1.5203125E-2</v>
      </c>
    </row>
    <row r="53" spans="1:1" x14ac:dyDescent="0.25">
      <c r="A53" s="8">
        <v>1.6382813000003806E-2</v>
      </c>
    </row>
    <row r="54" spans="1:1" x14ac:dyDescent="0.25">
      <c r="A54" s="8">
        <v>1.7523438000003808E-2</v>
      </c>
    </row>
    <row r="55" spans="1:1" x14ac:dyDescent="0.25">
      <c r="A55" s="8">
        <v>1.9476561999996193E-2</v>
      </c>
    </row>
    <row r="56" spans="1:1" x14ac:dyDescent="0.25">
      <c r="A56" s="8">
        <v>1.6937500000000001E-2</v>
      </c>
    </row>
    <row r="57" spans="1:1" x14ac:dyDescent="0.25">
      <c r="A57" s="8">
        <v>1.128125E-2</v>
      </c>
    </row>
    <row r="58" spans="1:1" x14ac:dyDescent="0.25">
      <c r="A58" s="8">
        <v>1.13125E-2</v>
      </c>
    </row>
    <row r="59" spans="1:1" x14ac:dyDescent="0.25">
      <c r="A59" s="8">
        <v>2.0875000000000001E-2</v>
      </c>
    </row>
    <row r="60" spans="1:1" x14ac:dyDescent="0.25">
      <c r="A60" s="8">
        <v>7.5781249999999998E-3</v>
      </c>
    </row>
    <row r="61" spans="1:1" x14ac:dyDescent="0.25">
      <c r="A61" s="8">
        <v>8.7500000000000008E-3</v>
      </c>
    </row>
    <row r="62" spans="1:1" x14ac:dyDescent="0.25">
      <c r="A62" s="8">
        <v>9.2656249999999996E-3</v>
      </c>
    </row>
    <row r="63" spans="1:1" x14ac:dyDescent="0.25">
      <c r="A63" s="8">
        <v>1.403125E-2</v>
      </c>
    </row>
    <row r="64" spans="1:1" x14ac:dyDescent="0.25">
      <c r="A64" s="8">
        <v>1.9671874999999998E-2</v>
      </c>
    </row>
    <row r="65" spans="1:1" x14ac:dyDescent="0.25">
      <c r="A65" s="8">
        <v>4.5953124999999997E-2</v>
      </c>
    </row>
    <row r="66" spans="1:1" x14ac:dyDescent="0.25">
      <c r="A66" s="8">
        <v>8.8749999999999992E-3</v>
      </c>
    </row>
    <row r="67" spans="1:1" x14ac:dyDescent="0.25">
      <c r="A67" s="8">
        <v>8.7031250000000008E-3</v>
      </c>
    </row>
    <row r="68" spans="1:1" x14ac:dyDescent="0.25">
      <c r="A68" s="8">
        <v>1.6925781000001736E-2</v>
      </c>
    </row>
    <row r="69" spans="1:1" x14ac:dyDescent="0.25">
      <c r="A69" s="8">
        <v>1.9558594000001903E-2</v>
      </c>
    </row>
    <row r="70" spans="1:1" x14ac:dyDescent="0.25">
      <c r="A70" s="8">
        <v>3.1080078000002686E-2</v>
      </c>
    </row>
    <row r="71" spans="1:1" x14ac:dyDescent="0.25">
      <c r="A71" s="8">
        <v>8.8417970000009526E-3</v>
      </c>
    </row>
    <row r="72" spans="1:1" x14ac:dyDescent="0.25">
      <c r="A72" s="8">
        <v>1.9623046999997312E-2</v>
      </c>
    </row>
    <row r="73" spans="1:1" x14ac:dyDescent="0.25">
      <c r="A73" s="8">
        <v>2.2742186999999831E-2</v>
      </c>
    </row>
    <row r="74" spans="1:1" x14ac:dyDescent="0.25">
      <c r="A74" s="8">
        <v>1.0998047000000951E-2</v>
      </c>
    </row>
    <row r="75" spans="1:1" x14ac:dyDescent="0.25">
      <c r="A75" s="8">
        <v>1.7173828000002687E-2</v>
      </c>
    </row>
    <row r="76" spans="1:1" x14ac:dyDescent="0.25">
      <c r="A76" s="8">
        <v>1.1587890999999217E-2</v>
      </c>
    </row>
    <row r="77" spans="1:1" x14ac:dyDescent="0.25">
      <c r="A77" s="8">
        <v>2.0500000000000001E-2</v>
      </c>
    </row>
    <row r="78" spans="1:1" x14ac:dyDescent="0.25">
      <c r="A78" s="8">
        <v>2.1343750000000002E-2</v>
      </c>
    </row>
    <row r="79" spans="1:1" x14ac:dyDescent="0.25">
      <c r="A79" s="8">
        <v>7.335936999996193E-3</v>
      </c>
    </row>
    <row r="80" spans="1:1" x14ac:dyDescent="0.25">
      <c r="A80" s="8">
        <v>7.2031250000000003E-3</v>
      </c>
    </row>
    <row r="81" spans="1:1" x14ac:dyDescent="0.25">
      <c r="A81" s="8">
        <v>2.9507811999996192E-2</v>
      </c>
    </row>
    <row r="82" spans="1:1" x14ac:dyDescent="0.25">
      <c r="A82" s="8">
        <v>1.0593750000000001E-2</v>
      </c>
    </row>
    <row r="83" spans="1:1" x14ac:dyDescent="0.25">
      <c r="A83" s="8">
        <v>1.3195312999996531E-2</v>
      </c>
    </row>
    <row r="84" spans="1:1" x14ac:dyDescent="0.25">
      <c r="A84" s="8">
        <v>2.2109375000000001E-2</v>
      </c>
    </row>
    <row r="85" spans="1:1" x14ac:dyDescent="0.25">
      <c r="A85" s="8">
        <v>2.0773437000003468E-2</v>
      </c>
    </row>
    <row r="86" spans="1:1" x14ac:dyDescent="0.25">
      <c r="A86" s="8">
        <v>1.7343750000000002E-2</v>
      </c>
    </row>
    <row r="87" spans="1:1" x14ac:dyDescent="0.25">
      <c r="A87" s="8">
        <v>1.3007812000003468E-2</v>
      </c>
    </row>
    <row r="88" spans="1:1" x14ac:dyDescent="0.25">
      <c r="A88" s="8">
        <v>1.6277344000001904E-2</v>
      </c>
    </row>
    <row r="89" spans="1:1" x14ac:dyDescent="0.25">
      <c r="A89" s="8">
        <v>2.5992188000003809E-2</v>
      </c>
    </row>
    <row r="90" spans="1:1" x14ac:dyDescent="0.25">
      <c r="A90" s="8">
        <v>1.6250000000000001E-2</v>
      </c>
    </row>
    <row r="91" spans="1:1" x14ac:dyDescent="0.25">
      <c r="A91" s="8">
        <v>7.273438000003807E-3</v>
      </c>
    </row>
    <row r="92" spans="1:1" x14ac:dyDescent="0.25">
      <c r="A92" s="8">
        <v>1.928125E-2</v>
      </c>
    </row>
    <row r="93" spans="1:1" x14ac:dyDescent="0.25">
      <c r="A93" s="8">
        <v>3.2578124999999999E-2</v>
      </c>
    </row>
    <row r="94" spans="1:1" x14ac:dyDescent="0.25">
      <c r="A94" s="8">
        <v>1.7375000000000002E-2</v>
      </c>
    </row>
    <row r="95" spans="1:1" x14ac:dyDescent="0.25">
      <c r="A95" s="8">
        <v>7.257813000003807E-3</v>
      </c>
    </row>
    <row r="96" spans="1:1" x14ac:dyDescent="0.25">
      <c r="A96" s="8">
        <v>1.4328125000000001E-2</v>
      </c>
    </row>
    <row r="97" spans="1:1" x14ac:dyDescent="0.25">
      <c r="A97" s="8">
        <v>2.0468750000000001E-2</v>
      </c>
    </row>
    <row r="98" spans="1:1" x14ac:dyDescent="0.25">
      <c r="A98" s="8">
        <v>2.5617186999996194E-2</v>
      </c>
    </row>
    <row r="99" spans="1:1" x14ac:dyDescent="0.25">
      <c r="A99" s="8">
        <v>1.328125E-2</v>
      </c>
    </row>
    <row r="100" spans="1:1" x14ac:dyDescent="0.25">
      <c r="A100" s="8">
        <v>1.6570311999996194E-2</v>
      </c>
    </row>
    <row r="101" spans="1:1" x14ac:dyDescent="0.25">
      <c r="A101" s="8">
        <v>0.15333593800000381</v>
      </c>
    </row>
    <row r="102" spans="1:1" x14ac:dyDescent="0.25">
      <c r="A102" s="8">
        <v>1.2140625E-2</v>
      </c>
    </row>
    <row r="103" spans="1:1" x14ac:dyDescent="0.25">
      <c r="A103" s="8">
        <v>3.1046875000000002E-2</v>
      </c>
    </row>
    <row r="104" spans="1:1" x14ac:dyDescent="0.25">
      <c r="A104" s="8">
        <v>1.3210936999996193E-2</v>
      </c>
    </row>
    <row r="105" spans="1:1" x14ac:dyDescent="0.25">
      <c r="A105" s="8">
        <v>1.3367188000003808E-2</v>
      </c>
    </row>
    <row r="106" spans="1:1" x14ac:dyDescent="0.25">
      <c r="A106" s="8">
        <v>2.2601563000003808E-2</v>
      </c>
    </row>
    <row r="107" spans="1:1" x14ac:dyDescent="0.25">
      <c r="A107" s="8">
        <v>2.3109375000000001E-2</v>
      </c>
    </row>
    <row r="108" spans="1:1" x14ac:dyDescent="0.25">
      <c r="A108" s="8">
        <v>3.0820311999996193E-2</v>
      </c>
    </row>
    <row r="109" spans="1:1" x14ac:dyDescent="0.25">
      <c r="A109" s="8">
        <v>1.4851561999996193E-2</v>
      </c>
    </row>
    <row r="110" spans="1:1" x14ac:dyDescent="0.25">
      <c r="A110" s="8">
        <v>1.1085936999996193E-2</v>
      </c>
    </row>
    <row r="111" spans="1:1" x14ac:dyDescent="0.25">
      <c r="A111" s="8">
        <v>2.6742188000003806E-2</v>
      </c>
    </row>
    <row r="112" spans="1:1" x14ac:dyDescent="0.25">
      <c r="A112" s="8">
        <v>7.5156249999999997E-3</v>
      </c>
    </row>
    <row r="113" spans="1:1" x14ac:dyDescent="0.25">
      <c r="A113" s="8">
        <v>7.2734369999961929E-3</v>
      </c>
    </row>
    <row r="114" spans="1:1" x14ac:dyDescent="0.25">
      <c r="A114" s="8">
        <v>1.7421875E-2</v>
      </c>
    </row>
    <row r="115" spans="1:1" x14ac:dyDescent="0.25">
      <c r="A115" s="8">
        <v>2.2765625000000001E-2</v>
      </c>
    </row>
    <row r="116" spans="1:1" x14ac:dyDescent="0.25">
      <c r="A116" s="8">
        <v>1.8929688000003806E-2</v>
      </c>
    </row>
    <row r="117" spans="1:1" x14ac:dyDescent="0.25">
      <c r="A117" s="8">
        <v>2.2867188000003806E-2</v>
      </c>
    </row>
    <row r="118" spans="1:1" x14ac:dyDescent="0.25">
      <c r="A118" s="8">
        <v>1.1031249999999999E-2</v>
      </c>
    </row>
    <row r="119" spans="1:1" x14ac:dyDescent="0.25">
      <c r="A119" s="8">
        <v>0.11228906199999619</v>
      </c>
    </row>
    <row r="120" spans="1:1" x14ac:dyDescent="0.25">
      <c r="A120" s="8">
        <v>1.4117186999996192E-2</v>
      </c>
    </row>
    <row r="121" spans="1:1" x14ac:dyDescent="0.25">
      <c r="A121" s="8">
        <v>2.6890625000000001E-2</v>
      </c>
    </row>
    <row r="122" spans="1:1" x14ac:dyDescent="0.25">
      <c r="A122" s="8">
        <v>2.3039063000003808E-2</v>
      </c>
    </row>
    <row r="123" spans="1:1" x14ac:dyDescent="0.25">
      <c r="A123" s="8">
        <v>1.340625E-2</v>
      </c>
    </row>
    <row r="124" spans="1:1" x14ac:dyDescent="0.25">
      <c r="A124" s="8">
        <v>2.6328125000000001E-2</v>
      </c>
    </row>
    <row r="125" spans="1:1" x14ac:dyDescent="0.25">
      <c r="A125" s="8">
        <v>2.7015625000000001E-2</v>
      </c>
    </row>
    <row r="126" spans="1:1" x14ac:dyDescent="0.25">
      <c r="A126" s="8">
        <v>2.3796874999999999E-2</v>
      </c>
    </row>
    <row r="127" spans="1:1" x14ac:dyDescent="0.25">
      <c r="A127" s="8">
        <v>1.3546875E-2</v>
      </c>
    </row>
    <row r="128" spans="1:1" x14ac:dyDescent="0.25">
      <c r="A128" s="8">
        <v>1.9234375000000001E-2</v>
      </c>
    </row>
    <row r="129" spans="1:1" x14ac:dyDescent="0.25">
      <c r="A129" s="8">
        <v>1.2812499999999999E-2</v>
      </c>
    </row>
    <row r="130" spans="1:1" x14ac:dyDescent="0.25">
      <c r="A130" s="8">
        <v>2.4718750000000001E-2</v>
      </c>
    </row>
    <row r="131" spans="1:1" x14ac:dyDescent="0.25">
      <c r="A131" s="8">
        <v>1.0781249999999999E-2</v>
      </c>
    </row>
    <row r="132" spans="1:1" x14ac:dyDescent="0.25">
      <c r="A132" s="8">
        <v>1.4328125000000001E-2</v>
      </c>
    </row>
    <row r="133" spans="1:1" x14ac:dyDescent="0.25">
      <c r="A133" s="8">
        <v>2.0703124999999999E-2</v>
      </c>
    </row>
    <row r="134" spans="1:1" x14ac:dyDescent="0.25">
      <c r="A134" s="8">
        <v>7.5156249999999997E-3</v>
      </c>
    </row>
    <row r="135" spans="1:1" x14ac:dyDescent="0.25">
      <c r="A135" s="8">
        <v>2.8328124999999999E-2</v>
      </c>
    </row>
    <row r="136" spans="1:1" x14ac:dyDescent="0.25">
      <c r="A136" s="8">
        <v>1.7187500000000001E-2</v>
      </c>
    </row>
    <row r="137" spans="1:1" x14ac:dyDescent="0.25">
      <c r="A137" s="8">
        <v>4.183593800000017E-2</v>
      </c>
    </row>
    <row r="138" spans="1:1" x14ac:dyDescent="0.25">
      <c r="A138" s="8">
        <v>1.0314452999999049E-2</v>
      </c>
    </row>
    <row r="139" spans="1:1" x14ac:dyDescent="0.25">
      <c r="A139" s="8">
        <v>5.1515625000000002E-2</v>
      </c>
    </row>
    <row r="140" spans="1:1" x14ac:dyDescent="0.25">
      <c r="A140" s="8">
        <v>1.4074218000001566E-2</v>
      </c>
    </row>
    <row r="141" spans="1:1" x14ac:dyDescent="0.25">
      <c r="A141" s="8">
        <v>1.4898437000003468E-2</v>
      </c>
    </row>
    <row r="142" spans="1:1" x14ac:dyDescent="0.25">
      <c r="A142" s="8">
        <v>1.5582030999998097E-2</v>
      </c>
    </row>
    <row r="143" spans="1:1" x14ac:dyDescent="0.25">
      <c r="A143" s="8">
        <v>0.11867578100000538</v>
      </c>
    </row>
    <row r="144" spans="1:1" x14ac:dyDescent="0.25">
      <c r="A144" s="8">
        <v>1.9191405999998096E-2</v>
      </c>
    </row>
    <row r="145" spans="1:1" x14ac:dyDescent="0.25">
      <c r="A145" s="8">
        <v>1.3093749999999999E-2</v>
      </c>
    </row>
    <row r="146" spans="1:1" x14ac:dyDescent="0.25">
      <c r="A146" s="8">
        <v>2.1128906000005374E-2</v>
      </c>
    </row>
    <row r="147" spans="1:1" x14ac:dyDescent="0.25">
      <c r="A147" s="8">
        <v>1.1867186999996194E-2</v>
      </c>
    </row>
    <row r="148" spans="1:1" x14ac:dyDescent="0.25">
      <c r="A148" s="8">
        <v>1.7152344000001905E-2</v>
      </c>
    </row>
    <row r="149" spans="1:1" x14ac:dyDescent="0.25">
      <c r="A149" s="8">
        <v>2.8007813000003809E-2</v>
      </c>
    </row>
    <row r="150" spans="1:1" x14ac:dyDescent="0.25">
      <c r="A150" s="8">
        <v>1.2800781000005373E-2</v>
      </c>
    </row>
    <row r="151" spans="1:1" x14ac:dyDescent="0.25">
      <c r="A151" s="8">
        <v>2.4011718000001566E-2</v>
      </c>
    </row>
    <row r="152" spans="1:1" x14ac:dyDescent="0.25">
      <c r="A152" s="8">
        <v>7.8554689999946279E-3</v>
      </c>
    </row>
    <row r="153" spans="1:1" x14ac:dyDescent="0.25">
      <c r="A153" s="8">
        <v>1.1425781999998434E-2</v>
      </c>
    </row>
    <row r="154" spans="1:1" x14ac:dyDescent="0.25">
      <c r="A154" s="8">
        <v>1.4992187999996531E-2</v>
      </c>
    </row>
    <row r="155" spans="1:1" x14ac:dyDescent="0.25">
      <c r="A155" s="8">
        <v>1.6335937000003468E-2</v>
      </c>
    </row>
    <row r="156" spans="1:1" x14ac:dyDescent="0.25">
      <c r="A156" s="8">
        <v>1.0980468999994627E-2</v>
      </c>
    </row>
    <row r="157" spans="1:1" x14ac:dyDescent="0.25">
      <c r="A157" s="8">
        <v>1.7347655999998095E-2</v>
      </c>
    </row>
    <row r="158" spans="1:1" x14ac:dyDescent="0.25">
      <c r="A158" s="8">
        <v>1.1402344000001903E-2</v>
      </c>
    </row>
    <row r="159" spans="1:1" x14ac:dyDescent="0.25">
      <c r="A159" s="8">
        <v>1.3691406000005372E-2</v>
      </c>
    </row>
    <row r="160" spans="1:1" x14ac:dyDescent="0.25">
      <c r="A160" s="8">
        <v>2.1382812000003467E-2</v>
      </c>
    </row>
    <row r="161" spans="1:1" x14ac:dyDescent="0.25">
      <c r="A161" s="8">
        <v>0.1132265630000038</v>
      </c>
    </row>
    <row r="162" spans="1:1" x14ac:dyDescent="0.25">
      <c r="A162" s="8">
        <v>9.0390619999961928E-3</v>
      </c>
    </row>
    <row r="163" spans="1:1" x14ac:dyDescent="0.25">
      <c r="A163" s="8">
        <v>1.2390625000000001E-2</v>
      </c>
    </row>
    <row r="164" spans="1:1" x14ac:dyDescent="0.25">
      <c r="A164" s="8">
        <v>2.6562499999999999E-2</v>
      </c>
    </row>
    <row r="165" spans="1:1" x14ac:dyDescent="0.25">
      <c r="A165" s="8">
        <v>2.2117186999996194E-2</v>
      </c>
    </row>
    <row r="166" spans="1:1" x14ac:dyDescent="0.25">
      <c r="A166" s="8">
        <v>8.7656250000000008E-3</v>
      </c>
    </row>
    <row r="167" spans="1:1" x14ac:dyDescent="0.25">
      <c r="A167" s="8">
        <v>2.4640624999999999E-2</v>
      </c>
    </row>
    <row r="168" spans="1:1" x14ac:dyDescent="0.25">
      <c r="A168" s="8">
        <v>2.2812499999999999E-2</v>
      </c>
    </row>
    <row r="169" spans="1:1" x14ac:dyDescent="0.25">
      <c r="A169" s="8">
        <v>1.6320313000003809E-2</v>
      </c>
    </row>
    <row r="170" spans="1:1" x14ac:dyDescent="0.25">
      <c r="A170" s="8">
        <v>2.9062500000000002E-2</v>
      </c>
    </row>
    <row r="171" spans="1:1" x14ac:dyDescent="0.25">
      <c r="A171" s="8">
        <v>1.8953125000000001E-2</v>
      </c>
    </row>
    <row r="172" spans="1:1" x14ac:dyDescent="0.25">
      <c r="A172" s="8">
        <v>2.2664061999996193E-2</v>
      </c>
    </row>
    <row r="173" spans="1:1" x14ac:dyDescent="0.25">
      <c r="A173" s="8">
        <v>2.3078125000000001E-2</v>
      </c>
    </row>
    <row r="174" spans="1:1" x14ac:dyDescent="0.25">
      <c r="A174" s="8">
        <v>2.2031249999999999E-2</v>
      </c>
    </row>
    <row r="175" spans="1:1" x14ac:dyDescent="0.25">
      <c r="A175" s="8">
        <v>1.1328125E-2</v>
      </c>
    </row>
    <row r="176" spans="1:1" x14ac:dyDescent="0.25">
      <c r="A176" s="8">
        <v>1.0984374999999999E-2</v>
      </c>
    </row>
    <row r="177" spans="1:1" x14ac:dyDescent="0.25">
      <c r="A177" s="8">
        <v>2.3039061999996193E-2</v>
      </c>
    </row>
    <row r="178" spans="1:1" x14ac:dyDescent="0.25">
      <c r="A178" s="8">
        <v>2.3070313000003808E-2</v>
      </c>
    </row>
    <row r="179" spans="1:1" x14ac:dyDescent="0.25">
      <c r="A179" s="8">
        <v>2.0210936999996192E-2</v>
      </c>
    </row>
    <row r="180" spans="1:1" x14ac:dyDescent="0.25">
      <c r="A180" s="8">
        <v>1.2492188000003807E-2</v>
      </c>
    </row>
    <row r="181" spans="1:1" x14ac:dyDescent="0.25">
      <c r="A181" s="8">
        <v>2.3445313000003808E-2</v>
      </c>
    </row>
    <row r="182" spans="1:1" x14ac:dyDescent="0.25">
      <c r="A182" s="8">
        <v>1.3375E-2</v>
      </c>
    </row>
    <row r="183" spans="1:1" x14ac:dyDescent="0.25">
      <c r="A183" s="8">
        <v>2.0945311999996191E-2</v>
      </c>
    </row>
    <row r="184" spans="1:1" x14ac:dyDescent="0.25">
      <c r="A184" s="8">
        <v>1.38125E-2</v>
      </c>
    </row>
    <row r="185" spans="1:1" x14ac:dyDescent="0.25">
      <c r="A185" s="8">
        <v>2.7328125000000002E-2</v>
      </c>
    </row>
    <row r="186" spans="1:1" x14ac:dyDescent="0.25">
      <c r="A186" s="8">
        <v>2.2085938000003809E-2</v>
      </c>
    </row>
    <row r="187" spans="1:1" x14ac:dyDescent="0.25">
      <c r="A187" s="8">
        <v>8.9914061999996187E-2</v>
      </c>
    </row>
    <row r="188" spans="1:1" x14ac:dyDescent="0.25">
      <c r="A188" s="8">
        <v>1.3453125E-2</v>
      </c>
    </row>
    <row r="189" spans="1:1" x14ac:dyDescent="0.25">
      <c r="A189" s="8">
        <v>2.9898438000003809E-2</v>
      </c>
    </row>
    <row r="190" spans="1:1" x14ac:dyDescent="0.25">
      <c r="A190" s="8">
        <v>1.1132811999996193E-2</v>
      </c>
    </row>
    <row r="191" spans="1:1" x14ac:dyDescent="0.25">
      <c r="A191" s="8">
        <v>2.2523436999996194E-2</v>
      </c>
    </row>
    <row r="192" spans="1:1" x14ac:dyDescent="0.25">
      <c r="A192" s="8">
        <v>7.5546869999961932E-3</v>
      </c>
    </row>
    <row r="193" spans="1:1" x14ac:dyDescent="0.25">
      <c r="A193" s="8">
        <v>1.7882811999996192E-2</v>
      </c>
    </row>
    <row r="194" spans="1:1" x14ac:dyDescent="0.25">
      <c r="A194" s="8">
        <v>1.7078125E-2</v>
      </c>
    </row>
    <row r="195" spans="1:1" x14ac:dyDescent="0.25">
      <c r="A195" s="8">
        <v>1.4304688000003807E-2</v>
      </c>
    </row>
    <row r="196" spans="1:1" x14ac:dyDescent="0.25">
      <c r="A196" s="8">
        <v>1.7890625E-2</v>
      </c>
    </row>
    <row r="197" spans="1:1" x14ac:dyDescent="0.25">
      <c r="A197" s="8">
        <v>1.5890624999999999E-2</v>
      </c>
    </row>
    <row r="198" spans="1:1" x14ac:dyDescent="0.25">
      <c r="A198" s="8">
        <v>2.6062499999999999E-2</v>
      </c>
    </row>
    <row r="199" spans="1:1" x14ac:dyDescent="0.25">
      <c r="A199" s="8">
        <v>2.39375E-2</v>
      </c>
    </row>
    <row r="200" spans="1:1" x14ac:dyDescent="0.25">
      <c r="A200" s="8">
        <v>1.7781249999999998E-2</v>
      </c>
    </row>
    <row r="201" spans="1:1" x14ac:dyDescent="0.25">
      <c r="A201" s="8">
        <v>8.6406250000000007E-3</v>
      </c>
    </row>
    <row r="202" spans="1:1" x14ac:dyDescent="0.25">
      <c r="A202" s="8">
        <v>1.7421875E-2</v>
      </c>
    </row>
    <row r="203" spans="1:1" x14ac:dyDescent="0.25">
      <c r="A203" s="8">
        <v>1.54375E-2</v>
      </c>
    </row>
    <row r="204" spans="1:1" x14ac:dyDescent="0.25">
      <c r="A204" s="8">
        <v>2.3078125000000001E-2</v>
      </c>
    </row>
    <row r="205" spans="1:1" x14ac:dyDescent="0.25">
      <c r="A205" s="8">
        <v>1.9296875000000002E-2</v>
      </c>
    </row>
    <row r="206" spans="1:1" x14ac:dyDescent="0.25">
      <c r="A206" s="8">
        <v>7.78125E-3</v>
      </c>
    </row>
    <row r="207" spans="1:1" x14ac:dyDescent="0.25">
      <c r="A207" s="8">
        <v>1.2265625E-2</v>
      </c>
    </row>
    <row r="208" spans="1:1" x14ac:dyDescent="0.25">
      <c r="A208" s="8">
        <v>1.8296875000000001E-2</v>
      </c>
    </row>
    <row r="209" spans="1:1" x14ac:dyDescent="0.25">
      <c r="A209" s="8">
        <v>4.0921875000000003E-2</v>
      </c>
    </row>
    <row r="210" spans="1:1" x14ac:dyDescent="0.25">
      <c r="A210" s="8">
        <v>2.2187499999999999E-2</v>
      </c>
    </row>
    <row r="211" spans="1:1" x14ac:dyDescent="0.25">
      <c r="A211" s="8">
        <v>1.134375E-2</v>
      </c>
    </row>
    <row r="212" spans="1:1" x14ac:dyDescent="0.25">
      <c r="A212" s="8">
        <v>7.6406249999999998E-3</v>
      </c>
    </row>
    <row r="213" spans="1:1" x14ac:dyDescent="0.25">
      <c r="A213" s="8">
        <v>1.1062499999999999E-2</v>
      </c>
    </row>
    <row r="214" spans="1:1" x14ac:dyDescent="0.25">
      <c r="A214" s="8">
        <v>1.21875E-2</v>
      </c>
    </row>
    <row r="215" spans="1:1" x14ac:dyDescent="0.25">
      <c r="A215" s="8">
        <v>0.12478710900000078</v>
      </c>
    </row>
    <row r="216" spans="1:1" x14ac:dyDescent="0.25">
      <c r="A216" s="8">
        <v>1.6621093999998265E-2</v>
      </c>
    </row>
    <row r="217" spans="1:1" x14ac:dyDescent="0.25">
      <c r="A217" s="8">
        <v>0.13682812499999999</v>
      </c>
    </row>
    <row r="218" spans="1:1" x14ac:dyDescent="0.25">
      <c r="A218" s="8">
        <v>1.7115234000000784E-2</v>
      </c>
    </row>
    <row r="219" spans="1:1" x14ac:dyDescent="0.25">
      <c r="A219" s="8">
        <v>1.3222655999998096E-2</v>
      </c>
    </row>
    <row r="220" spans="1:1" x14ac:dyDescent="0.25">
      <c r="A220" s="8">
        <v>3.2291015999999215E-2</v>
      </c>
    </row>
    <row r="221" spans="1:1" x14ac:dyDescent="0.25">
      <c r="A221" s="8">
        <v>8.5878909999992179E-3</v>
      </c>
    </row>
    <row r="222" spans="1:1" x14ac:dyDescent="0.25">
      <c r="A222" s="8">
        <v>1.0972656000001734E-2</v>
      </c>
    </row>
    <row r="223" spans="1:1" x14ac:dyDescent="0.25">
      <c r="A223" s="8">
        <v>1.0175781000001735E-2</v>
      </c>
    </row>
    <row r="224" spans="1:1" x14ac:dyDescent="0.25">
      <c r="A224" s="8">
        <v>2.5390625E-2</v>
      </c>
    </row>
    <row r="225" spans="1:1" x14ac:dyDescent="0.25">
      <c r="A225" s="8">
        <v>2.2066405999998095E-2</v>
      </c>
    </row>
    <row r="226" spans="1:1" x14ac:dyDescent="0.25">
      <c r="A226" s="8">
        <v>1.0128906000005372E-2</v>
      </c>
    </row>
    <row r="227" spans="1:1" x14ac:dyDescent="0.25">
      <c r="A227" s="8">
        <v>1.1117188000003808E-2</v>
      </c>
    </row>
    <row r="228" spans="1:1" x14ac:dyDescent="0.25">
      <c r="A228" s="8">
        <v>2.5718749999999999E-2</v>
      </c>
    </row>
    <row r="229" spans="1:1" x14ac:dyDescent="0.25">
      <c r="A229" s="8">
        <v>1.6179686999996192E-2</v>
      </c>
    </row>
    <row r="230" spans="1:1" x14ac:dyDescent="0.25">
      <c r="A230" s="8">
        <v>1.7808593999994626E-2</v>
      </c>
    </row>
    <row r="231" spans="1:1" x14ac:dyDescent="0.25">
      <c r="A231" s="8">
        <v>2.1171875E-2</v>
      </c>
    </row>
    <row r="232" spans="1:1" x14ac:dyDescent="0.25">
      <c r="A232" s="8">
        <v>2.2734375000000001E-2</v>
      </c>
    </row>
    <row r="233" spans="1:1" x14ac:dyDescent="0.25">
      <c r="A233" s="8">
        <v>1.190625E-2</v>
      </c>
    </row>
    <row r="234" spans="1:1" x14ac:dyDescent="0.25">
      <c r="A234" s="8">
        <v>2.0960938000003808E-2</v>
      </c>
    </row>
    <row r="235" spans="1:1" x14ac:dyDescent="0.25">
      <c r="A235" s="8">
        <v>2.0917969000001903E-2</v>
      </c>
    </row>
    <row r="236" spans="1:1" x14ac:dyDescent="0.25">
      <c r="A236" s="8">
        <v>1.9601562000003469E-2</v>
      </c>
    </row>
    <row r="237" spans="1:1" x14ac:dyDescent="0.25">
      <c r="A237" s="8">
        <v>2.0960937999996532E-2</v>
      </c>
    </row>
    <row r="238" spans="1:1" x14ac:dyDescent="0.25">
      <c r="A238" s="8">
        <v>1.5917968000001566E-2</v>
      </c>
    </row>
    <row r="239" spans="1:1" x14ac:dyDescent="0.25">
      <c r="A239" s="8">
        <v>2.3023438000003806E-2</v>
      </c>
    </row>
    <row r="240" spans="1:1" x14ac:dyDescent="0.25">
      <c r="A240" s="8">
        <v>1.7203125E-2</v>
      </c>
    </row>
    <row r="241" spans="1:1" x14ac:dyDescent="0.25">
      <c r="A241" s="8">
        <v>7.6718749999999999E-3</v>
      </c>
    </row>
    <row r="242" spans="1:1" x14ac:dyDescent="0.25">
      <c r="A242" s="8">
        <v>1.2195311999996192E-2</v>
      </c>
    </row>
    <row r="243" spans="1:1" x14ac:dyDescent="0.25">
      <c r="A243" s="8">
        <v>8.8945311999996196E-2</v>
      </c>
    </row>
    <row r="244" spans="1:1" x14ac:dyDescent="0.25">
      <c r="A244" s="8">
        <v>3.0242186999996194E-2</v>
      </c>
    </row>
    <row r="245" spans="1:1" x14ac:dyDescent="0.25">
      <c r="A245" s="8">
        <v>2.0992188000003808E-2</v>
      </c>
    </row>
    <row r="246" spans="1:1" x14ac:dyDescent="0.25">
      <c r="A246" s="8">
        <v>8.4296869999961922E-3</v>
      </c>
    </row>
    <row r="247" spans="1:1" x14ac:dyDescent="0.25">
      <c r="A247" s="8">
        <v>1.1203125E-2</v>
      </c>
    </row>
    <row r="248" spans="1:1" x14ac:dyDescent="0.25">
      <c r="A248" s="8">
        <v>2.2374999999999999E-2</v>
      </c>
    </row>
    <row r="249" spans="1:1" x14ac:dyDescent="0.25">
      <c r="A249" s="8">
        <v>2.1671875E-2</v>
      </c>
    </row>
    <row r="250" spans="1:1" x14ac:dyDescent="0.25">
      <c r="A250" s="8">
        <v>1.5265625E-2</v>
      </c>
    </row>
    <row r="251" spans="1:1" x14ac:dyDescent="0.25">
      <c r="A251" s="8">
        <v>1.3710936999996193E-2</v>
      </c>
    </row>
    <row r="252" spans="1:1" x14ac:dyDescent="0.25">
      <c r="A252" s="8">
        <v>2.2570313000003808E-2</v>
      </c>
    </row>
    <row r="253" spans="1:1" x14ac:dyDescent="0.25">
      <c r="A253" s="8">
        <v>1.8171875000000001E-2</v>
      </c>
    </row>
    <row r="254" spans="1:1" x14ac:dyDescent="0.25">
      <c r="A254" s="8">
        <v>1.7593749999999998E-2</v>
      </c>
    </row>
    <row r="255" spans="1:1" x14ac:dyDescent="0.25">
      <c r="A255" s="8">
        <v>1.5789063000003808E-2</v>
      </c>
    </row>
    <row r="256" spans="1:1" x14ac:dyDescent="0.25">
      <c r="A256" s="8">
        <v>2.3226563000003808E-2</v>
      </c>
    </row>
    <row r="257" spans="1:1" x14ac:dyDescent="0.25">
      <c r="A257" s="8">
        <v>1.4226563000003807E-2</v>
      </c>
    </row>
    <row r="258" spans="1:1" x14ac:dyDescent="0.25">
      <c r="A258" s="8">
        <v>1.3867186999996194E-2</v>
      </c>
    </row>
    <row r="259" spans="1:1" x14ac:dyDescent="0.25">
      <c r="A259" s="8">
        <v>8.4375000000000006E-3</v>
      </c>
    </row>
    <row r="260" spans="1:1" x14ac:dyDescent="0.25">
      <c r="A260" s="8">
        <v>9.4296869999961931E-3</v>
      </c>
    </row>
    <row r="261" spans="1:1" x14ac:dyDescent="0.25">
      <c r="A261" s="8">
        <v>2.0968750000000001E-2</v>
      </c>
    </row>
    <row r="262" spans="1:1" x14ac:dyDescent="0.25">
      <c r="A262" s="8">
        <v>8.0000000000000002E-3</v>
      </c>
    </row>
    <row r="263" spans="1:1" x14ac:dyDescent="0.25">
      <c r="A263" s="8">
        <v>2.1234375E-2</v>
      </c>
    </row>
    <row r="264" spans="1:1" x14ac:dyDescent="0.25">
      <c r="A264" s="8">
        <v>7.7265630000038074E-3</v>
      </c>
    </row>
    <row r="265" spans="1:1" x14ac:dyDescent="0.25">
      <c r="A265" s="8">
        <v>7.6328119999961924E-3</v>
      </c>
    </row>
    <row r="266" spans="1:1" x14ac:dyDescent="0.25">
      <c r="A266" s="8">
        <v>2.7671874999999999E-2</v>
      </c>
    </row>
    <row r="267" spans="1:1" x14ac:dyDescent="0.25">
      <c r="A267" s="8">
        <v>2.0851563000003806E-2</v>
      </c>
    </row>
    <row r="268" spans="1:1" x14ac:dyDescent="0.25">
      <c r="A268" s="8">
        <v>9.6648436999996187E-2</v>
      </c>
    </row>
    <row r="269" spans="1:1" x14ac:dyDescent="0.25">
      <c r="A269" s="8">
        <v>1.5507813000003806E-2</v>
      </c>
    </row>
    <row r="270" spans="1:1" x14ac:dyDescent="0.25">
      <c r="A270" s="8">
        <v>2.5960936999996194E-2</v>
      </c>
    </row>
    <row r="271" spans="1:1" x14ac:dyDescent="0.25">
      <c r="A271" s="8">
        <v>1.8593749999999999E-2</v>
      </c>
    </row>
    <row r="272" spans="1:1" x14ac:dyDescent="0.25">
      <c r="A272" s="8">
        <v>4.7031249999999997E-2</v>
      </c>
    </row>
    <row r="273" spans="1:1" x14ac:dyDescent="0.25">
      <c r="A273" s="8">
        <v>1.3140625E-2</v>
      </c>
    </row>
    <row r="274" spans="1:1" x14ac:dyDescent="0.25">
      <c r="A274" s="8">
        <v>2.3796874999999999E-2</v>
      </c>
    </row>
    <row r="275" spans="1:1" x14ac:dyDescent="0.25">
      <c r="A275" s="8">
        <v>1.2046875E-2</v>
      </c>
    </row>
    <row r="276" spans="1:1" x14ac:dyDescent="0.25">
      <c r="A276" s="8">
        <v>2.2578125000000001E-2</v>
      </c>
    </row>
    <row r="277" spans="1:1" x14ac:dyDescent="0.25">
      <c r="A277" s="8">
        <v>8.4218750000000005E-3</v>
      </c>
    </row>
    <row r="278" spans="1:1" x14ac:dyDescent="0.25">
      <c r="A278" s="8">
        <v>2.8578124999999999E-2</v>
      </c>
    </row>
    <row r="279" spans="1:1" x14ac:dyDescent="0.25">
      <c r="A279" s="8">
        <v>2.0796874999999999E-2</v>
      </c>
    </row>
    <row r="280" spans="1:1" x14ac:dyDescent="0.25">
      <c r="A280" s="8">
        <v>1.1171875E-2</v>
      </c>
    </row>
    <row r="281" spans="1:1" x14ac:dyDescent="0.25">
      <c r="A281" s="8">
        <v>7.7499999999999999E-3</v>
      </c>
    </row>
    <row r="282" spans="1:1" x14ac:dyDescent="0.25">
      <c r="A282" s="8">
        <v>2.4609374999999999E-2</v>
      </c>
    </row>
    <row r="283" spans="1:1" x14ac:dyDescent="0.25">
      <c r="A283" s="8">
        <v>7.9687500000000001E-3</v>
      </c>
    </row>
    <row r="284" spans="1:1" x14ac:dyDescent="0.25">
      <c r="A284" s="8">
        <v>1.8468749999999999E-2</v>
      </c>
    </row>
    <row r="285" spans="1:1" x14ac:dyDescent="0.25">
      <c r="A285" s="8">
        <v>1.7421875E-2</v>
      </c>
    </row>
    <row r="286" spans="1:1" x14ac:dyDescent="0.25">
      <c r="A286" s="8">
        <v>7.4999999999999997E-3</v>
      </c>
    </row>
    <row r="287" spans="1:1" x14ac:dyDescent="0.25">
      <c r="A287" s="8">
        <v>9.4687499999999997E-3</v>
      </c>
    </row>
    <row r="288" spans="1:1" x14ac:dyDescent="0.25">
      <c r="A288" s="8">
        <v>2.4091797000000952E-2</v>
      </c>
    </row>
    <row r="289" spans="1:1" x14ac:dyDescent="0.25">
      <c r="A289" s="8">
        <v>1.0613281000001735E-2</v>
      </c>
    </row>
    <row r="290" spans="1:1" x14ac:dyDescent="0.25">
      <c r="A290" s="8">
        <v>1.9484375000000002E-2</v>
      </c>
    </row>
    <row r="291" spans="1:1" x14ac:dyDescent="0.25">
      <c r="A291" s="8">
        <v>1.072656199999983E-2</v>
      </c>
    </row>
    <row r="292" spans="1:1" x14ac:dyDescent="0.25">
      <c r="A292" s="8">
        <v>8.8671869999998303E-3</v>
      </c>
    </row>
    <row r="293" spans="1:1" x14ac:dyDescent="0.25">
      <c r="A293" s="8">
        <v>2.3011718000001565E-2</v>
      </c>
    </row>
    <row r="294" spans="1:1" x14ac:dyDescent="0.25">
      <c r="A294" s="8">
        <v>2.1734375E-2</v>
      </c>
    </row>
    <row r="295" spans="1:1" x14ac:dyDescent="0.25">
      <c r="A295" s="8">
        <v>1.0953124999999999E-2</v>
      </c>
    </row>
    <row r="296" spans="1:1" x14ac:dyDescent="0.25">
      <c r="A296" s="8">
        <v>1.0917969000001904E-2</v>
      </c>
    </row>
    <row r="297" spans="1:1" x14ac:dyDescent="0.25">
      <c r="A297" s="8">
        <v>1.16875E-2</v>
      </c>
    </row>
    <row r="298" spans="1:1" x14ac:dyDescent="0.25">
      <c r="A298" s="8">
        <v>2.1230469000001903E-2</v>
      </c>
    </row>
    <row r="299" spans="1:1" x14ac:dyDescent="0.25">
      <c r="A299" s="8">
        <v>1.6835936999996193E-2</v>
      </c>
    </row>
    <row r="300" spans="1:1" x14ac:dyDescent="0.25">
      <c r="A300" s="8">
        <v>1.3734375E-2</v>
      </c>
    </row>
    <row r="301" spans="1:1" x14ac:dyDescent="0.25">
      <c r="A301" s="8">
        <v>3.0121093000001566E-2</v>
      </c>
    </row>
    <row r="302" spans="1:1" x14ac:dyDescent="0.25">
      <c r="A302" s="8">
        <v>1.5816406000005372E-2</v>
      </c>
    </row>
    <row r="303" spans="1:1" x14ac:dyDescent="0.25">
      <c r="A303" s="8">
        <v>2.0675780999998096E-2</v>
      </c>
    </row>
    <row r="304" spans="1:1" x14ac:dyDescent="0.25">
      <c r="A304" s="8">
        <v>1.3070312999996531E-2</v>
      </c>
    </row>
    <row r="305" spans="1:1" x14ac:dyDescent="0.25">
      <c r="A305" s="8">
        <v>3.1183593999994628E-2</v>
      </c>
    </row>
    <row r="306" spans="1:1" x14ac:dyDescent="0.25">
      <c r="A306" s="8">
        <v>2.0128906999998433E-2</v>
      </c>
    </row>
    <row r="307" spans="1:1" x14ac:dyDescent="0.25">
      <c r="A307" s="8">
        <v>2.6664061999996193E-2</v>
      </c>
    </row>
    <row r="308" spans="1:1" x14ac:dyDescent="0.25">
      <c r="A308" s="8">
        <v>4.0214844000001901E-2</v>
      </c>
    </row>
    <row r="309" spans="1:1" x14ac:dyDescent="0.25">
      <c r="A309" s="8">
        <v>1.8851561999996193E-2</v>
      </c>
    </row>
    <row r="310" spans="1:1" x14ac:dyDescent="0.25">
      <c r="A310" s="8">
        <v>8.0195309999980969E-3</v>
      </c>
    </row>
    <row r="311" spans="1:1" x14ac:dyDescent="0.25">
      <c r="A311" s="8">
        <v>1.2847656000005373E-2</v>
      </c>
    </row>
    <row r="312" spans="1:1" x14ac:dyDescent="0.25">
      <c r="A312" s="8">
        <v>2.4152344000001904E-2</v>
      </c>
    </row>
    <row r="313" spans="1:1" x14ac:dyDescent="0.25">
      <c r="A313" s="8">
        <v>1.9984374999999999E-2</v>
      </c>
    </row>
    <row r="314" spans="1:1" x14ac:dyDescent="0.25">
      <c r="A314" s="8">
        <v>1.1363280999998096E-2</v>
      </c>
    </row>
    <row r="315" spans="1:1" x14ac:dyDescent="0.25">
      <c r="A315" s="8">
        <v>1.1136719000001903E-2</v>
      </c>
    </row>
    <row r="316" spans="1:1" x14ac:dyDescent="0.25">
      <c r="A316" s="8">
        <v>2.4308593999994629E-2</v>
      </c>
    </row>
    <row r="317" spans="1:1" x14ac:dyDescent="0.25">
      <c r="A317" s="8">
        <v>1.1242186999996193E-2</v>
      </c>
    </row>
    <row r="318" spans="1:1" x14ac:dyDescent="0.25">
      <c r="A318" s="8">
        <v>2.2945313000003808E-2</v>
      </c>
    </row>
    <row r="319" spans="1:1" x14ac:dyDescent="0.25">
      <c r="A319" s="8">
        <v>1.7445313000003806E-2</v>
      </c>
    </row>
    <row r="320" spans="1:1" x14ac:dyDescent="0.25">
      <c r="A320" s="8">
        <v>1.0648438000003807E-2</v>
      </c>
    </row>
    <row r="321" spans="1:1" x14ac:dyDescent="0.25">
      <c r="A321" s="8">
        <v>2.3414063000003808E-2</v>
      </c>
    </row>
    <row r="322" spans="1:1" x14ac:dyDescent="0.25">
      <c r="A322" s="8">
        <v>1.4929686999996193E-2</v>
      </c>
    </row>
    <row r="323" spans="1:1" x14ac:dyDescent="0.25">
      <c r="A323" s="8">
        <v>1.2085938000003807E-2</v>
      </c>
    </row>
    <row r="324" spans="1:1" x14ac:dyDescent="0.25">
      <c r="A324" s="8">
        <v>1.2210936999996192E-2</v>
      </c>
    </row>
    <row r="325" spans="1:1" x14ac:dyDescent="0.25">
      <c r="A325" s="8">
        <v>1.5515625E-2</v>
      </c>
    </row>
    <row r="326" spans="1:1" x14ac:dyDescent="0.25">
      <c r="A326" s="8">
        <v>1.6E-2</v>
      </c>
    </row>
    <row r="327" spans="1:1" x14ac:dyDescent="0.25">
      <c r="A327" s="8">
        <v>2.2929686999996191E-2</v>
      </c>
    </row>
    <row r="328" spans="1:1" x14ac:dyDescent="0.25">
      <c r="A328" s="8">
        <v>1.5125E-2</v>
      </c>
    </row>
    <row r="329" spans="1:1" x14ac:dyDescent="0.25">
      <c r="A329" s="8">
        <v>4.7562500000000001E-2</v>
      </c>
    </row>
    <row r="330" spans="1:1" x14ac:dyDescent="0.25">
      <c r="A330" s="8">
        <v>1.2132811999996192E-2</v>
      </c>
    </row>
    <row r="331" spans="1:1" x14ac:dyDescent="0.25">
      <c r="A331" s="8">
        <v>1.7976561999996192E-2</v>
      </c>
    </row>
    <row r="332" spans="1:1" x14ac:dyDescent="0.25">
      <c r="A332" s="8">
        <v>1.3898436999996194E-2</v>
      </c>
    </row>
    <row r="333" spans="1:1" x14ac:dyDescent="0.25">
      <c r="A333" s="8">
        <v>7.9453119999961935E-3</v>
      </c>
    </row>
    <row r="334" spans="1:1" x14ac:dyDescent="0.25">
      <c r="A334" s="8">
        <v>9.8671869999961935E-3</v>
      </c>
    </row>
    <row r="335" spans="1:1" x14ac:dyDescent="0.25">
      <c r="A335" s="8">
        <v>1.7414063000003806E-2</v>
      </c>
    </row>
    <row r="336" spans="1:1" x14ac:dyDescent="0.25">
      <c r="A336" s="8">
        <v>1.1117186999996193E-2</v>
      </c>
    </row>
    <row r="337" spans="1:1" x14ac:dyDescent="0.25">
      <c r="A337" s="8">
        <v>1.3617188000003807E-2</v>
      </c>
    </row>
    <row r="338" spans="1:1" x14ac:dyDescent="0.25">
      <c r="A338" s="8">
        <v>1.8249999999999999E-2</v>
      </c>
    </row>
    <row r="339" spans="1:1" x14ac:dyDescent="0.25">
      <c r="A339" s="8">
        <v>1.1648436999996193E-2</v>
      </c>
    </row>
    <row r="340" spans="1:1" x14ac:dyDescent="0.25">
      <c r="A340" s="8">
        <v>1.1140624999999999E-2</v>
      </c>
    </row>
    <row r="341" spans="1:1" x14ac:dyDescent="0.25">
      <c r="A341" s="8">
        <v>9.4531249999999997E-3</v>
      </c>
    </row>
    <row r="342" spans="1:1" x14ac:dyDescent="0.25">
      <c r="A342" s="8">
        <v>1.1703125E-2</v>
      </c>
    </row>
    <row r="343" spans="1:1" x14ac:dyDescent="0.25">
      <c r="A343" s="8">
        <v>1.7210938000003808E-2</v>
      </c>
    </row>
    <row r="344" spans="1:1" x14ac:dyDescent="0.25">
      <c r="A344" s="8">
        <v>2.5953125E-2</v>
      </c>
    </row>
    <row r="345" spans="1:1" x14ac:dyDescent="0.25">
      <c r="A345" s="8">
        <v>9.1328130000038078E-3</v>
      </c>
    </row>
    <row r="346" spans="1:1" x14ac:dyDescent="0.25">
      <c r="A346" s="8">
        <v>1.9976561999996194E-2</v>
      </c>
    </row>
    <row r="347" spans="1:1" x14ac:dyDescent="0.25">
      <c r="A347" s="8">
        <v>2.4695311999996191E-2</v>
      </c>
    </row>
    <row r="348" spans="1:1" x14ac:dyDescent="0.25">
      <c r="A348" s="8">
        <v>1.1632811999996193E-2</v>
      </c>
    </row>
    <row r="349" spans="1:1" x14ac:dyDescent="0.25">
      <c r="A349" s="8">
        <v>2.4460936999996193E-2</v>
      </c>
    </row>
    <row r="350" spans="1:1" x14ac:dyDescent="0.25">
      <c r="A350" s="8">
        <v>2.00625E-2</v>
      </c>
    </row>
    <row r="351" spans="1:1" x14ac:dyDescent="0.25">
      <c r="A351" s="8">
        <v>1.0749999999999999E-2</v>
      </c>
    </row>
    <row r="352" spans="1:1" x14ac:dyDescent="0.25">
      <c r="A352" s="8">
        <v>1.7953125E-2</v>
      </c>
    </row>
    <row r="353" spans="1:1" x14ac:dyDescent="0.25">
      <c r="A353" s="8">
        <v>2.2765625000000001E-2</v>
      </c>
    </row>
    <row r="354" spans="1:1" x14ac:dyDescent="0.25">
      <c r="A354" s="8">
        <v>2.0421874999999999E-2</v>
      </c>
    </row>
    <row r="355" spans="1:1" x14ac:dyDescent="0.25">
      <c r="A355" s="8">
        <v>1.0656250000000001E-2</v>
      </c>
    </row>
    <row r="356" spans="1:1" x14ac:dyDescent="0.25">
      <c r="A356" s="8">
        <v>6.3859374999999996E-2</v>
      </c>
    </row>
    <row r="357" spans="1:1" x14ac:dyDescent="0.25">
      <c r="A357" s="8">
        <v>2.0421874999999999E-2</v>
      </c>
    </row>
    <row r="358" spans="1:1" x14ac:dyDescent="0.25">
      <c r="A358" s="8">
        <v>2.1578125E-2</v>
      </c>
    </row>
    <row r="359" spans="1:1" x14ac:dyDescent="0.25">
      <c r="A359" s="8">
        <v>1.8499999999999999E-2</v>
      </c>
    </row>
    <row r="360" spans="1:1" x14ac:dyDescent="0.25">
      <c r="A360" s="8">
        <v>1.534375E-2</v>
      </c>
    </row>
    <row r="361" spans="1:1" x14ac:dyDescent="0.25">
      <c r="A361" s="8">
        <v>2.2140625000000001E-2</v>
      </c>
    </row>
    <row r="362" spans="1:1" x14ac:dyDescent="0.25">
      <c r="A362" s="8">
        <v>1.0749999999999999E-2</v>
      </c>
    </row>
    <row r="363" spans="1:1" x14ac:dyDescent="0.25">
      <c r="A363" s="8">
        <v>1.565625E-2</v>
      </c>
    </row>
    <row r="364" spans="1:1" x14ac:dyDescent="0.25">
      <c r="A364" s="8">
        <v>1.36875E-2</v>
      </c>
    </row>
    <row r="365" spans="1:1" x14ac:dyDescent="0.25">
      <c r="A365" s="8">
        <v>2.4343750000000001E-2</v>
      </c>
    </row>
    <row r="366" spans="1:1" x14ac:dyDescent="0.25">
      <c r="A366" s="8">
        <v>1.6953124999999999E-2</v>
      </c>
    </row>
    <row r="367" spans="1:1" x14ac:dyDescent="0.25">
      <c r="A367" s="8">
        <v>1.2359375000000001E-2</v>
      </c>
    </row>
    <row r="368" spans="1:1" x14ac:dyDescent="0.25">
      <c r="A368" s="8">
        <v>4.0593749999999998E-2</v>
      </c>
    </row>
    <row r="369" spans="1:1" x14ac:dyDescent="0.25">
      <c r="A369" s="8">
        <v>7.9804689999982657E-3</v>
      </c>
    </row>
    <row r="370" spans="1:1" x14ac:dyDescent="0.25">
      <c r="A370" s="8">
        <v>1.35E-2</v>
      </c>
    </row>
    <row r="371" spans="1:1" x14ac:dyDescent="0.25">
      <c r="A371" s="8">
        <v>1.8515625000000001E-2</v>
      </c>
    </row>
    <row r="372" spans="1:1" x14ac:dyDescent="0.25">
      <c r="A372" s="8">
        <v>1.3910156000001735E-2</v>
      </c>
    </row>
    <row r="373" spans="1:1" x14ac:dyDescent="0.25">
      <c r="A373" s="8">
        <v>1.7544922000000952E-2</v>
      </c>
    </row>
    <row r="374" spans="1:1" x14ac:dyDescent="0.25">
      <c r="A374" s="8">
        <v>1.7322265000002515E-2</v>
      </c>
    </row>
    <row r="375" spans="1:1" x14ac:dyDescent="0.25">
      <c r="A375" s="8">
        <v>2.5310546999997314E-2</v>
      </c>
    </row>
    <row r="376" spans="1:1" x14ac:dyDescent="0.25">
      <c r="A376" s="8">
        <v>9.7246090000007827E-3</v>
      </c>
    </row>
    <row r="377" spans="1:1" x14ac:dyDescent="0.25">
      <c r="A377" s="8">
        <v>2.0875000000000001E-2</v>
      </c>
    </row>
    <row r="378" spans="1:1" x14ac:dyDescent="0.25">
      <c r="A378" s="8">
        <v>3.3175781999998433E-2</v>
      </c>
    </row>
    <row r="379" spans="1:1" x14ac:dyDescent="0.25">
      <c r="A379" s="8">
        <v>1.7675780999998097E-2</v>
      </c>
    </row>
    <row r="380" spans="1:1" x14ac:dyDescent="0.25">
      <c r="A380" s="8">
        <v>1.2906249999999999E-2</v>
      </c>
    </row>
    <row r="381" spans="1:1" x14ac:dyDescent="0.25">
      <c r="A381" s="8">
        <v>1.5585936999996193E-2</v>
      </c>
    </row>
    <row r="382" spans="1:1" x14ac:dyDescent="0.25">
      <c r="A382" s="8">
        <v>1.0468750000000001E-2</v>
      </c>
    </row>
    <row r="383" spans="1:1" x14ac:dyDescent="0.25">
      <c r="A383" s="8">
        <v>1.3152344000001903E-2</v>
      </c>
    </row>
    <row r="384" spans="1:1" x14ac:dyDescent="0.25">
      <c r="A384" s="8">
        <v>0.15586328099999811</v>
      </c>
    </row>
    <row r="385" spans="1:1" x14ac:dyDescent="0.25">
      <c r="A385" s="8">
        <v>2.0675781000005371E-2</v>
      </c>
    </row>
    <row r="386" spans="1:1" x14ac:dyDescent="0.25">
      <c r="A386" s="8">
        <v>1.2964843000001565E-2</v>
      </c>
    </row>
    <row r="387" spans="1:1" x14ac:dyDescent="0.25">
      <c r="A387" s="8">
        <v>1.2625000000000001E-2</v>
      </c>
    </row>
    <row r="388" spans="1:1" x14ac:dyDescent="0.25">
      <c r="A388" s="8">
        <v>7.0156250000000002E-3</v>
      </c>
    </row>
    <row r="389" spans="1:1" x14ac:dyDescent="0.25">
      <c r="A389" s="8">
        <v>1.3828125E-2</v>
      </c>
    </row>
    <row r="390" spans="1:1" x14ac:dyDescent="0.25">
      <c r="A390" s="8">
        <v>1.6503905999998097E-2</v>
      </c>
    </row>
    <row r="391" spans="1:1" x14ac:dyDescent="0.25">
      <c r="A391" s="8">
        <v>1.3378906999998434E-2</v>
      </c>
    </row>
    <row r="392" spans="1:1" x14ac:dyDescent="0.25">
      <c r="A392" s="8">
        <v>1.5429688000003806E-2</v>
      </c>
    </row>
    <row r="393" spans="1:1" x14ac:dyDescent="0.25">
      <c r="A393" s="8">
        <v>1.4562500000000001E-2</v>
      </c>
    </row>
    <row r="394" spans="1:1" x14ac:dyDescent="0.25">
      <c r="A394" s="8">
        <v>9.5156249999999998E-3</v>
      </c>
    </row>
    <row r="395" spans="1:1" x14ac:dyDescent="0.25">
      <c r="A395" s="8">
        <v>1.2257811999996192E-2</v>
      </c>
    </row>
    <row r="396" spans="1:1" x14ac:dyDescent="0.25">
      <c r="A396" s="8">
        <v>2.3234375000000002E-2</v>
      </c>
    </row>
    <row r="397" spans="1:1" x14ac:dyDescent="0.25">
      <c r="A397" s="8">
        <v>2.0460938000003807E-2</v>
      </c>
    </row>
    <row r="398" spans="1:1" x14ac:dyDescent="0.25">
      <c r="A398" s="8">
        <v>1.7007813000003806E-2</v>
      </c>
    </row>
    <row r="399" spans="1:1" x14ac:dyDescent="0.25">
      <c r="A399" s="8">
        <v>1.4429688000003807E-2</v>
      </c>
    </row>
    <row r="400" spans="1:1" x14ac:dyDescent="0.25">
      <c r="A400" s="8">
        <v>7.4140630000038071E-3</v>
      </c>
    </row>
    <row r="401" spans="1:1" x14ac:dyDescent="0.25">
      <c r="A401" s="8">
        <v>2.0968750000000001E-2</v>
      </c>
    </row>
    <row r="402" spans="1:1" x14ac:dyDescent="0.25">
      <c r="A402" s="8">
        <v>2.0203124999999999E-2</v>
      </c>
    </row>
    <row r="403" spans="1:1" x14ac:dyDescent="0.25">
      <c r="A403" s="8">
        <v>1.0734375000000001E-2</v>
      </c>
    </row>
    <row r="404" spans="1:1" x14ac:dyDescent="0.25">
      <c r="A404" s="8">
        <v>2.303125E-2</v>
      </c>
    </row>
    <row r="405" spans="1:1" x14ac:dyDescent="0.25">
      <c r="A405" s="8">
        <v>1.4984374999999999E-2</v>
      </c>
    </row>
    <row r="406" spans="1:1" x14ac:dyDescent="0.25">
      <c r="A406" s="8">
        <v>1.2632811999996192E-2</v>
      </c>
    </row>
    <row r="407" spans="1:1" x14ac:dyDescent="0.25">
      <c r="A407" s="8">
        <v>1.3265625E-2</v>
      </c>
    </row>
    <row r="408" spans="1:1" x14ac:dyDescent="0.25">
      <c r="A408" s="8">
        <v>2.0632813000003806E-2</v>
      </c>
    </row>
    <row r="409" spans="1:1" x14ac:dyDescent="0.25">
      <c r="A409" s="8">
        <v>1.7398436999996193E-2</v>
      </c>
    </row>
    <row r="410" spans="1:1" x14ac:dyDescent="0.25">
      <c r="A410" s="8">
        <v>1.4796874999999999E-2</v>
      </c>
    </row>
    <row r="411" spans="1:1" x14ac:dyDescent="0.25">
      <c r="A411" s="8">
        <v>7.796875E-3</v>
      </c>
    </row>
    <row r="412" spans="1:1" x14ac:dyDescent="0.25">
      <c r="A412" s="8">
        <v>7.4140619999961931E-3</v>
      </c>
    </row>
    <row r="413" spans="1:1" x14ac:dyDescent="0.25">
      <c r="A413" s="8">
        <v>1.8921875000000001E-2</v>
      </c>
    </row>
    <row r="414" spans="1:1" x14ac:dyDescent="0.25">
      <c r="A414" s="8">
        <v>1.5039061999996193E-2</v>
      </c>
    </row>
    <row r="415" spans="1:1" x14ac:dyDescent="0.25">
      <c r="A415" s="8">
        <v>2.3101561999996193E-2</v>
      </c>
    </row>
    <row r="416" spans="1:1" x14ac:dyDescent="0.25">
      <c r="A416" s="8">
        <v>1.221875E-2</v>
      </c>
    </row>
    <row r="417" spans="1:1" x14ac:dyDescent="0.25">
      <c r="A417" s="8">
        <v>1.8296875000000001E-2</v>
      </c>
    </row>
    <row r="418" spans="1:1" x14ac:dyDescent="0.25">
      <c r="A418" s="8">
        <v>3.316406300000381E-2</v>
      </c>
    </row>
    <row r="419" spans="1:1" x14ac:dyDescent="0.25">
      <c r="A419" s="8">
        <v>1.3171875E-2</v>
      </c>
    </row>
    <row r="420" spans="1:1" x14ac:dyDescent="0.25">
      <c r="A420" s="8">
        <v>3.0765625000000001E-2</v>
      </c>
    </row>
    <row r="421" spans="1:1" x14ac:dyDescent="0.25">
      <c r="A421" s="8">
        <v>1.6765624999999999E-2</v>
      </c>
    </row>
    <row r="422" spans="1:1" x14ac:dyDescent="0.25">
      <c r="A422" s="8">
        <v>1.8992186999996191E-2</v>
      </c>
    </row>
    <row r="423" spans="1:1" x14ac:dyDescent="0.25">
      <c r="A423" s="8">
        <v>1.4546875000000001E-2</v>
      </c>
    </row>
    <row r="424" spans="1:1" x14ac:dyDescent="0.25">
      <c r="A424" s="8">
        <v>2.0070311999996194E-2</v>
      </c>
    </row>
    <row r="425" spans="1:1" x14ac:dyDescent="0.25">
      <c r="A425" s="8">
        <v>1.0882813000003808E-2</v>
      </c>
    </row>
    <row r="426" spans="1:1" x14ac:dyDescent="0.25">
      <c r="A426" s="8">
        <v>1.3648438000003807E-2</v>
      </c>
    </row>
    <row r="427" spans="1:1" x14ac:dyDescent="0.25">
      <c r="A427" s="8">
        <v>2.3E-2</v>
      </c>
    </row>
    <row r="428" spans="1:1" x14ac:dyDescent="0.25">
      <c r="A428" s="8">
        <v>1.6812500000000001E-2</v>
      </c>
    </row>
    <row r="429" spans="1:1" x14ac:dyDescent="0.25">
      <c r="A429" s="8">
        <v>2.2296875000000001E-2</v>
      </c>
    </row>
    <row r="430" spans="1:1" x14ac:dyDescent="0.25">
      <c r="A430" s="8">
        <v>2.3828124999999999E-2</v>
      </c>
    </row>
    <row r="431" spans="1:1" x14ac:dyDescent="0.25">
      <c r="A431" s="8">
        <v>1.40625E-2</v>
      </c>
    </row>
    <row r="432" spans="1:1" x14ac:dyDescent="0.25">
      <c r="A432" s="8">
        <v>8.6406250000000007E-3</v>
      </c>
    </row>
    <row r="433" spans="1:1" x14ac:dyDescent="0.25">
      <c r="A433" s="8">
        <v>2.4187500000000001E-2</v>
      </c>
    </row>
    <row r="434" spans="1:1" x14ac:dyDescent="0.25">
      <c r="A434" s="8">
        <v>1.3265625E-2</v>
      </c>
    </row>
    <row r="435" spans="1:1" x14ac:dyDescent="0.25">
      <c r="A435" s="8">
        <v>1.2765624999999999E-2</v>
      </c>
    </row>
    <row r="436" spans="1:1" x14ac:dyDescent="0.25">
      <c r="A436" s="8">
        <v>1.5703124999999998E-2</v>
      </c>
    </row>
    <row r="437" spans="1:1" x14ac:dyDescent="0.25">
      <c r="A437" s="8">
        <v>2.4750000000000001E-2</v>
      </c>
    </row>
    <row r="438" spans="1:1" x14ac:dyDescent="0.25">
      <c r="A438" s="8">
        <v>2.6468749999999999E-2</v>
      </c>
    </row>
    <row r="439" spans="1:1" x14ac:dyDescent="0.25">
      <c r="A439" s="8">
        <v>2.1328125E-2</v>
      </c>
    </row>
    <row r="440" spans="1:1" x14ac:dyDescent="0.25">
      <c r="A440" s="8">
        <v>1.0968749999999999E-2</v>
      </c>
    </row>
    <row r="441" spans="1:1" x14ac:dyDescent="0.25">
      <c r="A441" s="8">
        <v>2.3640624999999998E-2</v>
      </c>
    </row>
    <row r="442" spans="1:1" x14ac:dyDescent="0.25">
      <c r="A442" s="8">
        <v>2.1390625E-2</v>
      </c>
    </row>
    <row r="443" spans="1:1" x14ac:dyDescent="0.25">
      <c r="A443" s="8">
        <v>1.6781250000000001E-2</v>
      </c>
    </row>
    <row r="444" spans="1:1" x14ac:dyDescent="0.25">
      <c r="A444" s="8">
        <v>7.3906249999999996E-3</v>
      </c>
    </row>
    <row r="445" spans="1:1" x14ac:dyDescent="0.25">
      <c r="A445" s="8">
        <v>1.3796875E-2</v>
      </c>
    </row>
    <row r="446" spans="1:1" x14ac:dyDescent="0.25">
      <c r="A446" s="8">
        <v>1.9234375000000001E-2</v>
      </c>
    </row>
    <row r="447" spans="1:1" x14ac:dyDescent="0.25">
      <c r="A447" s="8">
        <v>1.7390625E-2</v>
      </c>
    </row>
    <row r="448" spans="1:1" x14ac:dyDescent="0.25">
      <c r="A448" s="8">
        <v>1.971875E-2</v>
      </c>
    </row>
    <row r="449" spans="1:1" x14ac:dyDescent="0.25">
      <c r="A449" s="8">
        <v>1.4625000000000001E-2</v>
      </c>
    </row>
    <row r="450" spans="1:1" x14ac:dyDescent="0.25">
      <c r="A450" s="8">
        <v>7.2656250000000004E-3</v>
      </c>
    </row>
    <row r="451" spans="1:1" x14ac:dyDescent="0.25">
      <c r="A451" s="8">
        <v>1.3062499999999999E-2</v>
      </c>
    </row>
    <row r="452" spans="1:1" x14ac:dyDescent="0.25">
      <c r="A452" s="8">
        <v>2.2859375000000001E-2</v>
      </c>
    </row>
    <row r="453" spans="1:1" x14ac:dyDescent="0.25">
      <c r="A453" s="8">
        <v>7.2187500000000003E-3</v>
      </c>
    </row>
    <row r="454" spans="1:1" x14ac:dyDescent="0.25">
      <c r="A454" s="8">
        <v>8.5625000000000007E-3</v>
      </c>
    </row>
    <row r="455" spans="1:1" x14ac:dyDescent="0.25">
      <c r="A455" s="8">
        <v>1.1101561999999831E-2</v>
      </c>
    </row>
    <row r="456" spans="1:1" x14ac:dyDescent="0.25">
      <c r="A456" s="8">
        <v>2.2234375000000001E-2</v>
      </c>
    </row>
    <row r="457" spans="1:1" x14ac:dyDescent="0.25">
      <c r="A457" s="8">
        <v>1.486718699999983E-2</v>
      </c>
    </row>
    <row r="458" spans="1:1" x14ac:dyDescent="0.25">
      <c r="A458" s="8">
        <v>2.5644531000001733E-2</v>
      </c>
    </row>
    <row r="459" spans="1:1" x14ac:dyDescent="0.25">
      <c r="A459" s="8">
        <v>0.14450976499999887</v>
      </c>
    </row>
    <row r="460" spans="1:1" x14ac:dyDescent="0.25">
      <c r="A460" s="8">
        <v>1.730273500000112E-2</v>
      </c>
    </row>
    <row r="461" spans="1:1" x14ac:dyDescent="0.25">
      <c r="A461" s="8">
        <v>7.9843750000000002E-3</v>
      </c>
    </row>
    <row r="462" spans="1:1" x14ac:dyDescent="0.25">
      <c r="A462" s="8">
        <v>1.6982421000000612E-2</v>
      </c>
    </row>
    <row r="463" spans="1:1" x14ac:dyDescent="0.25">
      <c r="A463" s="8">
        <v>1.921875E-2</v>
      </c>
    </row>
    <row r="464" spans="1:1" x14ac:dyDescent="0.25">
      <c r="A464" s="8">
        <v>2.1505859000000783E-2</v>
      </c>
    </row>
    <row r="465" spans="1:1" x14ac:dyDescent="0.25">
      <c r="A465" s="8">
        <v>9.1230470000009511E-3</v>
      </c>
    </row>
    <row r="466" spans="1:1" x14ac:dyDescent="0.25">
      <c r="A466" s="8">
        <v>1.9640624999999998E-2</v>
      </c>
    </row>
    <row r="467" spans="1:1" x14ac:dyDescent="0.25">
      <c r="A467" s="8">
        <v>1.6804687999996532E-2</v>
      </c>
    </row>
    <row r="468" spans="1:1" x14ac:dyDescent="0.25">
      <c r="A468" s="8">
        <v>1.4199219000001904E-2</v>
      </c>
    </row>
    <row r="469" spans="1:1" x14ac:dyDescent="0.25">
      <c r="A469" s="8">
        <v>1.4257812999996532E-2</v>
      </c>
    </row>
    <row r="470" spans="1:1" x14ac:dyDescent="0.25">
      <c r="A470" s="8">
        <v>7.3437499999999996E-3</v>
      </c>
    </row>
    <row r="471" spans="1:1" x14ac:dyDescent="0.25">
      <c r="A471" s="8">
        <v>7.8125E-3</v>
      </c>
    </row>
    <row r="472" spans="1:1" x14ac:dyDescent="0.25">
      <c r="A472" s="8">
        <v>2.00625E-2</v>
      </c>
    </row>
    <row r="473" spans="1:1" x14ac:dyDescent="0.25">
      <c r="A473" s="8">
        <v>7.8007810000053721E-3</v>
      </c>
    </row>
    <row r="474" spans="1:1" x14ac:dyDescent="0.25">
      <c r="A474" s="8">
        <v>1.2316406999998435E-2</v>
      </c>
    </row>
    <row r="475" spans="1:1" x14ac:dyDescent="0.25">
      <c r="A475" s="8">
        <v>1.7351561999996191E-2</v>
      </c>
    </row>
    <row r="476" spans="1:1" x14ac:dyDescent="0.25">
      <c r="A476" s="8">
        <v>2.9957030999998097E-2</v>
      </c>
    </row>
    <row r="477" spans="1:1" x14ac:dyDescent="0.25">
      <c r="A477" s="8">
        <v>1.1554686999996193E-2</v>
      </c>
    </row>
    <row r="478" spans="1:1" x14ac:dyDescent="0.25">
      <c r="A478" s="8">
        <v>2.7140625000000002E-2</v>
      </c>
    </row>
    <row r="479" spans="1:1" x14ac:dyDescent="0.25">
      <c r="A479" s="8">
        <v>1.6437500000000001E-2</v>
      </c>
    </row>
    <row r="480" spans="1:1" x14ac:dyDescent="0.25">
      <c r="A480" s="8">
        <v>1.1847655999998097E-2</v>
      </c>
    </row>
    <row r="481" spans="1:1" x14ac:dyDescent="0.25">
      <c r="A481" s="8">
        <v>8.1835940000019036E-3</v>
      </c>
    </row>
    <row r="482" spans="1:1" x14ac:dyDescent="0.25">
      <c r="A482" s="8">
        <v>1.7976561999996192E-2</v>
      </c>
    </row>
    <row r="483" spans="1:1" x14ac:dyDescent="0.25">
      <c r="A483" s="8">
        <v>1.6718750000000001E-2</v>
      </c>
    </row>
    <row r="484" spans="1:1" x14ac:dyDescent="0.25">
      <c r="A484" s="8">
        <v>2.5937499999999999E-2</v>
      </c>
    </row>
    <row r="485" spans="1:1" x14ac:dyDescent="0.25">
      <c r="A485" s="8">
        <v>1.4312500000000001E-2</v>
      </c>
    </row>
    <row r="486" spans="1:1" x14ac:dyDescent="0.25">
      <c r="A486" s="8">
        <v>3.0078125000000001E-2</v>
      </c>
    </row>
    <row r="487" spans="1:1" x14ac:dyDescent="0.25">
      <c r="A487" s="8">
        <v>7.4218749999999997E-3</v>
      </c>
    </row>
    <row r="488" spans="1:1" x14ac:dyDescent="0.25">
      <c r="A488" s="8">
        <v>1.0953124999999999E-2</v>
      </c>
    </row>
    <row r="489" spans="1:1" x14ac:dyDescent="0.25">
      <c r="A489" s="8">
        <v>1.7226563000003806E-2</v>
      </c>
    </row>
    <row r="490" spans="1:1" x14ac:dyDescent="0.25">
      <c r="A490" s="8">
        <v>1.565625E-2</v>
      </c>
    </row>
    <row r="491" spans="1:1" x14ac:dyDescent="0.25">
      <c r="A491" s="8">
        <v>1.1328125E-2</v>
      </c>
    </row>
    <row r="492" spans="1:1" x14ac:dyDescent="0.25">
      <c r="A492" s="8">
        <v>1.3234375E-2</v>
      </c>
    </row>
    <row r="493" spans="1:1" x14ac:dyDescent="0.25">
      <c r="A493" s="8">
        <v>1.196875E-2</v>
      </c>
    </row>
    <row r="494" spans="1:1" x14ac:dyDescent="0.25">
      <c r="A494" s="8">
        <v>3.2507811999996195E-2</v>
      </c>
    </row>
    <row r="495" spans="1:1" x14ac:dyDescent="0.25">
      <c r="A495" s="8">
        <v>2.4101563000003809E-2</v>
      </c>
    </row>
    <row r="496" spans="1:1" x14ac:dyDescent="0.25">
      <c r="A496" s="8">
        <v>1.4835938000003808E-2</v>
      </c>
    </row>
    <row r="497" spans="1:1" x14ac:dyDescent="0.25">
      <c r="A497" s="8">
        <v>1.1945311999996194E-2</v>
      </c>
    </row>
    <row r="498" spans="1:1" x14ac:dyDescent="0.25">
      <c r="A498" s="8">
        <v>2.4945311999996191E-2</v>
      </c>
    </row>
    <row r="499" spans="1:1" x14ac:dyDescent="0.25">
      <c r="A499" s="8">
        <v>1.3507813000003806E-2</v>
      </c>
    </row>
    <row r="500" spans="1:1" x14ac:dyDescent="0.25">
      <c r="A500" s="8">
        <v>1.5304686999996193E-2</v>
      </c>
    </row>
    <row r="501" spans="1:1" x14ac:dyDescent="0.25">
      <c r="A501" s="8">
        <v>2.3664061999996194E-2</v>
      </c>
    </row>
    <row r="502" spans="1:1" x14ac:dyDescent="0.25">
      <c r="A502" s="8">
        <v>2.2046875E-2</v>
      </c>
    </row>
    <row r="503" spans="1:1" x14ac:dyDescent="0.25">
      <c r="A503" s="8">
        <v>1.7320311999996191E-2</v>
      </c>
    </row>
    <row r="504" spans="1:1" x14ac:dyDescent="0.25">
      <c r="A504" s="8">
        <v>2.0500000000000001E-2</v>
      </c>
    </row>
    <row r="505" spans="1:1" x14ac:dyDescent="0.25">
      <c r="A505" s="8">
        <v>1.7484375E-2</v>
      </c>
    </row>
    <row r="506" spans="1:1" x14ac:dyDescent="0.25">
      <c r="A506" s="8">
        <v>1.36875E-2</v>
      </c>
    </row>
    <row r="507" spans="1:1" x14ac:dyDescent="0.25">
      <c r="A507" s="8">
        <v>1.0656250000000001E-2</v>
      </c>
    </row>
    <row r="508" spans="1:1" x14ac:dyDescent="0.25">
      <c r="A508" s="8">
        <v>1.353125E-2</v>
      </c>
    </row>
    <row r="509" spans="1:1" x14ac:dyDescent="0.25">
      <c r="A509" s="8">
        <v>1.6312500000000001E-2</v>
      </c>
    </row>
    <row r="510" spans="1:1" x14ac:dyDescent="0.25">
      <c r="A510" s="8">
        <v>1.203125E-2</v>
      </c>
    </row>
    <row r="511" spans="1:1" x14ac:dyDescent="0.25">
      <c r="A511" s="8">
        <v>1.7968749999999999E-2</v>
      </c>
    </row>
    <row r="512" spans="1:1" x14ac:dyDescent="0.25">
      <c r="A512" s="8">
        <v>1.7609375E-2</v>
      </c>
    </row>
    <row r="513" spans="1:1" x14ac:dyDescent="0.25">
      <c r="A513" s="8">
        <v>1.4296875000000001E-2</v>
      </c>
    </row>
    <row r="514" spans="1:1" x14ac:dyDescent="0.25">
      <c r="A514" s="8">
        <v>1.525E-2</v>
      </c>
    </row>
    <row r="515" spans="1:1" x14ac:dyDescent="0.25">
      <c r="A515" s="8">
        <v>2.703125E-2</v>
      </c>
    </row>
    <row r="516" spans="1:1" x14ac:dyDescent="0.25">
      <c r="A516" s="8">
        <v>1.565625E-2</v>
      </c>
    </row>
    <row r="517" spans="1:1" x14ac:dyDescent="0.25">
      <c r="A517" s="8">
        <v>2.0273436999996192E-2</v>
      </c>
    </row>
    <row r="518" spans="1:1" x14ac:dyDescent="0.25">
      <c r="A518" s="8">
        <v>1.2578125000000001E-2</v>
      </c>
    </row>
    <row r="519" spans="1:1" x14ac:dyDescent="0.25">
      <c r="A519" s="8">
        <v>1.7234375E-2</v>
      </c>
    </row>
    <row r="520" spans="1:1" x14ac:dyDescent="0.25">
      <c r="A520" s="8">
        <v>1.6859374999999999E-2</v>
      </c>
    </row>
    <row r="521" spans="1:1" x14ac:dyDescent="0.25">
      <c r="A521" s="8">
        <v>8.3281250000000005E-3</v>
      </c>
    </row>
    <row r="522" spans="1:1" x14ac:dyDescent="0.25">
      <c r="A522" s="8">
        <v>1.7250000000000001E-2</v>
      </c>
    </row>
    <row r="523" spans="1:1" x14ac:dyDescent="0.25">
      <c r="A523" s="8">
        <v>1.6937500000000001E-2</v>
      </c>
    </row>
    <row r="524" spans="1:1" x14ac:dyDescent="0.25">
      <c r="A524" s="8">
        <v>1.390625E-2</v>
      </c>
    </row>
    <row r="525" spans="1:1" x14ac:dyDescent="0.25">
      <c r="A525" s="8">
        <v>8.8749999999999992E-3</v>
      </c>
    </row>
    <row r="526" spans="1:1" x14ac:dyDescent="0.25">
      <c r="A526" s="8">
        <v>2.0359374999999999E-2</v>
      </c>
    </row>
    <row r="527" spans="1:1" x14ac:dyDescent="0.25">
      <c r="A527" s="8">
        <v>1.2671875000000001E-2</v>
      </c>
    </row>
    <row r="528" spans="1:1" x14ac:dyDescent="0.25">
      <c r="A528" s="8">
        <v>1.5640624999999998E-2</v>
      </c>
    </row>
    <row r="529" spans="1:1" x14ac:dyDescent="0.25">
      <c r="A529" s="8">
        <v>1.4859374999999999E-2</v>
      </c>
    </row>
    <row r="530" spans="1:1" x14ac:dyDescent="0.25">
      <c r="A530" s="8">
        <v>2.0250000000000001E-2</v>
      </c>
    </row>
    <row r="531" spans="1:1" x14ac:dyDescent="0.25">
      <c r="A531" s="8">
        <v>1.1328125E-2</v>
      </c>
    </row>
    <row r="532" spans="1:1" x14ac:dyDescent="0.25">
      <c r="A532" s="8">
        <v>1.6359374999999999E-2</v>
      </c>
    </row>
    <row r="533" spans="1:1" x14ac:dyDescent="0.25">
      <c r="A533" s="8">
        <v>9.5937499999999998E-3</v>
      </c>
    </row>
    <row r="534" spans="1:1" x14ac:dyDescent="0.25">
      <c r="A534" s="8">
        <v>2.0906250000000001E-2</v>
      </c>
    </row>
    <row r="535" spans="1:1" x14ac:dyDescent="0.25">
      <c r="A535" s="8">
        <v>2.0421874999999999E-2</v>
      </c>
    </row>
    <row r="536" spans="1:1" x14ac:dyDescent="0.25">
      <c r="A536" s="8">
        <v>1.6984374999999999E-2</v>
      </c>
    </row>
    <row r="537" spans="1:1" x14ac:dyDescent="0.25">
      <c r="A537" s="8">
        <v>1.4593750000000001E-2</v>
      </c>
    </row>
    <row r="538" spans="1:1" x14ac:dyDescent="0.25">
      <c r="A538" s="8">
        <v>1.5046874999999999E-2</v>
      </c>
    </row>
    <row r="539" spans="1:1" x14ac:dyDescent="0.25">
      <c r="A539" s="8">
        <v>2.2300781000001733E-2</v>
      </c>
    </row>
    <row r="540" spans="1:1" x14ac:dyDescent="0.25">
      <c r="A540" s="8">
        <v>1.1878906000001735E-2</v>
      </c>
    </row>
    <row r="541" spans="1:1" x14ac:dyDescent="0.25">
      <c r="A541" s="8">
        <v>2.5945313000000168E-2</v>
      </c>
    </row>
    <row r="542" spans="1:1" x14ac:dyDescent="0.25">
      <c r="A542" s="8">
        <v>0.12294335900000078</v>
      </c>
    </row>
    <row r="543" spans="1:1" x14ac:dyDescent="0.25">
      <c r="A543" s="8">
        <v>2.0589843999998265E-2</v>
      </c>
    </row>
    <row r="544" spans="1:1" x14ac:dyDescent="0.25">
      <c r="A544" s="8">
        <v>1.209375E-2</v>
      </c>
    </row>
    <row r="545" spans="1:1" x14ac:dyDescent="0.25">
      <c r="A545" s="8">
        <v>2.3939453000002685E-2</v>
      </c>
    </row>
    <row r="546" spans="1:1" x14ac:dyDescent="0.25">
      <c r="A546" s="8">
        <v>1.4273438000000169E-2</v>
      </c>
    </row>
    <row r="547" spans="1:1" x14ac:dyDescent="0.25">
      <c r="A547" s="8">
        <v>1.929882799999905E-2</v>
      </c>
    </row>
    <row r="548" spans="1:1" x14ac:dyDescent="0.25">
      <c r="A548" s="8">
        <v>1.8277343000001566E-2</v>
      </c>
    </row>
    <row r="549" spans="1:1" x14ac:dyDescent="0.25">
      <c r="A549" s="8">
        <v>1.4722655999998096E-2</v>
      </c>
    </row>
    <row r="550" spans="1:1" x14ac:dyDescent="0.25">
      <c r="A550" s="8">
        <v>1.4906249999999999E-2</v>
      </c>
    </row>
    <row r="551" spans="1:1" x14ac:dyDescent="0.25">
      <c r="A551" s="8">
        <v>1.3171875E-2</v>
      </c>
    </row>
    <row r="552" spans="1:1" x14ac:dyDescent="0.25">
      <c r="A552" s="8">
        <v>1.8246093000001566E-2</v>
      </c>
    </row>
    <row r="553" spans="1:1" x14ac:dyDescent="0.25">
      <c r="A553" s="8">
        <v>1.5027343999994627E-2</v>
      </c>
    </row>
    <row r="554" spans="1:1" x14ac:dyDescent="0.25">
      <c r="A554" s="8">
        <v>1.4078125E-2</v>
      </c>
    </row>
    <row r="555" spans="1:1" x14ac:dyDescent="0.25">
      <c r="A555" s="8">
        <v>1.1093749999999999E-2</v>
      </c>
    </row>
    <row r="556" spans="1:1" x14ac:dyDescent="0.25">
      <c r="A556" s="8">
        <v>2.8707031000005372E-2</v>
      </c>
    </row>
    <row r="557" spans="1:1" x14ac:dyDescent="0.25">
      <c r="A557" s="8">
        <v>2.2992188000003806E-2</v>
      </c>
    </row>
    <row r="558" spans="1:1" x14ac:dyDescent="0.25">
      <c r="A558" s="8">
        <v>1.9238280999998095E-2</v>
      </c>
    </row>
    <row r="559" spans="1:1" x14ac:dyDescent="0.25">
      <c r="A559" s="8">
        <v>2.7816405999998097E-2</v>
      </c>
    </row>
    <row r="560" spans="1:1" x14ac:dyDescent="0.25">
      <c r="A560" s="8">
        <v>1.115625E-2</v>
      </c>
    </row>
    <row r="561" spans="1:1" x14ac:dyDescent="0.25">
      <c r="A561" s="8">
        <v>2.1820312000003467E-2</v>
      </c>
    </row>
    <row r="562" spans="1:1" x14ac:dyDescent="0.25">
      <c r="A562" s="8">
        <v>1.3441405999998097E-2</v>
      </c>
    </row>
    <row r="563" spans="1:1" x14ac:dyDescent="0.25">
      <c r="A563" s="8">
        <v>1.4769530999998096E-2</v>
      </c>
    </row>
    <row r="564" spans="1:1" x14ac:dyDescent="0.25">
      <c r="A564" s="8">
        <v>0.10364453199999843</v>
      </c>
    </row>
    <row r="565" spans="1:1" x14ac:dyDescent="0.25">
      <c r="A565" s="8">
        <v>2.1648436999996194E-2</v>
      </c>
    </row>
    <row r="566" spans="1:1" x14ac:dyDescent="0.25">
      <c r="A566" s="8">
        <v>1.5117188000003808E-2</v>
      </c>
    </row>
    <row r="567" spans="1:1" x14ac:dyDescent="0.25">
      <c r="A567" s="8">
        <v>1.3804688000003807E-2</v>
      </c>
    </row>
    <row r="568" spans="1:1" x14ac:dyDescent="0.25">
      <c r="A568" s="8">
        <v>1.1070311999996193E-2</v>
      </c>
    </row>
    <row r="569" spans="1:1" x14ac:dyDescent="0.25">
      <c r="A569" s="8">
        <v>1.7226563000003806E-2</v>
      </c>
    </row>
    <row r="570" spans="1:1" x14ac:dyDescent="0.25">
      <c r="A570" s="8">
        <v>1.365625E-2</v>
      </c>
    </row>
    <row r="571" spans="1:1" x14ac:dyDescent="0.25">
      <c r="A571" s="8">
        <v>7.6640630000038073E-3</v>
      </c>
    </row>
    <row r="572" spans="1:1" x14ac:dyDescent="0.25">
      <c r="A572" s="8">
        <v>1.5882813000003809E-2</v>
      </c>
    </row>
    <row r="573" spans="1:1" x14ac:dyDescent="0.25">
      <c r="A573" s="8">
        <v>2.4023438000003807E-2</v>
      </c>
    </row>
    <row r="574" spans="1:1" x14ac:dyDescent="0.25">
      <c r="A574" s="8">
        <v>1.3757813000003807E-2</v>
      </c>
    </row>
    <row r="575" spans="1:1" x14ac:dyDescent="0.25">
      <c r="A575" s="8">
        <v>1.8398436999996194E-2</v>
      </c>
    </row>
    <row r="576" spans="1:1" x14ac:dyDescent="0.25">
      <c r="A576" s="8">
        <v>1.1328125E-2</v>
      </c>
    </row>
    <row r="577" spans="1:1" x14ac:dyDescent="0.25">
      <c r="A577" s="8">
        <v>1.1835936999996194E-2</v>
      </c>
    </row>
    <row r="578" spans="1:1" x14ac:dyDescent="0.25">
      <c r="A578" s="8">
        <v>2.715625E-2</v>
      </c>
    </row>
    <row r="579" spans="1:1" x14ac:dyDescent="0.25">
      <c r="A579" s="8">
        <v>1.9679686999996192E-2</v>
      </c>
    </row>
    <row r="580" spans="1:1" x14ac:dyDescent="0.25">
      <c r="A580" s="8">
        <v>1.4757813000003808E-2</v>
      </c>
    </row>
    <row r="581" spans="1:1" x14ac:dyDescent="0.25">
      <c r="A581" s="8">
        <v>3.1710936999996192E-2</v>
      </c>
    </row>
    <row r="582" spans="1:1" x14ac:dyDescent="0.25">
      <c r="A582" s="8">
        <v>7.6796880000038073E-3</v>
      </c>
    </row>
    <row r="583" spans="1:1" x14ac:dyDescent="0.25">
      <c r="A583" s="8">
        <v>0.142875</v>
      </c>
    </row>
    <row r="584" spans="1:1" x14ac:dyDescent="0.25">
      <c r="A584" s="8">
        <v>1.1976561999996192E-2</v>
      </c>
    </row>
    <row r="585" spans="1:1" x14ac:dyDescent="0.25">
      <c r="A585" s="8">
        <v>1.2492188000003807E-2</v>
      </c>
    </row>
    <row r="586" spans="1:1" x14ac:dyDescent="0.25">
      <c r="A586" s="8">
        <v>2.8656250000000001E-2</v>
      </c>
    </row>
    <row r="587" spans="1:1" x14ac:dyDescent="0.25">
      <c r="A587" s="8">
        <v>2.2624999999999999E-2</v>
      </c>
    </row>
    <row r="588" spans="1:1" x14ac:dyDescent="0.25">
      <c r="A588" s="8">
        <v>2.29375E-2</v>
      </c>
    </row>
    <row r="589" spans="1:1" x14ac:dyDescent="0.25">
      <c r="A589" s="8">
        <v>2.4328124999999999E-2</v>
      </c>
    </row>
    <row r="590" spans="1:1" x14ac:dyDescent="0.25">
      <c r="A590" s="8">
        <v>1.978125E-2</v>
      </c>
    </row>
    <row r="591" spans="1:1" x14ac:dyDescent="0.25">
      <c r="A591" s="8">
        <v>5.4679688000003807E-2</v>
      </c>
    </row>
    <row r="592" spans="1:1" x14ac:dyDescent="0.25">
      <c r="A592" s="8">
        <v>1.0984374999999999E-2</v>
      </c>
    </row>
    <row r="593" spans="1:1" x14ac:dyDescent="0.25">
      <c r="A593" s="8">
        <v>1.215625E-2</v>
      </c>
    </row>
    <row r="594" spans="1:1" x14ac:dyDescent="0.25">
      <c r="A594" s="8">
        <v>2.1093750000000001E-2</v>
      </c>
    </row>
    <row r="595" spans="1:1" x14ac:dyDescent="0.25">
      <c r="A595" s="8">
        <v>2.4179686999996192E-2</v>
      </c>
    </row>
    <row r="596" spans="1:1" x14ac:dyDescent="0.25">
      <c r="A596" s="8">
        <v>1.6937500000000001E-2</v>
      </c>
    </row>
    <row r="597" spans="1:1" x14ac:dyDescent="0.25">
      <c r="A597" s="8">
        <v>1.1234375E-2</v>
      </c>
    </row>
    <row r="598" spans="1:1" x14ac:dyDescent="0.25">
      <c r="A598" s="8">
        <v>2.7460936999996192E-2</v>
      </c>
    </row>
    <row r="599" spans="1:1" x14ac:dyDescent="0.25">
      <c r="A599" s="8">
        <v>1.7414061999996192E-2</v>
      </c>
    </row>
    <row r="600" spans="1:1" x14ac:dyDescent="0.25">
      <c r="A600" s="8">
        <v>2.1023436999996193E-2</v>
      </c>
    </row>
    <row r="601" spans="1:1" x14ac:dyDescent="0.25">
      <c r="A601" s="8">
        <v>2.5968749999999999E-2</v>
      </c>
    </row>
    <row r="602" spans="1:1" x14ac:dyDescent="0.25">
      <c r="A602" s="8">
        <v>2.0984375E-2</v>
      </c>
    </row>
    <row r="603" spans="1:1" x14ac:dyDescent="0.25">
      <c r="A603" s="8">
        <v>2.1578125E-2</v>
      </c>
    </row>
    <row r="604" spans="1:1" x14ac:dyDescent="0.25">
      <c r="A604" s="8">
        <v>1.7000000000000001E-2</v>
      </c>
    </row>
    <row r="605" spans="1:1" x14ac:dyDescent="0.25">
      <c r="A605" s="8">
        <v>1.7906249999999999E-2</v>
      </c>
    </row>
    <row r="606" spans="1:1" x14ac:dyDescent="0.25">
      <c r="A606" s="8">
        <v>1.7343750000000002E-2</v>
      </c>
    </row>
    <row r="607" spans="1:1" x14ac:dyDescent="0.25">
      <c r="A607" s="8">
        <v>1.7093750000000001E-2</v>
      </c>
    </row>
    <row r="608" spans="1:1" x14ac:dyDescent="0.25">
      <c r="A608" s="8">
        <v>1.4796874999999999E-2</v>
      </c>
    </row>
    <row r="609" spans="1:1" x14ac:dyDescent="0.25">
      <c r="A609" s="8">
        <v>1.2718749999999999E-2</v>
      </c>
    </row>
    <row r="610" spans="1:1" x14ac:dyDescent="0.25">
      <c r="A610" s="8">
        <v>7.6093749999999998E-3</v>
      </c>
    </row>
    <row r="611" spans="1:1" x14ac:dyDescent="0.25">
      <c r="A611" s="8">
        <v>8.7968749999999991E-3</v>
      </c>
    </row>
    <row r="612" spans="1:1" x14ac:dyDescent="0.25">
      <c r="A612" s="8">
        <v>1.3546875E-2</v>
      </c>
    </row>
    <row r="613" spans="1:1" x14ac:dyDescent="0.25">
      <c r="A613" s="8">
        <v>2.1765625E-2</v>
      </c>
    </row>
    <row r="614" spans="1:1" x14ac:dyDescent="0.25">
      <c r="A614" s="8">
        <v>7.78125E-3</v>
      </c>
    </row>
    <row r="615" spans="1:1" x14ac:dyDescent="0.25">
      <c r="A615" s="8">
        <v>2.9312499999999998E-2</v>
      </c>
    </row>
    <row r="616" spans="1:1" x14ac:dyDescent="0.25">
      <c r="A616" s="8">
        <v>8.5312500000000006E-3</v>
      </c>
    </row>
    <row r="617" spans="1:1" x14ac:dyDescent="0.25">
      <c r="A617" s="8">
        <v>1.8468749999999999E-2</v>
      </c>
    </row>
    <row r="618" spans="1:1" x14ac:dyDescent="0.25">
      <c r="A618" s="8">
        <v>1.371875E-2</v>
      </c>
    </row>
    <row r="619" spans="1:1" x14ac:dyDescent="0.25">
      <c r="A619" s="8">
        <v>1.134375E-2</v>
      </c>
    </row>
    <row r="620" spans="1:1" x14ac:dyDescent="0.25">
      <c r="A620" s="8">
        <v>1.2359375000000001E-2</v>
      </c>
    </row>
    <row r="621" spans="1:1" x14ac:dyDescent="0.25">
      <c r="A621" s="8">
        <v>1.2203125E-2</v>
      </c>
    </row>
    <row r="622" spans="1:1" x14ac:dyDescent="0.25">
      <c r="A622" s="8">
        <v>1.2320313000000169E-2</v>
      </c>
    </row>
    <row r="623" spans="1:1" x14ac:dyDescent="0.25">
      <c r="A623" s="8">
        <v>6.4851561999999835E-2</v>
      </c>
    </row>
    <row r="624" spans="1:1" x14ac:dyDescent="0.25">
      <c r="A624" s="8">
        <v>1.6302734000000783E-2</v>
      </c>
    </row>
    <row r="625" spans="1:1" x14ac:dyDescent="0.25">
      <c r="A625" s="8">
        <v>1.5609375E-2</v>
      </c>
    </row>
    <row r="626" spans="1:1" x14ac:dyDescent="0.25">
      <c r="A626" s="8">
        <v>9.0957029999990478E-3</v>
      </c>
    </row>
    <row r="627" spans="1:1" x14ac:dyDescent="0.25">
      <c r="A627" s="8">
        <v>1.1726563000000169E-2</v>
      </c>
    </row>
    <row r="628" spans="1:1" x14ac:dyDescent="0.25">
      <c r="A628" s="8">
        <v>1.3585936999996193E-2</v>
      </c>
    </row>
    <row r="629" spans="1:1" x14ac:dyDescent="0.25">
      <c r="A629" s="8">
        <v>2.6574218999994629E-2</v>
      </c>
    </row>
    <row r="630" spans="1:1" x14ac:dyDescent="0.25">
      <c r="A630" s="8">
        <v>1.1765625E-2</v>
      </c>
    </row>
    <row r="631" spans="1:1" x14ac:dyDescent="0.25">
      <c r="A631" s="8">
        <v>1.7058594000001905E-2</v>
      </c>
    </row>
    <row r="632" spans="1:1" x14ac:dyDescent="0.25">
      <c r="A632" s="8">
        <v>1.1351562000003469E-2</v>
      </c>
    </row>
    <row r="633" spans="1:1" x14ac:dyDescent="0.25">
      <c r="A633" s="8">
        <v>2.0984375E-2</v>
      </c>
    </row>
    <row r="634" spans="1:1" x14ac:dyDescent="0.25">
      <c r="A634" s="8">
        <v>1.4683593000001565E-2</v>
      </c>
    </row>
    <row r="635" spans="1:1" x14ac:dyDescent="0.25">
      <c r="A635" s="8">
        <v>1.1375E-2</v>
      </c>
    </row>
    <row r="636" spans="1:1" x14ac:dyDescent="0.25">
      <c r="A636" s="8">
        <v>1.7250000000000001E-2</v>
      </c>
    </row>
    <row r="637" spans="1:1" x14ac:dyDescent="0.25">
      <c r="A637" s="8">
        <v>2.2164062999996532E-2</v>
      </c>
    </row>
    <row r="638" spans="1:1" x14ac:dyDescent="0.25">
      <c r="A638" s="8">
        <v>1.1109374999999999E-2</v>
      </c>
    </row>
    <row r="639" spans="1:1" x14ac:dyDescent="0.25">
      <c r="A639" s="8">
        <v>2.0714843999994629E-2</v>
      </c>
    </row>
    <row r="640" spans="1:1" x14ac:dyDescent="0.25">
      <c r="A640" s="8">
        <v>3.0953125000000001E-2</v>
      </c>
    </row>
    <row r="641" spans="1:1" x14ac:dyDescent="0.25">
      <c r="A641" s="8">
        <v>1.9613281999998435E-2</v>
      </c>
    </row>
    <row r="642" spans="1:1" x14ac:dyDescent="0.25">
      <c r="A642" s="8">
        <v>1.4398436999996192E-2</v>
      </c>
    </row>
    <row r="643" spans="1:1" x14ac:dyDescent="0.25">
      <c r="A643" s="8">
        <v>1.7277343000001565E-2</v>
      </c>
    </row>
    <row r="644" spans="1:1" x14ac:dyDescent="0.25">
      <c r="A644" s="8">
        <v>1.4749999999999999E-2</v>
      </c>
    </row>
    <row r="645" spans="1:1" x14ac:dyDescent="0.25">
      <c r="A645" s="8">
        <v>1.1425780999998096E-2</v>
      </c>
    </row>
    <row r="646" spans="1:1" x14ac:dyDescent="0.25">
      <c r="A646" s="8">
        <v>2.5910156999998435E-2</v>
      </c>
    </row>
    <row r="647" spans="1:1" x14ac:dyDescent="0.25">
      <c r="A647" s="8">
        <v>8.7578120000034679E-3</v>
      </c>
    </row>
    <row r="648" spans="1:1" x14ac:dyDescent="0.25">
      <c r="A648" s="8">
        <v>1.3910155999998097E-2</v>
      </c>
    </row>
    <row r="649" spans="1:1" x14ac:dyDescent="0.25">
      <c r="A649" s="8">
        <v>2.6632812999996532E-2</v>
      </c>
    </row>
    <row r="650" spans="1:1" x14ac:dyDescent="0.25">
      <c r="A650" s="8">
        <v>1.2183594000001904E-2</v>
      </c>
    </row>
    <row r="651" spans="1:1" x14ac:dyDescent="0.25">
      <c r="A651" s="8">
        <v>2.4121094000001904E-2</v>
      </c>
    </row>
    <row r="652" spans="1:1" x14ac:dyDescent="0.25">
      <c r="A652" s="8">
        <v>8.1718750000000003E-3</v>
      </c>
    </row>
    <row r="653" spans="1:1" x14ac:dyDescent="0.25">
      <c r="A653" s="8">
        <v>9.6210940000019032E-3</v>
      </c>
    </row>
    <row r="654" spans="1:1" x14ac:dyDescent="0.25">
      <c r="A654" s="8">
        <v>1.7332030999998096E-2</v>
      </c>
    </row>
    <row r="655" spans="1:1" x14ac:dyDescent="0.25">
      <c r="A655" s="8">
        <v>1.1062499999999999E-2</v>
      </c>
    </row>
    <row r="656" spans="1:1" x14ac:dyDescent="0.25">
      <c r="A656" s="8">
        <v>2.0617186999996193E-2</v>
      </c>
    </row>
    <row r="657" spans="1:1" x14ac:dyDescent="0.25">
      <c r="A657" s="8">
        <v>2.1070311999996191E-2</v>
      </c>
    </row>
    <row r="658" spans="1:1" x14ac:dyDescent="0.25">
      <c r="A658" s="8">
        <v>1.1226563000003808E-2</v>
      </c>
    </row>
    <row r="659" spans="1:1" x14ac:dyDescent="0.25">
      <c r="A659" s="8">
        <v>1.7281250000000001E-2</v>
      </c>
    </row>
    <row r="660" spans="1:1" x14ac:dyDescent="0.25">
      <c r="A660" s="8">
        <v>2.4539063000003806E-2</v>
      </c>
    </row>
    <row r="661" spans="1:1" x14ac:dyDescent="0.25">
      <c r="A661" s="8">
        <v>1.4375000000000001E-2</v>
      </c>
    </row>
    <row r="662" spans="1:1" x14ac:dyDescent="0.25">
      <c r="A662" s="8">
        <v>0.10350781300000381</v>
      </c>
    </row>
    <row r="663" spans="1:1" x14ac:dyDescent="0.25">
      <c r="A663" s="8">
        <v>1.9632811999996194E-2</v>
      </c>
    </row>
    <row r="664" spans="1:1" x14ac:dyDescent="0.25">
      <c r="A664" s="8">
        <v>1.1093749999999999E-2</v>
      </c>
    </row>
    <row r="665" spans="1:1" x14ac:dyDescent="0.25">
      <c r="A665" s="8">
        <v>2.2664061999996193E-2</v>
      </c>
    </row>
    <row r="666" spans="1:1" x14ac:dyDescent="0.25">
      <c r="A666" s="8">
        <v>1.4359375000000001E-2</v>
      </c>
    </row>
    <row r="667" spans="1:1" x14ac:dyDescent="0.25">
      <c r="A667" s="8">
        <v>1.359375E-2</v>
      </c>
    </row>
    <row r="668" spans="1:1" x14ac:dyDescent="0.25">
      <c r="A668" s="8">
        <v>1.7476563000003806E-2</v>
      </c>
    </row>
    <row r="669" spans="1:1" x14ac:dyDescent="0.25">
      <c r="A669" s="8">
        <v>2.0070311999996194E-2</v>
      </c>
    </row>
    <row r="670" spans="1:1" x14ac:dyDescent="0.25">
      <c r="A670" s="8">
        <v>8.9609369999961927E-3</v>
      </c>
    </row>
    <row r="671" spans="1:1" x14ac:dyDescent="0.25">
      <c r="A671" s="8">
        <v>1.8906249999999999E-2</v>
      </c>
    </row>
    <row r="672" spans="1:1" x14ac:dyDescent="0.25">
      <c r="A672" s="8">
        <v>2.3679688000003807E-2</v>
      </c>
    </row>
    <row r="673" spans="1:1" x14ac:dyDescent="0.25">
      <c r="A673" s="8">
        <v>1.4976563000003808E-2</v>
      </c>
    </row>
    <row r="674" spans="1:1" x14ac:dyDescent="0.25">
      <c r="A674" s="8">
        <v>2.3E-2</v>
      </c>
    </row>
    <row r="675" spans="1:1" x14ac:dyDescent="0.25">
      <c r="A675" s="8">
        <v>1.1835938000003807E-2</v>
      </c>
    </row>
    <row r="676" spans="1:1" x14ac:dyDescent="0.25">
      <c r="A676" s="8">
        <v>1.115625E-2</v>
      </c>
    </row>
    <row r="677" spans="1:1" x14ac:dyDescent="0.25">
      <c r="A677" s="8">
        <v>1.4273438000003807E-2</v>
      </c>
    </row>
    <row r="678" spans="1:1" x14ac:dyDescent="0.25">
      <c r="A678" s="8">
        <v>1.3273438000003808E-2</v>
      </c>
    </row>
    <row r="679" spans="1:1" x14ac:dyDescent="0.25">
      <c r="A679" s="8">
        <v>5.3812499999999999E-2</v>
      </c>
    </row>
    <row r="680" spans="1:1" x14ac:dyDescent="0.25">
      <c r="A680" s="8">
        <v>1.6242186999996192E-2</v>
      </c>
    </row>
    <row r="681" spans="1:1" x14ac:dyDescent="0.25">
      <c r="A681" s="8">
        <v>1.7234375E-2</v>
      </c>
    </row>
    <row r="682" spans="1:1" x14ac:dyDescent="0.25">
      <c r="A682" s="8">
        <v>1.7749999999999998E-2</v>
      </c>
    </row>
    <row r="683" spans="1:1" x14ac:dyDescent="0.25">
      <c r="A683" s="8">
        <v>2.1320311999996192E-2</v>
      </c>
    </row>
    <row r="684" spans="1:1" x14ac:dyDescent="0.25">
      <c r="A684" s="8">
        <v>1.4531250000000001E-2</v>
      </c>
    </row>
    <row r="685" spans="1:1" x14ac:dyDescent="0.25">
      <c r="A685" s="8">
        <v>2.0218750000000001E-2</v>
      </c>
    </row>
    <row r="686" spans="1:1" x14ac:dyDescent="0.25">
      <c r="A686" s="8">
        <v>1.4023436999996192E-2</v>
      </c>
    </row>
    <row r="687" spans="1:1" x14ac:dyDescent="0.25">
      <c r="A687" s="8">
        <v>2.0414061999996194E-2</v>
      </c>
    </row>
    <row r="688" spans="1:1" x14ac:dyDescent="0.25">
      <c r="A688" s="8">
        <v>1.0937499999999999E-2</v>
      </c>
    </row>
    <row r="689" spans="1:1" x14ac:dyDescent="0.25">
      <c r="A689" s="8">
        <v>9.2656249999999996E-3</v>
      </c>
    </row>
    <row r="690" spans="1:1" x14ac:dyDescent="0.25">
      <c r="A690" s="8">
        <v>1.3265625E-2</v>
      </c>
    </row>
    <row r="691" spans="1:1" x14ac:dyDescent="0.25">
      <c r="A691" s="8">
        <v>1.2671875000000001E-2</v>
      </c>
    </row>
    <row r="692" spans="1:1" x14ac:dyDescent="0.25">
      <c r="A692" s="8">
        <v>1.159375E-2</v>
      </c>
    </row>
    <row r="693" spans="1:1" x14ac:dyDescent="0.25">
      <c r="A693" s="8">
        <v>2.4593750000000001E-2</v>
      </c>
    </row>
    <row r="694" spans="1:1" x14ac:dyDescent="0.25">
      <c r="A694" s="8">
        <v>1.8078125E-2</v>
      </c>
    </row>
    <row r="695" spans="1:1" x14ac:dyDescent="0.25">
      <c r="A695" s="8">
        <v>1.8765625000000001E-2</v>
      </c>
    </row>
    <row r="696" spans="1:1" x14ac:dyDescent="0.25">
      <c r="A696" s="8">
        <v>6.8125E-3</v>
      </c>
    </row>
    <row r="697" spans="1:1" x14ac:dyDescent="0.25">
      <c r="A697" s="8">
        <v>2.0890624999999999E-2</v>
      </c>
    </row>
    <row r="698" spans="1:1" x14ac:dyDescent="0.25">
      <c r="A698" s="8">
        <v>1.5625E-2</v>
      </c>
    </row>
    <row r="699" spans="1:1" x14ac:dyDescent="0.25">
      <c r="A699" s="8">
        <v>9.0578124999999995E-2</v>
      </c>
    </row>
    <row r="700" spans="1:1" x14ac:dyDescent="0.25">
      <c r="A700" s="8">
        <v>2.2781249999999999E-2</v>
      </c>
    </row>
    <row r="701" spans="1:1" x14ac:dyDescent="0.25">
      <c r="A701" s="8">
        <v>1.4250000000000001E-2</v>
      </c>
    </row>
    <row r="702" spans="1:1" x14ac:dyDescent="0.25">
      <c r="A702" s="8">
        <v>1.4343750000000001E-2</v>
      </c>
    </row>
    <row r="703" spans="1:1" x14ac:dyDescent="0.25">
      <c r="A703" s="8">
        <v>2.2203125000000001E-2</v>
      </c>
    </row>
    <row r="704" spans="1:1" x14ac:dyDescent="0.25">
      <c r="A704" s="8">
        <v>1.5234375E-2</v>
      </c>
    </row>
    <row r="705" spans="1:1" x14ac:dyDescent="0.25">
      <c r="A705" s="8">
        <v>7.4746099999974834E-3</v>
      </c>
    </row>
    <row r="706" spans="1:1" x14ac:dyDescent="0.25">
      <c r="A706" s="8">
        <v>2.3886719000001902E-2</v>
      </c>
    </row>
    <row r="707" spans="1:1" x14ac:dyDescent="0.25">
      <c r="A707" s="8">
        <v>1.9289063000000169E-2</v>
      </c>
    </row>
    <row r="708" spans="1:1" x14ac:dyDescent="0.25">
      <c r="A708" s="8">
        <v>1.6197265999999218E-2</v>
      </c>
    </row>
    <row r="709" spans="1:1" x14ac:dyDescent="0.25">
      <c r="A709" s="8">
        <v>2.816406199999983E-2</v>
      </c>
    </row>
    <row r="710" spans="1:1" x14ac:dyDescent="0.25">
      <c r="A710" s="8">
        <v>1.4816406999998435E-2</v>
      </c>
    </row>
    <row r="711" spans="1:1" x14ac:dyDescent="0.25">
      <c r="A711" s="8">
        <v>1.5576172000000952E-2</v>
      </c>
    </row>
    <row r="712" spans="1:1" x14ac:dyDescent="0.25">
      <c r="A712" s="8">
        <v>1.8990234000000782E-2</v>
      </c>
    </row>
    <row r="713" spans="1:1" x14ac:dyDescent="0.25">
      <c r="A713" s="8">
        <v>9.3652340000007824E-3</v>
      </c>
    </row>
    <row r="714" spans="1:1" x14ac:dyDescent="0.25">
      <c r="A714" s="8">
        <v>1.2898436999996193E-2</v>
      </c>
    </row>
    <row r="715" spans="1:1" x14ac:dyDescent="0.25">
      <c r="A715" s="8">
        <v>1.0640625000000001E-2</v>
      </c>
    </row>
    <row r="716" spans="1:1" x14ac:dyDescent="0.25">
      <c r="A716" s="8">
        <v>1.5796874999999998E-2</v>
      </c>
    </row>
    <row r="717" spans="1:1" x14ac:dyDescent="0.25">
      <c r="A717" s="8">
        <v>5.7863280999998094E-2</v>
      </c>
    </row>
    <row r="718" spans="1:1" x14ac:dyDescent="0.25">
      <c r="A718" s="8">
        <v>1.3277343999994628E-2</v>
      </c>
    </row>
    <row r="719" spans="1:1" x14ac:dyDescent="0.25">
      <c r="A719" s="8">
        <v>2.5847656999998435E-2</v>
      </c>
    </row>
    <row r="720" spans="1:1" x14ac:dyDescent="0.25">
      <c r="A720" s="8">
        <v>1.3289063000003808E-2</v>
      </c>
    </row>
    <row r="721" spans="1:1" x14ac:dyDescent="0.25">
      <c r="A721" s="8">
        <v>1.9523437000003467E-2</v>
      </c>
    </row>
    <row r="722" spans="1:1" x14ac:dyDescent="0.25">
      <c r="A722" s="8">
        <v>1.41875E-2</v>
      </c>
    </row>
    <row r="723" spans="1:1" x14ac:dyDescent="0.25">
      <c r="A723" s="8">
        <v>2.0343750000000001E-2</v>
      </c>
    </row>
    <row r="724" spans="1:1" x14ac:dyDescent="0.25">
      <c r="A724" s="8">
        <v>9.0499999999999997E-2</v>
      </c>
    </row>
    <row r="725" spans="1:1" x14ac:dyDescent="0.25">
      <c r="A725" s="8">
        <v>1.4390625000000001E-2</v>
      </c>
    </row>
    <row r="726" spans="1:1" x14ac:dyDescent="0.25">
      <c r="A726" s="8">
        <v>1.3390625E-2</v>
      </c>
    </row>
    <row r="727" spans="1:1" x14ac:dyDescent="0.25">
      <c r="A727" s="8">
        <v>1.5414063000003806E-2</v>
      </c>
    </row>
    <row r="728" spans="1:1" x14ac:dyDescent="0.25">
      <c r="A728" s="8">
        <v>1.0804686999996193E-2</v>
      </c>
    </row>
    <row r="729" spans="1:1" x14ac:dyDescent="0.25">
      <c r="A729" s="8">
        <v>1.0859374999999999E-2</v>
      </c>
    </row>
    <row r="730" spans="1:1" x14ac:dyDescent="0.25">
      <c r="A730" s="8">
        <v>1.4335936999996192E-2</v>
      </c>
    </row>
    <row r="731" spans="1:1" x14ac:dyDescent="0.25">
      <c r="A731" s="8">
        <v>2.3945311999996194E-2</v>
      </c>
    </row>
    <row r="732" spans="1:1" x14ac:dyDescent="0.25">
      <c r="A732" s="8">
        <v>2.5031250000000001E-2</v>
      </c>
    </row>
    <row r="733" spans="1:1" x14ac:dyDescent="0.25">
      <c r="A733" s="8">
        <v>7.4921869999961931E-3</v>
      </c>
    </row>
    <row r="734" spans="1:1" x14ac:dyDescent="0.25">
      <c r="A734" s="8">
        <v>1.2757811999996193E-2</v>
      </c>
    </row>
    <row r="735" spans="1:1" x14ac:dyDescent="0.25">
      <c r="A735" s="8">
        <v>2.3625E-2</v>
      </c>
    </row>
    <row r="736" spans="1:1" x14ac:dyDescent="0.25">
      <c r="A736" s="8">
        <v>1.3140625E-2</v>
      </c>
    </row>
    <row r="737" spans="1:1" x14ac:dyDescent="0.25">
      <c r="A737" s="8">
        <v>7.2031250000000003E-3</v>
      </c>
    </row>
    <row r="738" spans="1:1" x14ac:dyDescent="0.25">
      <c r="A738" s="8">
        <v>7.6093749999999998E-3</v>
      </c>
    </row>
    <row r="739" spans="1:1" x14ac:dyDescent="0.25">
      <c r="A739" s="8">
        <v>7.2265619999961929E-3</v>
      </c>
    </row>
    <row r="740" spans="1:1" x14ac:dyDescent="0.25">
      <c r="A740" s="8">
        <v>2.4484374999999999E-2</v>
      </c>
    </row>
    <row r="741" spans="1:1" x14ac:dyDescent="0.25">
      <c r="A741" s="8">
        <v>1.7656249999999998E-2</v>
      </c>
    </row>
    <row r="742" spans="1:1" x14ac:dyDescent="0.25">
      <c r="A742" s="8">
        <v>1.9289061999996193E-2</v>
      </c>
    </row>
    <row r="743" spans="1:1" x14ac:dyDescent="0.25">
      <c r="A743" s="8">
        <v>1.2203125E-2</v>
      </c>
    </row>
    <row r="744" spans="1:1" x14ac:dyDescent="0.25">
      <c r="A744" s="8">
        <v>1.3203125E-2</v>
      </c>
    </row>
    <row r="745" spans="1:1" x14ac:dyDescent="0.25">
      <c r="A745" s="8">
        <v>2.75E-2</v>
      </c>
    </row>
    <row r="746" spans="1:1" x14ac:dyDescent="0.25">
      <c r="A746" s="8">
        <v>1.6531250000000001E-2</v>
      </c>
    </row>
    <row r="747" spans="1:1" x14ac:dyDescent="0.25">
      <c r="A747" s="8">
        <v>1.171875E-2</v>
      </c>
    </row>
    <row r="748" spans="1:1" x14ac:dyDescent="0.25">
      <c r="A748" s="8">
        <v>1.959375E-2</v>
      </c>
    </row>
    <row r="749" spans="1:1" x14ac:dyDescent="0.25">
      <c r="A749" s="8">
        <v>1.203125E-2</v>
      </c>
    </row>
    <row r="750" spans="1:1" x14ac:dyDescent="0.25">
      <c r="A750" s="8">
        <v>7.4218749999999997E-3</v>
      </c>
    </row>
    <row r="751" spans="1:1" x14ac:dyDescent="0.25">
      <c r="A751" s="8">
        <v>1.38125E-2</v>
      </c>
    </row>
    <row r="752" spans="1:1" x14ac:dyDescent="0.25">
      <c r="A752" s="8">
        <v>7.3906249999999996E-3</v>
      </c>
    </row>
    <row r="753" spans="1:1" x14ac:dyDescent="0.25">
      <c r="A753" s="8">
        <v>1.584375E-2</v>
      </c>
    </row>
    <row r="754" spans="1:1" x14ac:dyDescent="0.25">
      <c r="A754" s="8">
        <v>6.796875E-3</v>
      </c>
    </row>
    <row r="755" spans="1:1" x14ac:dyDescent="0.25">
      <c r="A755" s="8">
        <v>8.7187500000000008E-3</v>
      </c>
    </row>
    <row r="756" spans="1:1" x14ac:dyDescent="0.25">
      <c r="A756" s="8">
        <v>7.2031250000000003E-3</v>
      </c>
    </row>
    <row r="757" spans="1:1" x14ac:dyDescent="0.25">
      <c r="A757" s="8">
        <v>1.3015624999999999E-2</v>
      </c>
    </row>
    <row r="758" spans="1:1" x14ac:dyDescent="0.25">
      <c r="A758" s="8">
        <v>1.003125E-2</v>
      </c>
    </row>
    <row r="759" spans="1:1" x14ac:dyDescent="0.25">
      <c r="A759" s="8">
        <v>1.2906249999999999E-2</v>
      </c>
    </row>
    <row r="760" spans="1:1" x14ac:dyDescent="0.25">
      <c r="A760" s="8">
        <v>1.6250000000000001E-2</v>
      </c>
    </row>
    <row r="761" spans="1:1" x14ac:dyDescent="0.25">
      <c r="A761" s="8">
        <v>3.1484375000000002E-2</v>
      </c>
    </row>
    <row r="762" spans="1:1" x14ac:dyDescent="0.25">
      <c r="A762" s="8">
        <v>1.6218750000000001E-2</v>
      </c>
    </row>
    <row r="763" spans="1:1" x14ac:dyDescent="0.25">
      <c r="A763" s="8">
        <v>1.3890625E-2</v>
      </c>
    </row>
    <row r="764" spans="1:1" x14ac:dyDescent="0.25">
      <c r="A764" s="8">
        <v>7.3125000000000004E-3</v>
      </c>
    </row>
    <row r="765" spans="1:1" x14ac:dyDescent="0.25">
      <c r="A765" s="8">
        <v>1.55625E-2</v>
      </c>
    </row>
    <row r="766" spans="1:1" x14ac:dyDescent="0.25">
      <c r="A766" s="8">
        <v>2.9718749999999999E-2</v>
      </c>
    </row>
    <row r="767" spans="1:1" x14ac:dyDescent="0.25">
      <c r="A767" s="8">
        <v>3.0845703000002687E-2</v>
      </c>
    </row>
    <row r="768" spans="1:1" x14ac:dyDescent="0.25">
      <c r="A768" s="8">
        <v>2.1248047000000953E-2</v>
      </c>
    </row>
    <row r="769" spans="1:1" x14ac:dyDescent="0.25">
      <c r="A769" s="8">
        <v>1.5189452999999048E-2</v>
      </c>
    </row>
    <row r="770" spans="1:1" x14ac:dyDescent="0.25">
      <c r="A770" s="8">
        <v>1.1695312999996531E-2</v>
      </c>
    </row>
    <row r="771" spans="1:1" x14ac:dyDescent="0.25">
      <c r="A771" s="8">
        <v>1.0902343000001565E-2</v>
      </c>
    </row>
    <row r="772" spans="1:1" x14ac:dyDescent="0.25">
      <c r="A772" s="8">
        <v>1.5773436999996192E-2</v>
      </c>
    </row>
    <row r="773" spans="1:1" x14ac:dyDescent="0.25">
      <c r="A773" s="8">
        <v>8.1484379999965315E-3</v>
      </c>
    </row>
    <row r="774" spans="1:1" x14ac:dyDescent="0.25">
      <c r="A774" s="8">
        <v>1.9769530999998095E-2</v>
      </c>
    </row>
    <row r="775" spans="1:1" x14ac:dyDescent="0.25">
      <c r="A775" s="8">
        <v>1.5589844000001903E-2</v>
      </c>
    </row>
    <row r="776" spans="1:1" x14ac:dyDescent="0.25">
      <c r="A776" s="8">
        <v>1.0863281999998435E-2</v>
      </c>
    </row>
    <row r="777" spans="1:1" x14ac:dyDescent="0.25">
      <c r="A777" s="8">
        <v>2.3203125000000002E-2</v>
      </c>
    </row>
    <row r="778" spans="1:1" x14ac:dyDescent="0.25">
      <c r="A778" s="8">
        <v>4.7242187000003467E-2</v>
      </c>
    </row>
    <row r="779" spans="1:1" x14ac:dyDescent="0.25">
      <c r="A779" s="8">
        <v>7.707031000005372E-3</v>
      </c>
    </row>
    <row r="780" spans="1:1" x14ac:dyDescent="0.25">
      <c r="A780" s="8">
        <v>2.0820313000003806E-2</v>
      </c>
    </row>
    <row r="781" spans="1:1" x14ac:dyDescent="0.25">
      <c r="A781" s="8">
        <v>1.9746093999994628E-2</v>
      </c>
    </row>
    <row r="782" spans="1:1" x14ac:dyDescent="0.25">
      <c r="A782" s="8">
        <v>2.8660156999998434E-2</v>
      </c>
    </row>
    <row r="783" spans="1:1" x14ac:dyDescent="0.25">
      <c r="A783" s="8">
        <v>2.9308593999994626E-2</v>
      </c>
    </row>
    <row r="784" spans="1:1" x14ac:dyDescent="0.25">
      <c r="A784" s="8">
        <v>1.4921874999999999E-2</v>
      </c>
    </row>
    <row r="785" spans="1:1" x14ac:dyDescent="0.25">
      <c r="A785" s="8">
        <v>1.4398437999996532E-2</v>
      </c>
    </row>
    <row r="786" spans="1:1" x14ac:dyDescent="0.25">
      <c r="A786" s="8">
        <v>1.8941406000005372E-2</v>
      </c>
    </row>
    <row r="787" spans="1:1" x14ac:dyDescent="0.25">
      <c r="A787" s="8">
        <v>1.3894531000005372E-2</v>
      </c>
    </row>
    <row r="788" spans="1:1" x14ac:dyDescent="0.25">
      <c r="A788" s="8">
        <v>7.6874999999999999E-3</v>
      </c>
    </row>
    <row r="789" spans="1:1" x14ac:dyDescent="0.25">
      <c r="A789" s="8">
        <v>1.3878905999998097E-2</v>
      </c>
    </row>
    <row r="790" spans="1:1" x14ac:dyDescent="0.25">
      <c r="A790" s="8">
        <v>1.2792969000001904E-2</v>
      </c>
    </row>
    <row r="791" spans="1:1" x14ac:dyDescent="0.25">
      <c r="A791" s="8">
        <v>1.7398437000003469E-2</v>
      </c>
    </row>
    <row r="792" spans="1:1" x14ac:dyDescent="0.25">
      <c r="A792" s="8">
        <v>2.0242188000003807E-2</v>
      </c>
    </row>
    <row r="793" spans="1:1" x14ac:dyDescent="0.25">
      <c r="A793" s="8">
        <v>1.7339844000001905E-2</v>
      </c>
    </row>
    <row r="794" spans="1:1" x14ac:dyDescent="0.25">
      <c r="A794" s="8">
        <v>2.0687500000000001E-2</v>
      </c>
    </row>
    <row r="795" spans="1:1" x14ac:dyDescent="0.25">
      <c r="A795" s="8">
        <v>1.1539061999996193E-2</v>
      </c>
    </row>
    <row r="796" spans="1:1" x14ac:dyDescent="0.25">
      <c r="A796" s="8">
        <v>2.2742188000003806E-2</v>
      </c>
    </row>
    <row r="797" spans="1:1" x14ac:dyDescent="0.25">
      <c r="A797" s="8">
        <v>2.0437500000000001E-2</v>
      </c>
    </row>
    <row r="798" spans="1:1" x14ac:dyDescent="0.25">
      <c r="A798" s="8">
        <v>1.7679688000003808E-2</v>
      </c>
    </row>
    <row r="799" spans="1:1" x14ac:dyDescent="0.25">
      <c r="A799" s="8">
        <v>1.7281250000000001E-2</v>
      </c>
    </row>
    <row r="800" spans="1:1" x14ac:dyDescent="0.25">
      <c r="A800" s="8">
        <v>1.5609375E-2</v>
      </c>
    </row>
    <row r="801" spans="1:1" x14ac:dyDescent="0.25">
      <c r="A801" s="8">
        <v>1.7421875E-2</v>
      </c>
    </row>
    <row r="802" spans="1:1" x14ac:dyDescent="0.25">
      <c r="A802" s="8">
        <v>1.140625E-2</v>
      </c>
    </row>
    <row r="803" spans="1:1" x14ac:dyDescent="0.25">
      <c r="A803" s="8">
        <v>1.6882813000003806E-2</v>
      </c>
    </row>
    <row r="804" spans="1:1" x14ac:dyDescent="0.25">
      <c r="A804" s="8">
        <v>2.7210936999996192E-2</v>
      </c>
    </row>
    <row r="805" spans="1:1" x14ac:dyDescent="0.25">
      <c r="A805" s="8">
        <v>2.0953125E-2</v>
      </c>
    </row>
    <row r="806" spans="1:1" x14ac:dyDescent="0.25">
      <c r="A806" s="8">
        <v>1.1257811999996193E-2</v>
      </c>
    </row>
    <row r="807" spans="1:1" x14ac:dyDescent="0.25">
      <c r="A807" s="8">
        <v>1.7421875E-2</v>
      </c>
    </row>
    <row r="808" spans="1:1" x14ac:dyDescent="0.25">
      <c r="A808" s="8">
        <v>1.4898438000003808E-2</v>
      </c>
    </row>
    <row r="809" spans="1:1" x14ac:dyDescent="0.25">
      <c r="A809" s="8">
        <v>2.003125E-2</v>
      </c>
    </row>
    <row r="810" spans="1:1" x14ac:dyDescent="0.25">
      <c r="A810" s="8">
        <v>1.5359375E-2</v>
      </c>
    </row>
    <row r="811" spans="1:1" x14ac:dyDescent="0.25">
      <c r="A811" s="8">
        <v>2.1171875E-2</v>
      </c>
    </row>
    <row r="812" spans="1:1" x14ac:dyDescent="0.25">
      <c r="A812" s="8">
        <v>1.6843750000000001E-2</v>
      </c>
    </row>
    <row r="813" spans="1:1" x14ac:dyDescent="0.25">
      <c r="A813" s="8">
        <v>1.8304688000003809E-2</v>
      </c>
    </row>
    <row r="814" spans="1:1" x14ac:dyDescent="0.25">
      <c r="A814" s="8">
        <v>1.8601561999996193E-2</v>
      </c>
    </row>
    <row r="815" spans="1:1" x14ac:dyDescent="0.25">
      <c r="A815" s="8">
        <v>1.184375E-2</v>
      </c>
    </row>
    <row r="816" spans="1:1" x14ac:dyDescent="0.25">
      <c r="A816" s="8">
        <v>2.2039063000003807E-2</v>
      </c>
    </row>
    <row r="817" spans="1:1" x14ac:dyDescent="0.25">
      <c r="A817" s="8">
        <v>9.4218750000000004E-2</v>
      </c>
    </row>
    <row r="818" spans="1:1" x14ac:dyDescent="0.25">
      <c r="A818" s="8">
        <v>5.5976561999996191E-2</v>
      </c>
    </row>
    <row r="819" spans="1:1" x14ac:dyDescent="0.25">
      <c r="A819" s="8">
        <v>1.8781249999999999E-2</v>
      </c>
    </row>
    <row r="820" spans="1:1" x14ac:dyDescent="0.25">
      <c r="A820" s="8">
        <v>8.7656250000000008E-3</v>
      </c>
    </row>
    <row r="821" spans="1:1" x14ac:dyDescent="0.25">
      <c r="A821" s="8">
        <v>1.6664061999996194E-2</v>
      </c>
    </row>
    <row r="822" spans="1:1" x14ac:dyDescent="0.25">
      <c r="A822" s="8">
        <v>2.29375E-2</v>
      </c>
    </row>
    <row r="823" spans="1:1" x14ac:dyDescent="0.25">
      <c r="A823" s="8">
        <v>2.3078125000000001E-2</v>
      </c>
    </row>
    <row r="824" spans="1:1" x14ac:dyDescent="0.25">
      <c r="A824" s="8">
        <v>9.5312499999999998E-3</v>
      </c>
    </row>
    <row r="825" spans="1:1" x14ac:dyDescent="0.25">
      <c r="A825" s="8">
        <v>1.9828124999999999E-2</v>
      </c>
    </row>
    <row r="826" spans="1:1" x14ac:dyDescent="0.25">
      <c r="A826" s="8">
        <v>1.7218750000000001E-2</v>
      </c>
    </row>
    <row r="827" spans="1:1" x14ac:dyDescent="0.25">
      <c r="A827" s="8">
        <v>1.1234375E-2</v>
      </c>
    </row>
    <row r="828" spans="1:1" x14ac:dyDescent="0.25">
      <c r="A828" s="8">
        <v>1.4E-2</v>
      </c>
    </row>
    <row r="829" spans="1:1" x14ac:dyDescent="0.25">
      <c r="A829" s="8">
        <v>8.7656250000000008E-3</v>
      </c>
    </row>
    <row r="830" spans="1:1" x14ac:dyDescent="0.25">
      <c r="A830" s="8">
        <v>1.0500000000000001E-2</v>
      </c>
    </row>
    <row r="831" spans="1:1" x14ac:dyDescent="0.25">
      <c r="A831" s="8">
        <v>2.3234375000000002E-2</v>
      </c>
    </row>
    <row r="832" spans="1:1" x14ac:dyDescent="0.25">
      <c r="A832" s="8">
        <v>2.303125E-2</v>
      </c>
    </row>
    <row r="833" spans="1:1" x14ac:dyDescent="0.25">
      <c r="A833" s="8">
        <v>2.1109375E-2</v>
      </c>
    </row>
    <row r="834" spans="1:1" x14ac:dyDescent="0.25">
      <c r="A834" s="8">
        <v>7.8125E-3</v>
      </c>
    </row>
    <row r="835" spans="1:1" x14ac:dyDescent="0.25">
      <c r="A835" s="8">
        <v>1.228125E-2</v>
      </c>
    </row>
    <row r="836" spans="1:1" x14ac:dyDescent="0.25">
      <c r="A836" s="8">
        <v>1.4656249999999999E-2</v>
      </c>
    </row>
    <row r="837" spans="1:1" x14ac:dyDescent="0.25">
      <c r="A837" s="8">
        <v>2.3484374999999998E-2</v>
      </c>
    </row>
    <row r="838" spans="1:1" x14ac:dyDescent="0.25">
      <c r="A838" s="8">
        <v>1.13125E-2</v>
      </c>
    </row>
    <row r="839" spans="1:1" x14ac:dyDescent="0.25">
      <c r="A839" s="8">
        <v>2.70625E-2</v>
      </c>
    </row>
    <row r="840" spans="1:1" x14ac:dyDescent="0.25">
      <c r="A840" s="8">
        <v>2.4671874999999999E-2</v>
      </c>
    </row>
    <row r="841" spans="1:1" x14ac:dyDescent="0.25">
      <c r="A841" s="8">
        <v>0.12160937500000001</v>
      </c>
    </row>
    <row r="842" spans="1:1" x14ac:dyDescent="0.25">
      <c r="A842" s="8">
        <v>2.2624999999999999E-2</v>
      </c>
    </row>
    <row r="843" spans="1:1" x14ac:dyDescent="0.25">
      <c r="A843" s="8">
        <v>1.4484375000000001E-2</v>
      </c>
    </row>
    <row r="844" spans="1:1" x14ac:dyDescent="0.25">
      <c r="A844" s="8">
        <v>1.0640625000000001E-2</v>
      </c>
    </row>
    <row r="845" spans="1:1" x14ac:dyDescent="0.25">
      <c r="A845" s="8">
        <v>1.7859375E-2</v>
      </c>
    </row>
    <row r="846" spans="1:1" x14ac:dyDescent="0.25">
      <c r="A846" s="8">
        <v>2.784375E-2</v>
      </c>
    </row>
    <row r="847" spans="1:1" x14ac:dyDescent="0.25">
      <c r="A847" s="8">
        <v>1.1431640000002517E-2</v>
      </c>
    </row>
    <row r="848" spans="1:1" x14ac:dyDescent="0.25">
      <c r="A848" s="8">
        <v>1.7101561999999831E-2</v>
      </c>
    </row>
    <row r="849" spans="1:1" x14ac:dyDescent="0.25">
      <c r="A849" s="8">
        <v>1.2468750000000001E-2</v>
      </c>
    </row>
    <row r="850" spans="1:1" x14ac:dyDescent="0.25">
      <c r="A850" s="8">
        <v>1.1203125E-2</v>
      </c>
    </row>
    <row r="851" spans="1:1" x14ac:dyDescent="0.25">
      <c r="A851" s="8">
        <v>1.4265625000000001E-2</v>
      </c>
    </row>
    <row r="852" spans="1:1" x14ac:dyDescent="0.25">
      <c r="A852" s="8">
        <v>9.0664059999980961E-3</v>
      </c>
    </row>
    <row r="853" spans="1:1" x14ac:dyDescent="0.25">
      <c r="A853" s="8">
        <v>1.1910155999998097E-2</v>
      </c>
    </row>
    <row r="854" spans="1:1" x14ac:dyDescent="0.25">
      <c r="A854" s="8">
        <v>1.20625E-2</v>
      </c>
    </row>
    <row r="855" spans="1:1" x14ac:dyDescent="0.25">
      <c r="A855" s="8">
        <v>1.0679686999996192E-2</v>
      </c>
    </row>
    <row r="856" spans="1:1" x14ac:dyDescent="0.25">
      <c r="A856" s="8">
        <v>1.3847655999998097E-2</v>
      </c>
    </row>
    <row r="857" spans="1:1" x14ac:dyDescent="0.25">
      <c r="A857" s="8">
        <v>2.0335937999996532E-2</v>
      </c>
    </row>
    <row r="858" spans="1:1" x14ac:dyDescent="0.25">
      <c r="A858" s="8">
        <v>1.1351562999996531E-2</v>
      </c>
    </row>
    <row r="859" spans="1:1" x14ac:dyDescent="0.25">
      <c r="A859" s="8">
        <v>2.0250000000000001E-2</v>
      </c>
    </row>
    <row r="860" spans="1:1" x14ac:dyDescent="0.25">
      <c r="A860" s="8">
        <v>1.3800780999998097E-2</v>
      </c>
    </row>
    <row r="861" spans="1:1" x14ac:dyDescent="0.25">
      <c r="A861" s="8">
        <v>3.1195311999996193E-2</v>
      </c>
    </row>
    <row r="862" spans="1:1" x14ac:dyDescent="0.25">
      <c r="A862" s="8">
        <v>1.0863281000005373E-2</v>
      </c>
    </row>
    <row r="863" spans="1:1" x14ac:dyDescent="0.25">
      <c r="A863" s="8">
        <v>1.4566405999998096E-2</v>
      </c>
    </row>
    <row r="864" spans="1:1" x14ac:dyDescent="0.25">
      <c r="A864" s="8">
        <v>1.3894531999998435E-2</v>
      </c>
    </row>
    <row r="865" spans="1:1" x14ac:dyDescent="0.25">
      <c r="A865" s="8">
        <v>3.0929688000003806E-2</v>
      </c>
    </row>
    <row r="866" spans="1:1" x14ac:dyDescent="0.25">
      <c r="A866" s="8">
        <v>1.716406200000347E-2</v>
      </c>
    </row>
    <row r="867" spans="1:1" x14ac:dyDescent="0.25">
      <c r="A867" s="8">
        <v>1.3890625E-2</v>
      </c>
    </row>
    <row r="868" spans="1:1" x14ac:dyDescent="0.25">
      <c r="A868" s="8">
        <v>1.7664061999996192E-2</v>
      </c>
    </row>
    <row r="869" spans="1:1" x14ac:dyDescent="0.25">
      <c r="A869" s="8">
        <v>1.2390625000000001E-2</v>
      </c>
    </row>
    <row r="870" spans="1:1" x14ac:dyDescent="0.25">
      <c r="A870" s="8">
        <v>8.6328119999961924E-3</v>
      </c>
    </row>
    <row r="871" spans="1:1" x14ac:dyDescent="0.25">
      <c r="A871" s="8">
        <v>1.1507813000003806E-2</v>
      </c>
    </row>
    <row r="872" spans="1:1" x14ac:dyDescent="0.25">
      <c r="A872" s="8">
        <v>1.0816406999998435E-2</v>
      </c>
    </row>
    <row r="873" spans="1:1" x14ac:dyDescent="0.25">
      <c r="A873" s="8">
        <v>2.1250000000000002E-2</v>
      </c>
    </row>
    <row r="874" spans="1:1" x14ac:dyDescent="0.25">
      <c r="A874" s="8">
        <v>1.7292968000001564E-2</v>
      </c>
    </row>
    <row r="875" spans="1:1" x14ac:dyDescent="0.25">
      <c r="A875" s="8">
        <v>2.1585938000003808E-2</v>
      </c>
    </row>
    <row r="876" spans="1:1" x14ac:dyDescent="0.25">
      <c r="A876" s="8">
        <v>1.7140625E-2</v>
      </c>
    </row>
    <row r="877" spans="1:1" x14ac:dyDescent="0.25">
      <c r="A877" s="8">
        <v>1.8382811999996192E-2</v>
      </c>
    </row>
    <row r="878" spans="1:1" x14ac:dyDescent="0.25">
      <c r="A878" s="8">
        <v>1.1421875E-2</v>
      </c>
    </row>
    <row r="879" spans="1:1" x14ac:dyDescent="0.25">
      <c r="A879" s="8">
        <v>1.7179686999996193E-2</v>
      </c>
    </row>
    <row r="880" spans="1:1" x14ac:dyDescent="0.25">
      <c r="A880" s="8">
        <v>1.1046874999999999E-2</v>
      </c>
    </row>
    <row r="881" spans="1:1" x14ac:dyDescent="0.25">
      <c r="A881" s="8">
        <v>1.5398438000003806E-2</v>
      </c>
    </row>
    <row r="882" spans="1:1" x14ac:dyDescent="0.25">
      <c r="A882" s="8">
        <v>1.1234375E-2</v>
      </c>
    </row>
    <row r="883" spans="1:1" x14ac:dyDescent="0.25">
      <c r="A883" s="8">
        <v>4.0312500000000001E-2</v>
      </c>
    </row>
    <row r="884" spans="1:1" x14ac:dyDescent="0.25">
      <c r="A884" s="8">
        <v>1.9585938000003807E-2</v>
      </c>
    </row>
    <row r="885" spans="1:1" x14ac:dyDescent="0.25">
      <c r="A885" s="8">
        <v>2.3484374999999998E-2</v>
      </c>
    </row>
    <row r="886" spans="1:1" x14ac:dyDescent="0.25">
      <c r="A886" s="8">
        <v>2.5765625E-2</v>
      </c>
    </row>
    <row r="887" spans="1:1" x14ac:dyDescent="0.25">
      <c r="A887" s="8">
        <v>2.33125E-2</v>
      </c>
    </row>
    <row r="888" spans="1:1" x14ac:dyDescent="0.25">
      <c r="A888" s="8">
        <v>2.3515624999999998E-2</v>
      </c>
    </row>
    <row r="889" spans="1:1" x14ac:dyDescent="0.25">
      <c r="A889" s="8">
        <v>8.7187500000000008E-3</v>
      </c>
    </row>
    <row r="890" spans="1:1" x14ac:dyDescent="0.25">
      <c r="A890" s="8">
        <v>1.3210938000003808E-2</v>
      </c>
    </row>
    <row r="891" spans="1:1" x14ac:dyDescent="0.25">
      <c r="A891" s="8">
        <v>7.6562499999999999E-3</v>
      </c>
    </row>
    <row r="892" spans="1:1" x14ac:dyDescent="0.25">
      <c r="A892" s="8">
        <v>2.1937499999999999E-2</v>
      </c>
    </row>
    <row r="893" spans="1:1" x14ac:dyDescent="0.25">
      <c r="A893" s="8">
        <v>1.5875E-2</v>
      </c>
    </row>
    <row r="894" spans="1:1" x14ac:dyDescent="0.25">
      <c r="A894" s="8">
        <v>1.7234375E-2</v>
      </c>
    </row>
    <row r="895" spans="1:1" x14ac:dyDescent="0.25">
      <c r="A895" s="8">
        <v>2.3E-2</v>
      </c>
    </row>
    <row r="896" spans="1:1" x14ac:dyDescent="0.25">
      <c r="A896" s="8">
        <v>1.1179686999996193E-2</v>
      </c>
    </row>
    <row r="897" spans="1:1" x14ac:dyDescent="0.25">
      <c r="A897" s="8">
        <v>1.6929688000003808E-2</v>
      </c>
    </row>
    <row r="898" spans="1:1" x14ac:dyDescent="0.25">
      <c r="A898" s="8">
        <v>2.5804688000003809E-2</v>
      </c>
    </row>
    <row r="899" spans="1:1" x14ac:dyDescent="0.25">
      <c r="A899" s="8">
        <v>1.7132813000003806E-2</v>
      </c>
    </row>
    <row r="900" spans="1:1" x14ac:dyDescent="0.25">
      <c r="A900" s="8">
        <v>2.5851563000003807E-2</v>
      </c>
    </row>
    <row r="901" spans="1:1" x14ac:dyDescent="0.25">
      <c r="A901" s="8">
        <v>2.0273436999996192E-2</v>
      </c>
    </row>
    <row r="902" spans="1:1" x14ac:dyDescent="0.25">
      <c r="A902" s="8">
        <v>8.8281249999999992E-3</v>
      </c>
    </row>
    <row r="903" spans="1:1" x14ac:dyDescent="0.25">
      <c r="A903" s="8">
        <v>7.859375E-3</v>
      </c>
    </row>
    <row r="904" spans="1:1" x14ac:dyDescent="0.25">
      <c r="A904" s="8">
        <v>1.8312499999999999E-2</v>
      </c>
    </row>
    <row r="905" spans="1:1" x14ac:dyDescent="0.25">
      <c r="A905" s="8">
        <v>1.3453125E-2</v>
      </c>
    </row>
    <row r="906" spans="1:1" x14ac:dyDescent="0.25">
      <c r="A906" s="8">
        <v>2.1375000000000002E-2</v>
      </c>
    </row>
    <row r="907" spans="1:1" x14ac:dyDescent="0.25">
      <c r="A907" s="8">
        <v>2.4203124999999999E-2</v>
      </c>
    </row>
    <row r="908" spans="1:1" x14ac:dyDescent="0.25">
      <c r="A908" s="8">
        <v>1.2609375000000001E-2</v>
      </c>
    </row>
    <row r="909" spans="1:1" x14ac:dyDescent="0.25">
      <c r="A909" s="8">
        <v>1.7515625E-2</v>
      </c>
    </row>
    <row r="910" spans="1:1" x14ac:dyDescent="0.25">
      <c r="A910" s="8">
        <v>1.1546875E-2</v>
      </c>
    </row>
    <row r="911" spans="1:1" x14ac:dyDescent="0.25">
      <c r="A911" s="8">
        <v>1.0968749999999999E-2</v>
      </c>
    </row>
    <row r="912" spans="1:1" x14ac:dyDescent="0.25">
      <c r="A912" s="8">
        <v>7.6718749999999999E-3</v>
      </c>
    </row>
    <row r="913" spans="1:1" x14ac:dyDescent="0.25">
      <c r="A913" s="8">
        <v>1.3078124999999999E-2</v>
      </c>
    </row>
    <row r="914" spans="1:1" x14ac:dyDescent="0.25">
      <c r="A914" s="8">
        <v>2.4968750000000001E-2</v>
      </c>
    </row>
    <row r="915" spans="1:1" x14ac:dyDescent="0.25">
      <c r="A915" s="8">
        <v>2.30625E-2</v>
      </c>
    </row>
    <row r="916" spans="1:1" x14ac:dyDescent="0.25">
      <c r="A916" s="8">
        <v>1.0531250000000001E-2</v>
      </c>
    </row>
    <row r="917" spans="1:1" x14ac:dyDescent="0.25">
      <c r="A917" s="8">
        <v>2.3046875000000001E-2</v>
      </c>
    </row>
    <row r="918" spans="1:1" x14ac:dyDescent="0.25">
      <c r="A918" s="8">
        <v>1.4718749999999999E-2</v>
      </c>
    </row>
    <row r="919" spans="1:1" x14ac:dyDescent="0.25">
      <c r="A919" s="8">
        <v>1.6876952999999049E-2</v>
      </c>
    </row>
    <row r="920" spans="1:1" x14ac:dyDescent="0.25">
      <c r="A920" s="8">
        <v>2.0857422000000951E-2</v>
      </c>
    </row>
    <row r="921" spans="1:1" x14ac:dyDescent="0.25">
      <c r="A921" s="8">
        <v>1.1605468999998265E-2</v>
      </c>
    </row>
    <row r="922" spans="1:1" x14ac:dyDescent="0.25">
      <c r="A922" s="8">
        <v>4.1322265000002516E-2</v>
      </c>
    </row>
    <row r="923" spans="1:1" x14ac:dyDescent="0.25">
      <c r="A923" s="8">
        <v>2.0902343000001565E-2</v>
      </c>
    </row>
    <row r="924" spans="1:1" x14ac:dyDescent="0.25">
      <c r="A924" s="8">
        <v>1.1695312999996531E-2</v>
      </c>
    </row>
    <row r="925" spans="1:1" x14ac:dyDescent="0.25">
      <c r="A925" s="8">
        <v>1.7070311999996191E-2</v>
      </c>
    </row>
    <row r="926" spans="1:1" x14ac:dyDescent="0.25">
      <c r="A926" s="8">
        <v>7.0781250000000002E-3</v>
      </c>
    </row>
    <row r="927" spans="1:1" x14ac:dyDescent="0.25">
      <c r="A927" s="8">
        <v>2.2289063000003807E-2</v>
      </c>
    </row>
    <row r="928" spans="1:1" x14ac:dyDescent="0.25">
      <c r="A928" s="8">
        <v>7.8671869999961935E-3</v>
      </c>
    </row>
    <row r="929" spans="1:1" x14ac:dyDescent="0.25">
      <c r="A929" s="8">
        <v>2.6972655999998096E-2</v>
      </c>
    </row>
    <row r="930" spans="1:1" x14ac:dyDescent="0.25">
      <c r="A930" s="8">
        <v>7.765625E-3</v>
      </c>
    </row>
    <row r="931" spans="1:1" x14ac:dyDescent="0.25">
      <c r="A931" s="8">
        <v>1.4644531999998435E-2</v>
      </c>
    </row>
    <row r="932" spans="1:1" x14ac:dyDescent="0.25">
      <c r="A932" s="8">
        <v>1.7230468000001564E-2</v>
      </c>
    </row>
    <row r="933" spans="1:1" x14ac:dyDescent="0.25">
      <c r="A933" s="8">
        <v>1.1191405999998096E-2</v>
      </c>
    </row>
    <row r="934" spans="1:1" x14ac:dyDescent="0.25">
      <c r="A934" s="8">
        <v>1.1574218999994628E-2</v>
      </c>
    </row>
    <row r="935" spans="1:1" x14ac:dyDescent="0.25">
      <c r="A935" s="8">
        <v>2.2601562000003468E-2</v>
      </c>
    </row>
    <row r="936" spans="1:1" x14ac:dyDescent="0.25">
      <c r="A936" s="8">
        <v>1.9089844000001903E-2</v>
      </c>
    </row>
    <row r="937" spans="1:1" x14ac:dyDescent="0.25">
      <c r="A937" s="8">
        <v>1.4839844000001904E-2</v>
      </c>
    </row>
    <row r="938" spans="1:1" x14ac:dyDescent="0.25">
      <c r="A938" s="8">
        <v>2.0757812999996531E-2</v>
      </c>
    </row>
    <row r="939" spans="1:1" x14ac:dyDescent="0.25">
      <c r="A939" s="8">
        <v>4.8066405999998098E-2</v>
      </c>
    </row>
    <row r="940" spans="1:1" x14ac:dyDescent="0.25">
      <c r="A940" s="8">
        <v>1.3742187999996531E-2</v>
      </c>
    </row>
    <row r="941" spans="1:1" x14ac:dyDescent="0.25">
      <c r="A941" s="8">
        <v>1.2171875E-2</v>
      </c>
    </row>
    <row r="942" spans="1:1" x14ac:dyDescent="0.25">
      <c r="A942" s="8">
        <v>2.2558594000001903E-2</v>
      </c>
    </row>
    <row r="943" spans="1:1" x14ac:dyDescent="0.25">
      <c r="A943" s="8">
        <v>1.3761718000001566E-2</v>
      </c>
    </row>
    <row r="944" spans="1:1" x14ac:dyDescent="0.25">
      <c r="A944" s="8">
        <v>1.7574219000001903E-2</v>
      </c>
    </row>
    <row r="945" spans="1:1" x14ac:dyDescent="0.25">
      <c r="A945" s="8">
        <v>2.4054688000003807E-2</v>
      </c>
    </row>
    <row r="946" spans="1:1" x14ac:dyDescent="0.25">
      <c r="A946" s="8">
        <v>7.6406249999999998E-3</v>
      </c>
    </row>
    <row r="947" spans="1:1" x14ac:dyDescent="0.25">
      <c r="A947" s="8">
        <v>1.4562500000000001E-2</v>
      </c>
    </row>
    <row r="948" spans="1:1" x14ac:dyDescent="0.25">
      <c r="A948" s="8">
        <v>1.1046874999999999E-2</v>
      </c>
    </row>
    <row r="949" spans="1:1" x14ac:dyDescent="0.25">
      <c r="A949" s="8">
        <v>1.6906250000000001E-2</v>
      </c>
    </row>
    <row r="950" spans="1:1" x14ac:dyDescent="0.25">
      <c r="A950" s="8">
        <v>1.0984374999999999E-2</v>
      </c>
    </row>
    <row r="951" spans="1:1" x14ac:dyDescent="0.25">
      <c r="A951" s="8">
        <v>5.1367188000003811E-2</v>
      </c>
    </row>
    <row r="952" spans="1:1" x14ac:dyDescent="0.25">
      <c r="A952" s="8">
        <v>1.1359375E-2</v>
      </c>
    </row>
    <row r="953" spans="1:1" x14ac:dyDescent="0.25">
      <c r="A953" s="8">
        <v>7.8828130000038066E-3</v>
      </c>
    </row>
    <row r="954" spans="1:1" x14ac:dyDescent="0.25">
      <c r="A954" s="8">
        <v>1.946875E-2</v>
      </c>
    </row>
    <row r="955" spans="1:1" x14ac:dyDescent="0.25">
      <c r="A955" s="8">
        <v>2.0296874999999999E-2</v>
      </c>
    </row>
    <row r="956" spans="1:1" x14ac:dyDescent="0.25">
      <c r="A956" s="8">
        <v>1.7656249999999998E-2</v>
      </c>
    </row>
    <row r="957" spans="1:1" x14ac:dyDescent="0.25">
      <c r="A957" s="8">
        <v>2.6648438000003806E-2</v>
      </c>
    </row>
    <row r="958" spans="1:1" x14ac:dyDescent="0.25">
      <c r="A958" s="8">
        <v>1.4585938000003807E-2</v>
      </c>
    </row>
    <row r="959" spans="1:1" x14ac:dyDescent="0.25">
      <c r="A959" s="8">
        <v>2.3492186999996192E-2</v>
      </c>
    </row>
    <row r="960" spans="1:1" x14ac:dyDescent="0.25">
      <c r="A960" s="8">
        <v>5.2390625000000003E-2</v>
      </c>
    </row>
    <row r="961" spans="1:1" x14ac:dyDescent="0.25">
      <c r="A961" s="8">
        <v>1.8554686999996194E-2</v>
      </c>
    </row>
    <row r="962" spans="1:1" x14ac:dyDescent="0.25">
      <c r="A962" s="8">
        <v>1.1062499999999999E-2</v>
      </c>
    </row>
    <row r="963" spans="1:1" x14ac:dyDescent="0.25">
      <c r="A963" s="8">
        <v>1.98125E-2</v>
      </c>
    </row>
    <row r="964" spans="1:1" x14ac:dyDescent="0.25">
      <c r="A964" s="8">
        <v>1.2179688000003807E-2</v>
      </c>
    </row>
    <row r="965" spans="1:1" x14ac:dyDescent="0.25">
      <c r="A965" s="8">
        <v>7.4765625000000002E-2</v>
      </c>
    </row>
    <row r="966" spans="1:1" x14ac:dyDescent="0.25">
      <c r="A966" s="8">
        <v>2.1726563000003807E-2</v>
      </c>
    </row>
    <row r="967" spans="1:1" x14ac:dyDescent="0.25">
      <c r="A967" s="8">
        <v>2.3382811999996193E-2</v>
      </c>
    </row>
    <row r="968" spans="1:1" x14ac:dyDescent="0.25">
      <c r="A968" s="8">
        <v>2.6406249999999999E-2</v>
      </c>
    </row>
    <row r="969" spans="1:1" x14ac:dyDescent="0.25">
      <c r="A969" s="8">
        <v>1.1492186999996193E-2</v>
      </c>
    </row>
    <row r="970" spans="1:1" x14ac:dyDescent="0.25">
      <c r="A970" s="8">
        <v>1.5429688000003806E-2</v>
      </c>
    </row>
    <row r="971" spans="1:1" x14ac:dyDescent="0.25">
      <c r="A971" s="8">
        <v>7.2890619999961929E-3</v>
      </c>
    </row>
    <row r="972" spans="1:1" x14ac:dyDescent="0.25">
      <c r="A972" s="8">
        <v>2.8406250000000001E-2</v>
      </c>
    </row>
    <row r="973" spans="1:1" x14ac:dyDescent="0.25">
      <c r="A973" s="8">
        <v>1.6203124999999999E-2</v>
      </c>
    </row>
    <row r="974" spans="1:1" x14ac:dyDescent="0.25">
      <c r="A974" s="8">
        <v>1.8796875000000001E-2</v>
      </c>
    </row>
    <row r="975" spans="1:1" x14ac:dyDescent="0.25">
      <c r="A975" s="8">
        <v>1.6343750000000001E-2</v>
      </c>
    </row>
    <row r="976" spans="1:1" x14ac:dyDescent="0.25">
      <c r="A976" s="8">
        <v>7.5781249999999998E-3</v>
      </c>
    </row>
    <row r="977" spans="1:1" x14ac:dyDescent="0.25">
      <c r="A977" s="8">
        <v>2.3484374999999998E-2</v>
      </c>
    </row>
    <row r="978" spans="1:1" x14ac:dyDescent="0.25">
      <c r="A978" s="8">
        <v>1.7640625E-2</v>
      </c>
    </row>
    <row r="979" spans="1:1" x14ac:dyDescent="0.25">
      <c r="A979" s="8">
        <v>7.5781249999999998E-3</v>
      </c>
    </row>
    <row r="980" spans="1:1" x14ac:dyDescent="0.25">
      <c r="A980" s="8">
        <v>1.125E-2</v>
      </c>
    </row>
    <row r="981" spans="1:1" x14ac:dyDescent="0.25">
      <c r="A981" s="8">
        <v>1.925E-2</v>
      </c>
    </row>
    <row r="982" spans="1:1" x14ac:dyDescent="0.25">
      <c r="A982" s="8">
        <v>1.6640624999999999E-2</v>
      </c>
    </row>
    <row r="983" spans="1:1" x14ac:dyDescent="0.25">
      <c r="A983" s="8">
        <v>2.1578125E-2</v>
      </c>
    </row>
    <row r="984" spans="1:1" x14ac:dyDescent="0.25">
      <c r="A984" s="8">
        <v>1.534375E-2</v>
      </c>
    </row>
    <row r="985" spans="1:1" x14ac:dyDescent="0.25">
      <c r="A985" s="8">
        <v>1.365625E-2</v>
      </c>
    </row>
    <row r="986" spans="1:1" x14ac:dyDescent="0.25">
      <c r="A986" s="8">
        <v>1.4171875E-2</v>
      </c>
    </row>
    <row r="987" spans="1:1" x14ac:dyDescent="0.25">
      <c r="A987" s="8">
        <v>2.2296875000000001E-2</v>
      </c>
    </row>
    <row r="988" spans="1:1" x14ac:dyDescent="0.25">
      <c r="A988" s="8">
        <v>2.365625E-2</v>
      </c>
    </row>
    <row r="989" spans="1:1" x14ac:dyDescent="0.25">
      <c r="A989" s="8">
        <v>1.1890625E-2</v>
      </c>
    </row>
    <row r="990" spans="1:1" x14ac:dyDescent="0.25">
      <c r="A990" s="8">
        <v>2.4500000000000001E-2</v>
      </c>
    </row>
    <row r="991" spans="1:1" x14ac:dyDescent="0.25">
      <c r="A991" s="8">
        <v>2.4234374999999999E-2</v>
      </c>
    </row>
    <row r="992" spans="1:1" x14ac:dyDescent="0.25">
      <c r="A992" s="8">
        <v>2.4806639999998877E-2</v>
      </c>
    </row>
    <row r="993" spans="1:1" x14ac:dyDescent="0.25">
      <c r="A993" s="8">
        <v>1.4574218999998266E-2</v>
      </c>
    </row>
    <row r="994" spans="1:1" x14ac:dyDescent="0.25">
      <c r="A994" s="8">
        <v>1.3292968000001565E-2</v>
      </c>
    </row>
    <row r="995" spans="1:1" x14ac:dyDescent="0.25">
      <c r="A995" s="8">
        <v>1.3675781000001734E-2</v>
      </c>
    </row>
    <row r="996" spans="1:1" x14ac:dyDescent="0.25">
      <c r="A996" s="8">
        <v>2.0214844000001904E-2</v>
      </c>
    </row>
    <row r="997" spans="1:1" x14ac:dyDescent="0.25">
      <c r="A997" s="8">
        <v>1.7337890999999217E-2</v>
      </c>
    </row>
    <row r="998" spans="1:1" x14ac:dyDescent="0.25">
      <c r="A998" s="8">
        <v>7.873046000000614E-3</v>
      </c>
    </row>
    <row r="999" spans="1:1" x14ac:dyDescent="0.25">
      <c r="A999" s="8">
        <v>1.0443359000000783E-2</v>
      </c>
    </row>
    <row r="1000" spans="1:1" x14ac:dyDescent="0.25">
      <c r="A1000" s="8">
        <v>7.3828130000038071E-3</v>
      </c>
    </row>
    <row r="1001" spans="1:1" x14ac:dyDescent="0.25">
      <c r="A1001" s="8">
        <v>7.1914060000053725E-3</v>
      </c>
    </row>
    <row r="1002" spans="1:1" x14ac:dyDescent="0.25">
      <c r="A1002" s="8">
        <v>1.9222655999998096E-2</v>
      </c>
    </row>
    <row r="1003" spans="1:1" x14ac:dyDescent="0.25">
      <c r="A1003" s="8">
        <v>1.5449218000001565E-2</v>
      </c>
    </row>
    <row r="1004" spans="1:1" x14ac:dyDescent="0.25">
      <c r="A1004" s="8">
        <v>2.2453125000000001E-2</v>
      </c>
    </row>
    <row r="1005" spans="1:1" x14ac:dyDescent="0.25">
      <c r="A1005" s="8">
        <v>1.4289062000003469E-2</v>
      </c>
    </row>
    <row r="1006" spans="1:1" x14ac:dyDescent="0.25">
      <c r="A1006" s="8">
        <v>1.3054687999996531E-2</v>
      </c>
    </row>
    <row r="1007" spans="1:1" x14ac:dyDescent="0.25">
      <c r="A1007" s="8">
        <v>2.4781250000000001E-2</v>
      </c>
    </row>
    <row r="1008" spans="1:1" x14ac:dyDescent="0.25">
      <c r="A1008" s="8">
        <v>1.5152343999994627E-2</v>
      </c>
    </row>
    <row r="1009" spans="1:1" x14ac:dyDescent="0.25">
      <c r="A1009" s="8">
        <v>1.4226561999996192E-2</v>
      </c>
    </row>
    <row r="1010" spans="1:1" x14ac:dyDescent="0.25">
      <c r="A1010" s="8">
        <v>7.3632819999984349E-3</v>
      </c>
    </row>
    <row r="1011" spans="1:1" x14ac:dyDescent="0.25">
      <c r="A1011" s="8">
        <v>1.3515625E-2</v>
      </c>
    </row>
    <row r="1012" spans="1:1" x14ac:dyDescent="0.25">
      <c r="A1012" s="8">
        <v>1.9289063000003808E-2</v>
      </c>
    </row>
    <row r="1013" spans="1:1" x14ac:dyDescent="0.25">
      <c r="A1013" s="8">
        <v>1.9628906000005372E-2</v>
      </c>
    </row>
    <row r="1014" spans="1:1" x14ac:dyDescent="0.25">
      <c r="A1014" s="8">
        <v>1.8085936999996194E-2</v>
      </c>
    </row>
    <row r="1015" spans="1:1" x14ac:dyDescent="0.25">
      <c r="A1015" s="8">
        <v>1.1421875E-2</v>
      </c>
    </row>
    <row r="1016" spans="1:1" x14ac:dyDescent="0.25">
      <c r="A1016" s="8">
        <v>1.3148436999996193E-2</v>
      </c>
    </row>
    <row r="1017" spans="1:1" x14ac:dyDescent="0.25">
      <c r="A1017" s="8">
        <v>1.0968749999999999E-2</v>
      </c>
    </row>
    <row r="1018" spans="1:1" x14ac:dyDescent="0.25">
      <c r="A1018" s="8">
        <v>1.8613281000005373E-2</v>
      </c>
    </row>
    <row r="1019" spans="1:1" x14ac:dyDescent="0.25">
      <c r="A1019" s="8">
        <v>1.15E-2</v>
      </c>
    </row>
    <row r="1020" spans="1:1" x14ac:dyDescent="0.25">
      <c r="A1020" s="8">
        <v>1.528125E-2</v>
      </c>
    </row>
    <row r="1021" spans="1:1" x14ac:dyDescent="0.25">
      <c r="A1021" s="8">
        <v>4.2500000000000003E-2</v>
      </c>
    </row>
    <row r="1022" spans="1:1" x14ac:dyDescent="0.25">
      <c r="A1022" s="8">
        <v>1.7320313000003806E-2</v>
      </c>
    </row>
    <row r="1023" spans="1:1" x14ac:dyDescent="0.25">
      <c r="A1023" s="8">
        <v>2.709375E-2</v>
      </c>
    </row>
    <row r="1024" spans="1:1" x14ac:dyDescent="0.25">
      <c r="A1024" s="8">
        <v>2.4429686999996193E-2</v>
      </c>
    </row>
    <row r="1025" spans="1:1" x14ac:dyDescent="0.25">
      <c r="A1025" s="8">
        <v>9.9453130000038067E-3</v>
      </c>
    </row>
    <row r="1026" spans="1:1" x14ac:dyDescent="0.25">
      <c r="A1026" s="8">
        <v>7.4218749999999997E-3</v>
      </c>
    </row>
    <row r="1027" spans="1:1" x14ac:dyDescent="0.25">
      <c r="A1027" s="8">
        <v>2.3351563000003808E-2</v>
      </c>
    </row>
    <row r="1028" spans="1:1" x14ac:dyDescent="0.25">
      <c r="A1028" s="8">
        <v>8.6328119999961924E-3</v>
      </c>
    </row>
    <row r="1029" spans="1:1" x14ac:dyDescent="0.25">
      <c r="A1029" s="8">
        <v>1.1445313000003808E-2</v>
      </c>
    </row>
    <row r="1030" spans="1:1" x14ac:dyDescent="0.25">
      <c r="A1030" s="8">
        <v>1.9289061999996193E-2</v>
      </c>
    </row>
    <row r="1031" spans="1:1" x14ac:dyDescent="0.25">
      <c r="A1031" s="8">
        <v>1.0968749999999999E-2</v>
      </c>
    </row>
    <row r="1032" spans="1:1" x14ac:dyDescent="0.25">
      <c r="A1032" s="8">
        <v>1.0687500000000001E-2</v>
      </c>
    </row>
    <row r="1033" spans="1:1" x14ac:dyDescent="0.25">
      <c r="A1033" s="8">
        <v>1.3007813000003808E-2</v>
      </c>
    </row>
    <row r="1034" spans="1:1" x14ac:dyDescent="0.25">
      <c r="A1034" s="8">
        <v>2.003125E-2</v>
      </c>
    </row>
    <row r="1035" spans="1:1" x14ac:dyDescent="0.25">
      <c r="A1035" s="8">
        <v>1.2164061999996192E-2</v>
      </c>
    </row>
    <row r="1036" spans="1:1" x14ac:dyDescent="0.25">
      <c r="A1036" s="8">
        <v>1.328125E-2</v>
      </c>
    </row>
    <row r="1037" spans="1:1" x14ac:dyDescent="0.25">
      <c r="A1037" s="8">
        <v>2.5093750000000001E-2</v>
      </c>
    </row>
    <row r="1038" spans="1:1" x14ac:dyDescent="0.25">
      <c r="A1038" s="8">
        <v>2.7929688000003807E-2</v>
      </c>
    </row>
    <row r="1039" spans="1:1" x14ac:dyDescent="0.25">
      <c r="A1039" s="8">
        <v>1.33125E-2</v>
      </c>
    </row>
    <row r="1040" spans="1:1" x14ac:dyDescent="0.25">
      <c r="A1040" s="8">
        <v>1.3085938000003808E-2</v>
      </c>
    </row>
    <row r="1041" spans="1:1" x14ac:dyDescent="0.25">
      <c r="A1041" s="8">
        <v>2.4648436999996193E-2</v>
      </c>
    </row>
    <row r="1042" spans="1:1" x14ac:dyDescent="0.25">
      <c r="A1042" s="8">
        <v>1.5515625E-2</v>
      </c>
    </row>
    <row r="1043" spans="1:1" x14ac:dyDescent="0.25">
      <c r="A1043" s="8">
        <v>1.0859374999999999E-2</v>
      </c>
    </row>
    <row r="1044" spans="1:1" x14ac:dyDescent="0.25">
      <c r="A1044" s="8">
        <v>7.3437499999999996E-3</v>
      </c>
    </row>
    <row r="1045" spans="1:1" x14ac:dyDescent="0.25">
      <c r="A1045" s="8">
        <v>1.0945313000003808E-2</v>
      </c>
    </row>
    <row r="1046" spans="1:1" x14ac:dyDescent="0.25">
      <c r="A1046" s="8">
        <v>8.2187500000000004E-3</v>
      </c>
    </row>
    <row r="1047" spans="1:1" x14ac:dyDescent="0.25">
      <c r="A1047" s="8">
        <v>1.5242188000003808E-2</v>
      </c>
    </row>
    <row r="1048" spans="1:1" x14ac:dyDescent="0.25">
      <c r="A1048" s="8">
        <v>1.6179686999996192E-2</v>
      </c>
    </row>
    <row r="1049" spans="1:1" x14ac:dyDescent="0.25">
      <c r="A1049" s="8">
        <v>1.6968750000000001E-2</v>
      </c>
    </row>
    <row r="1050" spans="1:1" x14ac:dyDescent="0.25">
      <c r="A1050" s="8">
        <v>9.0164061999996187E-2</v>
      </c>
    </row>
    <row r="1051" spans="1:1" x14ac:dyDescent="0.25">
      <c r="A1051" s="8">
        <v>2.4453124999999999E-2</v>
      </c>
    </row>
    <row r="1052" spans="1:1" x14ac:dyDescent="0.25">
      <c r="A1052" s="8">
        <v>2.7398436999996192E-2</v>
      </c>
    </row>
    <row r="1053" spans="1:1" x14ac:dyDescent="0.25">
      <c r="A1053" s="8">
        <v>2.0265624999999999E-2</v>
      </c>
    </row>
    <row r="1054" spans="1:1" x14ac:dyDescent="0.25">
      <c r="A1054" s="8">
        <v>2.5773436999996194E-2</v>
      </c>
    </row>
    <row r="1055" spans="1:1" x14ac:dyDescent="0.25">
      <c r="A1055" s="8">
        <v>1.375E-2</v>
      </c>
    </row>
    <row r="1056" spans="1:1" x14ac:dyDescent="0.25">
      <c r="A1056" s="8">
        <v>1.909375E-2</v>
      </c>
    </row>
    <row r="1057" spans="1:1" x14ac:dyDescent="0.25">
      <c r="A1057" s="8">
        <v>2.2898438000003806E-2</v>
      </c>
    </row>
    <row r="1058" spans="1:1" x14ac:dyDescent="0.25">
      <c r="A1058" s="8">
        <v>7.796875E-3</v>
      </c>
    </row>
    <row r="1059" spans="1:1" x14ac:dyDescent="0.25">
      <c r="A1059" s="8">
        <v>1.8749999999999999E-2</v>
      </c>
    </row>
    <row r="1060" spans="1:1" x14ac:dyDescent="0.25">
      <c r="A1060" s="8">
        <v>1.7062500000000001E-2</v>
      </c>
    </row>
    <row r="1061" spans="1:1" x14ac:dyDescent="0.25">
      <c r="A1061" s="8">
        <v>1.8218749999999999E-2</v>
      </c>
    </row>
    <row r="1062" spans="1:1" x14ac:dyDescent="0.25">
      <c r="A1062" s="8">
        <v>1.6281250000000001E-2</v>
      </c>
    </row>
    <row r="1063" spans="1:1" x14ac:dyDescent="0.25">
      <c r="A1063" s="8">
        <v>1.1515625E-2</v>
      </c>
    </row>
    <row r="1064" spans="1:1" x14ac:dyDescent="0.25">
      <c r="A1064" s="8">
        <v>1.8718749999999999E-2</v>
      </c>
    </row>
    <row r="1065" spans="1:1" x14ac:dyDescent="0.25">
      <c r="A1065" s="8">
        <v>1.0578125000000001E-2</v>
      </c>
    </row>
    <row r="1066" spans="1:1" x14ac:dyDescent="0.25">
      <c r="A1066" s="8">
        <v>2.0703124999999999E-2</v>
      </c>
    </row>
    <row r="1067" spans="1:1" x14ac:dyDescent="0.25">
      <c r="A1067" s="8">
        <v>4.5109375E-2</v>
      </c>
    </row>
    <row r="1068" spans="1:1" x14ac:dyDescent="0.25">
      <c r="A1068" s="8">
        <v>5.6593749999999998E-2</v>
      </c>
    </row>
    <row r="1069" spans="1:1" x14ac:dyDescent="0.25">
      <c r="A1069" s="8">
        <v>1.8671875000000001E-2</v>
      </c>
    </row>
    <row r="1070" spans="1:1" x14ac:dyDescent="0.25">
      <c r="A1070" s="8">
        <v>1.4421875000000001E-2</v>
      </c>
    </row>
    <row r="1071" spans="1:1" x14ac:dyDescent="0.25">
      <c r="A1071" s="8">
        <v>1.1296875E-2</v>
      </c>
    </row>
    <row r="1072" spans="1:1" x14ac:dyDescent="0.25">
      <c r="A1072" s="8">
        <v>2.4406250000000001E-2</v>
      </c>
    </row>
    <row r="1073" spans="1:1" x14ac:dyDescent="0.25">
      <c r="A1073" s="8">
        <v>1.028125E-2</v>
      </c>
    </row>
    <row r="1074" spans="1:1" x14ac:dyDescent="0.25">
      <c r="A1074" s="8">
        <v>1.6265624999999999E-2</v>
      </c>
    </row>
    <row r="1075" spans="1:1" x14ac:dyDescent="0.25">
      <c r="A1075" s="8">
        <v>1.58125E-2</v>
      </c>
    </row>
    <row r="1076" spans="1:1" x14ac:dyDescent="0.25">
      <c r="A1076" s="8">
        <v>1.2046875E-2</v>
      </c>
    </row>
    <row r="1077" spans="1:1" x14ac:dyDescent="0.25">
      <c r="A1077" s="8">
        <v>1.021875E-2</v>
      </c>
    </row>
    <row r="1078" spans="1:1" x14ac:dyDescent="0.25">
      <c r="A1078" s="8">
        <v>1.18125E-2</v>
      </c>
    </row>
    <row r="1079" spans="1:1" x14ac:dyDescent="0.25">
      <c r="A1079" s="8">
        <v>1.7749999999999998E-2</v>
      </c>
    </row>
    <row r="1080" spans="1:1" x14ac:dyDescent="0.25">
      <c r="A1080" s="8">
        <v>1.2890624999999999E-2</v>
      </c>
    </row>
    <row r="1081" spans="1:1" x14ac:dyDescent="0.25">
      <c r="A1081" s="8">
        <v>2.0494140999999216E-2</v>
      </c>
    </row>
    <row r="1082" spans="1:1" x14ac:dyDescent="0.25">
      <c r="A1082" s="8">
        <v>1.982617200000095E-2</v>
      </c>
    </row>
    <row r="1083" spans="1:1" x14ac:dyDescent="0.25">
      <c r="A1083" s="8">
        <v>1.4107421999997314E-2</v>
      </c>
    </row>
    <row r="1084" spans="1:1" x14ac:dyDescent="0.25">
      <c r="A1084" s="8">
        <v>2.0279296999997313E-2</v>
      </c>
    </row>
    <row r="1085" spans="1:1" x14ac:dyDescent="0.25">
      <c r="A1085" s="8">
        <v>1.2714843000001565E-2</v>
      </c>
    </row>
    <row r="1086" spans="1:1" x14ac:dyDescent="0.25">
      <c r="A1086" s="8">
        <v>1.7630859000000783E-2</v>
      </c>
    </row>
    <row r="1087" spans="1:1" x14ac:dyDescent="0.25">
      <c r="A1087" s="8">
        <v>1.4152344000001904E-2</v>
      </c>
    </row>
    <row r="1088" spans="1:1" x14ac:dyDescent="0.25">
      <c r="A1088" s="8">
        <v>1.7011718999994627E-2</v>
      </c>
    </row>
    <row r="1089" spans="1:1" x14ac:dyDescent="0.25">
      <c r="A1089" s="8">
        <v>2.1070313000003806E-2</v>
      </c>
    </row>
    <row r="1090" spans="1:1" x14ac:dyDescent="0.25">
      <c r="A1090" s="8">
        <v>1.5109375E-2</v>
      </c>
    </row>
    <row r="1091" spans="1:1" x14ac:dyDescent="0.25">
      <c r="A1091" s="8">
        <v>2.1621094000001905E-2</v>
      </c>
    </row>
    <row r="1092" spans="1:1" x14ac:dyDescent="0.25">
      <c r="A1092" s="8">
        <v>1.5609375E-2</v>
      </c>
    </row>
    <row r="1093" spans="1:1" x14ac:dyDescent="0.25">
      <c r="A1093" s="8">
        <v>7.5546870000034686E-3</v>
      </c>
    </row>
    <row r="1094" spans="1:1" x14ac:dyDescent="0.25">
      <c r="A1094" s="8">
        <v>1.4894530999998096E-2</v>
      </c>
    </row>
    <row r="1095" spans="1:1" x14ac:dyDescent="0.25">
      <c r="A1095" s="8">
        <v>2.5554686999996194E-2</v>
      </c>
    </row>
    <row r="1096" spans="1:1" x14ac:dyDescent="0.25">
      <c r="A1096" s="8">
        <v>2.3367187000003467E-2</v>
      </c>
    </row>
    <row r="1097" spans="1:1" x14ac:dyDescent="0.25">
      <c r="A1097" s="8">
        <v>2.4035156999998433E-2</v>
      </c>
    </row>
    <row r="1098" spans="1:1" x14ac:dyDescent="0.25">
      <c r="A1098" s="8">
        <v>1.4999999999999999E-2</v>
      </c>
    </row>
    <row r="1099" spans="1:1" x14ac:dyDescent="0.25">
      <c r="A1099" s="8">
        <v>1.8957031000005373E-2</v>
      </c>
    </row>
    <row r="1100" spans="1:1" x14ac:dyDescent="0.25">
      <c r="A1100" s="8">
        <v>1.9027344000001903E-2</v>
      </c>
    </row>
    <row r="1101" spans="1:1" x14ac:dyDescent="0.25">
      <c r="A1101" s="8">
        <v>8.9843749999999993E-3</v>
      </c>
    </row>
    <row r="1102" spans="1:1" x14ac:dyDescent="0.25">
      <c r="A1102" s="8">
        <v>1.7210938000003808E-2</v>
      </c>
    </row>
    <row r="1103" spans="1:1" x14ac:dyDescent="0.25">
      <c r="A1103" s="8">
        <v>1.8656249999999999E-2</v>
      </c>
    </row>
    <row r="1104" spans="1:1" x14ac:dyDescent="0.25">
      <c r="A1104" s="8">
        <v>1.36875E-2</v>
      </c>
    </row>
    <row r="1105" spans="1:1" x14ac:dyDescent="0.25">
      <c r="A1105" s="8">
        <v>1.8382811999996192E-2</v>
      </c>
    </row>
    <row r="1106" spans="1:1" x14ac:dyDescent="0.25">
      <c r="A1106" s="8">
        <v>2.9320311999996192E-2</v>
      </c>
    </row>
    <row r="1107" spans="1:1" x14ac:dyDescent="0.25">
      <c r="A1107" s="8">
        <v>2.734375E-2</v>
      </c>
    </row>
    <row r="1108" spans="1:1" x14ac:dyDescent="0.25">
      <c r="A1108" s="8">
        <v>1.8812499999999999E-2</v>
      </c>
    </row>
    <row r="1109" spans="1:1" x14ac:dyDescent="0.25">
      <c r="A1109" s="8">
        <v>2.6601561999996193E-2</v>
      </c>
    </row>
    <row r="1110" spans="1:1" x14ac:dyDescent="0.25">
      <c r="A1110" s="8">
        <v>2.3859374999999999E-2</v>
      </c>
    </row>
    <row r="1111" spans="1:1" x14ac:dyDescent="0.25">
      <c r="A1111" s="8">
        <v>7.8515630000038066E-3</v>
      </c>
    </row>
    <row r="1112" spans="1:1" x14ac:dyDescent="0.25">
      <c r="A1112" s="8">
        <v>1.0593750000000001E-2</v>
      </c>
    </row>
    <row r="1113" spans="1:1" x14ac:dyDescent="0.25">
      <c r="A1113" s="8">
        <v>2.6804686999996191E-2</v>
      </c>
    </row>
    <row r="1114" spans="1:1" x14ac:dyDescent="0.25">
      <c r="A1114" s="8">
        <v>1.1124999999999999E-2</v>
      </c>
    </row>
    <row r="1115" spans="1:1" x14ac:dyDescent="0.25">
      <c r="A1115" s="8">
        <v>3.2773436999996193E-2</v>
      </c>
    </row>
    <row r="1116" spans="1:1" x14ac:dyDescent="0.25">
      <c r="A1116" s="8">
        <v>1.7031250000000001E-2</v>
      </c>
    </row>
    <row r="1117" spans="1:1" x14ac:dyDescent="0.25">
      <c r="A1117" s="8">
        <v>2.8500000000000001E-2</v>
      </c>
    </row>
    <row r="1118" spans="1:1" x14ac:dyDescent="0.25">
      <c r="A1118" s="8">
        <v>7.8906250000000001E-3</v>
      </c>
    </row>
    <row r="1119" spans="1:1" x14ac:dyDescent="0.25">
      <c r="A1119" s="8">
        <v>1.7031250000000001E-2</v>
      </c>
    </row>
    <row r="1120" spans="1:1" x14ac:dyDescent="0.25">
      <c r="A1120" s="8">
        <v>2.2101563000003807E-2</v>
      </c>
    </row>
    <row r="1121" spans="1:1" x14ac:dyDescent="0.25">
      <c r="A1121" s="8">
        <v>2.4335938000003807E-2</v>
      </c>
    </row>
    <row r="1122" spans="1:1" x14ac:dyDescent="0.25">
      <c r="A1122" s="8">
        <v>1.115625E-2</v>
      </c>
    </row>
    <row r="1123" spans="1:1" x14ac:dyDescent="0.25">
      <c r="A1123" s="8">
        <v>2.5679686999996194E-2</v>
      </c>
    </row>
    <row r="1124" spans="1:1" x14ac:dyDescent="0.25">
      <c r="A1124" s="8">
        <v>1.6203124999999999E-2</v>
      </c>
    </row>
    <row r="1125" spans="1:1" x14ac:dyDescent="0.25">
      <c r="A1125" s="8">
        <v>1.4664061999996193E-2</v>
      </c>
    </row>
    <row r="1126" spans="1:1" x14ac:dyDescent="0.25">
      <c r="A1126" s="8">
        <v>7.0320313000003812E-2</v>
      </c>
    </row>
    <row r="1127" spans="1:1" x14ac:dyDescent="0.25">
      <c r="A1127" s="8">
        <v>1.1429686999996193E-2</v>
      </c>
    </row>
    <row r="1128" spans="1:1" x14ac:dyDescent="0.25">
      <c r="A1128" s="8">
        <v>7.3593749999999996E-3</v>
      </c>
    </row>
    <row r="1129" spans="1:1" x14ac:dyDescent="0.25">
      <c r="A1129" s="8">
        <v>1.3617188000003807E-2</v>
      </c>
    </row>
    <row r="1130" spans="1:1" x14ac:dyDescent="0.25">
      <c r="A1130" s="8">
        <v>1.7921875E-2</v>
      </c>
    </row>
    <row r="1131" spans="1:1" x14ac:dyDescent="0.25">
      <c r="A1131" s="8">
        <v>1.7453125E-2</v>
      </c>
    </row>
    <row r="1132" spans="1:1" x14ac:dyDescent="0.25">
      <c r="A1132" s="8">
        <v>1.9578124999999998E-2</v>
      </c>
    </row>
    <row r="1133" spans="1:1" x14ac:dyDescent="0.25">
      <c r="A1133" s="8">
        <v>1.9929688000003807E-2</v>
      </c>
    </row>
    <row r="1134" spans="1:1" x14ac:dyDescent="0.25">
      <c r="A1134" s="8">
        <v>1.5140625E-2</v>
      </c>
    </row>
    <row r="1135" spans="1:1" x14ac:dyDescent="0.25">
      <c r="A1135" s="8">
        <v>2.6703125000000001E-2</v>
      </c>
    </row>
    <row r="1136" spans="1:1" x14ac:dyDescent="0.25">
      <c r="A1136" s="8">
        <v>8.4062500000000005E-3</v>
      </c>
    </row>
    <row r="1137" spans="1:1" x14ac:dyDescent="0.25">
      <c r="A1137" s="8">
        <v>1.3234375E-2</v>
      </c>
    </row>
    <row r="1138" spans="1:1" x14ac:dyDescent="0.25">
      <c r="A1138" s="8">
        <v>7.9375000000000001E-3</v>
      </c>
    </row>
    <row r="1139" spans="1:1" x14ac:dyDescent="0.25">
      <c r="A1139" s="8">
        <v>2.5593749999999998E-2</v>
      </c>
    </row>
    <row r="1140" spans="1:1" x14ac:dyDescent="0.25">
      <c r="A1140" s="8">
        <v>1.5578125E-2</v>
      </c>
    </row>
    <row r="1141" spans="1:1" x14ac:dyDescent="0.25">
      <c r="A1141" s="8">
        <v>1.1671875E-2</v>
      </c>
    </row>
    <row r="1142" spans="1:1" x14ac:dyDescent="0.25">
      <c r="A1142" s="8">
        <v>1.6781250000000001E-2</v>
      </c>
    </row>
    <row r="1143" spans="1:1" x14ac:dyDescent="0.25">
      <c r="A1143" s="8">
        <v>1.7265625E-2</v>
      </c>
    </row>
    <row r="1144" spans="1:1" x14ac:dyDescent="0.25">
      <c r="A1144" s="8">
        <v>1.384375E-2</v>
      </c>
    </row>
    <row r="1145" spans="1:1" x14ac:dyDescent="0.25">
      <c r="A1145" s="8">
        <v>9.5156249999999998E-3</v>
      </c>
    </row>
    <row r="1146" spans="1:1" x14ac:dyDescent="0.25">
      <c r="A1146" s="8">
        <v>2.1171875E-2</v>
      </c>
    </row>
    <row r="1147" spans="1:1" x14ac:dyDescent="0.25">
      <c r="A1147" s="8">
        <v>1.55625E-2</v>
      </c>
    </row>
    <row r="1148" spans="1:1" x14ac:dyDescent="0.25">
      <c r="A1148" s="8">
        <v>1.2359375000000001E-2</v>
      </c>
    </row>
    <row r="1149" spans="1:1" x14ac:dyDescent="0.25">
      <c r="A1149" s="8">
        <v>1.6375000000000001E-2</v>
      </c>
    </row>
    <row r="1150" spans="1:1" x14ac:dyDescent="0.25">
      <c r="A1150" s="8">
        <v>1.6515624999999999E-2</v>
      </c>
    </row>
    <row r="1151" spans="1:1" x14ac:dyDescent="0.25">
      <c r="A1151" s="8">
        <v>1.1093749999999999E-2</v>
      </c>
    </row>
    <row r="1152" spans="1:1" x14ac:dyDescent="0.25">
      <c r="A1152" s="8">
        <v>2.6570312999996532E-2</v>
      </c>
    </row>
    <row r="1153" spans="1:1" x14ac:dyDescent="0.25">
      <c r="A1153" s="8">
        <v>2.069531200000347E-2</v>
      </c>
    </row>
    <row r="1154" spans="1:1" x14ac:dyDescent="0.25">
      <c r="A1154" s="8">
        <v>2.7125E-2</v>
      </c>
    </row>
    <row r="1155" spans="1:1" x14ac:dyDescent="0.25">
      <c r="A1155" s="8">
        <v>1.4888671999997313E-2</v>
      </c>
    </row>
    <row r="1156" spans="1:1" x14ac:dyDescent="0.25">
      <c r="A1156" s="8">
        <v>1.2859374999999999E-2</v>
      </c>
    </row>
    <row r="1157" spans="1:1" x14ac:dyDescent="0.25">
      <c r="A1157" s="8">
        <v>2.6916015999999217E-2</v>
      </c>
    </row>
    <row r="1158" spans="1:1" x14ac:dyDescent="0.25">
      <c r="A1158" s="8">
        <v>7.9082029999990484E-3</v>
      </c>
    </row>
    <row r="1159" spans="1:1" x14ac:dyDescent="0.25">
      <c r="A1159" s="8">
        <v>2.6751952999999048E-2</v>
      </c>
    </row>
    <row r="1160" spans="1:1" x14ac:dyDescent="0.25">
      <c r="A1160" s="8">
        <v>7.7402340000007827E-3</v>
      </c>
    </row>
    <row r="1161" spans="1:1" x14ac:dyDescent="0.25">
      <c r="A1161" s="8">
        <v>1.9976563000000169E-2</v>
      </c>
    </row>
    <row r="1162" spans="1:1" x14ac:dyDescent="0.25">
      <c r="A1162" s="8">
        <v>2.1193360000001122E-2</v>
      </c>
    </row>
    <row r="1163" spans="1:1" x14ac:dyDescent="0.25">
      <c r="A1163" s="8">
        <v>1.5734374999999998E-2</v>
      </c>
    </row>
    <row r="1164" spans="1:1" x14ac:dyDescent="0.25">
      <c r="A1164" s="8">
        <v>2.2757812000003468E-2</v>
      </c>
    </row>
    <row r="1165" spans="1:1" x14ac:dyDescent="0.25">
      <c r="A1165" s="8">
        <v>2.2351562999996532E-2</v>
      </c>
    </row>
    <row r="1166" spans="1:1" x14ac:dyDescent="0.25">
      <c r="A1166" s="8">
        <v>1.0269530999998097E-2</v>
      </c>
    </row>
    <row r="1167" spans="1:1" x14ac:dyDescent="0.25">
      <c r="A1167" s="8">
        <v>1.5046874999999999E-2</v>
      </c>
    </row>
    <row r="1168" spans="1:1" x14ac:dyDescent="0.25">
      <c r="A1168" s="8">
        <v>1.1222655999998096E-2</v>
      </c>
    </row>
    <row r="1169" spans="1:1" x14ac:dyDescent="0.25">
      <c r="A1169" s="8">
        <v>1.4757813000003808E-2</v>
      </c>
    </row>
    <row r="1170" spans="1:1" x14ac:dyDescent="0.25">
      <c r="A1170" s="8">
        <v>2.2394531999998434E-2</v>
      </c>
    </row>
    <row r="1171" spans="1:1" x14ac:dyDescent="0.25">
      <c r="A1171" s="8">
        <v>1.6734374999999999E-2</v>
      </c>
    </row>
    <row r="1172" spans="1:1" x14ac:dyDescent="0.25">
      <c r="A1172" s="8">
        <v>2.5628905999998095E-2</v>
      </c>
    </row>
    <row r="1173" spans="1:1" x14ac:dyDescent="0.25">
      <c r="A1173" s="8">
        <v>9.6367189999946277E-3</v>
      </c>
    </row>
    <row r="1174" spans="1:1" x14ac:dyDescent="0.25">
      <c r="A1174" s="8">
        <v>1.1093749999999999E-2</v>
      </c>
    </row>
    <row r="1175" spans="1:1" x14ac:dyDescent="0.25">
      <c r="A1175" s="8">
        <v>1.7074219000001903E-2</v>
      </c>
    </row>
    <row r="1176" spans="1:1" x14ac:dyDescent="0.25">
      <c r="A1176" s="8">
        <v>1.978125E-2</v>
      </c>
    </row>
    <row r="1177" spans="1:1" x14ac:dyDescent="0.25">
      <c r="A1177" s="8">
        <v>2.4093750000000001E-2</v>
      </c>
    </row>
    <row r="1178" spans="1:1" x14ac:dyDescent="0.25">
      <c r="A1178" s="8">
        <v>1.0476561999996192E-2</v>
      </c>
    </row>
    <row r="1179" spans="1:1" x14ac:dyDescent="0.25">
      <c r="A1179" s="8">
        <v>2.0226563000003809E-2</v>
      </c>
    </row>
    <row r="1180" spans="1:1" x14ac:dyDescent="0.25">
      <c r="A1180" s="8">
        <v>3.2500000000000001E-2</v>
      </c>
    </row>
    <row r="1181" spans="1:1" x14ac:dyDescent="0.25">
      <c r="A1181" s="8">
        <v>1.5367188000003808E-2</v>
      </c>
    </row>
    <row r="1182" spans="1:1" x14ac:dyDescent="0.25">
      <c r="A1182" s="8">
        <v>7.3593749999999996E-3</v>
      </c>
    </row>
    <row r="1183" spans="1:1" x14ac:dyDescent="0.25">
      <c r="A1183" s="8">
        <v>0.12567968699999618</v>
      </c>
    </row>
    <row r="1184" spans="1:1" x14ac:dyDescent="0.25">
      <c r="A1184" s="8">
        <v>2.0929688000003808E-2</v>
      </c>
    </row>
    <row r="1185" spans="1:1" x14ac:dyDescent="0.25">
      <c r="A1185" s="8">
        <v>1.4320311999996192E-2</v>
      </c>
    </row>
    <row r="1186" spans="1:1" x14ac:dyDescent="0.25">
      <c r="A1186" s="8">
        <v>1.4445313000003807E-2</v>
      </c>
    </row>
    <row r="1187" spans="1:1" x14ac:dyDescent="0.25">
      <c r="A1187" s="8">
        <v>1.5140625E-2</v>
      </c>
    </row>
    <row r="1188" spans="1:1" x14ac:dyDescent="0.25">
      <c r="A1188" s="8">
        <v>2.6273438000003806E-2</v>
      </c>
    </row>
    <row r="1189" spans="1:1" x14ac:dyDescent="0.25">
      <c r="A1189" s="8">
        <v>2.5492188000003808E-2</v>
      </c>
    </row>
    <row r="1190" spans="1:1" x14ac:dyDescent="0.25">
      <c r="A1190" s="8">
        <v>1.7757813000003807E-2</v>
      </c>
    </row>
    <row r="1191" spans="1:1" x14ac:dyDescent="0.25">
      <c r="A1191" s="8">
        <v>1.4289061999996192E-2</v>
      </c>
    </row>
    <row r="1192" spans="1:1" x14ac:dyDescent="0.25">
      <c r="A1192" s="8">
        <v>1.8093749999999999E-2</v>
      </c>
    </row>
    <row r="1193" spans="1:1" x14ac:dyDescent="0.25">
      <c r="A1193" s="8">
        <v>2.5421875E-2</v>
      </c>
    </row>
    <row r="1194" spans="1:1" x14ac:dyDescent="0.25">
      <c r="A1194" s="8">
        <v>1.36875E-2</v>
      </c>
    </row>
    <row r="1195" spans="1:1" x14ac:dyDescent="0.25">
      <c r="A1195" s="8">
        <v>2.5429688000003808E-2</v>
      </c>
    </row>
    <row r="1196" spans="1:1" x14ac:dyDescent="0.25">
      <c r="A1196" s="8">
        <v>0.124046875</v>
      </c>
    </row>
    <row r="1197" spans="1:1" x14ac:dyDescent="0.25">
      <c r="A1197" s="8">
        <v>1.7195313000003806E-2</v>
      </c>
    </row>
    <row r="1198" spans="1:1" x14ac:dyDescent="0.25">
      <c r="A1198" s="8">
        <v>1.7390625E-2</v>
      </c>
    </row>
    <row r="1199" spans="1:1" x14ac:dyDescent="0.25">
      <c r="A1199" s="8">
        <v>1.0437500000000001E-2</v>
      </c>
    </row>
    <row r="1200" spans="1:1" x14ac:dyDescent="0.25">
      <c r="A1200" s="8">
        <v>1.2398438000003807E-2</v>
      </c>
    </row>
    <row r="1201" spans="1:1" x14ac:dyDescent="0.25">
      <c r="A1201" s="8">
        <v>9.0156249999999993E-3</v>
      </c>
    </row>
    <row r="1202" spans="1:1" x14ac:dyDescent="0.25">
      <c r="A1202" s="8">
        <v>2.5835936999996194E-2</v>
      </c>
    </row>
    <row r="1203" spans="1:1" x14ac:dyDescent="0.25">
      <c r="A1203" s="8">
        <v>2.0492188000003807E-2</v>
      </c>
    </row>
    <row r="1204" spans="1:1" x14ac:dyDescent="0.25">
      <c r="A1204" s="8">
        <v>2.3515624999999998E-2</v>
      </c>
    </row>
    <row r="1205" spans="1:1" x14ac:dyDescent="0.25">
      <c r="A1205" s="8">
        <v>1.3484375E-2</v>
      </c>
    </row>
    <row r="1206" spans="1:1" x14ac:dyDescent="0.25">
      <c r="A1206" s="8">
        <v>7.5593750000000001E-2</v>
      </c>
    </row>
    <row r="1207" spans="1:1" x14ac:dyDescent="0.25">
      <c r="A1207" s="8">
        <v>1.5664061999996193E-2</v>
      </c>
    </row>
    <row r="1208" spans="1:1" x14ac:dyDescent="0.25">
      <c r="A1208" s="8">
        <v>9.5390619999961932E-3</v>
      </c>
    </row>
    <row r="1209" spans="1:1" x14ac:dyDescent="0.25">
      <c r="A1209" s="8">
        <v>2.0593750000000001E-2</v>
      </c>
    </row>
    <row r="1210" spans="1:1" x14ac:dyDescent="0.25">
      <c r="A1210" s="8">
        <v>1.15625E-2</v>
      </c>
    </row>
    <row r="1211" spans="1:1" x14ac:dyDescent="0.25">
      <c r="A1211" s="8">
        <v>2.8507813000003806E-2</v>
      </c>
    </row>
    <row r="1212" spans="1:1" x14ac:dyDescent="0.25">
      <c r="A1212" s="8">
        <v>2.7398438000003807E-2</v>
      </c>
    </row>
    <row r="1213" spans="1:1" x14ac:dyDescent="0.25">
      <c r="A1213" s="8">
        <v>1.0921874999999999E-2</v>
      </c>
    </row>
    <row r="1214" spans="1:1" x14ac:dyDescent="0.25">
      <c r="A1214" s="8">
        <v>1.5398436999996193E-2</v>
      </c>
    </row>
    <row r="1215" spans="1:1" x14ac:dyDescent="0.25">
      <c r="A1215" s="8">
        <v>2.3070313000003808E-2</v>
      </c>
    </row>
    <row r="1216" spans="1:1" x14ac:dyDescent="0.25">
      <c r="A1216" s="8">
        <v>1.6882811999996191E-2</v>
      </c>
    </row>
    <row r="1217" spans="1:1" x14ac:dyDescent="0.25">
      <c r="A1217" s="8">
        <v>2.0507811999996194E-2</v>
      </c>
    </row>
    <row r="1218" spans="1:1" x14ac:dyDescent="0.25">
      <c r="A1218" s="8">
        <v>1.7437500000000002E-2</v>
      </c>
    </row>
    <row r="1219" spans="1:1" x14ac:dyDescent="0.25">
      <c r="A1219" s="8">
        <v>2.3765624999999999E-2</v>
      </c>
    </row>
    <row r="1220" spans="1:1" x14ac:dyDescent="0.25">
      <c r="A1220" s="8">
        <v>1.8374999999999999E-2</v>
      </c>
    </row>
    <row r="1221" spans="1:1" x14ac:dyDescent="0.25">
      <c r="A1221" s="8">
        <v>7.6249999999999998E-3</v>
      </c>
    </row>
    <row r="1222" spans="1:1" x14ac:dyDescent="0.25">
      <c r="A1222" s="8">
        <v>1.3734375E-2</v>
      </c>
    </row>
    <row r="1223" spans="1:1" x14ac:dyDescent="0.25">
      <c r="A1223" s="8">
        <v>1.003125E-2</v>
      </c>
    </row>
    <row r="1224" spans="1:1" x14ac:dyDescent="0.25">
      <c r="A1224" s="8">
        <v>1.134375E-2</v>
      </c>
    </row>
    <row r="1225" spans="1:1" x14ac:dyDescent="0.25">
      <c r="A1225" s="8">
        <v>1.115625E-2</v>
      </c>
    </row>
    <row r="1226" spans="1:1" x14ac:dyDescent="0.25">
      <c r="A1226" s="8">
        <v>2.3734374999999999E-2</v>
      </c>
    </row>
    <row r="1227" spans="1:1" x14ac:dyDescent="0.25">
      <c r="A1227" s="8">
        <v>2.0468750000000001E-2</v>
      </c>
    </row>
    <row r="1228" spans="1:1" x14ac:dyDescent="0.25">
      <c r="A1228" s="8">
        <v>2.5468749999999998E-2</v>
      </c>
    </row>
    <row r="1229" spans="1:1" x14ac:dyDescent="0.25">
      <c r="A1229" s="8">
        <v>9.0624999999999994E-3</v>
      </c>
    </row>
    <row r="1230" spans="1:1" x14ac:dyDescent="0.25">
      <c r="A1230" s="8">
        <v>2.1609375E-2</v>
      </c>
    </row>
    <row r="1231" spans="1:1" x14ac:dyDescent="0.25">
      <c r="A1231" s="8">
        <v>1.7828125E-2</v>
      </c>
    </row>
    <row r="1232" spans="1:1" x14ac:dyDescent="0.25">
      <c r="A1232" s="8">
        <v>2.4546874999999999E-2</v>
      </c>
    </row>
    <row r="1233" spans="1:1" x14ac:dyDescent="0.25">
      <c r="A1233" s="8">
        <v>1.5484375E-2</v>
      </c>
    </row>
    <row r="1234" spans="1:1" x14ac:dyDescent="0.25">
      <c r="A1234" s="8">
        <v>1.40625E-2</v>
      </c>
    </row>
    <row r="1235" spans="1:1" x14ac:dyDescent="0.25">
      <c r="A1235" s="8">
        <v>1.375E-2</v>
      </c>
    </row>
    <row r="1236" spans="1:1" x14ac:dyDescent="0.25">
      <c r="A1236" s="8">
        <v>2.1185546000000614E-2</v>
      </c>
    </row>
    <row r="1237" spans="1:1" x14ac:dyDescent="0.25">
      <c r="A1237" s="8">
        <v>8.1406250000000003E-3</v>
      </c>
    </row>
    <row r="1238" spans="1:1" x14ac:dyDescent="0.25">
      <c r="A1238" s="8">
        <v>2.0763672000000951E-2</v>
      </c>
    </row>
    <row r="1239" spans="1:1" x14ac:dyDescent="0.25">
      <c r="A1239" s="8">
        <v>1.1189452999999048E-2</v>
      </c>
    </row>
    <row r="1240" spans="1:1" x14ac:dyDescent="0.25">
      <c r="A1240" s="8">
        <v>1.4970703000002685E-2</v>
      </c>
    </row>
    <row r="1241" spans="1:1" x14ac:dyDescent="0.25">
      <c r="A1241" s="8">
        <v>1.115625E-2</v>
      </c>
    </row>
    <row r="1242" spans="1:1" x14ac:dyDescent="0.25">
      <c r="A1242" s="8">
        <v>1.7542969000001903E-2</v>
      </c>
    </row>
    <row r="1243" spans="1:1" x14ac:dyDescent="0.25">
      <c r="A1243" s="8">
        <v>7.9414060000017345E-3</v>
      </c>
    </row>
    <row r="1244" spans="1:1" x14ac:dyDescent="0.25">
      <c r="A1244" s="8">
        <v>2.0083984000000783E-2</v>
      </c>
    </row>
    <row r="1245" spans="1:1" x14ac:dyDescent="0.25">
      <c r="A1245" s="8">
        <v>7.6015630000001696E-3</v>
      </c>
    </row>
    <row r="1246" spans="1:1" x14ac:dyDescent="0.25">
      <c r="A1246" s="8">
        <v>2.6175781000001733E-2</v>
      </c>
    </row>
    <row r="1247" spans="1:1" x14ac:dyDescent="0.25">
      <c r="A1247" s="8">
        <v>1.8990234000000782E-2</v>
      </c>
    </row>
    <row r="1248" spans="1:1" x14ac:dyDescent="0.25">
      <c r="A1248" s="8">
        <v>1.4207031000001735E-2</v>
      </c>
    </row>
    <row r="1249" spans="1:1" x14ac:dyDescent="0.25">
      <c r="A1249" s="8">
        <v>7.7949220000009516E-3</v>
      </c>
    </row>
    <row r="1250" spans="1:1" x14ac:dyDescent="0.25">
      <c r="A1250" s="8">
        <v>2.2623047000000951E-2</v>
      </c>
    </row>
    <row r="1251" spans="1:1" x14ac:dyDescent="0.25">
      <c r="A1251" s="8">
        <v>2.4634765999999218E-2</v>
      </c>
    </row>
    <row r="1252" spans="1:1" x14ac:dyDescent="0.25">
      <c r="A1252" s="8">
        <v>1.9621093000001564E-2</v>
      </c>
    </row>
    <row r="1253" spans="1:1" x14ac:dyDescent="0.25">
      <c r="A1253" s="8">
        <v>1.4128906999998435E-2</v>
      </c>
    </row>
    <row r="1254" spans="1:1" x14ac:dyDescent="0.25">
      <c r="A1254" s="8">
        <v>1.3566405999998097E-2</v>
      </c>
    </row>
    <row r="1255" spans="1:1" x14ac:dyDescent="0.25">
      <c r="A1255" s="8">
        <v>1.4199219000001904E-2</v>
      </c>
    </row>
    <row r="1256" spans="1:1" x14ac:dyDescent="0.25">
      <c r="A1256" s="8">
        <v>1.7265625E-2</v>
      </c>
    </row>
    <row r="1257" spans="1:1" x14ac:dyDescent="0.25">
      <c r="A1257" s="8">
        <v>1.6726561999996194E-2</v>
      </c>
    </row>
    <row r="1258" spans="1:1" x14ac:dyDescent="0.25">
      <c r="A1258" s="8">
        <v>1.1058594000001904E-2</v>
      </c>
    </row>
    <row r="1259" spans="1:1" x14ac:dyDescent="0.25">
      <c r="A1259" s="8">
        <v>1.1886719000001903E-2</v>
      </c>
    </row>
    <row r="1260" spans="1:1" x14ac:dyDescent="0.25">
      <c r="A1260" s="8">
        <v>2.4277344000001904E-2</v>
      </c>
    </row>
    <row r="1261" spans="1:1" x14ac:dyDescent="0.25">
      <c r="A1261" s="8">
        <v>7.9101569999984345E-3</v>
      </c>
    </row>
    <row r="1262" spans="1:1" x14ac:dyDescent="0.25">
      <c r="A1262" s="8">
        <v>1.0640625000000001E-2</v>
      </c>
    </row>
    <row r="1263" spans="1:1" x14ac:dyDescent="0.25">
      <c r="A1263" s="8">
        <v>8.5664059999980956E-3</v>
      </c>
    </row>
    <row r="1264" spans="1:1" x14ac:dyDescent="0.25">
      <c r="A1264" s="8">
        <v>2.3277343999994628E-2</v>
      </c>
    </row>
    <row r="1265" spans="1:1" x14ac:dyDescent="0.25">
      <c r="A1265" s="8">
        <v>2.1250000000000002E-2</v>
      </c>
    </row>
    <row r="1266" spans="1:1" x14ac:dyDescent="0.25">
      <c r="A1266" s="8">
        <v>2.1773437000003469E-2</v>
      </c>
    </row>
    <row r="1267" spans="1:1" x14ac:dyDescent="0.25">
      <c r="A1267" s="8">
        <v>1.584375E-2</v>
      </c>
    </row>
    <row r="1268" spans="1:1" x14ac:dyDescent="0.25">
      <c r="A1268" s="8">
        <v>2.2015625E-2</v>
      </c>
    </row>
    <row r="1269" spans="1:1" x14ac:dyDescent="0.25">
      <c r="A1269" s="8">
        <v>1.7523436999996193E-2</v>
      </c>
    </row>
    <row r="1270" spans="1:1" x14ac:dyDescent="0.25">
      <c r="A1270" s="8">
        <v>2.4601561999996194E-2</v>
      </c>
    </row>
    <row r="1271" spans="1:1" x14ac:dyDescent="0.25">
      <c r="A1271" s="8">
        <v>7.8828119999961935E-3</v>
      </c>
    </row>
    <row r="1272" spans="1:1" x14ac:dyDescent="0.25">
      <c r="A1272" s="8">
        <v>1.221875E-2</v>
      </c>
    </row>
    <row r="1273" spans="1:1" x14ac:dyDescent="0.25">
      <c r="A1273" s="8">
        <v>2.2929688000003806E-2</v>
      </c>
    </row>
    <row r="1274" spans="1:1" x14ac:dyDescent="0.25">
      <c r="A1274" s="8">
        <v>1.153125E-2</v>
      </c>
    </row>
    <row r="1275" spans="1:1" x14ac:dyDescent="0.25">
      <c r="A1275" s="8">
        <v>1.146875E-2</v>
      </c>
    </row>
    <row r="1276" spans="1:1" x14ac:dyDescent="0.25">
      <c r="A1276" s="8">
        <v>1.7749999999999998E-2</v>
      </c>
    </row>
    <row r="1277" spans="1:1" x14ac:dyDescent="0.25">
      <c r="A1277" s="8">
        <v>1.8164063000003807E-2</v>
      </c>
    </row>
    <row r="1278" spans="1:1" x14ac:dyDescent="0.25">
      <c r="A1278" s="8">
        <v>8.1953130000038069E-3</v>
      </c>
    </row>
    <row r="1279" spans="1:1" x14ac:dyDescent="0.25">
      <c r="A1279" s="8">
        <v>1.0906249999999999E-2</v>
      </c>
    </row>
    <row r="1280" spans="1:1" x14ac:dyDescent="0.25">
      <c r="A1280" s="8">
        <v>1.159375E-2</v>
      </c>
    </row>
    <row r="1281" spans="1:1" x14ac:dyDescent="0.25">
      <c r="A1281" s="8">
        <v>2.0625000000000001E-2</v>
      </c>
    </row>
    <row r="1282" spans="1:1" x14ac:dyDescent="0.25">
      <c r="A1282" s="8">
        <v>1.4617186999996193E-2</v>
      </c>
    </row>
    <row r="1283" spans="1:1" x14ac:dyDescent="0.25">
      <c r="A1283" s="8">
        <v>1.16875E-2</v>
      </c>
    </row>
    <row r="1284" spans="1:1" x14ac:dyDescent="0.25">
      <c r="A1284" s="8">
        <v>2.0359374999999999E-2</v>
      </c>
    </row>
    <row r="1285" spans="1:1" x14ac:dyDescent="0.25">
      <c r="A1285" s="8">
        <v>2.0859374999999999E-2</v>
      </c>
    </row>
    <row r="1286" spans="1:1" x14ac:dyDescent="0.25">
      <c r="A1286" s="8">
        <v>7.7031249999999999E-3</v>
      </c>
    </row>
    <row r="1287" spans="1:1" x14ac:dyDescent="0.25">
      <c r="A1287" s="8">
        <v>1.6179686999996192E-2</v>
      </c>
    </row>
    <row r="1288" spans="1:1" x14ac:dyDescent="0.25">
      <c r="A1288" s="8">
        <v>1.6835938000003808E-2</v>
      </c>
    </row>
    <row r="1289" spans="1:1" x14ac:dyDescent="0.25">
      <c r="A1289" s="8">
        <v>1.978125E-2</v>
      </c>
    </row>
    <row r="1290" spans="1:1" x14ac:dyDescent="0.25">
      <c r="A1290" s="8">
        <v>2.3851561999996194E-2</v>
      </c>
    </row>
    <row r="1291" spans="1:1" x14ac:dyDescent="0.25">
      <c r="A1291" s="8">
        <v>1.0242188000003807E-2</v>
      </c>
    </row>
    <row r="1292" spans="1:1" x14ac:dyDescent="0.25">
      <c r="A1292" s="8">
        <v>1.6632811999996194E-2</v>
      </c>
    </row>
    <row r="1293" spans="1:1" x14ac:dyDescent="0.25">
      <c r="A1293" s="8">
        <v>1.7039061999996191E-2</v>
      </c>
    </row>
    <row r="1294" spans="1:1" x14ac:dyDescent="0.25">
      <c r="A1294" s="8">
        <v>1.1242186999996193E-2</v>
      </c>
    </row>
    <row r="1295" spans="1:1" x14ac:dyDescent="0.25">
      <c r="A1295" s="8">
        <v>1.5703124999999998E-2</v>
      </c>
    </row>
    <row r="1296" spans="1:1" x14ac:dyDescent="0.25">
      <c r="A1296" s="8">
        <v>1.6203124999999999E-2</v>
      </c>
    </row>
    <row r="1297" spans="1:1" x14ac:dyDescent="0.25">
      <c r="A1297" s="8">
        <v>2.1624999999999998E-2</v>
      </c>
    </row>
    <row r="1298" spans="1:1" x14ac:dyDescent="0.25">
      <c r="A1298" s="8">
        <v>1.1015624999999999E-2</v>
      </c>
    </row>
    <row r="1299" spans="1:1" x14ac:dyDescent="0.25">
      <c r="A1299" s="8">
        <v>1.4531250000000001E-2</v>
      </c>
    </row>
    <row r="1300" spans="1:1" x14ac:dyDescent="0.25">
      <c r="A1300" s="8">
        <v>1.8078125E-2</v>
      </c>
    </row>
    <row r="1301" spans="1:1" x14ac:dyDescent="0.25">
      <c r="A1301" s="8">
        <v>1.9921874999999999E-2</v>
      </c>
    </row>
    <row r="1302" spans="1:1" x14ac:dyDescent="0.25">
      <c r="A1302" s="8">
        <v>1.4203125E-2</v>
      </c>
    </row>
    <row r="1303" spans="1:1" x14ac:dyDescent="0.25">
      <c r="A1303" s="8">
        <v>7.5624999999999998E-3</v>
      </c>
    </row>
    <row r="1304" spans="1:1" x14ac:dyDescent="0.25">
      <c r="A1304" s="8">
        <v>1.7453125E-2</v>
      </c>
    </row>
    <row r="1305" spans="1:1" x14ac:dyDescent="0.25">
      <c r="A1305" s="8">
        <v>1.7656249999999998E-2</v>
      </c>
    </row>
    <row r="1306" spans="1:1" x14ac:dyDescent="0.25">
      <c r="A1306" s="8">
        <v>2.6062499999999999E-2</v>
      </c>
    </row>
    <row r="1307" spans="1:1" x14ac:dyDescent="0.25">
      <c r="A1307" s="8">
        <v>2.4812500000000001E-2</v>
      </c>
    </row>
    <row r="1308" spans="1:1" x14ac:dyDescent="0.25">
      <c r="A1308" s="8">
        <v>1.7031250000000001E-2</v>
      </c>
    </row>
    <row r="1309" spans="1:1" x14ac:dyDescent="0.25">
      <c r="A1309" s="8">
        <v>1.028125E-2</v>
      </c>
    </row>
    <row r="1310" spans="1:1" x14ac:dyDescent="0.25">
      <c r="A1310" s="8">
        <v>7.7031249999999999E-3</v>
      </c>
    </row>
    <row r="1311" spans="1:1" x14ac:dyDescent="0.25">
      <c r="A1311" s="8">
        <v>2.4046874999999999E-2</v>
      </c>
    </row>
    <row r="1312" spans="1:1" x14ac:dyDescent="0.25">
      <c r="A1312" s="8">
        <v>1.1515625E-2</v>
      </c>
    </row>
    <row r="1313" spans="1:1" x14ac:dyDescent="0.25">
      <c r="A1313" s="8">
        <v>2.3984374999999999E-2</v>
      </c>
    </row>
    <row r="1314" spans="1:1" x14ac:dyDescent="0.25">
      <c r="A1314" s="8">
        <v>1.4781249999999999E-2</v>
      </c>
    </row>
    <row r="1315" spans="1:1" x14ac:dyDescent="0.25">
      <c r="A1315" s="8">
        <v>1.9015625000000001E-2</v>
      </c>
    </row>
    <row r="1316" spans="1:1" x14ac:dyDescent="0.25">
      <c r="A1316" s="8">
        <v>7.9218750000000001E-3</v>
      </c>
    </row>
    <row r="1317" spans="1:1" x14ac:dyDescent="0.25">
      <c r="A1317" s="8">
        <v>8.3125000000000004E-3</v>
      </c>
    </row>
    <row r="1318" spans="1:1" x14ac:dyDescent="0.25">
      <c r="A1318" s="8">
        <v>1.0931640999999218E-2</v>
      </c>
    </row>
    <row r="1319" spans="1:1" x14ac:dyDescent="0.25">
      <c r="A1319" s="8">
        <v>1.0769531000001734E-2</v>
      </c>
    </row>
    <row r="1320" spans="1:1" x14ac:dyDescent="0.25">
      <c r="A1320" s="8">
        <v>4.6773438000000167E-2</v>
      </c>
    </row>
    <row r="1321" spans="1:1" x14ac:dyDescent="0.25">
      <c r="A1321" s="8">
        <v>1.9970702999999049E-2</v>
      </c>
    </row>
    <row r="1322" spans="1:1" x14ac:dyDescent="0.25">
      <c r="A1322" s="8">
        <v>1.134375E-2</v>
      </c>
    </row>
    <row r="1323" spans="1:1" x14ac:dyDescent="0.25">
      <c r="A1323" s="8">
        <v>1.5849609000000781E-2</v>
      </c>
    </row>
    <row r="1324" spans="1:1" x14ac:dyDescent="0.25">
      <c r="A1324" s="8">
        <v>9.1132810000053716E-3</v>
      </c>
    </row>
    <row r="1325" spans="1:1" x14ac:dyDescent="0.25">
      <c r="A1325" s="8">
        <v>2.4273438000003807E-2</v>
      </c>
    </row>
    <row r="1326" spans="1:1" x14ac:dyDescent="0.25">
      <c r="A1326" s="8">
        <v>2.0414061999996194E-2</v>
      </c>
    </row>
    <row r="1327" spans="1:1" x14ac:dyDescent="0.25">
      <c r="A1327" s="8">
        <v>2.0343750000000001E-2</v>
      </c>
    </row>
    <row r="1328" spans="1:1" x14ac:dyDescent="0.25">
      <c r="A1328" s="8">
        <v>2.1507811999996192E-2</v>
      </c>
    </row>
    <row r="1329" spans="1:1" x14ac:dyDescent="0.25">
      <c r="A1329" s="8">
        <v>2.7457030999998095E-2</v>
      </c>
    </row>
    <row r="1330" spans="1:1" x14ac:dyDescent="0.25">
      <c r="A1330" s="8">
        <v>7.4335939999946275E-3</v>
      </c>
    </row>
    <row r="1331" spans="1:1" x14ac:dyDescent="0.25">
      <c r="A1331" s="8">
        <v>1.694531200000347E-2</v>
      </c>
    </row>
    <row r="1332" spans="1:1" x14ac:dyDescent="0.25">
      <c r="A1332" s="8">
        <v>1.3195311999996193E-2</v>
      </c>
    </row>
    <row r="1333" spans="1:1" x14ac:dyDescent="0.25">
      <c r="A1333" s="8">
        <v>1.7242186999996193E-2</v>
      </c>
    </row>
    <row r="1334" spans="1:1" x14ac:dyDescent="0.25">
      <c r="A1334" s="8">
        <v>1.9320311999996193E-2</v>
      </c>
    </row>
    <row r="1335" spans="1:1" x14ac:dyDescent="0.25">
      <c r="A1335" s="8">
        <v>2.9406249999999998E-2</v>
      </c>
    </row>
    <row r="1336" spans="1:1" x14ac:dyDescent="0.25">
      <c r="A1336" s="8">
        <v>1.3117186999996193E-2</v>
      </c>
    </row>
    <row r="1337" spans="1:1" x14ac:dyDescent="0.25">
      <c r="A1337" s="8">
        <v>1.03125E-2</v>
      </c>
    </row>
    <row r="1338" spans="1:1" x14ac:dyDescent="0.25">
      <c r="A1338" s="8">
        <v>2.321875E-2</v>
      </c>
    </row>
    <row r="1339" spans="1:1" x14ac:dyDescent="0.25">
      <c r="A1339" s="8">
        <v>2.6437499999999999E-2</v>
      </c>
    </row>
    <row r="1340" spans="1:1" x14ac:dyDescent="0.25">
      <c r="A1340" s="8">
        <v>1.5953124999999999E-2</v>
      </c>
    </row>
    <row r="1341" spans="1:1" x14ac:dyDescent="0.25">
      <c r="A1341" s="8">
        <v>8.6796880000038074E-3</v>
      </c>
    </row>
    <row r="1342" spans="1:1" x14ac:dyDescent="0.25">
      <c r="A1342" s="8">
        <v>4.1453125E-2</v>
      </c>
    </row>
    <row r="1343" spans="1:1" x14ac:dyDescent="0.25">
      <c r="A1343" s="8">
        <v>1.7289063000003806E-2</v>
      </c>
    </row>
    <row r="1344" spans="1:1" x14ac:dyDescent="0.25">
      <c r="A1344" s="8">
        <v>2.3710938000003807E-2</v>
      </c>
    </row>
    <row r="1345" spans="1:1" x14ac:dyDescent="0.25">
      <c r="A1345" s="8">
        <v>1.1960936999996192E-2</v>
      </c>
    </row>
    <row r="1346" spans="1:1" x14ac:dyDescent="0.25">
      <c r="A1346" s="8">
        <v>1.9359375000000002E-2</v>
      </c>
    </row>
    <row r="1347" spans="1:1" x14ac:dyDescent="0.25">
      <c r="A1347" s="8">
        <v>8.4843750000000006E-3</v>
      </c>
    </row>
    <row r="1348" spans="1:1" x14ac:dyDescent="0.25">
      <c r="A1348" s="8">
        <v>1.0906249999999999E-2</v>
      </c>
    </row>
    <row r="1349" spans="1:1" x14ac:dyDescent="0.25">
      <c r="A1349" s="8">
        <v>4.2281249999999999E-2</v>
      </c>
    </row>
    <row r="1350" spans="1:1" x14ac:dyDescent="0.25">
      <c r="A1350" s="8">
        <v>2.2124999999999999E-2</v>
      </c>
    </row>
    <row r="1351" spans="1:1" x14ac:dyDescent="0.25">
      <c r="A1351" s="8">
        <v>2.7265625000000002E-2</v>
      </c>
    </row>
    <row r="1352" spans="1:1" x14ac:dyDescent="0.25">
      <c r="A1352" s="8">
        <v>2.4179686999996192E-2</v>
      </c>
    </row>
    <row r="1353" spans="1:1" x14ac:dyDescent="0.25">
      <c r="A1353" s="8">
        <v>1.1398436999996193E-2</v>
      </c>
    </row>
    <row r="1354" spans="1:1" x14ac:dyDescent="0.25">
      <c r="A1354" s="8">
        <v>7.2265619999961929E-3</v>
      </c>
    </row>
    <row r="1355" spans="1:1" x14ac:dyDescent="0.25">
      <c r="A1355" s="8">
        <v>1.0210936999996192E-2</v>
      </c>
    </row>
    <row r="1356" spans="1:1" x14ac:dyDescent="0.25">
      <c r="A1356" s="8">
        <v>2.2281249999999999E-2</v>
      </c>
    </row>
    <row r="1357" spans="1:1" x14ac:dyDescent="0.25">
      <c r="A1357" s="8">
        <v>0.15825</v>
      </c>
    </row>
    <row r="1358" spans="1:1" x14ac:dyDescent="0.25">
      <c r="A1358" s="8">
        <v>8.2031250000000003E-3</v>
      </c>
    </row>
    <row r="1359" spans="1:1" x14ac:dyDescent="0.25">
      <c r="A1359" s="8">
        <v>2.0281250000000001E-2</v>
      </c>
    </row>
    <row r="1360" spans="1:1" x14ac:dyDescent="0.25">
      <c r="A1360" s="8">
        <v>2.1375000000000002E-2</v>
      </c>
    </row>
    <row r="1361" spans="1:1" x14ac:dyDescent="0.25">
      <c r="A1361" s="8">
        <v>1.9382811999996193E-2</v>
      </c>
    </row>
    <row r="1362" spans="1:1" x14ac:dyDescent="0.25">
      <c r="A1362" s="8">
        <v>2.0390624999999999E-2</v>
      </c>
    </row>
    <row r="1363" spans="1:1" x14ac:dyDescent="0.25">
      <c r="A1363" s="8">
        <v>9.382813000003808E-3</v>
      </c>
    </row>
    <row r="1364" spans="1:1" x14ac:dyDescent="0.25">
      <c r="A1364" s="8">
        <v>1.6453124999999999E-2</v>
      </c>
    </row>
    <row r="1365" spans="1:1" x14ac:dyDescent="0.25">
      <c r="A1365" s="8">
        <v>1.4476561999996192E-2</v>
      </c>
    </row>
    <row r="1366" spans="1:1" x14ac:dyDescent="0.25">
      <c r="A1366" s="8">
        <v>1.4812499999999999E-2</v>
      </c>
    </row>
    <row r="1367" spans="1:1" x14ac:dyDescent="0.25">
      <c r="A1367" s="8">
        <v>1.5757811999996194E-2</v>
      </c>
    </row>
    <row r="1368" spans="1:1" x14ac:dyDescent="0.25">
      <c r="A1368" s="8">
        <v>1.7289063000003806E-2</v>
      </c>
    </row>
    <row r="1369" spans="1:1" x14ac:dyDescent="0.25">
      <c r="A1369" s="8">
        <v>1.7789061999996192E-2</v>
      </c>
    </row>
    <row r="1370" spans="1:1" x14ac:dyDescent="0.25">
      <c r="A1370" s="8">
        <v>1.3242188000003808E-2</v>
      </c>
    </row>
    <row r="1371" spans="1:1" x14ac:dyDescent="0.25">
      <c r="A1371" s="8">
        <v>2.3640624999999998E-2</v>
      </c>
    </row>
    <row r="1372" spans="1:1" x14ac:dyDescent="0.25">
      <c r="A1372" s="8">
        <v>9.9687500000000002E-3</v>
      </c>
    </row>
    <row r="1373" spans="1:1" x14ac:dyDescent="0.25">
      <c r="A1373" s="8">
        <v>7.4218749999999997E-3</v>
      </c>
    </row>
    <row r="1374" spans="1:1" x14ac:dyDescent="0.25">
      <c r="A1374" s="8">
        <v>8.8281249999999992E-3</v>
      </c>
    </row>
    <row r="1375" spans="1:1" x14ac:dyDescent="0.25">
      <c r="A1375" s="8">
        <v>3.1109375000000002E-2</v>
      </c>
    </row>
    <row r="1376" spans="1:1" x14ac:dyDescent="0.25">
      <c r="A1376" s="8">
        <v>1.95E-2</v>
      </c>
    </row>
    <row r="1377" spans="1:1" x14ac:dyDescent="0.25">
      <c r="A1377" s="8">
        <v>1.934375E-2</v>
      </c>
    </row>
    <row r="1378" spans="1:1" x14ac:dyDescent="0.25">
      <c r="A1378" s="8">
        <v>1.0687500000000001E-2</v>
      </c>
    </row>
    <row r="1379" spans="1:1" x14ac:dyDescent="0.25">
      <c r="A1379" s="8">
        <v>2.3734374999999999E-2</v>
      </c>
    </row>
    <row r="1380" spans="1:1" x14ac:dyDescent="0.25">
      <c r="A1380" s="8">
        <v>7.2343750000000004E-3</v>
      </c>
    </row>
    <row r="1381" spans="1:1" x14ac:dyDescent="0.25">
      <c r="A1381" s="8">
        <v>2.4453124999999999E-2</v>
      </c>
    </row>
    <row r="1382" spans="1:1" x14ac:dyDescent="0.25">
      <c r="A1382" s="8">
        <v>2.3609374999999998E-2</v>
      </c>
    </row>
    <row r="1383" spans="1:1" x14ac:dyDescent="0.25">
      <c r="A1383" s="8">
        <v>1.4046875E-2</v>
      </c>
    </row>
    <row r="1384" spans="1:1" x14ac:dyDescent="0.25">
      <c r="A1384" s="8">
        <v>1.9558593000001564E-2</v>
      </c>
    </row>
    <row r="1385" spans="1:1" x14ac:dyDescent="0.25">
      <c r="A1385" s="8">
        <v>7.7890620000034688E-3</v>
      </c>
    </row>
    <row r="1386" spans="1:1" x14ac:dyDescent="0.25">
      <c r="A1386" s="8">
        <v>1.3583984000000783E-2</v>
      </c>
    </row>
    <row r="1387" spans="1:1" x14ac:dyDescent="0.25">
      <c r="A1387" s="8">
        <v>1.0943359000000782E-2</v>
      </c>
    </row>
    <row r="1388" spans="1:1" x14ac:dyDescent="0.25">
      <c r="A1388" s="8">
        <v>2.5417969000001903E-2</v>
      </c>
    </row>
    <row r="1389" spans="1:1" x14ac:dyDescent="0.25">
      <c r="A1389" s="8">
        <v>1.2749999999999999E-2</v>
      </c>
    </row>
    <row r="1390" spans="1:1" x14ac:dyDescent="0.25">
      <c r="A1390" s="8">
        <v>2.0882811999996191E-2</v>
      </c>
    </row>
    <row r="1391" spans="1:1" x14ac:dyDescent="0.25">
      <c r="A1391" s="8">
        <v>6.0105468000001563E-2</v>
      </c>
    </row>
    <row r="1392" spans="1:1" x14ac:dyDescent="0.25">
      <c r="A1392" s="8">
        <v>7.3789069999984349E-3</v>
      </c>
    </row>
    <row r="1393" spans="1:1" x14ac:dyDescent="0.25">
      <c r="A1393" s="8">
        <v>1.4562500000000001E-2</v>
      </c>
    </row>
    <row r="1394" spans="1:1" x14ac:dyDescent="0.25">
      <c r="A1394" s="8">
        <v>1.7156250000000001E-2</v>
      </c>
    </row>
    <row r="1395" spans="1:1" x14ac:dyDescent="0.25">
      <c r="A1395" s="8">
        <v>1.6414061999996194E-2</v>
      </c>
    </row>
    <row r="1396" spans="1:1" x14ac:dyDescent="0.25">
      <c r="A1396" s="8">
        <v>1.1460937999996531E-2</v>
      </c>
    </row>
    <row r="1397" spans="1:1" x14ac:dyDescent="0.25">
      <c r="A1397" s="8">
        <v>1.140625E-2</v>
      </c>
    </row>
    <row r="1398" spans="1:1" x14ac:dyDescent="0.25">
      <c r="A1398" s="8">
        <v>1.5210937000003468E-2</v>
      </c>
    </row>
    <row r="1399" spans="1:1" x14ac:dyDescent="0.25">
      <c r="A1399" s="8">
        <v>1.1460936999996193E-2</v>
      </c>
    </row>
    <row r="1400" spans="1:1" x14ac:dyDescent="0.25">
      <c r="A1400" s="8">
        <v>1.3863280999998097E-2</v>
      </c>
    </row>
    <row r="1401" spans="1:1" x14ac:dyDescent="0.25">
      <c r="A1401" s="8">
        <v>9.9218749999999994E-2</v>
      </c>
    </row>
    <row r="1402" spans="1:1" x14ac:dyDescent="0.25">
      <c r="A1402" s="8">
        <v>1.4882811999996193E-2</v>
      </c>
    </row>
    <row r="1403" spans="1:1" x14ac:dyDescent="0.25">
      <c r="A1403" s="8">
        <v>1.0960936999996193E-2</v>
      </c>
    </row>
    <row r="1404" spans="1:1" x14ac:dyDescent="0.25">
      <c r="A1404" s="8">
        <v>1.4749999999999999E-2</v>
      </c>
    </row>
    <row r="1405" spans="1:1" x14ac:dyDescent="0.25">
      <c r="A1405" s="8">
        <v>1.2531250000000001E-2</v>
      </c>
    </row>
    <row r="1406" spans="1:1" x14ac:dyDescent="0.25">
      <c r="A1406" s="8">
        <v>1.8117188000003809E-2</v>
      </c>
    </row>
    <row r="1407" spans="1:1" x14ac:dyDescent="0.25">
      <c r="A1407" s="8">
        <v>1.6343750000000001E-2</v>
      </c>
    </row>
    <row r="1408" spans="1:1" x14ac:dyDescent="0.25">
      <c r="A1408" s="8">
        <v>1.184375E-2</v>
      </c>
    </row>
    <row r="1409" spans="1:1" x14ac:dyDescent="0.25">
      <c r="A1409" s="8">
        <v>1.4679686999996193E-2</v>
      </c>
    </row>
    <row r="1410" spans="1:1" x14ac:dyDescent="0.25">
      <c r="A1410" s="8">
        <v>1.190625E-2</v>
      </c>
    </row>
    <row r="1411" spans="1:1" x14ac:dyDescent="0.25">
      <c r="A1411" s="8">
        <v>2.0671874999999999E-2</v>
      </c>
    </row>
    <row r="1412" spans="1:1" x14ac:dyDescent="0.25">
      <c r="A1412" s="8">
        <v>9.2585938000003809E-2</v>
      </c>
    </row>
    <row r="1413" spans="1:1" x14ac:dyDescent="0.25">
      <c r="A1413" s="8">
        <v>2.6796875000000001E-2</v>
      </c>
    </row>
    <row r="1414" spans="1:1" x14ac:dyDescent="0.25">
      <c r="A1414" s="8">
        <v>8.9531249999999993E-3</v>
      </c>
    </row>
    <row r="1415" spans="1:1" x14ac:dyDescent="0.25">
      <c r="A1415" s="8">
        <v>1.0984374999999999E-2</v>
      </c>
    </row>
    <row r="1416" spans="1:1" x14ac:dyDescent="0.25">
      <c r="A1416" s="8">
        <v>1.8492186999996194E-2</v>
      </c>
    </row>
    <row r="1417" spans="1:1" x14ac:dyDescent="0.25">
      <c r="A1417" s="8">
        <v>1.8179686999996194E-2</v>
      </c>
    </row>
    <row r="1418" spans="1:1" x14ac:dyDescent="0.25">
      <c r="A1418" s="8">
        <v>1.1382813000003808E-2</v>
      </c>
    </row>
    <row r="1419" spans="1:1" x14ac:dyDescent="0.25">
      <c r="A1419" s="8">
        <v>1.2242186999996192E-2</v>
      </c>
    </row>
    <row r="1420" spans="1:1" x14ac:dyDescent="0.25">
      <c r="A1420" s="8">
        <v>1.1085936999996193E-2</v>
      </c>
    </row>
    <row r="1421" spans="1:1" x14ac:dyDescent="0.25">
      <c r="A1421" s="8">
        <v>7.4609380000038071E-3</v>
      </c>
    </row>
    <row r="1422" spans="1:1" x14ac:dyDescent="0.25">
      <c r="A1422" s="8">
        <v>1.1351561999996193E-2</v>
      </c>
    </row>
    <row r="1423" spans="1:1" x14ac:dyDescent="0.25">
      <c r="A1423" s="8">
        <v>1.6203124999999999E-2</v>
      </c>
    </row>
    <row r="1424" spans="1:1" x14ac:dyDescent="0.25">
      <c r="A1424" s="8">
        <v>1.6843750000000001E-2</v>
      </c>
    </row>
    <row r="1425" spans="1:1" x14ac:dyDescent="0.25">
      <c r="A1425" s="8">
        <v>1.0984374999999999E-2</v>
      </c>
    </row>
    <row r="1426" spans="1:1" x14ac:dyDescent="0.25">
      <c r="A1426" s="8">
        <v>1.4968749999999999E-2</v>
      </c>
    </row>
    <row r="1427" spans="1:1" x14ac:dyDescent="0.25">
      <c r="A1427" s="8">
        <v>2.2984375000000001E-2</v>
      </c>
    </row>
    <row r="1428" spans="1:1" x14ac:dyDescent="0.25">
      <c r="A1428" s="8">
        <v>2.9062500000000002E-2</v>
      </c>
    </row>
    <row r="1429" spans="1:1" x14ac:dyDescent="0.25">
      <c r="A1429" s="8">
        <v>1.0828124999999999E-2</v>
      </c>
    </row>
    <row r="1430" spans="1:1" x14ac:dyDescent="0.25">
      <c r="A1430" s="8">
        <v>2.5000000000000001E-2</v>
      </c>
    </row>
    <row r="1431" spans="1:1" x14ac:dyDescent="0.25">
      <c r="A1431" s="8">
        <v>8.8593749999999992E-3</v>
      </c>
    </row>
    <row r="1432" spans="1:1" x14ac:dyDescent="0.25">
      <c r="A1432" s="8">
        <v>1.2796874999999999E-2</v>
      </c>
    </row>
    <row r="1433" spans="1:1" x14ac:dyDescent="0.25">
      <c r="A1433" s="8">
        <v>2.0171874999999999E-2</v>
      </c>
    </row>
    <row r="1434" spans="1:1" x14ac:dyDescent="0.25">
      <c r="A1434" s="8">
        <v>2.2374999999999999E-2</v>
      </c>
    </row>
    <row r="1435" spans="1:1" x14ac:dyDescent="0.25">
      <c r="A1435" s="8">
        <v>2.1593749999999998E-2</v>
      </c>
    </row>
    <row r="1436" spans="1:1" x14ac:dyDescent="0.25">
      <c r="A1436" s="8">
        <v>1.165625E-2</v>
      </c>
    </row>
    <row r="1437" spans="1:1" x14ac:dyDescent="0.25">
      <c r="A1437" s="8">
        <v>1.153125E-2</v>
      </c>
    </row>
    <row r="1438" spans="1:1" x14ac:dyDescent="0.25">
      <c r="A1438" s="8">
        <v>1.171875E-2</v>
      </c>
    </row>
    <row r="1439" spans="1:1" x14ac:dyDescent="0.25">
      <c r="A1439" s="8">
        <v>7.765625E-3</v>
      </c>
    </row>
    <row r="1440" spans="1:1" x14ac:dyDescent="0.25">
      <c r="A1440" s="8">
        <v>1.7453125E-2</v>
      </c>
    </row>
    <row r="1441" spans="1:1" x14ac:dyDescent="0.25">
      <c r="A1441" s="8">
        <v>1.0859374999999999E-2</v>
      </c>
    </row>
    <row r="1442" spans="1:1" x14ac:dyDescent="0.25">
      <c r="A1442" s="8">
        <v>1.3640625E-2</v>
      </c>
    </row>
    <row r="1443" spans="1:1" x14ac:dyDescent="0.25">
      <c r="A1443" s="8">
        <v>1.8374999999999999E-2</v>
      </c>
    </row>
    <row r="1444" spans="1:1" x14ac:dyDescent="0.25">
      <c r="A1444" s="8">
        <v>1.34375E-2</v>
      </c>
    </row>
    <row r="1445" spans="1:1" x14ac:dyDescent="0.25">
      <c r="A1445" s="8">
        <v>4.8453125E-2</v>
      </c>
    </row>
    <row r="1446" spans="1:1" x14ac:dyDescent="0.25">
      <c r="A1446" s="8">
        <v>1.6208984000000783E-2</v>
      </c>
    </row>
    <row r="1447" spans="1:1" x14ac:dyDescent="0.25">
      <c r="A1447" s="8">
        <v>1.5691406000001733E-2</v>
      </c>
    </row>
    <row r="1448" spans="1:1" x14ac:dyDescent="0.25">
      <c r="A1448" s="8">
        <v>2.7207031999998434E-2</v>
      </c>
    </row>
    <row r="1449" spans="1:1" x14ac:dyDescent="0.25">
      <c r="A1449" s="8">
        <v>1.7904296999997314E-2</v>
      </c>
    </row>
    <row r="1450" spans="1:1" x14ac:dyDescent="0.25">
      <c r="A1450" s="8">
        <v>1.2011718999998266E-2</v>
      </c>
    </row>
    <row r="1451" spans="1:1" x14ac:dyDescent="0.25">
      <c r="A1451" s="8">
        <v>1.4029297000000952E-2</v>
      </c>
    </row>
    <row r="1452" spans="1:1" x14ac:dyDescent="0.25">
      <c r="A1452" s="8">
        <v>2.2349609999997484E-2</v>
      </c>
    </row>
    <row r="1453" spans="1:1" x14ac:dyDescent="0.25">
      <c r="A1453" s="8">
        <v>1.0972656999998436E-2</v>
      </c>
    </row>
    <row r="1454" spans="1:1" x14ac:dyDescent="0.25">
      <c r="A1454" s="8">
        <v>1.6812500000000001E-2</v>
      </c>
    </row>
    <row r="1455" spans="1:1" x14ac:dyDescent="0.25">
      <c r="A1455" s="8">
        <v>2.3398438000003807E-2</v>
      </c>
    </row>
    <row r="1456" spans="1:1" x14ac:dyDescent="0.25">
      <c r="A1456" s="8">
        <v>2.5179687999996533E-2</v>
      </c>
    </row>
    <row r="1457" spans="1:1" x14ac:dyDescent="0.25">
      <c r="A1457" s="8">
        <v>1.9082030999998098E-2</v>
      </c>
    </row>
    <row r="1458" spans="1:1" x14ac:dyDescent="0.25">
      <c r="A1458" s="8">
        <v>1.8374999999999999E-2</v>
      </c>
    </row>
    <row r="1459" spans="1:1" x14ac:dyDescent="0.25">
      <c r="A1459" s="8">
        <v>3.459375E-2</v>
      </c>
    </row>
    <row r="1460" spans="1:1" x14ac:dyDescent="0.25">
      <c r="A1460" s="8">
        <v>4.0085936999996193E-2</v>
      </c>
    </row>
    <row r="1461" spans="1:1" x14ac:dyDescent="0.25">
      <c r="A1461" s="8">
        <v>1.8785155999998096E-2</v>
      </c>
    </row>
    <row r="1462" spans="1:1" x14ac:dyDescent="0.25">
      <c r="A1462" s="8">
        <v>1.4996093999994627E-2</v>
      </c>
    </row>
    <row r="1463" spans="1:1" x14ac:dyDescent="0.25">
      <c r="A1463" s="8">
        <v>1.0160155999998097E-2</v>
      </c>
    </row>
    <row r="1464" spans="1:1" x14ac:dyDescent="0.25">
      <c r="A1464" s="8">
        <v>1.4148438000003807E-2</v>
      </c>
    </row>
    <row r="1465" spans="1:1" x14ac:dyDescent="0.25">
      <c r="A1465" s="8">
        <v>2.3601563000003808E-2</v>
      </c>
    </row>
    <row r="1466" spans="1:1" x14ac:dyDescent="0.25">
      <c r="A1466" s="8">
        <v>1.5109375E-2</v>
      </c>
    </row>
    <row r="1467" spans="1:1" x14ac:dyDescent="0.25">
      <c r="A1467" s="8">
        <v>2.3367187000003467E-2</v>
      </c>
    </row>
    <row r="1468" spans="1:1" x14ac:dyDescent="0.25">
      <c r="A1468" s="8">
        <v>4.4749999999999998E-2</v>
      </c>
    </row>
    <row r="1469" spans="1:1" x14ac:dyDescent="0.25">
      <c r="A1469" s="8">
        <v>1.4902344000001904E-2</v>
      </c>
    </row>
    <row r="1470" spans="1:1" x14ac:dyDescent="0.25">
      <c r="A1470" s="8">
        <v>1.1082031000005372E-2</v>
      </c>
    </row>
    <row r="1471" spans="1:1" x14ac:dyDescent="0.25">
      <c r="A1471" s="8">
        <v>2.3085938000003806E-2</v>
      </c>
    </row>
    <row r="1472" spans="1:1" x14ac:dyDescent="0.25">
      <c r="A1472" s="8">
        <v>1.9445313000003808E-2</v>
      </c>
    </row>
    <row r="1473" spans="1:1" x14ac:dyDescent="0.25">
      <c r="A1473" s="8">
        <v>1.8414063000003807E-2</v>
      </c>
    </row>
    <row r="1474" spans="1:1" x14ac:dyDescent="0.25">
      <c r="A1474" s="8">
        <v>9.4218749999999997E-3</v>
      </c>
    </row>
    <row r="1475" spans="1:1" x14ac:dyDescent="0.25">
      <c r="A1475" s="8">
        <v>1.7656249999999998E-2</v>
      </c>
    </row>
    <row r="1476" spans="1:1" x14ac:dyDescent="0.25">
      <c r="A1476" s="8">
        <v>1.7015625E-2</v>
      </c>
    </row>
    <row r="1477" spans="1:1" x14ac:dyDescent="0.25">
      <c r="A1477" s="8">
        <v>1.4445313000003807E-2</v>
      </c>
    </row>
    <row r="1478" spans="1:1" x14ac:dyDescent="0.25">
      <c r="A1478" s="8">
        <v>2.1359375E-2</v>
      </c>
    </row>
    <row r="1479" spans="1:1" x14ac:dyDescent="0.25">
      <c r="A1479" s="8">
        <v>1.0945311999996193E-2</v>
      </c>
    </row>
    <row r="1480" spans="1:1" x14ac:dyDescent="0.25">
      <c r="A1480" s="8">
        <v>7.4921880000038072E-3</v>
      </c>
    </row>
    <row r="1481" spans="1:1" x14ac:dyDescent="0.25">
      <c r="A1481" s="8">
        <v>1.6109374999999999E-2</v>
      </c>
    </row>
    <row r="1482" spans="1:1" x14ac:dyDescent="0.25">
      <c r="A1482" s="8">
        <v>1.8906249999999999E-2</v>
      </c>
    </row>
    <row r="1483" spans="1:1" x14ac:dyDescent="0.25">
      <c r="A1483" s="8">
        <v>2.5343750000000002E-2</v>
      </c>
    </row>
    <row r="1484" spans="1:1" x14ac:dyDescent="0.25">
      <c r="A1484" s="8">
        <v>7.859375E-3</v>
      </c>
    </row>
    <row r="1485" spans="1:1" x14ac:dyDescent="0.25">
      <c r="A1485" s="8">
        <v>8.0546869999961919E-3</v>
      </c>
    </row>
    <row r="1486" spans="1:1" x14ac:dyDescent="0.25">
      <c r="A1486" s="8">
        <v>2.34375E-2</v>
      </c>
    </row>
    <row r="1487" spans="1:1" x14ac:dyDescent="0.25">
      <c r="A1487" s="8">
        <v>1.7554688000003808E-2</v>
      </c>
    </row>
    <row r="1488" spans="1:1" x14ac:dyDescent="0.25">
      <c r="A1488" s="8">
        <v>2.0437500000000001E-2</v>
      </c>
    </row>
    <row r="1489" spans="1:1" x14ac:dyDescent="0.25">
      <c r="A1489" s="8">
        <v>1.4695313000003807E-2</v>
      </c>
    </row>
    <row r="1490" spans="1:1" x14ac:dyDescent="0.25">
      <c r="A1490" s="8">
        <v>7.5390630000038072E-3</v>
      </c>
    </row>
    <row r="1491" spans="1:1" x14ac:dyDescent="0.25">
      <c r="A1491" s="8">
        <v>1.378125E-2</v>
      </c>
    </row>
    <row r="1492" spans="1:1" x14ac:dyDescent="0.25">
      <c r="A1492" s="8">
        <v>1.2531250000000001E-2</v>
      </c>
    </row>
    <row r="1493" spans="1:1" x14ac:dyDescent="0.25">
      <c r="A1493" s="8">
        <v>1.41875E-2</v>
      </c>
    </row>
    <row r="1494" spans="1:1" x14ac:dyDescent="0.25">
      <c r="A1494" s="8">
        <v>1.2578125000000001E-2</v>
      </c>
    </row>
    <row r="1495" spans="1:1" x14ac:dyDescent="0.25">
      <c r="A1495" s="8">
        <v>2.0476563000003806E-2</v>
      </c>
    </row>
    <row r="1496" spans="1:1" x14ac:dyDescent="0.25">
      <c r="A1496" s="8">
        <v>3.1210936999996192E-2</v>
      </c>
    </row>
    <row r="1497" spans="1:1" x14ac:dyDescent="0.25">
      <c r="A1497" s="8">
        <v>1.4421875000000001E-2</v>
      </c>
    </row>
    <row r="1498" spans="1:1" x14ac:dyDescent="0.25">
      <c r="A1498" s="8">
        <v>2.1257811999996191E-2</v>
      </c>
    </row>
    <row r="1499" spans="1:1" x14ac:dyDescent="0.25">
      <c r="A1499" s="8">
        <v>2.678125E-2</v>
      </c>
    </row>
    <row r="1500" spans="1:1" x14ac:dyDescent="0.25">
      <c r="A1500" s="8">
        <v>1.6812500000000001E-2</v>
      </c>
    </row>
    <row r="1501" spans="1:1" x14ac:dyDescent="0.25">
      <c r="A1501" s="8">
        <v>6.9687499999999999E-2</v>
      </c>
    </row>
    <row r="1502" spans="1:1" x14ac:dyDescent="0.25">
      <c r="A1502" s="8">
        <v>2.2531249999999999E-2</v>
      </c>
    </row>
    <row r="1503" spans="1:1" x14ac:dyDescent="0.25">
      <c r="A1503" s="8">
        <v>1.3765625E-2</v>
      </c>
    </row>
    <row r="1504" spans="1:1" x14ac:dyDescent="0.25">
      <c r="A1504" s="8">
        <v>1.1093749999999999E-2</v>
      </c>
    </row>
    <row r="1505" spans="1:1" x14ac:dyDescent="0.25">
      <c r="A1505" s="8">
        <v>1.7624999999999998E-2</v>
      </c>
    </row>
    <row r="1506" spans="1:1" x14ac:dyDescent="0.25">
      <c r="A1506" s="8">
        <v>2.8968750000000001E-2</v>
      </c>
    </row>
    <row r="1507" spans="1:1" x14ac:dyDescent="0.25">
      <c r="A1507" s="8">
        <v>2.0296874999999999E-2</v>
      </c>
    </row>
    <row r="1508" spans="1:1" x14ac:dyDescent="0.25">
      <c r="A1508" s="8">
        <v>2.0015624999999999E-2</v>
      </c>
    </row>
    <row r="1509" spans="1:1" x14ac:dyDescent="0.25">
      <c r="A1509" s="8">
        <v>1.7187500000000001E-2</v>
      </c>
    </row>
    <row r="1510" spans="1:1" x14ac:dyDescent="0.25">
      <c r="A1510" s="8">
        <v>2.0250000000000001E-2</v>
      </c>
    </row>
    <row r="1511" spans="1:1" x14ac:dyDescent="0.25">
      <c r="A1511" s="8">
        <v>2.1671875E-2</v>
      </c>
    </row>
    <row r="1512" spans="1:1" x14ac:dyDescent="0.25">
      <c r="A1512" s="8">
        <v>2.1156250000000001E-2</v>
      </c>
    </row>
    <row r="1513" spans="1:1" x14ac:dyDescent="0.25">
      <c r="A1513" s="8">
        <v>2.1615234000000781E-2</v>
      </c>
    </row>
    <row r="1514" spans="1:1" x14ac:dyDescent="0.25">
      <c r="A1514" s="8">
        <v>2.5314452999999047E-2</v>
      </c>
    </row>
    <row r="1515" spans="1:1" x14ac:dyDescent="0.25">
      <c r="A1515" s="8">
        <v>2.8218750000000001E-2</v>
      </c>
    </row>
    <row r="1516" spans="1:1" x14ac:dyDescent="0.25">
      <c r="A1516" s="8">
        <v>8.9374999999999993E-3</v>
      </c>
    </row>
    <row r="1517" spans="1:1" x14ac:dyDescent="0.25">
      <c r="A1517" s="8">
        <v>1.5621093000001566E-2</v>
      </c>
    </row>
    <row r="1518" spans="1:1" x14ac:dyDescent="0.25">
      <c r="A1518" s="8">
        <v>1.2441405999998096E-2</v>
      </c>
    </row>
    <row r="1519" spans="1:1" x14ac:dyDescent="0.25">
      <c r="A1519" s="8">
        <v>7.7460940000019032E-3</v>
      </c>
    </row>
    <row r="1520" spans="1:1" x14ac:dyDescent="0.25">
      <c r="A1520" s="8">
        <v>6.4722656000005374E-2</v>
      </c>
    </row>
    <row r="1521" spans="1:1" x14ac:dyDescent="0.25">
      <c r="A1521" s="8">
        <v>2.0488280999998096E-2</v>
      </c>
    </row>
    <row r="1522" spans="1:1" x14ac:dyDescent="0.25">
      <c r="A1522" s="8">
        <v>1.2105469000001904E-2</v>
      </c>
    </row>
    <row r="1523" spans="1:1" x14ac:dyDescent="0.25">
      <c r="A1523" s="8">
        <v>8.9578124999999995E-2</v>
      </c>
    </row>
    <row r="1524" spans="1:1" x14ac:dyDescent="0.25">
      <c r="A1524" s="8">
        <v>2.1003906999998434E-2</v>
      </c>
    </row>
    <row r="1525" spans="1:1" x14ac:dyDescent="0.25">
      <c r="A1525" s="8">
        <v>2.0820313000003806E-2</v>
      </c>
    </row>
    <row r="1526" spans="1:1" x14ac:dyDescent="0.25">
      <c r="A1526" s="8">
        <v>1.6812500000000001E-2</v>
      </c>
    </row>
    <row r="1527" spans="1:1" x14ac:dyDescent="0.25">
      <c r="A1527" s="8">
        <v>2.1996094000001902E-2</v>
      </c>
    </row>
    <row r="1528" spans="1:1" x14ac:dyDescent="0.25">
      <c r="A1528" s="8">
        <v>1.4687499999999999E-2</v>
      </c>
    </row>
    <row r="1529" spans="1:1" x14ac:dyDescent="0.25">
      <c r="A1529" s="8">
        <v>1.4226563000003807E-2</v>
      </c>
    </row>
    <row r="1530" spans="1:1" x14ac:dyDescent="0.25">
      <c r="A1530" s="8">
        <v>1.9132811999996193E-2</v>
      </c>
    </row>
    <row r="1531" spans="1:1" x14ac:dyDescent="0.25">
      <c r="A1531" s="8">
        <v>1.1179686999996193E-2</v>
      </c>
    </row>
    <row r="1532" spans="1:1" x14ac:dyDescent="0.25">
      <c r="A1532" s="8">
        <v>2.5593749999999998E-2</v>
      </c>
    </row>
    <row r="1533" spans="1:1" x14ac:dyDescent="0.25">
      <c r="A1533" s="8">
        <v>1.1976563000003807E-2</v>
      </c>
    </row>
    <row r="1534" spans="1:1" x14ac:dyDescent="0.25">
      <c r="A1534" s="8">
        <v>2.1859375E-2</v>
      </c>
    </row>
    <row r="1535" spans="1:1" x14ac:dyDescent="0.25">
      <c r="A1535" s="8">
        <v>4.841406300000381E-2</v>
      </c>
    </row>
    <row r="1536" spans="1:1" x14ac:dyDescent="0.25">
      <c r="A1536" s="8">
        <v>2.5296875E-2</v>
      </c>
    </row>
    <row r="1537" spans="1:1" x14ac:dyDescent="0.25">
      <c r="A1537" s="8">
        <v>2.2101561999996192E-2</v>
      </c>
    </row>
    <row r="1538" spans="1:1" x14ac:dyDescent="0.25">
      <c r="A1538" s="8">
        <v>1.7695313000003807E-2</v>
      </c>
    </row>
    <row r="1539" spans="1:1" x14ac:dyDescent="0.25">
      <c r="A1539" s="8">
        <v>1.4375000000000001E-2</v>
      </c>
    </row>
    <row r="1540" spans="1:1" x14ac:dyDescent="0.25">
      <c r="A1540" s="8">
        <v>1.3328125E-2</v>
      </c>
    </row>
    <row r="1541" spans="1:1" x14ac:dyDescent="0.25">
      <c r="A1541" s="8">
        <v>1.9875E-2</v>
      </c>
    </row>
    <row r="1542" spans="1:1" x14ac:dyDescent="0.25">
      <c r="A1542" s="8">
        <v>1.9890624999999999E-2</v>
      </c>
    </row>
    <row r="1543" spans="1:1" x14ac:dyDescent="0.25">
      <c r="A1543" s="8">
        <v>1.1007813000003808E-2</v>
      </c>
    </row>
    <row r="1544" spans="1:1" x14ac:dyDescent="0.25">
      <c r="A1544" s="8">
        <v>1.4437500000000001E-2</v>
      </c>
    </row>
    <row r="1545" spans="1:1" x14ac:dyDescent="0.25">
      <c r="A1545" s="8">
        <v>2.1679688000003808E-2</v>
      </c>
    </row>
    <row r="1546" spans="1:1" x14ac:dyDescent="0.25">
      <c r="A1546" s="8">
        <v>1.7773438000003808E-2</v>
      </c>
    </row>
    <row r="1547" spans="1:1" x14ac:dyDescent="0.25">
      <c r="A1547" s="8">
        <v>1.8039063000003807E-2</v>
      </c>
    </row>
    <row r="1548" spans="1:1" x14ac:dyDescent="0.25">
      <c r="A1548" s="8">
        <v>1.7874999999999999E-2</v>
      </c>
    </row>
    <row r="1549" spans="1:1" x14ac:dyDescent="0.25">
      <c r="A1549" s="8">
        <v>0.11578906300000381</v>
      </c>
    </row>
    <row r="1550" spans="1:1" x14ac:dyDescent="0.25">
      <c r="A1550" s="8">
        <v>1.4625000000000001E-2</v>
      </c>
    </row>
    <row r="1551" spans="1:1" x14ac:dyDescent="0.25">
      <c r="A1551" s="8">
        <v>7.7265630000038074E-3</v>
      </c>
    </row>
    <row r="1552" spans="1:1" x14ac:dyDescent="0.25">
      <c r="A1552" s="8">
        <v>3.3226561999996192E-2</v>
      </c>
    </row>
    <row r="1553" spans="1:1" x14ac:dyDescent="0.25">
      <c r="A1553" s="8">
        <v>1.7257811999996191E-2</v>
      </c>
    </row>
    <row r="1554" spans="1:1" x14ac:dyDescent="0.25">
      <c r="A1554" s="8">
        <v>1.4117186999996192E-2</v>
      </c>
    </row>
    <row r="1555" spans="1:1" x14ac:dyDescent="0.25">
      <c r="A1555" s="8">
        <v>3.1281249999999997E-2</v>
      </c>
    </row>
    <row r="1556" spans="1:1" x14ac:dyDescent="0.25">
      <c r="A1556" s="8">
        <v>2.2890625000000001E-2</v>
      </c>
    </row>
    <row r="1557" spans="1:1" x14ac:dyDescent="0.25">
      <c r="A1557" s="8">
        <v>2.5414061999996192E-2</v>
      </c>
    </row>
    <row r="1558" spans="1:1" x14ac:dyDescent="0.25">
      <c r="A1558" s="8">
        <v>1.2437500000000001E-2</v>
      </c>
    </row>
    <row r="1559" spans="1:1" x14ac:dyDescent="0.25">
      <c r="A1559" s="8">
        <v>1.396875E-2</v>
      </c>
    </row>
    <row r="1560" spans="1:1" x14ac:dyDescent="0.25">
      <c r="A1560" s="8">
        <v>1.403125E-2</v>
      </c>
    </row>
    <row r="1561" spans="1:1" x14ac:dyDescent="0.25">
      <c r="A1561" s="8">
        <v>1.5609375E-2</v>
      </c>
    </row>
    <row r="1562" spans="1:1" x14ac:dyDescent="0.25">
      <c r="A1562" s="8">
        <v>1.1390625E-2</v>
      </c>
    </row>
    <row r="1563" spans="1:1" x14ac:dyDescent="0.25">
      <c r="A1563" s="8">
        <v>1.2234375E-2</v>
      </c>
    </row>
    <row r="1564" spans="1:1" x14ac:dyDescent="0.25">
      <c r="A1564" s="8">
        <v>2.8843750000000001E-2</v>
      </c>
    </row>
    <row r="1565" spans="1:1" x14ac:dyDescent="0.25">
      <c r="A1565" s="8">
        <v>1.2874999999999999E-2</v>
      </c>
    </row>
    <row r="1566" spans="1:1" x14ac:dyDescent="0.25">
      <c r="A1566" s="8">
        <v>1.3953125E-2</v>
      </c>
    </row>
    <row r="1567" spans="1:1" x14ac:dyDescent="0.25">
      <c r="A1567" s="8">
        <v>2.5906249999999999E-2</v>
      </c>
    </row>
    <row r="1568" spans="1:1" x14ac:dyDescent="0.25">
      <c r="A1568" s="8">
        <v>2.8484374999999999E-2</v>
      </c>
    </row>
    <row r="1569" spans="1:1" x14ac:dyDescent="0.25">
      <c r="A1569" s="8">
        <v>2.1109375E-2</v>
      </c>
    </row>
    <row r="1570" spans="1:1" x14ac:dyDescent="0.25">
      <c r="A1570" s="8">
        <v>8.8593749999999992E-3</v>
      </c>
    </row>
    <row r="1571" spans="1:1" x14ac:dyDescent="0.25">
      <c r="A1571" s="8">
        <v>2.0812500000000001E-2</v>
      </c>
    </row>
    <row r="1572" spans="1:1" x14ac:dyDescent="0.25">
      <c r="A1572" s="8">
        <v>7.5156249999999997E-3</v>
      </c>
    </row>
    <row r="1573" spans="1:1" x14ac:dyDescent="0.25">
      <c r="A1573" s="8">
        <v>1.0781249999999999E-2</v>
      </c>
    </row>
    <row r="1574" spans="1:1" x14ac:dyDescent="0.25">
      <c r="A1574" s="8">
        <v>1.8734375000000001E-2</v>
      </c>
    </row>
    <row r="1575" spans="1:1" x14ac:dyDescent="0.25">
      <c r="A1575" s="8">
        <v>3.540625E-2</v>
      </c>
    </row>
    <row r="1576" spans="1:1" x14ac:dyDescent="0.25">
      <c r="A1576" s="8">
        <v>2.9609375E-2</v>
      </c>
    </row>
    <row r="1577" spans="1:1" x14ac:dyDescent="0.25">
      <c r="A1577" s="8">
        <v>1.9083984000000782E-2</v>
      </c>
    </row>
    <row r="1578" spans="1:1" x14ac:dyDescent="0.25">
      <c r="A1578" s="8">
        <v>2.0421874999999999E-2</v>
      </c>
    </row>
    <row r="1579" spans="1:1" x14ac:dyDescent="0.25">
      <c r="A1579" s="8">
        <v>2.0916015000002518E-2</v>
      </c>
    </row>
    <row r="1580" spans="1:1" x14ac:dyDescent="0.25">
      <c r="A1580" s="8">
        <v>7.4882809999980964E-3</v>
      </c>
    </row>
    <row r="1581" spans="1:1" x14ac:dyDescent="0.25">
      <c r="A1581" s="8">
        <v>1.724023500000112E-2</v>
      </c>
    </row>
    <row r="1582" spans="1:1" x14ac:dyDescent="0.25">
      <c r="A1582" s="8">
        <v>1.7722656000005374E-2</v>
      </c>
    </row>
    <row r="1583" spans="1:1" x14ac:dyDescent="0.25">
      <c r="A1583" s="8">
        <v>1.6812500000000001E-2</v>
      </c>
    </row>
    <row r="1584" spans="1:1" x14ac:dyDescent="0.25">
      <c r="A1584" s="8">
        <v>1.6335937000003468E-2</v>
      </c>
    </row>
    <row r="1585" spans="1:1" x14ac:dyDescent="0.25">
      <c r="A1585" s="8">
        <v>1.9175781000005374E-2</v>
      </c>
    </row>
    <row r="1586" spans="1:1" x14ac:dyDescent="0.25">
      <c r="A1586" s="8">
        <v>8.0546880000038068E-3</v>
      </c>
    </row>
    <row r="1587" spans="1:1" x14ac:dyDescent="0.25">
      <c r="A1587" s="8">
        <v>1.3742186999996193E-2</v>
      </c>
    </row>
    <row r="1588" spans="1:1" x14ac:dyDescent="0.25">
      <c r="A1588" s="8">
        <v>1.2480469000001904E-2</v>
      </c>
    </row>
    <row r="1589" spans="1:1" x14ac:dyDescent="0.25">
      <c r="A1589" s="8">
        <v>1.1800780999998097E-2</v>
      </c>
    </row>
    <row r="1590" spans="1:1" x14ac:dyDescent="0.25">
      <c r="A1590" s="8">
        <v>8.6519531999998428E-2</v>
      </c>
    </row>
    <row r="1591" spans="1:1" x14ac:dyDescent="0.25">
      <c r="A1591" s="8">
        <v>0.102046875</v>
      </c>
    </row>
    <row r="1592" spans="1:1" x14ac:dyDescent="0.25">
      <c r="A1592" s="8">
        <v>9.917968999994628E-3</v>
      </c>
    </row>
    <row r="1593" spans="1:1" x14ac:dyDescent="0.25">
      <c r="A1593" s="8">
        <v>1.3066406999998436E-2</v>
      </c>
    </row>
    <row r="1594" spans="1:1" x14ac:dyDescent="0.25">
      <c r="A1594" s="8">
        <v>1.7292968000001564E-2</v>
      </c>
    </row>
    <row r="1595" spans="1:1" x14ac:dyDescent="0.25">
      <c r="A1595" s="8">
        <v>7.5937499999999998E-3</v>
      </c>
    </row>
    <row r="1596" spans="1:1" x14ac:dyDescent="0.25">
      <c r="A1596" s="8">
        <v>2.1929688000003809E-2</v>
      </c>
    </row>
    <row r="1597" spans="1:1" x14ac:dyDescent="0.25">
      <c r="A1597" s="8">
        <v>1.4265625000000001E-2</v>
      </c>
    </row>
    <row r="1598" spans="1:1" x14ac:dyDescent="0.25">
      <c r="A1598" s="8">
        <v>2.0945311999996191E-2</v>
      </c>
    </row>
    <row r="1599" spans="1:1" x14ac:dyDescent="0.25">
      <c r="A1599" s="8">
        <v>1.3328125E-2</v>
      </c>
    </row>
    <row r="1600" spans="1:1" x14ac:dyDescent="0.25">
      <c r="A1600" s="8">
        <v>1.0148436999996192E-2</v>
      </c>
    </row>
    <row r="1601" spans="1:1" x14ac:dyDescent="0.25">
      <c r="A1601" s="8">
        <v>1.8984375000000001E-2</v>
      </c>
    </row>
    <row r="1602" spans="1:1" x14ac:dyDescent="0.25">
      <c r="A1602" s="8">
        <v>2.2726563000003808E-2</v>
      </c>
    </row>
    <row r="1603" spans="1:1" x14ac:dyDescent="0.25">
      <c r="A1603" s="8">
        <v>6.7414063000003813E-2</v>
      </c>
    </row>
    <row r="1604" spans="1:1" x14ac:dyDescent="0.25">
      <c r="A1604" s="8">
        <v>1.0546875000000001E-2</v>
      </c>
    </row>
    <row r="1605" spans="1:1" x14ac:dyDescent="0.25">
      <c r="A1605" s="8">
        <v>1.528125E-2</v>
      </c>
    </row>
    <row r="1606" spans="1:1" x14ac:dyDescent="0.25">
      <c r="A1606" s="8">
        <v>1.0632813000003807E-2</v>
      </c>
    </row>
    <row r="1607" spans="1:1" x14ac:dyDescent="0.25">
      <c r="A1607" s="8">
        <v>7.4296880000038071E-3</v>
      </c>
    </row>
    <row r="1608" spans="1:1" x14ac:dyDescent="0.25">
      <c r="A1608" s="8">
        <v>1.0773438000003807E-2</v>
      </c>
    </row>
    <row r="1609" spans="1:1" x14ac:dyDescent="0.25">
      <c r="A1609" s="8">
        <v>1.0585938000003807E-2</v>
      </c>
    </row>
    <row r="1610" spans="1:1" x14ac:dyDescent="0.25">
      <c r="A1610" s="8">
        <v>1.3359375E-2</v>
      </c>
    </row>
    <row r="1611" spans="1:1" x14ac:dyDescent="0.25">
      <c r="A1611" s="8">
        <v>1.1257813000003808E-2</v>
      </c>
    </row>
    <row r="1612" spans="1:1" x14ac:dyDescent="0.25">
      <c r="A1612" s="8">
        <v>3.9695313000003805E-2</v>
      </c>
    </row>
    <row r="1613" spans="1:1" x14ac:dyDescent="0.25">
      <c r="A1613" s="8">
        <v>1.4617188000003807E-2</v>
      </c>
    </row>
    <row r="1614" spans="1:1" x14ac:dyDescent="0.25">
      <c r="A1614" s="8">
        <v>7.5156249999999997E-3</v>
      </c>
    </row>
    <row r="1615" spans="1:1" x14ac:dyDescent="0.25">
      <c r="A1615" s="8">
        <v>2.3109375000000001E-2</v>
      </c>
    </row>
    <row r="1616" spans="1:1" x14ac:dyDescent="0.25">
      <c r="A1616" s="8">
        <v>1.4406250000000001E-2</v>
      </c>
    </row>
    <row r="1617" spans="1:1" x14ac:dyDescent="0.25">
      <c r="A1617" s="8">
        <v>2.2781249999999999E-2</v>
      </c>
    </row>
    <row r="1618" spans="1:1" x14ac:dyDescent="0.25">
      <c r="A1618" s="8">
        <v>1.6437500000000001E-2</v>
      </c>
    </row>
    <row r="1619" spans="1:1" x14ac:dyDescent="0.25">
      <c r="A1619" s="8">
        <v>4.3984374999999999E-2</v>
      </c>
    </row>
    <row r="1620" spans="1:1" x14ac:dyDescent="0.25">
      <c r="A1620" s="8">
        <v>1.1046874999999999E-2</v>
      </c>
    </row>
    <row r="1621" spans="1:1" x14ac:dyDescent="0.25">
      <c r="A1621" s="8">
        <v>1.1335938000003808E-2</v>
      </c>
    </row>
    <row r="1622" spans="1:1" x14ac:dyDescent="0.25">
      <c r="A1622" s="8">
        <v>1.4515625000000001E-2</v>
      </c>
    </row>
    <row r="1623" spans="1:1" x14ac:dyDescent="0.25">
      <c r="A1623" s="8">
        <v>1.3875E-2</v>
      </c>
    </row>
    <row r="1624" spans="1:1" x14ac:dyDescent="0.25">
      <c r="A1624" s="8">
        <v>6.4765619999961931E-3</v>
      </c>
    </row>
    <row r="1625" spans="1:1" x14ac:dyDescent="0.25">
      <c r="A1625" s="8">
        <v>0.02</v>
      </c>
    </row>
    <row r="1626" spans="1:1" x14ac:dyDescent="0.25">
      <c r="A1626" s="8">
        <v>7.4843749999999997E-3</v>
      </c>
    </row>
    <row r="1627" spans="1:1" x14ac:dyDescent="0.25">
      <c r="A1627" s="8">
        <v>2.4187500000000001E-2</v>
      </c>
    </row>
    <row r="1628" spans="1:1" x14ac:dyDescent="0.25">
      <c r="A1628" s="8">
        <v>7.2812500000000004E-3</v>
      </c>
    </row>
    <row r="1629" spans="1:1" x14ac:dyDescent="0.25">
      <c r="A1629" s="8">
        <v>2.3625E-2</v>
      </c>
    </row>
    <row r="1630" spans="1:1" x14ac:dyDescent="0.25">
      <c r="A1630" s="8">
        <v>3.13125E-2</v>
      </c>
    </row>
    <row r="1631" spans="1:1" x14ac:dyDescent="0.25">
      <c r="A1631" s="8">
        <v>1.3609375E-2</v>
      </c>
    </row>
    <row r="1632" spans="1:1" x14ac:dyDescent="0.25">
      <c r="A1632" s="8">
        <v>1.2999999999999999E-2</v>
      </c>
    </row>
    <row r="1633" spans="1:1" x14ac:dyDescent="0.25">
      <c r="A1633" s="8">
        <v>1.6734374999999999E-2</v>
      </c>
    </row>
    <row r="1634" spans="1:1" x14ac:dyDescent="0.25">
      <c r="A1634" s="8">
        <v>1.3875E-2</v>
      </c>
    </row>
    <row r="1635" spans="1:1" x14ac:dyDescent="0.25">
      <c r="A1635" s="8">
        <v>3.3765625E-2</v>
      </c>
    </row>
    <row r="1636" spans="1:1" x14ac:dyDescent="0.25">
      <c r="A1636" s="8">
        <v>1.1015624999999999E-2</v>
      </c>
    </row>
    <row r="1637" spans="1:1" x14ac:dyDescent="0.25">
      <c r="A1637" s="8">
        <v>2.2390625000000001E-2</v>
      </c>
    </row>
    <row r="1638" spans="1:1" x14ac:dyDescent="0.25">
      <c r="A1638" s="8">
        <v>7.4687499999999997E-3</v>
      </c>
    </row>
    <row r="1639" spans="1:1" x14ac:dyDescent="0.25">
      <c r="A1639" s="8">
        <v>2.4359374999999999E-2</v>
      </c>
    </row>
    <row r="1640" spans="1:1" x14ac:dyDescent="0.25">
      <c r="A1640" s="8">
        <v>1.8718749999999999E-2</v>
      </c>
    </row>
    <row r="1641" spans="1:1" x14ac:dyDescent="0.25">
      <c r="A1641" s="8">
        <v>1.5984374999999999E-2</v>
      </c>
    </row>
    <row r="1642" spans="1:1" x14ac:dyDescent="0.25">
      <c r="A1642" s="8">
        <v>1.3671875E-2</v>
      </c>
    </row>
    <row r="1643" spans="1:1" x14ac:dyDescent="0.25">
      <c r="A1643" s="8">
        <v>9.796875E-3</v>
      </c>
    </row>
    <row r="1644" spans="1:1" x14ac:dyDescent="0.25">
      <c r="A1644" s="8">
        <v>2.0759765999999218E-2</v>
      </c>
    </row>
    <row r="1645" spans="1:1" x14ac:dyDescent="0.25">
      <c r="A1645" s="8">
        <v>2.3240234000000783E-2</v>
      </c>
    </row>
    <row r="1646" spans="1:1" x14ac:dyDescent="0.25">
      <c r="A1646" s="8">
        <v>1.7830078999999388E-2</v>
      </c>
    </row>
    <row r="1647" spans="1:1" x14ac:dyDescent="0.25">
      <c r="A1647" s="8">
        <v>2.1736328000002685E-2</v>
      </c>
    </row>
    <row r="1648" spans="1:1" x14ac:dyDescent="0.25">
      <c r="A1648" s="8">
        <v>2.334375E-2</v>
      </c>
    </row>
    <row r="1649" spans="1:1" x14ac:dyDescent="0.25">
      <c r="A1649" s="8">
        <v>7.7480469999973139E-3</v>
      </c>
    </row>
    <row r="1650" spans="1:1" x14ac:dyDescent="0.25">
      <c r="A1650" s="8">
        <v>1.3630859000000783E-2</v>
      </c>
    </row>
    <row r="1651" spans="1:1" x14ac:dyDescent="0.25">
      <c r="A1651" s="8">
        <v>2.39375E-2</v>
      </c>
    </row>
    <row r="1652" spans="1:1" x14ac:dyDescent="0.25">
      <c r="A1652" s="8">
        <v>2.2660156000005371E-2</v>
      </c>
    </row>
    <row r="1653" spans="1:1" x14ac:dyDescent="0.25">
      <c r="A1653" s="8">
        <v>1.1585937000003469E-2</v>
      </c>
    </row>
    <row r="1654" spans="1:1" x14ac:dyDescent="0.25">
      <c r="A1654" s="8">
        <v>1.8675780999998098E-2</v>
      </c>
    </row>
    <row r="1655" spans="1:1" x14ac:dyDescent="0.25">
      <c r="A1655" s="8">
        <v>1.36875E-2</v>
      </c>
    </row>
    <row r="1656" spans="1:1" x14ac:dyDescent="0.25">
      <c r="A1656" s="8">
        <v>2.4855468999994627E-2</v>
      </c>
    </row>
    <row r="1657" spans="1:1" x14ac:dyDescent="0.25">
      <c r="A1657" s="8">
        <v>7.5117189999946276E-3</v>
      </c>
    </row>
    <row r="1658" spans="1:1" x14ac:dyDescent="0.25">
      <c r="A1658" s="8">
        <v>1.8945312000003468E-2</v>
      </c>
    </row>
    <row r="1659" spans="1:1" x14ac:dyDescent="0.25">
      <c r="A1659" s="8">
        <v>1.9101563000003808E-2</v>
      </c>
    </row>
    <row r="1660" spans="1:1" x14ac:dyDescent="0.25">
      <c r="A1660" s="8">
        <v>1.5585938000003807E-2</v>
      </c>
    </row>
    <row r="1661" spans="1:1" x14ac:dyDescent="0.25">
      <c r="A1661" s="8">
        <v>1.7343750000000002E-2</v>
      </c>
    </row>
    <row r="1662" spans="1:1" x14ac:dyDescent="0.25">
      <c r="A1662" s="8">
        <v>2.4156250000000001E-2</v>
      </c>
    </row>
    <row r="1663" spans="1:1" x14ac:dyDescent="0.25">
      <c r="A1663" s="8">
        <v>2.1101562999996531E-2</v>
      </c>
    </row>
    <row r="1664" spans="1:1" x14ac:dyDescent="0.25">
      <c r="A1664" s="8">
        <v>7.4796874999999999E-2</v>
      </c>
    </row>
    <row r="1665" spans="1:1" x14ac:dyDescent="0.25">
      <c r="A1665" s="8">
        <v>1.1949218999994628E-2</v>
      </c>
    </row>
    <row r="1666" spans="1:1" x14ac:dyDescent="0.25">
      <c r="A1666" s="8">
        <v>1.384375E-2</v>
      </c>
    </row>
    <row r="1667" spans="1:1" x14ac:dyDescent="0.25">
      <c r="A1667" s="8">
        <v>1.0585937999996532E-2</v>
      </c>
    </row>
    <row r="1668" spans="1:1" x14ac:dyDescent="0.25">
      <c r="A1668" s="8">
        <v>1.1234375E-2</v>
      </c>
    </row>
    <row r="1669" spans="1:1" x14ac:dyDescent="0.25">
      <c r="A1669" s="8">
        <v>1.3867187999996531E-2</v>
      </c>
    </row>
    <row r="1670" spans="1:1" x14ac:dyDescent="0.25">
      <c r="A1670" s="8">
        <v>2.3367188000003807E-2</v>
      </c>
    </row>
    <row r="1671" spans="1:1" x14ac:dyDescent="0.25">
      <c r="A1671" s="8">
        <v>1.8085936999996194E-2</v>
      </c>
    </row>
    <row r="1672" spans="1:1" x14ac:dyDescent="0.25">
      <c r="A1672" s="8">
        <v>1.5539063000003807E-2</v>
      </c>
    </row>
    <row r="1673" spans="1:1" x14ac:dyDescent="0.25">
      <c r="A1673" s="8">
        <v>1.9039061999996193E-2</v>
      </c>
    </row>
    <row r="1674" spans="1:1" x14ac:dyDescent="0.25">
      <c r="A1674" s="8">
        <v>1.3492186999996193E-2</v>
      </c>
    </row>
    <row r="1675" spans="1:1" x14ac:dyDescent="0.25">
      <c r="A1675" s="8">
        <v>1.1492186999996193E-2</v>
      </c>
    </row>
    <row r="1676" spans="1:1" x14ac:dyDescent="0.25">
      <c r="A1676" s="8">
        <v>1.38125E-2</v>
      </c>
    </row>
    <row r="1677" spans="1:1" x14ac:dyDescent="0.25">
      <c r="A1677" s="8">
        <v>7.7187499999999999E-3</v>
      </c>
    </row>
    <row r="1678" spans="1:1" x14ac:dyDescent="0.25">
      <c r="A1678" s="8">
        <v>2.4062500000000001E-2</v>
      </c>
    </row>
    <row r="1679" spans="1:1" x14ac:dyDescent="0.25">
      <c r="A1679" s="8">
        <v>2.2734375000000001E-2</v>
      </c>
    </row>
    <row r="1680" spans="1:1" x14ac:dyDescent="0.25">
      <c r="A1680" s="8">
        <v>2.3453124999999998E-2</v>
      </c>
    </row>
    <row r="1681" spans="1:1" x14ac:dyDescent="0.25">
      <c r="A1681" s="8">
        <v>1.6789061999996194E-2</v>
      </c>
    </row>
    <row r="1682" spans="1:1" x14ac:dyDescent="0.25">
      <c r="A1682" s="8">
        <v>2.8367188000003807E-2</v>
      </c>
    </row>
    <row r="1683" spans="1:1" x14ac:dyDescent="0.25">
      <c r="A1683" s="8">
        <v>7.8828119999961935E-3</v>
      </c>
    </row>
    <row r="1684" spans="1:1" x14ac:dyDescent="0.25">
      <c r="A1684" s="8">
        <v>7.8750000000000001E-3</v>
      </c>
    </row>
    <row r="1685" spans="1:1" x14ac:dyDescent="0.25">
      <c r="A1685" s="8">
        <v>2.1593749999999998E-2</v>
      </c>
    </row>
    <row r="1686" spans="1:1" x14ac:dyDescent="0.25">
      <c r="A1686" s="8">
        <v>1.8031249999999999E-2</v>
      </c>
    </row>
    <row r="1687" spans="1:1" x14ac:dyDescent="0.25">
      <c r="A1687" s="8">
        <v>1.4148438000003807E-2</v>
      </c>
    </row>
    <row r="1688" spans="1:1" x14ac:dyDescent="0.25">
      <c r="A1688" s="8">
        <v>1.7140625E-2</v>
      </c>
    </row>
    <row r="1689" spans="1:1" x14ac:dyDescent="0.25">
      <c r="A1689" s="8">
        <v>1.4398438000003807E-2</v>
      </c>
    </row>
    <row r="1690" spans="1:1" x14ac:dyDescent="0.25">
      <c r="A1690" s="8">
        <v>1.5828124999999998E-2</v>
      </c>
    </row>
    <row r="1691" spans="1:1" x14ac:dyDescent="0.25">
      <c r="A1691" s="8">
        <v>1.5375E-2</v>
      </c>
    </row>
    <row r="1692" spans="1:1" x14ac:dyDescent="0.25">
      <c r="A1692" s="8">
        <v>1.6828124999999999E-2</v>
      </c>
    </row>
    <row r="1693" spans="1:1" x14ac:dyDescent="0.25">
      <c r="A1693" s="8">
        <v>1.9960938000003807E-2</v>
      </c>
    </row>
    <row r="1694" spans="1:1" x14ac:dyDescent="0.25">
      <c r="A1694" s="8">
        <v>1.359375E-2</v>
      </c>
    </row>
    <row r="1695" spans="1:1" x14ac:dyDescent="0.25">
      <c r="A1695" s="8">
        <v>2.2875E-2</v>
      </c>
    </row>
    <row r="1696" spans="1:1" x14ac:dyDescent="0.25">
      <c r="A1696" s="8">
        <v>1.5484375E-2</v>
      </c>
    </row>
    <row r="1697" spans="1:1" x14ac:dyDescent="0.25">
      <c r="A1697" s="8">
        <v>1.6765624999999999E-2</v>
      </c>
    </row>
    <row r="1698" spans="1:1" x14ac:dyDescent="0.25">
      <c r="A1698" s="8">
        <v>1.6984374999999999E-2</v>
      </c>
    </row>
    <row r="1699" spans="1:1" x14ac:dyDescent="0.25">
      <c r="A1699" s="8">
        <v>2.0406250000000001E-2</v>
      </c>
    </row>
    <row r="1700" spans="1:1" x14ac:dyDescent="0.25">
      <c r="A1700" s="8">
        <v>1.2484375000000001E-2</v>
      </c>
    </row>
    <row r="1701" spans="1:1" x14ac:dyDescent="0.25">
      <c r="A1701" s="8">
        <v>1.7515625E-2</v>
      </c>
    </row>
    <row r="1702" spans="1:1" x14ac:dyDescent="0.25">
      <c r="A1702" s="8">
        <v>2.0796874999999999E-2</v>
      </c>
    </row>
    <row r="1703" spans="1:1" x14ac:dyDescent="0.25">
      <c r="A1703" s="8">
        <v>1.4234375E-2</v>
      </c>
    </row>
    <row r="1704" spans="1:1" x14ac:dyDescent="0.25">
      <c r="A1704" s="8">
        <v>1.5453125E-2</v>
      </c>
    </row>
    <row r="1705" spans="1:1" x14ac:dyDescent="0.25">
      <c r="A1705" s="8">
        <v>1.5765624999999998E-2</v>
      </c>
    </row>
    <row r="1706" spans="1:1" x14ac:dyDescent="0.25">
      <c r="A1706" s="8">
        <v>2.4062500000000001E-2</v>
      </c>
    </row>
    <row r="1707" spans="1:1" x14ac:dyDescent="0.25">
      <c r="A1707" s="8">
        <v>1.6984374999999999E-2</v>
      </c>
    </row>
    <row r="1708" spans="1:1" x14ac:dyDescent="0.25">
      <c r="A1708" s="8">
        <v>2.1312500000000002E-2</v>
      </c>
    </row>
    <row r="1709" spans="1:1" x14ac:dyDescent="0.25">
      <c r="A1709" s="8">
        <v>1.1078124999999999E-2</v>
      </c>
    </row>
    <row r="1710" spans="1:1" x14ac:dyDescent="0.25">
      <c r="A1710" s="8">
        <v>7.7031249999999999E-3</v>
      </c>
    </row>
    <row r="1711" spans="1:1" x14ac:dyDescent="0.25">
      <c r="A1711" s="8">
        <v>2.0281250000000001E-2</v>
      </c>
    </row>
    <row r="1712" spans="1:1" x14ac:dyDescent="0.25">
      <c r="A1712" s="8">
        <v>2.6234375000000001E-2</v>
      </c>
    </row>
    <row r="1713" spans="1:1" x14ac:dyDescent="0.25">
      <c r="A1713" s="8">
        <v>1.6656250000000001E-2</v>
      </c>
    </row>
    <row r="1714" spans="1:1" x14ac:dyDescent="0.25">
      <c r="A1714" s="8">
        <v>1.4703124999999999E-2</v>
      </c>
    </row>
    <row r="1715" spans="1:1" x14ac:dyDescent="0.25">
      <c r="A1715" s="8">
        <v>2.4937500000000001E-2</v>
      </c>
    </row>
    <row r="1716" spans="1:1" x14ac:dyDescent="0.25">
      <c r="A1716" s="8">
        <v>1.8718749999999999E-2</v>
      </c>
    </row>
    <row r="1717" spans="1:1" x14ac:dyDescent="0.25">
      <c r="A1717" s="8">
        <v>1.6189453999999388E-2</v>
      </c>
    </row>
    <row r="1718" spans="1:1" x14ac:dyDescent="0.25">
      <c r="A1718" s="8">
        <v>7.695311999999831E-3</v>
      </c>
    </row>
    <row r="1719" spans="1:1" x14ac:dyDescent="0.25">
      <c r="A1719" s="8">
        <v>1.7470702999999047E-2</v>
      </c>
    </row>
    <row r="1720" spans="1:1" x14ac:dyDescent="0.25">
      <c r="A1720" s="8">
        <v>2.2386719000001904E-2</v>
      </c>
    </row>
    <row r="1721" spans="1:1" x14ac:dyDescent="0.25">
      <c r="A1721" s="8">
        <v>1.2562500000000001E-2</v>
      </c>
    </row>
    <row r="1722" spans="1:1" x14ac:dyDescent="0.25">
      <c r="A1722" s="8">
        <v>1.1083984000000782E-2</v>
      </c>
    </row>
    <row r="1723" spans="1:1" x14ac:dyDescent="0.25">
      <c r="A1723" s="8">
        <v>1.2537109000000782E-2</v>
      </c>
    </row>
    <row r="1724" spans="1:1" x14ac:dyDescent="0.25">
      <c r="A1724" s="8">
        <v>2.5750000000003638E-2</v>
      </c>
    </row>
    <row r="1725" spans="1:1" x14ac:dyDescent="0.25">
      <c r="A1725" s="8">
        <v>1.1863280999998097E-2</v>
      </c>
    </row>
    <row r="1726" spans="1:1" x14ac:dyDescent="0.25">
      <c r="A1726" s="8">
        <v>2.0984375E-2</v>
      </c>
    </row>
    <row r="1727" spans="1:1" x14ac:dyDescent="0.25">
      <c r="A1727" s="8">
        <v>2.1859375E-2</v>
      </c>
    </row>
    <row r="1728" spans="1:1" x14ac:dyDescent="0.25">
      <c r="A1728" s="8">
        <v>1.6871094000001904E-2</v>
      </c>
    </row>
    <row r="1729" spans="1:1" x14ac:dyDescent="0.25">
      <c r="A1729" s="8">
        <v>1.8644530999998098E-2</v>
      </c>
    </row>
    <row r="1730" spans="1:1" x14ac:dyDescent="0.25">
      <c r="A1730" s="8">
        <v>1.1605468999994628E-2</v>
      </c>
    </row>
    <row r="1731" spans="1:1" x14ac:dyDescent="0.25">
      <c r="A1731" s="8">
        <v>2.7160155999998097E-2</v>
      </c>
    </row>
    <row r="1732" spans="1:1" x14ac:dyDescent="0.25">
      <c r="A1732" s="8">
        <v>1.7375000000000002E-2</v>
      </c>
    </row>
    <row r="1733" spans="1:1" x14ac:dyDescent="0.25">
      <c r="A1733" s="8">
        <v>0.13527734399999464</v>
      </c>
    </row>
    <row r="1734" spans="1:1" x14ac:dyDescent="0.25">
      <c r="A1734" s="8">
        <v>1.3914061999996192E-2</v>
      </c>
    </row>
    <row r="1735" spans="1:1" x14ac:dyDescent="0.25">
      <c r="A1735" s="8">
        <v>1.7609375E-2</v>
      </c>
    </row>
    <row r="1736" spans="1:1" x14ac:dyDescent="0.25">
      <c r="A1736" s="8">
        <v>1.171875E-2</v>
      </c>
    </row>
    <row r="1737" spans="1:1" x14ac:dyDescent="0.25">
      <c r="A1737" s="8">
        <v>1.1375E-2</v>
      </c>
    </row>
    <row r="1738" spans="1:1" x14ac:dyDescent="0.25">
      <c r="A1738" s="8">
        <v>2.3078125000000001E-2</v>
      </c>
    </row>
    <row r="1739" spans="1:1" x14ac:dyDescent="0.25">
      <c r="A1739" s="8">
        <v>1.01875E-2</v>
      </c>
    </row>
    <row r="1740" spans="1:1" x14ac:dyDescent="0.25">
      <c r="A1740" s="8">
        <v>0.13112499999999999</v>
      </c>
    </row>
    <row r="1741" spans="1:1" x14ac:dyDescent="0.25">
      <c r="A1741" s="8">
        <v>2.35625E-2</v>
      </c>
    </row>
    <row r="1742" spans="1:1" x14ac:dyDescent="0.25">
      <c r="A1742" s="8">
        <v>2.2093749999999999E-2</v>
      </c>
    </row>
    <row r="1743" spans="1:1" x14ac:dyDescent="0.25">
      <c r="A1743" s="8">
        <v>1.1171875E-2</v>
      </c>
    </row>
    <row r="1744" spans="1:1" x14ac:dyDescent="0.25">
      <c r="A1744" s="8">
        <v>1.7210938000003808E-2</v>
      </c>
    </row>
    <row r="1745" spans="1:1" x14ac:dyDescent="0.25">
      <c r="A1745" s="8">
        <v>1.5398436999996193E-2</v>
      </c>
    </row>
    <row r="1746" spans="1:1" x14ac:dyDescent="0.25">
      <c r="A1746" s="8">
        <v>3.2101563000003809E-2</v>
      </c>
    </row>
    <row r="1747" spans="1:1" x14ac:dyDescent="0.25">
      <c r="A1747" s="8">
        <v>2.3132813000003808E-2</v>
      </c>
    </row>
    <row r="1748" spans="1:1" x14ac:dyDescent="0.25">
      <c r="A1748" s="8">
        <v>1.6992186999996193E-2</v>
      </c>
    </row>
    <row r="1749" spans="1:1" x14ac:dyDescent="0.25">
      <c r="A1749" s="8">
        <v>2.9164061999996192E-2</v>
      </c>
    </row>
    <row r="1750" spans="1:1" x14ac:dyDescent="0.25">
      <c r="A1750" s="8">
        <v>2.309375E-2</v>
      </c>
    </row>
    <row r="1751" spans="1:1" x14ac:dyDescent="0.25">
      <c r="A1751" s="8">
        <v>2.0234374999999999E-2</v>
      </c>
    </row>
    <row r="1752" spans="1:1" x14ac:dyDescent="0.25">
      <c r="A1752" s="8">
        <v>1.1351561999996193E-2</v>
      </c>
    </row>
    <row r="1753" spans="1:1" x14ac:dyDescent="0.25">
      <c r="A1753" s="8">
        <v>1.1453125E-2</v>
      </c>
    </row>
    <row r="1754" spans="1:1" x14ac:dyDescent="0.25">
      <c r="A1754" s="8">
        <v>1.3882813000003807E-2</v>
      </c>
    </row>
    <row r="1755" spans="1:1" x14ac:dyDescent="0.25">
      <c r="A1755" s="8">
        <v>1.4210938000003807E-2</v>
      </c>
    </row>
    <row r="1756" spans="1:1" x14ac:dyDescent="0.25">
      <c r="A1756" s="8">
        <v>1.7203125E-2</v>
      </c>
    </row>
    <row r="1757" spans="1:1" x14ac:dyDescent="0.25">
      <c r="A1757" s="8">
        <v>2.3515624999999998E-2</v>
      </c>
    </row>
    <row r="1758" spans="1:1" x14ac:dyDescent="0.25">
      <c r="A1758" s="8">
        <v>9.6406249999999999E-3</v>
      </c>
    </row>
    <row r="1759" spans="1:1" x14ac:dyDescent="0.25">
      <c r="A1759" s="8">
        <v>2.0437500000000001E-2</v>
      </c>
    </row>
    <row r="1760" spans="1:1" x14ac:dyDescent="0.25">
      <c r="A1760" s="8">
        <v>7.84375E-3</v>
      </c>
    </row>
    <row r="1761" spans="1:1" x14ac:dyDescent="0.25">
      <c r="A1761" s="8">
        <v>1.0968749999999999E-2</v>
      </c>
    </row>
    <row r="1762" spans="1:1" x14ac:dyDescent="0.25">
      <c r="A1762" s="8">
        <v>8.6499999999999994E-2</v>
      </c>
    </row>
    <row r="1763" spans="1:1" x14ac:dyDescent="0.25">
      <c r="A1763" s="8">
        <v>1.20625E-2</v>
      </c>
    </row>
    <row r="1764" spans="1:1" x14ac:dyDescent="0.25">
      <c r="A1764" s="8">
        <v>1.7250000000000001E-2</v>
      </c>
    </row>
    <row r="1765" spans="1:1" x14ac:dyDescent="0.25">
      <c r="A1765" s="8">
        <v>2.0390624999999999E-2</v>
      </c>
    </row>
    <row r="1766" spans="1:1" x14ac:dyDescent="0.25">
      <c r="A1766" s="8">
        <v>2.0484374999999999E-2</v>
      </c>
    </row>
    <row r="1767" spans="1:1" x14ac:dyDescent="0.25">
      <c r="A1767" s="8">
        <v>2.5859375E-2</v>
      </c>
    </row>
    <row r="1768" spans="1:1" x14ac:dyDescent="0.25">
      <c r="A1768" s="8">
        <v>8.2812500000000004E-3</v>
      </c>
    </row>
    <row r="1769" spans="1:1" x14ac:dyDescent="0.25">
      <c r="A1769" s="8">
        <v>8.6390624999999999E-2</v>
      </c>
    </row>
    <row r="1770" spans="1:1" x14ac:dyDescent="0.25">
      <c r="A1770" s="8">
        <v>2.2734375000000001E-2</v>
      </c>
    </row>
    <row r="1771" spans="1:1" x14ac:dyDescent="0.25">
      <c r="A1771" s="8">
        <v>1.3875E-2</v>
      </c>
    </row>
    <row r="1772" spans="1:1" x14ac:dyDescent="0.25">
      <c r="A1772" s="8">
        <v>7.78125E-3</v>
      </c>
    </row>
    <row r="1773" spans="1:1" x14ac:dyDescent="0.25">
      <c r="A1773" s="8">
        <v>7.3906249999999996E-3</v>
      </c>
    </row>
    <row r="1774" spans="1:1" x14ac:dyDescent="0.25">
      <c r="A1774" s="8">
        <v>1.4250000000000001E-2</v>
      </c>
    </row>
    <row r="1775" spans="1:1" x14ac:dyDescent="0.25">
      <c r="A1775" s="8">
        <v>1.0937499999999999E-2</v>
      </c>
    </row>
    <row r="1776" spans="1:1" x14ac:dyDescent="0.25">
      <c r="A1776" s="8">
        <v>1.4294922000000952E-2</v>
      </c>
    </row>
    <row r="1777" spans="1:1" x14ac:dyDescent="0.25">
      <c r="A1777" s="8">
        <v>2.5519531999998436E-2</v>
      </c>
    </row>
    <row r="1778" spans="1:1" x14ac:dyDescent="0.25">
      <c r="A1778" s="8">
        <v>1.2646484999997484E-2</v>
      </c>
    </row>
    <row r="1779" spans="1:1" x14ac:dyDescent="0.25">
      <c r="A1779" s="8">
        <v>1.4066405999998097E-2</v>
      </c>
    </row>
    <row r="1780" spans="1:1" x14ac:dyDescent="0.25">
      <c r="A1780" s="8">
        <v>1.1298828000002686E-2</v>
      </c>
    </row>
    <row r="1781" spans="1:1" x14ac:dyDescent="0.25">
      <c r="A1781" s="8">
        <v>2.2996093000001563E-2</v>
      </c>
    </row>
    <row r="1782" spans="1:1" x14ac:dyDescent="0.25">
      <c r="A1782" s="8">
        <v>1.8628905999998096E-2</v>
      </c>
    </row>
    <row r="1783" spans="1:1" x14ac:dyDescent="0.25">
      <c r="A1783" s="8">
        <v>2.4546874999999999E-2</v>
      </c>
    </row>
    <row r="1784" spans="1:1" x14ac:dyDescent="0.25">
      <c r="A1784" s="8">
        <v>1.7621093000001566E-2</v>
      </c>
    </row>
    <row r="1785" spans="1:1" x14ac:dyDescent="0.25">
      <c r="A1785" s="8">
        <v>7.5507810000053719E-3</v>
      </c>
    </row>
    <row r="1786" spans="1:1" x14ac:dyDescent="0.25">
      <c r="A1786" s="8">
        <v>2.6570312999996532E-2</v>
      </c>
    </row>
    <row r="1787" spans="1:1" x14ac:dyDescent="0.25">
      <c r="A1787" s="8">
        <v>1.7980469000001904E-2</v>
      </c>
    </row>
    <row r="1788" spans="1:1" x14ac:dyDescent="0.25">
      <c r="A1788" s="8">
        <v>1.6660156999998434E-2</v>
      </c>
    </row>
    <row r="1789" spans="1:1" x14ac:dyDescent="0.25">
      <c r="A1789" s="8">
        <v>2.6886719000001905E-2</v>
      </c>
    </row>
    <row r="1790" spans="1:1" x14ac:dyDescent="0.25">
      <c r="A1790" s="8">
        <v>1.3011719000001904E-2</v>
      </c>
    </row>
    <row r="1791" spans="1:1" x14ac:dyDescent="0.25">
      <c r="A1791" s="8">
        <v>2.5097655999998095E-2</v>
      </c>
    </row>
    <row r="1792" spans="1:1" x14ac:dyDescent="0.25">
      <c r="A1792" s="8">
        <v>1.4605469000001904E-2</v>
      </c>
    </row>
    <row r="1793" spans="1:1" x14ac:dyDescent="0.25">
      <c r="A1793" s="8">
        <v>2.1101561999996191E-2</v>
      </c>
    </row>
    <row r="1794" spans="1:1" x14ac:dyDescent="0.25">
      <c r="A1794" s="8">
        <v>2.2992187999996531E-2</v>
      </c>
    </row>
    <row r="1795" spans="1:1" x14ac:dyDescent="0.25">
      <c r="A1795" s="8">
        <v>2.0589844000001904E-2</v>
      </c>
    </row>
    <row r="1796" spans="1:1" x14ac:dyDescent="0.25">
      <c r="A1796" s="8">
        <v>1.1976562000003469E-2</v>
      </c>
    </row>
    <row r="1797" spans="1:1" x14ac:dyDescent="0.25">
      <c r="A1797" s="8">
        <v>1.4316406000005373E-2</v>
      </c>
    </row>
    <row r="1798" spans="1:1" x14ac:dyDescent="0.25">
      <c r="A1798" s="8">
        <v>9.6210930000015654E-3</v>
      </c>
    </row>
    <row r="1799" spans="1:1" x14ac:dyDescent="0.25">
      <c r="A1799" s="8">
        <v>2.2296875000000001E-2</v>
      </c>
    </row>
    <row r="1800" spans="1:1" x14ac:dyDescent="0.25">
      <c r="A1800" s="8">
        <v>1.7164061999996191E-2</v>
      </c>
    </row>
    <row r="1801" spans="1:1" x14ac:dyDescent="0.25">
      <c r="A1801" s="8">
        <v>1.8890625000000001E-2</v>
      </c>
    </row>
    <row r="1802" spans="1:1" x14ac:dyDescent="0.25">
      <c r="A1802" s="8">
        <v>2.0820311999996191E-2</v>
      </c>
    </row>
    <row r="1803" spans="1:1" x14ac:dyDescent="0.25">
      <c r="A1803" s="8">
        <v>1.51875E-2</v>
      </c>
    </row>
    <row r="1804" spans="1:1" x14ac:dyDescent="0.25">
      <c r="A1804" s="8">
        <v>1.396875E-2</v>
      </c>
    </row>
    <row r="1805" spans="1:1" x14ac:dyDescent="0.25">
      <c r="A1805" s="8">
        <v>2.5054688000003808E-2</v>
      </c>
    </row>
    <row r="1806" spans="1:1" x14ac:dyDescent="0.25">
      <c r="A1806" s="8">
        <v>1.4109375E-2</v>
      </c>
    </row>
    <row r="1807" spans="1:1" x14ac:dyDescent="0.25">
      <c r="A1807" s="8">
        <v>9.2499999999999995E-3</v>
      </c>
    </row>
    <row r="1808" spans="1:1" x14ac:dyDescent="0.25">
      <c r="A1808" s="8">
        <v>1.4812499999999999E-2</v>
      </c>
    </row>
    <row r="1809" spans="1:1" x14ac:dyDescent="0.25">
      <c r="A1809" s="8">
        <v>1.8406249999999999E-2</v>
      </c>
    </row>
    <row r="1810" spans="1:1" x14ac:dyDescent="0.25">
      <c r="A1810" s="8">
        <v>2.3539063000003808E-2</v>
      </c>
    </row>
    <row r="1811" spans="1:1" x14ac:dyDescent="0.25">
      <c r="A1811" s="8">
        <v>1.4781249999999999E-2</v>
      </c>
    </row>
    <row r="1812" spans="1:1" x14ac:dyDescent="0.25">
      <c r="A1812" s="8">
        <v>2.2031249999999999E-2</v>
      </c>
    </row>
    <row r="1813" spans="1:1" x14ac:dyDescent="0.25">
      <c r="A1813" s="8">
        <v>2.5695311999996192E-2</v>
      </c>
    </row>
    <row r="1814" spans="1:1" x14ac:dyDescent="0.25">
      <c r="A1814" s="8">
        <v>1.4539061999996192E-2</v>
      </c>
    </row>
    <row r="1815" spans="1:1" x14ac:dyDescent="0.25">
      <c r="A1815" s="8">
        <v>1.134375E-2</v>
      </c>
    </row>
    <row r="1816" spans="1:1" x14ac:dyDescent="0.25">
      <c r="A1816" s="8">
        <v>1.8734375000000001E-2</v>
      </c>
    </row>
    <row r="1817" spans="1:1" x14ac:dyDescent="0.25">
      <c r="A1817" s="8">
        <v>1.221875E-2</v>
      </c>
    </row>
    <row r="1818" spans="1:1" x14ac:dyDescent="0.25">
      <c r="A1818" s="8">
        <v>8.1718750000000003E-3</v>
      </c>
    </row>
    <row r="1819" spans="1:1" x14ac:dyDescent="0.25">
      <c r="A1819" s="8">
        <v>1.7578125E-2</v>
      </c>
    </row>
    <row r="1820" spans="1:1" x14ac:dyDescent="0.25">
      <c r="A1820" s="8">
        <v>2.2093749999999999E-2</v>
      </c>
    </row>
    <row r="1821" spans="1:1" x14ac:dyDescent="0.25">
      <c r="A1821" s="8">
        <v>2.6046875000000001E-2</v>
      </c>
    </row>
    <row r="1822" spans="1:1" x14ac:dyDescent="0.25">
      <c r="A1822" s="8">
        <v>1.4054688000003807E-2</v>
      </c>
    </row>
    <row r="1823" spans="1:1" x14ac:dyDescent="0.25">
      <c r="A1823" s="8">
        <v>1.4101563000003807E-2</v>
      </c>
    </row>
    <row r="1824" spans="1:1" x14ac:dyDescent="0.25">
      <c r="A1824" s="8">
        <v>1.6421874999999999E-2</v>
      </c>
    </row>
    <row r="1825" spans="1:1" x14ac:dyDescent="0.25">
      <c r="A1825" s="8">
        <v>9.0367186999996199E-2</v>
      </c>
    </row>
    <row r="1826" spans="1:1" x14ac:dyDescent="0.25">
      <c r="A1826" s="8">
        <v>2.6132811999996192E-2</v>
      </c>
    </row>
    <row r="1827" spans="1:1" x14ac:dyDescent="0.25">
      <c r="A1827" s="8">
        <v>1.7874999999999999E-2</v>
      </c>
    </row>
    <row r="1828" spans="1:1" x14ac:dyDescent="0.25">
      <c r="A1828" s="8">
        <v>1.8265625000000001E-2</v>
      </c>
    </row>
    <row r="1829" spans="1:1" x14ac:dyDescent="0.25">
      <c r="A1829" s="8">
        <v>2.5882811999996192E-2</v>
      </c>
    </row>
    <row r="1830" spans="1:1" x14ac:dyDescent="0.25">
      <c r="A1830" s="8">
        <v>1.315625E-2</v>
      </c>
    </row>
    <row r="1831" spans="1:1" x14ac:dyDescent="0.25">
      <c r="A1831" s="8">
        <v>1.7843749999999999E-2</v>
      </c>
    </row>
    <row r="1832" spans="1:1" x14ac:dyDescent="0.25">
      <c r="A1832" s="8">
        <v>1.184375E-2</v>
      </c>
    </row>
    <row r="1833" spans="1:1" x14ac:dyDescent="0.25">
      <c r="A1833" s="8">
        <v>1.2843749999999999E-2</v>
      </c>
    </row>
    <row r="1834" spans="1:1" x14ac:dyDescent="0.25">
      <c r="A1834" s="8">
        <v>2.8484374999999999E-2</v>
      </c>
    </row>
    <row r="1835" spans="1:1" x14ac:dyDescent="0.25">
      <c r="A1835" s="8">
        <v>1.7312500000000001E-2</v>
      </c>
    </row>
    <row r="1836" spans="1:1" x14ac:dyDescent="0.25">
      <c r="A1836" s="8">
        <v>1.3609375E-2</v>
      </c>
    </row>
    <row r="1837" spans="1:1" x14ac:dyDescent="0.25">
      <c r="A1837" s="8">
        <v>1.3546875E-2</v>
      </c>
    </row>
    <row r="1838" spans="1:1" x14ac:dyDescent="0.25">
      <c r="A1838" s="8">
        <v>2.315625E-2</v>
      </c>
    </row>
    <row r="1839" spans="1:1" x14ac:dyDescent="0.25">
      <c r="A1839" s="8">
        <v>7.7343749999999999E-3</v>
      </c>
    </row>
    <row r="1840" spans="1:1" x14ac:dyDescent="0.25">
      <c r="A1840" s="8">
        <v>2.1624999999999998E-2</v>
      </c>
    </row>
    <row r="1841" spans="1:1" x14ac:dyDescent="0.25">
      <c r="A1841" s="8">
        <v>2.4E-2</v>
      </c>
    </row>
    <row r="1842" spans="1:1" x14ac:dyDescent="0.25">
      <c r="A1842" s="8">
        <v>2.353125E-2</v>
      </c>
    </row>
    <row r="1843" spans="1:1" x14ac:dyDescent="0.25">
      <c r="A1843" s="8">
        <v>7.859375E-3</v>
      </c>
    </row>
    <row r="1844" spans="1:1" x14ac:dyDescent="0.25">
      <c r="A1844" s="8">
        <v>2.0468750000000001E-2</v>
      </c>
    </row>
    <row r="1845" spans="1:1" x14ac:dyDescent="0.25">
      <c r="A1845" s="8">
        <v>2.0171874999999999E-2</v>
      </c>
    </row>
    <row r="1846" spans="1:1" x14ac:dyDescent="0.25">
      <c r="A1846" s="8">
        <v>1.8687499999999999E-2</v>
      </c>
    </row>
    <row r="1847" spans="1:1" x14ac:dyDescent="0.25">
      <c r="A1847" s="8">
        <v>1.2749999999999999E-2</v>
      </c>
    </row>
    <row r="1848" spans="1:1" x14ac:dyDescent="0.25">
      <c r="A1848" s="8">
        <v>2.2359375000000001E-2</v>
      </c>
    </row>
    <row r="1849" spans="1:1" x14ac:dyDescent="0.25">
      <c r="A1849" s="8">
        <v>0.10648437500000001</v>
      </c>
    </row>
    <row r="1850" spans="1:1" x14ac:dyDescent="0.25">
      <c r="A1850" s="8">
        <v>1.4921874999999999E-2</v>
      </c>
    </row>
    <row r="1851" spans="1:1" x14ac:dyDescent="0.25">
      <c r="A1851" s="8">
        <v>1.6843750000000001E-2</v>
      </c>
    </row>
    <row r="1852" spans="1:1" x14ac:dyDescent="0.25">
      <c r="A1852" s="8">
        <v>1.7148436999999829E-2</v>
      </c>
    </row>
    <row r="1853" spans="1:1" x14ac:dyDescent="0.25">
      <c r="A1853" s="8">
        <v>1.2603515999999218E-2</v>
      </c>
    </row>
    <row r="1854" spans="1:1" x14ac:dyDescent="0.25">
      <c r="A1854" s="8">
        <v>1.7312500000000001E-2</v>
      </c>
    </row>
    <row r="1855" spans="1:1" x14ac:dyDescent="0.25">
      <c r="A1855" s="8">
        <v>1.7593749999999998E-2</v>
      </c>
    </row>
    <row r="1856" spans="1:1" x14ac:dyDescent="0.25">
      <c r="A1856" s="8">
        <v>9.8378909999992173E-3</v>
      </c>
    </row>
    <row r="1857" spans="1:1" x14ac:dyDescent="0.25">
      <c r="A1857" s="8">
        <v>1.9121094000001903E-2</v>
      </c>
    </row>
    <row r="1858" spans="1:1" x14ac:dyDescent="0.25">
      <c r="A1858" s="8">
        <v>1.1710937000003469E-2</v>
      </c>
    </row>
    <row r="1859" spans="1:1" x14ac:dyDescent="0.25">
      <c r="A1859" s="8">
        <v>1.8749999999999999E-2</v>
      </c>
    </row>
    <row r="1860" spans="1:1" x14ac:dyDescent="0.25">
      <c r="A1860" s="8">
        <v>2.6136719000001904E-2</v>
      </c>
    </row>
    <row r="1861" spans="1:1" x14ac:dyDescent="0.25">
      <c r="A1861" s="8">
        <v>1.7433593000001565E-2</v>
      </c>
    </row>
    <row r="1862" spans="1:1" x14ac:dyDescent="0.25">
      <c r="A1862" s="8">
        <v>8.0468750000000002E-3</v>
      </c>
    </row>
    <row r="1863" spans="1:1" x14ac:dyDescent="0.25">
      <c r="A1863" s="8">
        <v>1.1285155999998096E-2</v>
      </c>
    </row>
    <row r="1864" spans="1:1" x14ac:dyDescent="0.25">
      <c r="A1864" s="8">
        <v>1.0792968000001565E-2</v>
      </c>
    </row>
    <row r="1865" spans="1:1" x14ac:dyDescent="0.25">
      <c r="A1865" s="8">
        <v>1.0496093000001564E-2</v>
      </c>
    </row>
    <row r="1866" spans="1:1" x14ac:dyDescent="0.25">
      <c r="A1866" s="8">
        <v>1.2683594000001904E-2</v>
      </c>
    </row>
    <row r="1867" spans="1:1" x14ac:dyDescent="0.25">
      <c r="A1867" s="8">
        <v>7.3593749999999996E-3</v>
      </c>
    </row>
    <row r="1868" spans="1:1" x14ac:dyDescent="0.25">
      <c r="A1868" s="8">
        <v>1.1035155999998096E-2</v>
      </c>
    </row>
    <row r="1869" spans="1:1" x14ac:dyDescent="0.25">
      <c r="A1869" s="8">
        <v>7.4023440000019038E-3</v>
      </c>
    </row>
    <row r="1870" spans="1:1" x14ac:dyDescent="0.25">
      <c r="A1870" s="8">
        <v>9.417969000001903E-3</v>
      </c>
    </row>
    <row r="1871" spans="1:1" x14ac:dyDescent="0.25">
      <c r="A1871" s="8">
        <v>1.5394530999998097E-2</v>
      </c>
    </row>
    <row r="1872" spans="1:1" x14ac:dyDescent="0.25">
      <c r="A1872" s="8">
        <v>1.3179687999996531E-2</v>
      </c>
    </row>
    <row r="1873" spans="1:1" x14ac:dyDescent="0.25">
      <c r="A1873" s="8">
        <v>7.335938000003807E-3</v>
      </c>
    </row>
    <row r="1874" spans="1:1" x14ac:dyDescent="0.25">
      <c r="A1874" s="8">
        <v>1.9664062000003469E-2</v>
      </c>
    </row>
    <row r="1875" spans="1:1" x14ac:dyDescent="0.25">
      <c r="A1875" s="8">
        <v>1.3984375E-2</v>
      </c>
    </row>
    <row r="1876" spans="1:1" x14ac:dyDescent="0.25">
      <c r="A1876" s="8">
        <v>1.7664063000003807E-2</v>
      </c>
    </row>
    <row r="1877" spans="1:1" x14ac:dyDescent="0.25">
      <c r="A1877" s="8">
        <v>2.5171875E-2</v>
      </c>
    </row>
    <row r="1878" spans="1:1" x14ac:dyDescent="0.25">
      <c r="A1878" s="8">
        <v>1.3421875E-2</v>
      </c>
    </row>
    <row r="1879" spans="1:1" x14ac:dyDescent="0.25">
      <c r="A1879" s="8">
        <v>1.7882813000003807E-2</v>
      </c>
    </row>
    <row r="1880" spans="1:1" x14ac:dyDescent="0.25">
      <c r="A1880" s="8">
        <v>1.7218750000000001E-2</v>
      </c>
    </row>
    <row r="1881" spans="1:1" x14ac:dyDescent="0.25">
      <c r="A1881" s="8">
        <v>1.1484375E-2</v>
      </c>
    </row>
    <row r="1882" spans="1:1" x14ac:dyDescent="0.25">
      <c r="A1882" s="8">
        <v>1.5695313000003808E-2</v>
      </c>
    </row>
    <row r="1883" spans="1:1" x14ac:dyDescent="0.25">
      <c r="A1883" s="8">
        <v>2.1273436999996193E-2</v>
      </c>
    </row>
    <row r="1884" spans="1:1" x14ac:dyDescent="0.25">
      <c r="A1884" s="8">
        <v>1.3742186999996193E-2</v>
      </c>
    </row>
    <row r="1885" spans="1:1" x14ac:dyDescent="0.25">
      <c r="A1885" s="8">
        <v>1.4757811999996193E-2</v>
      </c>
    </row>
    <row r="1886" spans="1:1" x14ac:dyDescent="0.25">
      <c r="A1886" s="8">
        <v>1.5867186999996192E-2</v>
      </c>
    </row>
    <row r="1887" spans="1:1" x14ac:dyDescent="0.25">
      <c r="A1887" s="8">
        <v>8.9843749999999993E-3</v>
      </c>
    </row>
    <row r="1888" spans="1:1" x14ac:dyDescent="0.25">
      <c r="A1888" s="8">
        <v>1.6804688000003808E-2</v>
      </c>
    </row>
    <row r="1889" spans="1:1" x14ac:dyDescent="0.25">
      <c r="A1889" s="8">
        <v>2.8656250000000001E-2</v>
      </c>
    </row>
    <row r="1890" spans="1:1" x14ac:dyDescent="0.25">
      <c r="A1890" s="8">
        <v>1.915625E-2</v>
      </c>
    </row>
    <row r="1891" spans="1:1" x14ac:dyDescent="0.25">
      <c r="A1891" s="8">
        <v>2.3195313000003808E-2</v>
      </c>
    </row>
    <row r="1892" spans="1:1" x14ac:dyDescent="0.25">
      <c r="A1892" s="8">
        <v>4.2937500000000003E-2</v>
      </c>
    </row>
    <row r="1893" spans="1:1" x14ac:dyDescent="0.25">
      <c r="A1893" s="8">
        <v>1.7367186999996193E-2</v>
      </c>
    </row>
    <row r="1894" spans="1:1" x14ac:dyDescent="0.25">
      <c r="A1894" s="8">
        <v>1.7500000000000002E-2</v>
      </c>
    </row>
    <row r="1895" spans="1:1" x14ac:dyDescent="0.25">
      <c r="A1895" s="8">
        <v>7.3906249999999996E-3</v>
      </c>
    </row>
    <row r="1896" spans="1:1" x14ac:dyDescent="0.25">
      <c r="A1896" s="8">
        <v>2.4242186999996192E-2</v>
      </c>
    </row>
    <row r="1897" spans="1:1" x14ac:dyDescent="0.25">
      <c r="A1897" s="8">
        <v>1.559375E-2</v>
      </c>
    </row>
    <row r="1898" spans="1:1" x14ac:dyDescent="0.25">
      <c r="A1898" s="8">
        <v>8.0703119999961919E-3</v>
      </c>
    </row>
    <row r="1899" spans="1:1" x14ac:dyDescent="0.25">
      <c r="A1899" s="8">
        <v>2.2390625000000001E-2</v>
      </c>
    </row>
    <row r="1900" spans="1:1" x14ac:dyDescent="0.25">
      <c r="A1900" s="8">
        <v>1.4039061999996192E-2</v>
      </c>
    </row>
    <row r="1901" spans="1:1" x14ac:dyDescent="0.25">
      <c r="A1901" s="8">
        <v>7.4843749999999997E-3</v>
      </c>
    </row>
    <row r="1902" spans="1:1" x14ac:dyDescent="0.25">
      <c r="A1902" s="8">
        <v>2.4570313000003806E-2</v>
      </c>
    </row>
    <row r="1903" spans="1:1" x14ac:dyDescent="0.25">
      <c r="A1903" s="8">
        <v>2.9429688000003808E-2</v>
      </c>
    </row>
    <row r="1904" spans="1:1" x14ac:dyDescent="0.25">
      <c r="A1904" s="8">
        <v>3.4015625000000001E-2</v>
      </c>
    </row>
    <row r="1905" spans="1:1" x14ac:dyDescent="0.25">
      <c r="A1905" s="8">
        <v>2.2812499999999999E-2</v>
      </c>
    </row>
    <row r="1906" spans="1:1" x14ac:dyDescent="0.25">
      <c r="A1906" s="8">
        <v>2.4218750000000001E-2</v>
      </c>
    </row>
    <row r="1907" spans="1:1" x14ac:dyDescent="0.25">
      <c r="A1907" s="8">
        <v>2.1406250000000002E-2</v>
      </c>
    </row>
    <row r="1908" spans="1:1" x14ac:dyDescent="0.25">
      <c r="A1908" s="8">
        <v>1.7328125E-2</v>
      </c>
    </row>
    <row r="1909" spans="1:1" x14ac:dyDescent="0.25">
      <c r="A1909" s="8">
        <v>6.2789063000003809E-2</v>
      </c>
    </row>
    <row r="1910" spans="1:1" x14ac:dyDescent="0.25">
      <c r="A1910" s="8">
        <v>7.2578119999961929E-3</v>
      </c>
    </row>
    <row r="1911" spans="1:1" x14ac:dyDescent="0.25">
      <c r="A1911" s="8">
        <v>1.8437499999999999E-2</v>
      </c>
    </row>
    <row r="1912" spans="1:1" x14ac:dyDescent="0.25">
      <c r="A1912" s="8">
        <v>4.1453125E-2</v>
      </c>
    </row>
    <row r="1913" spans="1:1" x14ac:dyDescent="0.25">
      <c r="A1913" s="8">
        <v>1.421875E-2</v>
      </c>
    </row>
    <row r="1914" spans="1:1" x14ac:dyDescent="0.25">
      <c r="A1914" s="8">
        <v>2.6312499999999999E-2</v>
      </c>
    </row>
    <row r="1915" spans="1:1" x14ac:dyDescent="0.25">
      <c r="A1915" s="8">
        <v>2.5203125E-2</v>
      </c>
    </row>
    <row r="1916" spans="1:1" x14ac:dyDescent="0.25">
      <c r="A1916" s="8">
        <v>1.6828124999999999E-2</v>
      </c>
    </row>
    <row r="1917" spans="1:1" x14ac:dyDescent="0.25">
      <c r="A1917" s="8">
        <v>1.6593750000000001E-2</v>
      </c>
    </row>
    <row r="1918" spans="1:1" x14ac:dyDescent="0.25">
      <c r="A1918" s="8">
        <v>1.8703125000000001E-2</v>
      </c>
    </row>
    <row r="1919" spans="1:1" x14ac:dyDescent="0.25">
      <c r="A1919" s="8">
        <v>2.1968749999999999E-2</v>
      </c>
    </row>
    <row r="1920" spans="1:1" x14ac:dyDescent="0.25">
      <c r="A1920" s="8">
        <v>1.1796875E-2</v>
      </c>
    </row>
    <row r="1921" spans="1:1" x14ac:dyDescent="0.25">
      <c r="A1921" s="8">
        <v>1.5046874999999999E-2</v>
      </c>
    </row>
    <row r="1922" spans="1:1" x14ac:dyDescent="0.25">
      <c r="A1922" s="8">
        <v>1.3234375E-2</v>
      </c>
    </row>
    <row r="1923" spans="1:1" x14ac:dyDescent="0.25">
      <c r="A1923" s="8">
        <v>2.00625E-2</v>
      </c>
    </row>
    <row r="1924" spans="1:1" x14ac:dyDescent="0.25">
      <c r="A1924" s="8">
        <v>2.2156249999999999E-2</v>
      </c>
    </row>
    <row r="1925" spans="1:1" x14ac:dyDescent="0.25">
      <c r="A1925" s="8">
        <v>2.2531249999999999E-2</v>
      </c>
    </row>
    <row r="1926" spans="1:1" x14ac:dyDescent="0.25">
      <c r="A1926" s="8">
        <v>2.5874999999999999E-2</v>
      </c>
    </row>
    <row r="1927" spans="1:1" x14ac:dyDescent="0.25">
      <c r="A1927" s="8">
        <v>1.8265625000000001E-2</v>
      </c>
    </row>
    <row r="1928" spans="1:1" x14ac:dyDescent="0.25">
      <c r="A1928" s="8">
        <v>1.384375E-2</v>
      </c>
    </row>
    <row r="1929" spans="1:1" x14ac:dyDescent="0.25">
      <c r="A1929" s="8">
        <v>1.7609375E-2</v>
      </c>
    </row>
    <row r="1930" spans="1:1" x14ac:dyDescent="0.25">
      <c r="A1930" s="8">
        <v>1.7363281999998436E-2</v>
      </c>
    </row>
    <row r="1931" spans="1:1" x14ac:dyDescent="0.25">
      <c r="A1931" s="8">
        <v>7.5742189999982654E-3</v>
      </c>
    </row>
    <row r="1932" spans="1:1" x14ac:dyDescent="0.25">
      <c r="A1932" s="8">
        <v>2.4011718000001566E-2</v>
      </c>
    </row>
    <row r="1933" spans="1:1" x14ac:dyDescent="0.25">
      <c r="A1933" s="8">
        <v>2.7070313000000169E-2</v>
      </c>
    </row>
    <row r="1934" spans="1:1" x14ac:dyDescent="0.25">
      <c r="A1934" s="8">
        <v>1.5367188000000169E-2</v>
      </c>
    </row>
    <row r="1935" spans="1:1" x14ac:dyDescent="0.25">
      <c r="A1935" s="8">
        <v>1.396875E-2</v>
      </c>
    </row>
    <row r="1936" spans="1:1" x14ac:dyDescent="0.25">
      <c r="A1936" s="8">
        <v>1.1042968999994627E-2</v>
      </c>
    </row>
    <row r="1937" spans="1:1" x14ac:dyDescent="0.25">
      <c r="A1937" s="8">
        <v>1.1332031999998434E-2</v>
      </c>
    </row>
    <row r="1938" spans="1:1" x14ac:dyDescent="0.25">
      <c r="A1938" s="8">
        <v>8.8398440000019042E-3</v>
      </c>
    </row>
    <row r="1939" spans="1:1" x14ac:dyDescent="0.25">
      <c r="A1939" s="8">
        <v>2.0296874999999999E-2</v>
      </c>
    </row>
    <row r="1940" spans="1:1" x14ac:dyDescent="0.25">
      <c r="A1940" s="8">
        <v>1.0656250000000001E-2</v>
      </c>
    </row>
    <row r="1941" spans="1:1" x14ac:dyDescent="0.25">
      <c r="A1941" s="8">
        <v>2.0847655999998098E-2</v>
      </c>
    </row>
    <row r="1942" spans="1:1" x14ac:dyDescent="0.25">
      <c r="A1942" s="8">
        <v>1.0781249999999999E-2</v>
      </c>
    </row>
    <row r="1943" spans="1:1" x14ac:dyDescent="0.25">
      <c r="A1943" s="8">
        <v>9.5429689999946277E-3</v>
      </c>
    </row>
    <row r="1944" spans="1:1" x14ac:dyDescent="0.25">
      <c r="A1944" s="8">
        <v>7.8554690000019033E-3</v>
      </c>
    </row>
    <row r="1945" spans="1:1" x14ac:dyDescent="0.25">
      <c r="A1945" s="8">
        <v>7.5156249999999997E-3</v>
      </c>
    </row>
    <row r="1946" spans="1:1" x14ac:dyDescent="0.25">
      <c r="A1946" s="8">
        <v>1.3105468000001565E-2</v>
      </c>
    </row>
    <row r="1947" spans="1:1" x14ac:dyDescent="0.25">
      <c r="A1947" s="8">
        <v>7.6054689999946277E-3</v>
      </c>
    </row>
    <row r="1948" spans="1:1" x14ac:dyDescent="0.25">
      <c r="A1948" s="8">
        <v>1.8749999999999999E-2</v>
      </c>
    </row>
    <row r="1949" spans="1:1" x14ac:dyDescent="0.25">
      <c r="A1949" s="8">
        <v>2.2503906999998435E-2</v>
      </c>
    </row>
    <row r="1950" spans="1:1" x14ac:dyDescent="0.25">
      <c r="A1950" s="8">
        <v>1.4101562999996532E-2</v>
      </c>
    </row>
    <row r="1951" spans="1:1" x14ac:dyDescent="0.25">
      <c r="A1951" s="8">
        <v>1.6933594000001904E-2</v>
      </c>
    </row>
    <row r="1952" spans="1:1" x14ac:dyDescent="0.25">
      <c r="A1952" s="8">
        <v>9.5312499999999998E-3</v>
      </c>
    </row>
    <row r="1953" spans="1:1" x14ac:dyDescent="0.25">
      <c r="A1953" s="8">
        <v>1.4464843000001565E-2</v>
      </c>
    </row>
    <row r="1954" spans="1:1" x14ac:dyDescent="0.25">
      <c r="A1954" s="8">
        <v>1.7207031000005372E-2</v>
      </c>
    </row>
    <row r="1955" spans="1:1" x14ac:dyDescent="0.25">
      <c r="A1955" s="8">
        <v>1.5117188000003808E-2</v>
      </c>
    </row>
    <row r="1956" spans="1:1" x14ac:dyDescent="0.25">
      <c r="A1956" s="8">
        <v>7.9453119999961935E-3</v>
      </c>
    </row>
    <row r="1957" spans="1:1" x14ac:dyDescent="0.25">
      <c r="A1957" s="8">
        <v>1.3773438000003807E-2</v>
      </c>
    </row>
    <row r="1958" spans="1:1" x14ac:dyDescent="0.25">
      <c r="A1958" s="8">
        <v>1.6562500000000001E-2</v>
      </c>
    </row>
    <row r="1959" spans="1:1" x14ac:dyDescent="0.25">
      <c r="A1959" s="8">
        <v>1.6929686999996193E-2</v>
      </c>
    </row>
    <row r="1960" spans="1:1" x14ac:dyDescent="0.25">
      <c r="A1960" s="8">
        <v>8.4656250000000002E-2</v>
      </c>
    </row>
    <row r="1961" spans="1:1" x14ac:dyDescent="0.25">
      <c r="A1961" s="8">
        <v>8.2890619999961921E-3</v>
      </c>
    </row>
    <row r="1962" spans="1:1" x14ac:dyDescent="0.25">
      <c r="A1962" s="8">
        <v>2.2671875000000001E-2</v>
      </c>
    </row>
    <row r="1963" spans="1:1" x14ac:dyDescent="0.25">
      <c r="A1963" s="8">
        <v>2.0492186999996193E-2</v>
      </c>
    </row>
    <row r="1964" spans="1:1" x14ac:dyDescent="0.25">
      <c r="A1964" s="8">
        <v>1.7101563000003806E-2</v>
      </c>
    </row>
    <row r="1965" spans="1:1" x14ac:dyDescent="0.25">
      <c r="A1965" s="8">
        <v>1.4320311999996192E-2</v>
      </c>
    </row>
    <row r="1966" spans="1:1" x14ac:dyDescent="0.25">
      <c r="A1966" s="8">
        <v>1.4867188000003808E-2</v>
      </c>
    </row>
    <row r="1967" spans="1:1" x14ac:dyDescent="0.25">
      <c r="A1967" s="8">
        <v>2.7117186999996191E-2</v>
      </c>
    </row>
    <row r="1968" spans="1:1" x14ac:dyDescent="0.25">
      <c r="A1968" s="8">
        <v>1.1328125E-2</v>
      </c>
    </row>
    <row r="1969" spans="1:1" x14ac:dyDescent="0.25">
      <c r="A1969" s="8">
        <v>7.9140630000038067E-3</v>
      </c>
    </row>
    <row r="1970" spans="1:1" x14ac:dyDescent="0.25">
      <c r="A1970" s="8">
        <v>7.6796880000038073E-3</v>
      </c>
    </row>
    <row r="1971" spans="1:1" x14ac:dyDescent="0.25">
      <c r="A1971" s="8">
        <v>1.3164063000003808E-2</v>
      </c>
    </row>
    <row r="1972" spans="1:1" x14ac:dyDescent="0.25">
      <c r="A1972" s="8">
        <v>2.0828124999999999E-2</v>
      </c>
    </row>
    <row r="1973" spans="1:1" x14ac:dyDescent="0.25">
      <c r="A1973" s="8">
        <v>1.9109375000000001E-2</v>
      </c>
    </row>
    <row r="1974" spans="1:1" x14ac:dyDescent="0.25">
      <c r="A1974" s="8">
        <v>1.3976561999996192E-2</v>
      </c>
    </row>
    <row r="1975" spans="1:1" x14ac:dyDescent="0.25">
      <c r="A1975" s="8">
        <v>1.3953125E-2</v>
      </c>
    </row>
    <row r="1976" spans="1:1" x14ac:dyDescent="0.25">
      <c r="A1976" s="8">
        <v>7.6874999999999999E-3</v>
      </c>
    </row>
    <row r="1977" spans="1:1" x14ac:dyDescent="0.25">
      <c r="A1977" s="8">
        <v>1.3226563000003808E-2</v>
      </c>
    </row>
    <row r="1978" spans="1:1" x14ac:dyDescent="0.25">
      <c r="A1978" s="8">
        <v>1.2718749999999999E-2</v>
      </c>
    </row>
    <row r="1979" spans="1:1" x14ac:dyDescent="0.25">
      <c r="A1979" s="8">
        <v>5.9781250000000001E-2</v>
      </c>
    </row>
    <row r="1980" spans="1:1" x14ac:dyDescent="0.25">
      <c r="A1980" s="8">
        <v>2.4195311999996194E-2</v>
      </c>
    </row>
    <row r="1981" spans="1:1" x14ac:dyDescent="0.25">
      <c r="A1981" s="8">
        <v>1.11875E-2</v>
      </c>
    </row>
    <row r="1982" spans="1:1" x14ac:dyDescent="0.25">
      <c r="A1982" s="8">
        <v>2.0812500000000001E-2</v>
      </c>
    </row>
    <row r="1983" spans="1:1" x14ac:dyDescent="0.25">
      <c r="A1983" s="8">
        <v>2.8968750000000001E-2</v>
      </c>
    </row>
    <row r="1984" spans="1:1" x14ac:dyDescent="0.25">
      <c r="A1984" s="8">
        <v>1.0609375000000001E-2</v>
      </c>
    </row>
    <row r="1985" spans="1:1" x14ac:dyDescent="0.25">
      <c r="A1985" s="8">
        <v>7.5859369999961923E-3</v>
      </c>
    </row>
    <row r="1986" spans="1:1" x14ac:dyDescent="0.25">
      <c r="A1986" s="8">
        <v>1.2109375E-2</v>
      </c>
    </row>
    <row r="1987" spans="1:1" x14ac:dyDescent="0.25">
      <c r="A1987" s="8">
        <v>2.2109375000000001E-2</v>
      </c>
    </row>
    <row r="1988" spans="1:1" x14ac:dyDescent="0.25">
      <c r="A1988" s="8">
        <v>1.1140624999999999E-2</v>
      </c>
    </row>
    <row r="1989" spans="1:1" x14ac:dyDescent="0.25">
      <c r="A1989" s="8">
        <v>1.140625E-2</v>
      </c>
    </row>
    <row r="1990" spans="1:1" x14ac:dyDescent="0.25">
      <c r="A1990" s="8">
        <v>1.6750000000000001E-2</v>
      </c>
    </row>
    <row r="1991" spans="1:1" x14ac:dyDescent="0.25">
      <c r="A1991" s="8">
        <v>1.1078124999999999E-2</v>
      </c>
    </row>
    <row r="1992" spans="1:1" x14ac:dyDescent="0.25">
      <c r="A1992" s="8">
        <v>1.35E-2</v>
      </c>
    </row>
    <row r="1993" spans="1:1" x14ac:dyDescent="0.25">
      <c r="A1993" s="8">
        <v>1.6296874999999999E-2</v>
      </c>
    </row>
    <row r="1994" spans="1:1" x14ac:dyDescent="0.25">
      <c r="A1994" s="8">
        <v>1.1140624999999999E-2</v>
      </c>
    </row>
    <row r="1995" spans="1:1" x14ac:dyDescent="0.25">
      <c r="A1995" s="8">
        <v>2.0765624999999999E-2</v>
      </c>
    </row>
    <row r="1996" spans="1:1" x14ac:dyDescent="0.25">
      <c r="A1996" s="8">
        <v>1.7093750000000001E-2</v>
      </c>
    </row>
    <row r="1997" spans="1:1" x14ac:dyDescent="0.25">
      <c r="A1997" s="8">
        <v>1.896875E-2</v>
      </c>
    </row>
    <row r="1998" spans="1:1" x14ac:dyDescent="0.25">
      <c r="A1998" s="8">
        <v>1.409375E-2</v>
      </c>
    </row>
    <row r="1999" spans="1:1" x14ac:dyDescent="0.25">
      <c r="A1999" s="8">
        <v>1.965625E-2</v>
      </c>
    </row>
    <row r="2000" spans="1:1" x14ac:dyDescent="0.25">
      <c r="A2000" s="8">
        <v>1.1546875E-2</v>
      </c>
    </row>
    <row r="2001" spans="1:1" x14ac:dyDescent="0.25">
      <c r="A2001" s="8">
        <v>1.4890624999999999E-2</v>
      </c>
    </row>
    <row r="2002" spans="1:1" x14ac:dyDescent="0.25">
      <c r="A2002" s="8">
        <v>0.105703125</v>
      </c>
    </row>
    <row r="2003" spans="1:1" x14ac:dyDescent="0.25">
      <c r="A2003" s="8">
        <v>9.6874999999999999E-3</v>
      </c>
    </row>
    <row r="2004" spans="1:1" x14ac:dyDescent="0.25">
      <c r="A2004" s="8">
        <v>1.115625E-2</v>
      </c>
    </row>
    <row r="2005" spans="1:1" x14ac:dyDescent="0.25">
      <c r="A2005" s="8">
        <v>2.0734374999999999E-2</v>
      </c>
    </row>
    <row r="2006" spans="1:1" x14ac:dyDescent="0.25">
      <c r="A2006" s="8">
        <v>1.3771484000000783E-2</v>
      </c>
    </row>
    <row r="2007" spans="1:1" x14ac:dyDescent="0.25">
      <c r="A2007" s="8">
        <v>1.7519531999998436E-2</v>
      </c>
    </row>
    <row r="2008" spans="1:1" x14ac:dyDescent="0.25">
      <c r="A2008" s="8">
        <v>1.7166015999999219E-2</v>
      </c>
    </row>
    <row r="2009" spans="1:1" x14ac:dyDescent="0.25">
      <c r="A2009" s="8">
        <v>2.4626952999999049E-2</v>
      </c>
    </row>
    <row r="2010" spans="1:1" x14ac:dyDescent="0.25">
      <c r="A2010" s="8">
        <v>1.7396484000000781E-2</v>
      </c>
    </row>
    <row r="2011" spans="1:1" x14ac:dyDescent="0.25">
      <c r="A2011" s="8">
        <v>1.3964843000001566E-2</v>
      </c>
    </row>
    <row r="2012" spans="1:1" x14ac:dyDescent="0.25">
      <c r="A2012" s="8">
        <v>1.5367188000000169E-2</v>
      </c>
    </row>
    <row r="2013" spans="1:1" x14ac:dyDescent="0.25">
      <c r="A2013" s="8">
        <v>1.3998046999997314E-2</v>
      </c>
    </row>
    <row r="2014" spans="1:1" x14ac:dyDescent="0.25">
      <c r="A2014" s="8">
        <v>7.7070309999980966E-3</v>
      </c>
    </row>
    <row r="2015" spans="1:1" x14ac:dyDescent="0.25">
      <c r="A2015" s="8">
        <v>1.4869140999999218E-2</v>
      </c>
    </row>
    <row r="2016" spans="1:1" x14ac:dyDescent="0.25">
      <c r="A2016" s="8">
        <v>8.7265630000038074E-3</v>
      </c>
    </row>
    <row r="2017" spans="1:1" x14ac:dyDescent="0.25">
      <c r="A2017" s="8">
        <v>2.2515625000000001E-2</v>
      </c>
    </row>
    <row r="2018" spans="1:1" x14ac:dyDescent="0.25">
      <c r="A2018" s="8">
        <v>7.7226559999980966E-3</v>
      </c>
    </row>
    <row r="2019" spans="1:1" x14ac:dyDescent="0.25">
      <c r="A2019" s="8">
        <v>9.1093749999999994E-3</v>
      </c>
    </row>
    <row r="2020" spans="1:1" x14ac:dyDescent="0.25">
      <c r="A2020" s="8">
        <v>1.1726562999996531E-2</v>
      </c>
    </row>
    <row r="2021" spans="1:1" x14ac:dyDescent="0.25">
      <c r="A2021" s="8">
        <v>1.4753905999998096E-2</v>
      </c>
    </row>
    <row r="2022" spans="1:1" x14ac:dyDescent="0.25">
      <c r="A2022" s="8">
        <v>8.8593749999999992E-3</v>
      </c>
    </row>
    <row r="2023" spans="1:1" x14ac:dyDescent="0.25">
      <c r="A2023" s="8">
        <v>2.0246094000001904E-2</v>
      </c>
    </row>
    <row r="2024" spans="1:1" x14ac:dyDescent="0.25">
      <c r="A2024" s="8">
        <v>1.7121093999994629E-2</v>
      </c>
    </row>
    <row r="2025" spans="1:1" x14ac:dyDescent="0.25">
      <c r="A2025" s="8">
        <v>2.5480468000001564E-2</v>
      </c>
    </row>
    <row r="2026" spans="1:1" x14ac:dyDescent="0.25">
      <c r="A2026" s="8">
        <v>2.2867187999996531E-2</v>
      </c>
    </row>
    <row r="2027" spans="1:1" x14ac:dyDescent="0.25">
      <c r="A2027" s="8">
        <v>7.7343749999999999E-3</v>
      </c>
    </row>
    <row r="2028" spans="1:1" x14ac:dyDescent="0.25">
      <c r="A2028" s="8">
        <v>1.3875E-2</v>
      </c>
    </row>
    <row r="2029" spans="1:1" x14ac:dyDescent="0.25">
      <c r="A2029" s="8">
        <v>1.4621094000001904E-2</v>
      </c>
    </row>
    <row r="2030" spans="1:1" x14ac:dyDescent="0.25">
      <c r="A2030" s="8">
        <v>2.0906250000000001E-2</v>
      </c>
    </row>
    <row r="2031" spans="1:1" x14ac:dyDescent="0.25">
      <c r="A2031" s="8">
        <v>7.9023430000015656E-3</v>
      </c>
    </row>
    <row r="2032" spans="1:1" x14ac:dyDescent="0.25">
      <c r="A2032" s="8">
        <v>1.3796875E-2</v>
      </c>
    </row>
    <row r="2033" spans="1:1" x14ac:dyDescent="0.25">
      <c r="A2033" s="8">
        <v>7.7109380000038074E-3</v>
      </c>
    </row>
    <row r="2034" spans="1:1" x14ac:dyDescent="0.25">
      <c r="A2034" s="8">
        <v>2.5148436999996193E-2</v>
      </c>
    </row>
    <row r="2035" spans="1:1" x14ac:dyDescent="0.25">
      <c r="A2035" s="8">
        <v>2.4648436999996193E-2</v>
      </c>
    </row>
    <row r="2036" spans="1:1" x14ac:dyDescent="0.25">
      <c r="A2036" s="8">
        <v>1.9132813000003808E-2</v>
      </c>
    </row>
    <row r="2037" spans="1:1" x14ac:dyDescent="0.25">
      <c r="A2037" s="8">
        <v>8.8671880000038075E-3</v>
      </c>
    </row>
    <row r="2038" spans="1:1" x14ac:dyDescent="0.25">
      <c r="A2038" s="8">
        <v>2.6804688000003806E-2</v>
      </c>
    </row>
    <row r="2039" spans="1:1" x14ac:dyDescent="0.25">
      <c r="A2039" s="8">
        <v>3.2078124999999999E-2</v>
      </c>
    </row>
    <row r="2040" spans="1:1" x14ac:dyDescent="0.25">
      <c r="A2040" s="8">
        <v>1.4679686999996193E-2</v>
      </c>
    </row>
    <row r="2041" spans="1:1" x14ac:dyDescent="0.25">
      <c r="A2041" s="8">
        <v>1.1640625E-2</v>
      </c>
    </row>
    <row r="2042" spans="1:1" x14ac:dyDescent="0.25">
      <c r="A2042" s="8">
        <v>2.3765624999999999E-2</v>
      </c>
    </row>
    <row r="2043" spans="1:1" x14ac:dyDescent="0.25">
      <c r="A2043" s="8">
        <v>2.0156250000000001E-2</v>
      </c>
    </row>
    <row r="2044" spans="1:1" x14ac:dyDescent="0.25">
      <c r="A2044" s="8">
        <v>1.4656249999999999E-2</v>
      </c>
    </row>
    <row r="2045" spans="1:1" x14ac:dyDescent="0.25">
      <c r="A2045" s="8">
        <v>1.5601563000003807E-2</v>
      </c>
    </row>
    <row r="2046" spans="1:1" x14ac:dyDescent="0.25">
      <c r="A2046" s="8">
        <v>1.2960938000003808E-2</v>
      </c>
    </row>
    <row r="2047" spans="1:1" x14ac:dyDescent="0.25">
      <c r="A2047" s="8">
        <v>2.7898438000003807E-2</v>
      </c>
    </row>
    <row r="2048" spans="1:1" x14ac:dyDescent="0.25">
      <c r="A2048" s="8">
        <v>2.4601561999996194E-2</v>
      </c>
    </row>
    <row r="2049" spans="1:1" x14ac:dyDescent="0.25">
      <c r="A2049" s="8">
        <v>1.3804686999996194E-2</v>
      </c>
    </row>
    <row r="2050" spans="1:1" x14ac:dyDescent="0.25">
      <c r="A2050" s="8">
        <v>1.8132811999996192E-2</v>
      </c>
    </row>
    <row r="2051" spans="1:1" x14ac:dyDescent="0.25">
      <c r="A2051" s="8">
        <v>1.6695311999996194E-2</v>
      </c>
    </row>
    <row r="2052" spans="1:1" x14ac:dyDescent="0.25">
      <c r="A2052" s="8">
        <v>1.7171875E-2</v>
      </c>
    </row>
    <row r="2053" spans="1:1" x14ac:dyDescent="0.25">
      <c r="A2053" s="8">
        <v>1.3632813000003807E-2</v>
      </c>
    </row>
    <row r="2054" spans="1:1" x14ac:dyDescent="0.25">
      <c r="A2054" s="8">
        <v>1.4523438000003807E-2</v>
      </c>
    </row>
    <row r="2055" spans="1:1" x14ac:dyDescent="0.25">
      <c r="A2055" s="8">
        <v>2.2718749999999999E-2</v>
      </c>
    </row>
    <row r="2056" spans="1:1" x14ac:dyDescent="0.25">
      <c r="A2056" s="8">
        <v>9.445313000003808E-3</v>
      </c>
    </row>
    <row r="2057" spans="1:1" x14ac:dyDescent="0.25">
      <c r="A2057" s="8">
        <v>7.7499999999999999E-3</v>
      </c>
    </row>
    <row r="2058" spans="1:1" x14ac:dyDescent="0.25">
      <c r="A2058" s="8">
        <v>1.3929686999996192E-2</v>
      </c>
    </row>
    <row r="2059" spans="1:1" x14ac:dyDescent="0.25">
      <c r="A2059" s="8">
        <v>1.7445313000003806E-2</v>
      </c>
    </row>
    <row r="2060" spans="1:1" x14ac:dyDescent="0.25">
      <c r="A2060" s="8">
        <v>1.403125E-2</v>
      </c>
    </row>
    <row r="2061" spans="1:1" x14ac:dyDescent="0.25">
      <c r="A2061" s="8">
        <v>2.1710936999996194E-2</v>
      </c>
    </row>
    <row r="2062" spans="1:1" x14ac:dyDescent="0.25">
      <c r="A2062" s="8">
        <v>1.7703125E-2</v>
      </c>
    </row>
    <row r="2063" spans="1:1" x14ac:dyDescent="0.25">
      <c r="A2063" s="8">
        <v>2.0195313000003809E-2</v>
      </c>
    </row>
    <row r="2064" spans="1:1" x14ac:dyDescent="0.25">
      <c r="A2064" s="8">
        <v>8.7734380000038074E-3</v>
      </c>
    </row>
    <row r="2065" spans="1:1" x14ac:dyDescent="0.25">
      <c r="A2065" s="8">
        <v>1.6562500000000001E-2</v>
      </c>
    </row>
    <row r="2066" spans="1:1" x14ac:dyDescent="0.25">
      <c r="A2066" s="8">
        <v>8.5000000000000006E-3</v>
      </c>
    </row>
    <row r="2067" spans="1:1" x14ac:dyDescent="0.25">
      <c r="A2067" s="8">
        <v>1.4476561999996192E-2</v>
      </c>
    </row>
    <row r="2068" spans="1:1" x14ac:dyDescent="0.25">
      <c r="A2068" s="8">
        <v>1.984375E-2</v>
      </c>
    </row>
    <row r="2069" spans="1:1" x14ac:dyDescent="0.25">
      <c r="A2069" s="8">
        <v>1.2578125000000001E-2</v>
      </c>
    </row>
    <row r="2070" spans="1:1" x14ac:dyDescent="0.25">
      <c r="A2070" s="8">
        <v>2.4156250000000001E-2</v>
      </c>
    </row>
    <row r="2071" spans="1:1" x14ac:dyDescent="0.25">
      <c r="A2071" s="8">
        <v>1.19375E-2</v>
      </c>
    </row>
    <row r="2072" spans="1:1" x14ac:dyDescent="0.25">
      <c r="A2072" s="8">
        <v>7.6718749999999999E-3</v>
      </c>
    </row>
    <row r="2073" spans="1:1" x14ac:dyDescent="0.25">
      <c r="A2073" s="8">
        <v>8.2187500000000004E-3</v>
      </c>
    </row>
    <row r="2074" spans="1:1" x14ac:dyDescent="0.25">
      <c r="A2074" s="8">
        <v>1.525E-2</v>
      </c>
    </row>
    <row r="2075" spans="1:1" x14ac:dyDescent="0.25">
      <c r="A2075" s="8">
        <v>8.0781250000000002E-3</v>
      </c>
    </row>
    <row r="2076" spans="1:1" x14ac:dyDescent="0.25">
      <c r="A2076" s="8">
        <v>2.1999999999999999E-2</v>
      </c>
    </row>
    <row r="2077" spans="1:1" x14ac:dyDescent="0.25">
      <c r="A2077" s="8">
        <v>2.1874999999999999E-2</v>
      </c>
    </row>
    <row r="2078" spans="1:1" x14ac:dyDescent="0.25">
      <c r="A2078" s="8">
        <v>2.2562499999999999E-2</v>
      </c>
    </row>
    <row r="2079" spans="1:1" x14ac:dyDescent="0.25">
      <c r="A2079" s="8">
        <v>1.7515625E-2</v>
      </c>
    </row>
    <row r="2080" spans="1:1" x14ac:dyDescent="0.25">
      <c r="A2080" s="8">
        <v>1.3765625E-2</v>
      </c>
    </row>
    <row r="2081" spans="1:1" x14ac:dyDescent="0.25">
      <c r="A2081" s="8">
        <v>1.3640625E-2</v>
      </c>
    </row>
    <row r="2082" spans="1:1" x14ac:dyDescent="0.25">
      <c r="A2082" s="8">
        <v>2.0312500000000001E-2</v>
      </c>
    </row>
    <row r="2083" spans="1:1" x14ac:dyDescent="0.25">
      <c r="A2083" s="8">
        <v>7.3453124999999994E-2</v>
      </c>
    </row>
    <row r="2084" spans="1:1" x14ac:dyDescent="0.25">
      <c r="A2084" s="8">
        <v>1.2515625000000001E-2</v>
      </c>
    </row>
    <row r="2085" spans="1:1" x14ac:dyDescent="0.25">
      <c r="A2085" s="8">
        <v>1.4515625000000001E-2</v>
      </c>
    </row>
    <row r="2086" spans="1:1" x14ac:dyDescent="0.25">
      <c r="A2086" s="8">
        <v>2.6623046999997315E-2</v>
      </c>
    </row>
    <row r="2087" spans="1:1" x14ac:dyDescent="0.25">
      <c r="A2087" s="8">
        <v>2.0275390999999216E-2</v>
      </c>
    </row>
    <row r="2088" spans="1:1" x14ac:dyDescent="0.25">
      <c r="A2088" s="8">
        <v>3.1509765999999217E-2</v>
      </c>
    </row>
    <row r="2089" spans="1:1" x14ac:dyDescent="0.25">
      <c r="A2089" s="8">
        <v>1.7119140999999217E-2</v>
      </c>
    </row>
    <row r="2090" spans="1:1" x14ac:dyDescent="0.25">
      <c r="A2090" s="8">
        <v>1.1380859000000782E-2</v>
      </c>
    </row>
    <row r="2091" spans="1:1" x14ac:dyDescent="0.25">
      <c r="A2091" s="8">
        <v>7.7382819999984353E-3</v>
      </c>
    </row>
    <row r="2092" spans="1:1" x14ac:dyDescent="0.25">
      <c r="A2092" s="8">
        <v>7.9042970000009517E-3</v>
      </c>
    </row>
    <row r="2093" spans="1:1" x14ac:dyDescent="0.25">
      <c r="A2093" s="8">
        <v>1.3773438000000169E-2</v>
      </c>
    </row>
    <row r="2094" spans="1:1" x14ac:dyDescent="0.25">
      <c r="A2094" s="8">
        <v>1.7380860000001122E-2</v>
      </c>
    </row>
    <row r="2095" spans="1:1" x14ac:dyDescent="0.25">
      <c r="A2095" s="8">
        <v>8.488281000001735E-3</v>
      </c>
    </row>
    <row r="2096" spans="1:1" x14ac:dyDescent="0.25">
      <c r="A2096" s="8">
        <v>2.2400390999999218E-2</v>
      </c>
    </row>
    <row r="2097" spans="1:1" x14ac:dyDescent="0.25">
      <c r="A2097" s="8">
        <v>1.0914061999996193E-2</v>
      </c>
    </row>
    <row r="2098" spans="1:1" x14ac:dyDescent="0.25">
      <c r="A2098" s="8">
        <v>1.7671875E-2</v>
      </c>
    </row>
    <row r="2099" spans="1:1" x14ac:dyDescent="0.25">
      <c r="A2099" s="8">
        <v>1.4074218000001566E-2</v>
      </c>
    </row>
    <row r="2100" spans="1:1" x14ac:dyDescent="0.25">
      <c r="A2100" s="8">
        <v>1.0089843000001566E-2</v>
      </c>
    </row>
    <row r="2101" spans="1:1" x14ac:dyDescent="0.25">
      <c r="A2101" s="8">
        <v>1.4984374999999999E-2</v>
      </c>
    </row>
    <row r="2102" spans="1:1" x14ac:dyDescent="0.25">
      <c r="A2102" s="8">
        <v>2.4773436999996193E-2</v>
      </c>
    </row>
    <row r="2103" spans="1:1" x14ac:dyDescent="0.25">
      <c r="A2103" s="8">
        <v>2.6980469000001905E-2</v>
      </c>
    </row>
    <row r="2104" spans="1:1" x14ac:dyDescent="0.25">
      <c r="A2104" s="8">
        <v>2.0632813000003806E-2</v>
      </c>
    </row>
    <row r="2105" spans="1:1" x14ac:dyDescent="0.25">
      <c r="A2105" s="8">
        <v>1.4500000000000001E-2</v>
      </c>
    </row>
    <row r="2106" spans="1:1" x14ac:dyDescent="0.25">
      <c r="A2106" s="8">
        <v>1.4296875000000001E-2</v>
      </c>
    </row>
    <row r="2107" spans="1:1" x14ac:dyDescent="0.25">
      <c r="A2107" s="8">
        <v>0.106796875</v>
      </c>
    </row>
    <row r="2108" spans="1:1" x14ac:dyDescent="0.25">
      <c r="A2108" s="8">
        <v>3.2363281999998432E-2</v>
      </c>
    </row>
    <row r="2109" spans="1:1" x14ac:dyDescent="0.25">
      <c r="A2109" s="8">
        <v>1.4726561999996193E-2</v>
      </c>
    </row>
    <row r="2110" spans="1:1" x14ac:dyDescent="0.25">
      <c r="A2110" s="8">
        <v>1.0378906999998435E-2</v>
      </c>
    </row>
    <row r="2111" spans="1:1" x14ac:dyDescent="0.25">
      <c r="A2111" s="8">
        <v>8.6796880000038074E-3</v>
      </c>
    </row>
    <row r="2112" spans="1:1" x14ac:dyDescent="0.25">
      <c r="A2112" s="8">
        <v>7.7109369999961925E-3</v>
      </c>
    </row>
    <row r="2113" spans="1:1" x14ac:dyDescent="0.25">
      <c r="A2113" s="8">
        <v>1.1164063000003808E-2</v>
      </c>
    </row>
    <row r="2114" spans="1:1" x14ac:dyDescent="0.25">
      <c r="A2114" s="8">
        <v>1.1421875E-2</v>
      </c>
    </row>
    <row r="2115" spans="1:1" x14ac:dyDescent="0.25">
      <c r="A2115" s="8">
        <v>7.8203119999961934E-3</v>
      </c>
    </row>
    <row r="2116" spans="1:1" x14ac:dyDescent="0.25">
      <c r="A2116" s="8">
        <v>1.7765625E-2</v>
      </c>
    </row>
    <row r="2117" spans="1:1" x14ac:dyDescent="0.25">
      <c r="A2117" s="8">
        <v>2.2484375000000001E-2</v>
      </c>
    </row>
    <row r="2118" spans="1:1" x14ac:dyDescent="0.25">
      <c r="A2118" s="8">
        <v>1.4140625E-2</v>
      </c>
    </row>
    <row r="2119" spans="1:1" x14ac:dyDescent="0.25">
      <c r="A2119" s="8">
        <v>2.4328124999999999E-2</v>
      </c>
    </row>
    <row r="2120" spans="1:1" x14ac:dyDescent="0.25">
      <c r="A2120" s="8">
        <v>2.309375E-2</v>
      </c>
    </row>
    <row r="2121" spans="1:1" x14ac:dyDescent="0.25">
      <c r="A2121" s="8">
        <v>2.365625E-2</v>
      </c>
    </row>
    <row r="2122" spans="1:1" x14ac:dyDescent="0.25">
      <c r="A2122" s="8">
        <v>2.1937499999999999E-2</v>
      </c>
    </row>
    <row r="2123" spans="1:1" x14ac:dyDescent="0.25">
      <c r="A2123" s="8">
        <v>2.8898438000003808E-2</v>
      </c>
    </row>
    <row r="2124" spans="1:1" x14ac:dyDescent="0.25">
      <c r="A2124" s="8">
        <v>7.4765630000038072E-3</v>
      </c>
    </row>
    <row r="2125" spans="1:1" x14ac:dyDescent="0.25">
      <c r="A2125" s="8">
        <v>2.1679688000003808E-2</v>
      </c>
    </row>
    <row r="2126" spans="1:1" x14ac:dyDescent="0.25">
      <c r="A2126" s="8">
        <v>2.0125000000000001E-2</v>
      </c>
    </row>
    <row r="2127" spans="1:1" x14ac:dyDescent="0.25">
      <c r="A2127" s="8">
        <v>4.6906249999999997E-2</v>
      </c>
    </row>
    <row r="2128" spans="1:1" x14ac:dyDescent="0.25">
      <c r="A2128" s="8">
        <v>2.74375E-2</v>
      </c>
    </row>
    <row r="2129" spans="1:1" x14ac:dyDescent="0.25">
      <c r="A2129" s="8">
        <v>1.6851561999996191E-2</v>
      </c>
    </row>
    <row r="2130" spans="1:1" x14ac:dyDescent="0.25">
      <c r="A2130" s="8">
        <v>1.3820313000003807E-2</v>
      </c>
    </row>
    <row r="2131" spans="1:1" x14ac:dyDescent="0.25">
      <c r="A2131" s="8">
        <v>8.7578119999961925E-3</v>
      </c>
    </row>
    <row r="2132" spans="1:1" x14ac:dyDescent="0.25">
      <c r="A2132" s="8">
        <v>2.0953125E-2</v>
      </c>
    </row>
    <row r="2133" spans="1:1" x14ac:dyDescent="0.25">
      <c r="A2133" s="8">
        <v>2.721875E-2</v>
      </c>
    </row>
    <row r="2134" spans="1:1" x14ac:dyDescent="0.25">
      <c r="A2134" s="8">
        <v>2.5242188000003808E-2</v>
      </c>
    </row>
    <row r="2135" spans="1:1" x14ac:dyDescent="0.25">
      <c r="A2135" s="8">
        <v>1.4421875000000001E-2</v>
      </c>
    </row>
    <row r="2136" spans="1:1" x14ac:dyDescent="0.25">
      <c r="A2136" s="8">
        <v>1.1992186999996192E-2</v>
      </c>
    </row>
    <row r="2137" spans="1:1" x14ac:dyDescent="0.25">
      <c r="A2137" s="8">
        <v>2.4281250000000001E-2</v>
      </c>
    </row>
    <row r="2138" spans="1:1" x14ac:dyDescent="0.25">
      <c r="A2138" s="8">
        <v>1.6671874999999999E-2</v>
      </c>
    </row>
    <row r="2139" spans="1:1" x14ac:dyDescent="0.25">
      <c r="A2139" s="8">
        <v>2.0664063000003806E-2</v>
      </c>
    </row>
    <row r="2140" spans="1:1" x14ac:dyDescent="0.25">
      <c r="A2140" s="8">
        <v>1.4304686999996192E-2</v>
      </c>
    </row>
    <row r="2141" spans="1:1" x14ac:dyDescent="0.25">
      <c r="A2141" s="8">
        <v>0.13668749999999999</v>
      </c>
    </row>
    <row r="2142" spans="1:1" x14ac:dyDescent="0.25">
      <c r="A2142" s="8">
        <v>2.5398438000003808E-2</v>
      </c>
    </row>
    <row r="2143" spans="1:1" x14ac:dyDescent="0.25">
      <c r="A2143" s="8">
        <v>1.2304688000003807E-2</v>
      </c>
    </row>
    <row r="2144" spans="1:1" x14ac:dyDescent="0.25">
      <c r="A2144" s="8">
        <v>1.7484375E-2</v>
      </c>
    </row>
    <row r="2145" spans="1:1" x14ac:dyDescent="0.25">
      <c r="A2145" s="8">
        <v>0.11636718800000381</v>
      </c>
    </row>
    <row r="2146" spans="1:1" x14ac:dyDescent="0.25">
      <c r="A2146" s="8">
        <v>2.0671874999999999E-2</v>
      </c>
    </row>
    <row r="2147" spans="1:1" x14ac:dyDescent="0.25">
      <c r="A2147" s="8">
        <v>2.4453124999999999E-2</v>
      </c>
    </row>
    <row r="2148" spans="1:1" x14ac:dyDescent="0.25">
      <c r="A2148" s="8">
        <v>1.6937500000000001E-2</v>
      </c>
    </row>
    <row r="2149" spans="1:1" x14ac:dyDescent="0.25">
      <c r="A2149" s="8">
        <v>1.1390625E-2</v>
      </c>
    </row>
    <row r="2150" spans="1:1" x14ac:dyDescent="0.25">
      <c r="A2150" s="8">
        <v>7.7343749999999999E-3</v>
      </c>
    </row>
    <row r="2151" spans="1:1" x14ac:dyDescent="0.25">
      <c r="A2151" s="8">
        <v>1.35625E-2</v>
      </c>
    </row>
    <row r="2152" spans="1:1" x14ac:dyDescent="0.25">
      <c r="A2152" s="8">
        <v>2.1796875E-2</v>
      </c>
    </row>
    <row r="2153" spans="1:1" x14ac:dyDescent="0.25">
      <c r="A2153" s="8">
        <v>1.7281250000000001E-2</v>
      </c>
    </row>
    <row r="2154" spans="1:1" x14ac:dyDescent="0.25">
      <c r="A2154" s="8">
        <v>2.1359375E-2</v>
      </c>
    </row>
    <row r="2155" spans="1:1" x14ac:dyDescent="0.25">
      <c r="A2155" s="8">
        <v>1.553125E-2</v>
      </c>
    </row>
    <row r="2156" spans="1:1" x14ac:dyDescent="0.25">
      <c r="A2156" s="8">
        <v>1.1515625E-2</v>
      </c>
    </row>
    <row r="2157" spans="1:1" x14ac:dyDescent="0.25">
      <c r="A2157" s="8">
        <v>1.7234375E-2</v>
      </c>
    </row>
    <row r="2158" spans="1:1" x14ac:dyDescent="0.25">
      <c r="A2158" s="8">
        <v>2.5390625E-2</v>
      </c>
    </row>
    <row r="2159" spans="1:1" x14ac:dyDescent="0.25">
      <c r="A2159" s="8">
        <v>1.6796874999999999E-2</v>
      </c>
    </row>
    <row r="2160" spans="1:1" x14ac:dyDescent="0.25">
      <c r="A2160" s="8">
        <v>9.5156249999999998E-3</v>
      </c>
    </row>
    <row r="2161" spans="1:1" x14ac:dyDescent="0.25">
      <c r="A2161" s="8">
        <v>2.0515624999999999E-2</v>
      </c>
    </row>
    <row r="2162" spans="1:1" x14ac:dyDescent="0.25">
      <c r="A2162" s="8">
        <v>1.7984375E-2</v>
      </c>
    </row>
    <row r="2163" spans="1:1" x14ac:dyDescent="0.25">
      <c r="A2163" s="8">
        <v>1.14375E-2</v>
      </c>
    </row>
    <row r="2164" spans="1:1" x14ac:dyDescent="0.25">
      <c r="A2164" s="8">
        <v>1.1093749999999999E-2</v>
      </c>
    </row>
    <row r="2165" spans="1:1" x14ac:dyDescent="0.25">
      <c r="A2165" s="8">
        <v>2.6499999999999999E-2</v>
      </c>
    </row>
    <row r="2166" spans="1:1" x14ac:dyDescent="0.25">
      <c r="A2166" s="8">
        <v>1.0984374999999999E-2</v>
      </c>
    </row>
    <row r="2167" spans="1:1" x14ac:dyDescent="0.25">
      <c r="A2167" s="8">
        <v>1.609375E-2</v>
      </c>
    </row>
    <row r="2168" spans="1:1" x14ac:dyDescent="0.25">
      <c r="A2168" s="8">
        <v>1.340625E-2</v>
      </c>
    </row>
    <row r="2169" spans="1:1" x14ac:dyDescent="0.25">
      <c r="A2169" s="8">
        <v>1.1533202999999048E-2</v>
      </c>
    </row>
    <row r="2170" spans="1:1" x14ac:dyDescent="0.25">
      <c r="A2170" s="8">
        <v>4.8496094000001905E-2</v>
      </c>
    </row>
    <row r="2171" spans="1:1" x14ac:dyDescent="0.25">
      <c r="A2171" s="8">
        <v>1.5617187000003469E-2</v>
      </c>
    </row>
    <row r="2172" spans="1:1" x14ac:dyDescent="0.25">
      <c r="A2172" s="8">
        <v>1.7039063000003806E-2</v>
      </c>
    </row>
    <row r="2173" spans="1:1" x14ac:dyDescent="0.25">
      <c r="A2173" s="8">
        <v>1.0886719000001904E-2</v>
      </c>
    </row>
    <row r="2174" spans="1:1" x14ac:dyDescent="0.25">
      <c r="A2174" s="8">
        <v>1.3796875E-2</v>
      </c>
    </row>
    <row r="2175" spans="1:1" x14ac:dyDescent="0.25">
      <c r="A2175" s="8">
        <v>1.3460936999996193E-2</v>
      </c>
    </row>
    <row r="2176" spans="1:1" x14ac:dyDescent="0.25">
      <c r="A2176" s="8">
        <v>1.9949218999994626E-2</v>
      </c>
    </row>
    <row r="2177" spans="1:1" x14ac:dyDescent="0.25">
      <c r="A2177" s="8">
        <v>2.1851562999996531E-2</v>
      </c>
    </row>
    <row r="2178" spans="1:1" x14ac:dyDescent="0.25">
      <c r="A2178" s="8">
        <v>1.688281200000347E-2</v>
      </c>
    </row>
    <row r="2179" spans="1:1" x14ac:dyDescent="0.25">
      <c r="A2179" s="8">
        <v>2.1789061999996192E-2</v>
      </c>
    </row>
    <row r="2180" spans="1:1" x14ac:dyDescent="0.25">
      <c r="A2180" s="8">
        <v>1.5171875E-2</v>
      </c>
    </row>
    <row r="2181" spans="1:1" x14ac:dyDescent="0.25">
      <c r="A2181" s="8">
        <v>1.4300781999998435E-2</v>
      </c>
    </row>
    <row r="2182" spans="1:1" x14ac:dyDescent="0.25">
      <c r="A2182" s="8">
        <v>1.8886719000001904E-2</v>
      </c>
    </row>
    <row r="2183" spans="1:1" x14ac:dyDescent="0.25">
      <c r="A2183" s="8">
        <v>1.5660155999998097E-2</v>
      </c>
    </row>
    <row r="2184" spans="1:1" x14ac:dyDescent="0.25">
      <c r="A2184" s="8">
        <v>1.175E-2</v>
      </c>
    </row>
    <row r="2185" spans="1:1" x14ac:dyDescent="0.25">
      <c r="A2185" s="8">
        <v>1.7554687999996533E-2</v>
      </c>
    </row>
    <row r="2186" spans="1:1" x14ac:dyDescent="0.25">
      <c r="A2186" s="8">
        <v>1.4769531999998435E-2</v>
      </c>
    </row>
    <row r="2187" spans="1:1" x14ac:dyDescent="0.25">
      <c r="A2187" s="8">
        <v>1.1394531999998434E-2</v>
      </c>
    </row>
    <row r="2188" spans="1:1" x14ac:dyDescent="0.25">
      <c r="A2188" s="8">
        <v>7.2109379999965315E-3</v>
      </c>
    </row>
    <row r="2189" spans="1:1" x14ac:dyDescent="0.25">
      <c r="A2189" s="8">
        <v>1.1589844000001903E-2</v>
      </c>
    </row>
    <row r="2190" spans="1:1" x14ac:dyDescent="0.25">
      <c r="A2190" s="8">
        <v>2.0992186999996193E-2</v>
      </c>
    </row>
    <row r="2191" spans="1:1" x14ac:dyDescent="0.25">
      <c r="A2191" s="8">
        <v>1.38125E-2</v>
      </c>
    </row>
    <row r="2192" spans="1:1" x14ac:dyDescent="0.25">
      <c r="A2192" s="8">
        <v>2.0679688000003808E-2</v>
      </c>
    </row>
    <row r="2193" spans="1:1" x14ac:dyDescent="0.25">
      <c r="A2193" s="8">
        <v>1.934375E-2</v>
      </c>
    </row>
    <row r="2194" spans="1:1" x14ac:dyDescent="0.25">
      <c r="A2194" s="8">
        <v>2.8109374999999999E-2</v>
      </c>
    </row>
    <row r="2195" spans="1:1" x14ac:dyDescent="0.25">
      <c r="A2195" s="8">
        <v>8.1718750000000003E-3</v>
      </c>
    </row>
    <row r="2196" spans="1:1" x14ac:dyDescent="0.25">
      <c r="A2196" s="8">
        <v>2.0875000000000001E-2</v>
      </c>
    </row>
    <row r="2197" spans="1:1" x14ac:dyDescent="0.25">
      <c r="A2197" s="8">
        <v>1.0656250000000001E-2</v>
      </c>
    </row>
    <row r="2198" spans="1:1" x14ac:dyDescent="0.25">
      <c r="A2198" s="8">
        <v>2.8328124999999999E-2</v>
      </c>
    </row>
    <row r="2199" spans="1:1" x14ac:dyDescent="0.25">
      <c r="A2199" s="8">
        <v>1.7781249999999998E-2</v>
      </c>
    </row>
    <row r="2200" spans="1:1" x14ac:dyDescent="0.25">
      <c r="A2200" s="8">
        <v>2.5093750000000001E-2</v>
      </c>
    </row>
    <row r="2201" spans="1:1" x14ac:dyDescent="0.25">
      <c r="A2201" s="8">
        <v>1.91875E-2</v>
      </c>
    </row>
    <row r="2202" spans="1:1" x14ac:dyDescent="0.25">
      <c r="A2202" s="8">
        <v>1.353125E-2</v>
      </c>
    </row>
    <row r="2203" spans="1:1" x14ac:dyDescent="0.25">
      <c r="A2203" s="8">
        <v>2.4476561999996194E-2</v>
      </c>
    </row>
    <row r="2204" spans="1:1" x14ac:dyDescent="0.25">
      <c r="A2204" s="8">
        <v>9.9843750000000002E-3</v>
      </c>
    </row>
    <row r="2205" spans="1:1" x14ac:dyDescent="0.25">
      <c r="A2205" s="8">
        <v>1.1851561999996194E-2</v>
      </c>
    </row>
    <row r="2206" spans="1:1" x14ac:dyDescent="0.25">
      <c r="A2206" s="8">
        <v>1.0335936999996192E-2</v>
      </c>
    </row>
    <row r="2207" spans="1:1" x14ac:dyDescent="0.25">
      <c r="A2207" s="8">
        <v>1.5335936999996193E-2</v>
      </c>
    </row>
    <row r="2208" spans="1:1" x14ac:dyDescent="0.25">
      <c r="A2208" s="8">
        <v>2.2421875000000001E-2</v>
      </c>
    </row>
    <row r="2209" spans="1:1" x14ac:dyDescent="0.25">
      <c r="A2209" s="8">
        <v>2.0367188000003807E-2</v>
      </c>
    </row>
    <row r="2210" spans="1:1" x14ac:dyDescent="0.25">
      <c r="A2210" s="8">
        <v>1.39375E-2</v>
      </c>
    </row>
    <row r="2211" spans="1:1" x14ac:dyDescent="0.25">
      <c r="A2211" s="8">
        <v>2.5562499999999998E-2</v>
      </c>
    </row>
    <row r="2212" spans="1:1" x14ac:dyDescent="0.25">
      <c r="A2212" s="8">
        <v>3.0328125000000001E-2</v>
      </c>
    </row>
    <row r="2213" spans="1:1" x14ac:dyDescent="0.25">
      <c r="A2213" s="8">
        <v>1.571875E-2</v>
      </c>
    </row>
    <row r="2214" spans="1:1" x14ac:dyDescent="0.25">
      <c r="A2214" s="8">
        <v>7.2992188000003802E-2</v>
      </c>
    </row>
    <row r="2215" spans="1:1" x14ac:dyDescent="0.25">
      <c r="A2215" s="8">
        <v>1.9203125000000001E-2</v>
      </c>
    </row>
    <row r="2216" spans="1:1" x14ac:dyDescent="0.25">
      <c r="A2216" s="8">
        <v>1.2976561999996193E-2</v>
      </c>
    </row>
    <row r="2217" spans="1:1" x14ac:dyDescent="0.25">
      <c r="A2217" s="8">
        <v>7.2890619999961929E-3</v>
      </c>
    </row>
    <row r="2218" spans="1:1" x14ac:dyDescent="0.25">
      <c r="A2218" s="8">
        <v>2.3851563000003809E-2</v>
      </c>
    </row>
    <row r="2219" spans="1:1" x14ac:dyDescent="0.25">
      <c r="A2219" s="8">
        <v>2.2726561999996193E-2</v>
      </c>
    </row>
    <row r="2220" spans="1:1" x14ac:dyDescent="0.25">
      <c r="A2220" s="8">
        <v>1.2874999999999999E-2</v>
      </c>
    </row>
    <row r="2221" spans="1:1" x14ac:dyDescent="0.25">
      <c r="A2221" s="8">
        <v>1.9679688000003807E-2</v>
      </c>
    </row>
    <row r="2222" spans="1:1" x14ac:dyDescent="0.25">
      <c r="A2222" s="8">
        <v>3.2750000000000001E-2</v>
      </c>
    </row>
    <row r="2223" spans="1:1" x14ac:dyDescent="0.25">
      <c r="A2223" s="8">
        <v>1.6945313000003806E-2</v>
      </c>
    </row>
    <row r="2224" spans="1:1" x14ac:dyDescent="0.25">
      <c r="A2224" s="8">
        <v>1.953125E-2</v>
      </c>
    </row>
    <row r="2225" spans="1:1" x14ac:dyDescent="0.25">
      <c r="A2225" s="8">
        <v>2.0187500000000001E-2</v>
      </c>
    </row>
    <row r="2226" spans="1:1" x14ac:dyDescent="0.25">
      <c r="A2226" s="8">
        <v>4.6171875000000001E-2</v>
      </c>
    </row>
    <row r="2227" spans="1:1" x14ac:dyDescent="0.25">
      <c r="A2227" s="8">
        <v>1.896875E-2</v>
      </c>
    </row>
    <row r="2228" spans="1:1" x14ac:dyDescent="0.25">
      <c r="A2228" s="8">
        <v>1.7999999999999999E-2</v>
      </c>
    </row>
    <row r="2229" spans="1:1" x14ac:dyDescent="0.25">
      <c r="A2229" s="8">
        <v>1.4937499999999999E-2</v>
      </c>
    </row>
    <row r="2230" spans="1:1" x14ac:dyDescent="0.25">
      <c r="A2230" s="8">
        <v>8.3593750000000005E-3</v>
      </c>
    </row>
    <row r="2231" spans="1:1" x14ac:dyDescent="0.25">
      <c r="A2231" s="8">
        <v>2.4234374999999999E-2</v>
      </c>
    </row>
    <row r="2232" spans="1:1" x14ac:dyDescent="0.25">
      <c r="A2232" s="8">
        <v>7.7499999999999999E-3</v>
      </c>
    </row>
    <row r="2233" spans="1:1" x14ac:dyDescent="0.25">
      <c r="A2233" s="8">
        <v>1.91875E-2</v>
      </c>
    </row>
    <row r="2234" spans="1:1" x14ac:dyDescent="0.25">
      <c r="A2234" s="8">
        <v>8.5156250000000006E-3</v>
      </c>
    </row>
    <row r="2235" spans="1:1" x14ac:dyDescent="0.25">
      <c r="A2235" s="8">
        <v>1.6609374999999999E-2</v>
      </c>
    </row>
    <row r="2236" spans="1:1" x14ac:dyDescent="0.25">
      <c r="A2236" s="8">
        <v>1.5484375E-2</v>
      </c>
    </row>
    <row r="2237" spans="1:1" x14ac:dyDescent="0.25">
      <c r="A2237" s="8">
        <v>1.4640625000000001E-2</v>
      </c>
    </row>
    <row r="2238" spans="1:1" x14ac:dyDescent="0.25">
      <c r="A2238" s="8">
        <v>1.4390625000000001E-2</v>
      </c>
    </row>
    <row r="2239" spans="1:1" x14ac:dyDescent="0.25">
      <c r="A2239" s="8">
        <v>1.421875E-2</v>
      </c>
    </row>
    <row r="2240" spans="1:1" x14ac:dyDescent="0.25">
      <c r="A2240" s="8">
        <v>7.8750000000000001E-3</v>
      </c>
    </row>
    <row r="2241" spans="1:1" x14ac:dyDescent="0.25">
      <c r="A2241" s="8">
        <v>2.7546874999999998E-2</v>
      </c>
    </row>
    <row r="2242" spans="1:1" x14ac:dyDescent="0.25">
      <c r="A2242" s="8">
        <v>1.8796875000000001E-2</v>
      </c>
    </row>
    <row r="2243" spans="1:1" x14ac:dyDescent="0.25">
      <c r="A2243" s="8">
        <v>7.3749999999999996E-3</v>
      </c>
    </row>
    <row r="2244" spans="1:1" x14ac:dyDescent="0.25">
      <c r="A2244" s="8">
        <v>2.8718750000000001E-2</v>
      </c>
    </row>
    <row r="2245" spans="1:1" x14ac:dyDescent="0.25">
      <c r="A2245" s="8">
        <v>1.0765624999999999E-2</v>
      </c>
    </row>
    <row r="2246" spans="1:1" x14ac:dyDescent="0.25">
      <c r="A2246" s="8">
        <v>1.9058593999998267E-2</v>
      </c>
    </row>
    <row r="2247" spans="1:1" x14ac:dyDescent="0.25">
      <c r="A2247" s="8">
        <v>1.8476563000000168E-2</v>
      </c>
    </row>
    <row r="2248" spans="1:1" x14ac:dyDescent="0.25">
      <c r="A2248" s="8">
        <v>1.1470703000002686E-2</v>
      </c>
    </row>
    <row r="2249" spans="1:1" x14ac:dyDescent="0.25">
      <c r="A2249" s="8">
        <v>8.0273439999982658E-3</v>
      </c>
    </row>
    <row r="2250" spans="1:1" x14ac:dyDescent="0.25">
      <c r="A2250" s="8">
        <v>2.0828124999999999E-2</v>
      </c>
    </row>
    <row r="2251" spans="1:1" x14ac:dyDescent="0.25">
      <c r="A2251" s="8">
        <v>2.444531200000347E-2</v>
      </c>
    </row>
    <row r="2252" spans="1:1" x14ac:dyDescent="0.25">
      <c r="A2252" s="8">
        <v>1.7125000000000001E-2</v>
      </c>
    </row>
    <row r="2253" spans="1:1" x14ac:dyDescent="0.25">
      <c r="A2253" s="8">
        <v>1.3929686999996192E-2</v>
      </c>
    </row>
    <row r="2254" spans="1:1" x14ac:dyDescent="0.25">
      <c r="A2254" s="8">
        <v>8.9492190000019043E-3</v>
      </c>
    </row>
    <row r="2255" spans="1:1" x14ac:dyDescent="0.25">
      <c r="A2255" s="8">
        <v>1.6238280999998096E-2</v>
      </c>
    </row>
    <row r="2256" spans="1:1" x14ac:dyDescent="0.25">
      <c r="A2256" s="8">
        <v>2.0652344000001904E-2</v>
      </c>
    </row>
    <row r="2257" spans="1:1" x14ac:dyDescent="0.25">
      <c r="A2257" s="8">
        <v>1.2972656000005372E-2</v>
      </c>
    </row>
    <row r="2258" spans="1:1" x14ac:dyDescent="0.25">
      <c r="A2258" s="8">
        <v>2.7015625000000001E-2</v>
      </c>
    </row>
    <row r="2259" spans="1:1" x14ac:dyDescent="0.25">
      <c r="A2259" s="8">
        <v>1.5113281999998436E-2</v>
      </c>
    </row>
    <row r="2260" spans="1:1" x14ac:dyDescent="0.25">
      <c r="A2260" s="8">
        <v>1.5992187999996531E-2</v>
      </c>
    </row>
    <row r="2261" spans="1:1" x14ac:dyDescent="0.25">
      <c r="A2261" s="8">
        <v>1.3203125E-2</v>
      </c>
    </row>
    <row r="2262" spans="1:1" x14ac:dyDescent="0.25">
      <c r="A2262" s="8">
        <v>7.8242180000015656E-3</v>
      </c>
    </row>
    <row r="2263" spans="1:1" x14ac:dyDescent="0.25">
      <c r="A2263" s="8">
        <v>1.5808593000001564E-2</v>
      </c>
    </row>
    <row r="2264" spans="1:1" x14ac:dyDescent="0.25">
      <c r="A2264" s="8">
        <v>7.8750000000000001E-3</v>
      </c>
    </row>
    <row r="2265" spans="1:1" x14ac:dyDescent="0.25">
      <c r="A2265" s="8">
        <v>1.4914062999996531E-2</v>
      </c>
    </row>
    <row r="2266" spans="1:1" x14ac:dyDescent="0.25">
      <c r="A2266" s="8">
        <v>2.7800780999998095E-2</v>
      </c>
    </row>
    <row r="2267" spans="1:1" x14ac:dyDescent="0.25">
      <c r="A2267" s="8">
        <v>5.9554687000003471E-2</v>
      </c>
    </row>
    <row r="2268" spans="1:1" x14ac:dyDescent="0.25">
      <c r="A2268" s="8">
        <v>1.2460938000003807E-2</v>
      </c>
    </row>
    <row r="2269" spans="1:1" x14ac:dyDescent="0.25">
      <c r="A2269" s="8">
        <v>2.328125E-2</v>
      </c>
    </row>
    <row r="2270" spans="1:1" x14ac:dyDescent="0.25">
      <c r="A2270" s="8">
        <v>2.6718749999999999E-2</v>
      </c>
    </row>
    <row r="2271" spans="1:1" x14ac:dyDescent="0.25">
      <c r="A2271" s="8">
        <v>2.6796875000000001E-2</v>
      </c>
    </row>
    <row r="2272" spans="1:1" x14ac:dyDescent="0.25">
      <c r="A2272" s="8">
        <v>2.396875E-2</v>
      </c>
    </row>
    <row r="2273" spans="1:1" x14ac:dyDescent="0.25">
      <c r="A2273" s="8">
        <v>1.0171875E-2</v>
      </c>
    </row>
    <row r="2274" spans="1:1" x14ac:dyDescent="0.25">
      <c r="A2274" s="8">
        <v>1.8226561999996192E-2</v>
      </c>
    </row>
    <row r="2275" spans="1:1" x14ac:dyDescent="0.25">
      <c r="A2275" s="8">
        <v>1.2398438000003807E-2</v>
      </c>
    </row>
    <row r="2276" spans="1:1" x14ac:dyDescent="0.25">
      <c r="A2276" s="8">
        <v>2.3859374999999999E-2</v>
      </c>
    </row>
    <row r="2277" spans="1:1" x14ac:dyDescent="0.25">
      <c r="A2277" s="8">
        <v>1.7101561999996191E-2</v>
      </c>
    </row>
    <row r="2278" spans="1:1" x14ac:dyDescent="0.25">
      <c r="A2278" s="8">
        <v>2.2132813000003807E-2</v>
      </c>
    </row>
    <row r="2279" spans="1:1" x14ac:dyDescent="0.25">
      <c r="A2279" s="8">
        <v>1.0929686999996193E-2</v>
      </c>
    </row>
    <row r="2280" spans="1:1" x14ac:dyDescent="0.25">
      <c r="A2280" s="8">
        <v>1.4398438000003807E-2</v>
      </c>
    </row>
    <row r="2281" spans="1:1" x14ac:dyDescent="0.25">
      <c r="A2281" s="8">
        <v>8.1406250000000003E-3</v>
      </c>
    </row>
    <row r="2282" spans="1:1" x14ac:dyDescent="0.25">
      <c r="A2282" s="8">
        <v>2.2960936999996191E-2</v>
      </c>
    </row>
    <row r="2283" spans="1:1" x14ac:dyDescent="0.25">
      <c r="A2283" s="8">
        <v>7.6796869999961924E-3</v>
      </c>
    </row>
    <row r="2284" spans="1:1" x14ac:dyDescent="0.25">
      <c r="A2284" s="8">
        <v>1.6921874999999999E-2</v>
      </c>
    </row>
    <row r="2285" spans="1:1" x14ac:dyDescent="0.25">
      <c r="A2285" s="8">
        <v>1.128125E-2</v>
      </c>
    </row>
    <row r="2286" spans="1:1" x14ac:dyDescent="0.25">
      <c r="A2286" s="8">
        <v>2.2992186999996191E-2</v>
      </c>
    </row>
    <row r="2287" spans="1:1" x14ac:dyDescent="0.25">
      <c r="A2287" s="8">
        <v>1.7874999999999999E-2</v>
      </c>
    </row>
    <row r="2288" spans="1:1" x14ac:dyDescent="0.25">
      <c r="A2288" s="8">
        <v>1.2679688000003807E-2</v>
      </c>
    </row>
    <row r="2289" spans="1:1" x14ac:dyDescent="0.25">
      <c r="A2289" s="8">
        <v>1.4531250000000001E-2</v>
      </c>
    </row>
    <row r="2290" spans="1:1" x14ac:dyDescent="0.25">
      <c r="A2290" s="8">
        <v>1.3960936999996192E-2</v>
      </c>
    </row>
    <row r="2291" spans="1:1" x14ac:dyDescent="0.25">
      <c r="A2291" s="8">
        <v>1.1007813000003808E-2</v>
      </c>
    </row>
    <row r="2292" spans="1:1" x14ac:dyDescent="0.25">
      <c r="A2292" s="8">
        <v>7.8203130000038066E-3</v>
      </c>
    </row>
    <row r="2293" spans="1:1" x14ac:dyDescent="0.25">
      <c r="A2293" s="8">
        <v>1.3898438000003807E-2</v>
      </c>
    </row>
    <row r="2294" spans="1:1" x14ac:dyDescent="0.25">
      <c r="A2294" s="8">
        <v>1.1507813000003806E-2</v>
      </c>
    </row>
    <row r="2295" spans="1:1" x14ac:dyDescent="0.25">
      <c r="A2295" s="8">
        <v>7.9296880000038067E-3</v>
      </c>
    </row>
    <row r="2296" spans="1:1" x14ac:dyDescent="0.25">
      <c r="A2296" s="8">
        <v>1.203125E-2</v>
      </c>
    </row>
    <row r="2297" spans="1:1" x14ac:dyDescent="0.25">
      <c r="A2297" s="8">
        <v>1.9398436999996192E-2</v>
      </c>
    </row>
    <row r="2298" spans="1:1" x14ac:dyDescent="0.25">
      <c r="A2298" s="8">
        <v>2.2374999999999999E-2</v>
      </c>
    </row>
    <row r="2299" spans="1:1" x14ac:dyDescent="0.25">
      <c r="A2299" s="8">
        <v>1.9867188000003807E-2</v>
      </c>
    </row>
    <row r="2300" spans="1:1" x14ac:dyDescent="0.25">
      <c r="A2300" s="8">
        <v>4.0828125E-2</v>
      </c>
    </row>
    <row r="2301" spans="1:1" x14ac:dyDescent="0.25">
      <c r="A2301" s="8">
        <v>3.1507811999996194E-2</v>
      </c>
    </row>
    <row r="2302" spans="1:1" x14ac:dyDescent="0.25">
      <c r="A2302" s="8">
        <v>1.946875E-2</v>
      </c>
    </row>
    <row r="2303" spans="1:1" x14ac:dyDescent="0.25">
      <c r="A2303" s="8">
        <v>2.0828124999999999E-2</v>
      </c>
    </row>
    <row r="2304" spans="1:1" x14ac:dyDescent="0.25">
      <c r="A2304" s="8">
        <v>2.7E-2</v>
      </c>
    </row>
    <row r="2305" spans="1:1" x14ac:dyDescent="0.25">
      <c r="A2305" s="8">
        <v>2.1343750000000002E-2</v>
      </c>
    </row>
    <row r="2306" spans="1:1" x14ac:dyDescent="0.25">
      <c r="A2306" s="8">
        <v>1.7640625E-2</v>
      </c>
    </row>
    <row r="2307" spans="1:1" x14ac:dyDescent="0.25">
      <c r="A2307" s="8">
        <v>2.4140624999999999E-2</v>
      </c>
    </row>
    <row r="2308" spans="1:1" x14ac:dyDescent="0.25">
      <c r="A2308" s="8">
        <v>1.4906249999999999E-2</v>
      </c>
    </row>
    <row r="2309" spans="1:1" x14ac:dyDescent="0.25">
      <c r="A2309" s="8">
        <v>7.6093749999999998E-3</v>
      </c>
    </row>
    <row r="2310" spans="1:1" x14ac:dyDescent="0.25">
      <c r="A2310" s="8">
        <v>2.7046875000000001E-2</v>
      </c>
    </row>
    <row r="2311" spans="1:1" x14ac:dyDescent="0.25">
      <c r="A2311" s="8">
        <v>2.0078124999999999E-2</v>
      </c>
    </row>
    <row r="2312" spans="1:1" x14ac:dyDescent="0.25">
      <c r="A2312" s="8">
        <v>2.9000000000000001E-2</v>
      </c>
    </row>
    <row r="2313" spans="1:1" x14ac:dyDescent="0.25">
      <c r="A2313" s="8">
        <v>8.7500000000000008E-3</v>
      </c>
    </row>
    <row r="2314" spans="1:1" x14ac:dyDescent="0.25">
      <c r="A2314" s="8">
        <v>5.6578125E-2</v>
      </c>
    </row>
    <row r="2315" spans="1:1" x14ac:dyDescent="0.25">
      <c r="A2315" s="8">
        <v>2.6281249999999999E-2</v>
      </c>
    </row>
    <row r="2316" spans="1:1" x14ac:dyDescent="0.25">
      <c r="A2316" s="8">
        <v>4.1140625E-2</v>
      </c>
    </row>
    <row r="2317" spans="1:1" x14ac:dyDescent="0.25">
      <c r="A2317" s="8">
        <v>9.765625E-3</v>
      </c>
    </row>
    <row r="2318" spans="1:1" x14ac:dyDescent="0.25">
      <c r="A2318" s="8">
        <v>2.5140625E-2</v>
      </c>
    </row>
    <row r="2319" spans="1:1" x14ac:dyDescent="0.25">
      <c r="A2319" s="8">
        <v>1.4874999999999999E-2</v>
      </c>
    </row>
    <row r="2320" spans="1:1" x14ac:dyDescent="0.25">
      <c r="A2320" s="8">
        <v>7.5937499999999998E-3</v>
      </c>
    </row>
    <row r="2321" spans="1:1" x14ac:dyDescent="0.25">
      <c r="A2321" s="8">
        <v>2.3203125000000002E-2</v>
      </c>
    </row>
    <row r="2322" spans="1:1" x14ac:dyDescent="0.25">
      <c r="A2322" s="8">
        <v>1.7093750000000001E-2</v>
      </c>
    </row>
    <row r="2323" spans="1:1" x14ac:dyDescent="0.25">
      <c r="A2323" s="8">
        <v>2.4359374999999999E-2</v>
      </c>
    </row>
    <row r="2324" spans="1:1" x14ac:dyDescent="0.25">
      <c r="A2324" s="8">
        <v>1.4718749999999999E-2</v>
      </c>
    </row>
    <row r="2325" spans="1:1" x14ac:dyDescent="0.25">
      <c r="A2325" s="8">
        <v>1.7218750000000001E-2</v>
      </c>
    </row>
    <row r="2326" spans="1:1" x14ac:dyDescent="0.25">
      <c r="A2326" s="8">
        <v>1.7125000000000001E-2</v>
      </c>
    </row>
    <row r="2327" spans="1:1" x14ac:dyDescent="0.25">
      <c r="A2327" s="8">
        <v>2.5812499999999999E-2</v>
      </c>
    </row>
    <row r="2328" spans="1:1" x14ac:dyDescent="0.25">
      <c r="A2328" s="8">
        <v>1.5328125E-2</v>
      </c>
    </row>
    <row r="2329" spans="1:1" x14ac:dyDescent="0.25">
      <c r="A2329" s="8">
        <v>1.0453125000000001E-2</v>
      </c>
    </row>
    <row r="2330" spans="1:1" x14ac:dyDescent="0.25">
      <c r="A2330" s="8">
        <v>1.5914063000000169E-2</v>
      </c>
    </row>
    <row r="2331" spans="1:1" x14ac:dyDescent="0.25">
      <c r="A2331" s="8">
        <v>1.1314453000002686E-2</v>
      </c>
    </row>
    <row r="2332" spans="1:1" x14ac:dyDescent="0.25">
      <c r="A2332" s="8">
        <v>1.0986328000002685E-2</v>
      </c>
    </row>
    <row r="2333" spans="1:1" x14ac:dyDescent="0.25">
      <c r="A2333" s="8">
        <v>8.5625000000000007E-3</v>
      </c>
    </row>
    <row r="2334" spans="1:1" x14ac:dyDescent="0.25">
      <c r="A2334" s="8">
        <v>1.7205077999999048E-2</v>
      </c>
    </row>
    <row r="2335" spans="1:1" x14ac:dyDescent="0.25">
      <c r="A2335" s="8">
        <v>0.12902148400000077</v>
      </c>
    </row>
    <row r="2336" spans="1:1" x14ac:dyDescent="0.25">
      <c r="A2336" s="8">
        <v>1.2513672000000952E-2</v>
      </c>
    </row>
    <row r="2337" spans="1:1" x14ac:dyDescent="0.25">
      <c r="A2337" s="8">
        <v>2.1082031999998436E-2</v>
      </c>
    </row>
    <row r="2338" spans="1:1" x14ac:dyDescent="0.25">
      <c r="A2338" s="8">
        <v>1.140625E-2</v>
      </c>
    </row>
    <row r="2339" spans="1:1" x14ac:dyDescent="0.25">
      <c r="A2339" s="8">
        <v>1.9886719000001905E-2</v>
      </c>
    </row>
    <row r="2340" spans="1:1" x14ac:dyDescent="0.25">
      <c r="A2340" s="8">
        <v>3.1835937999996532E-2</v>
      </c>
    </row>
    <row r="2341" spans="1:1" x14ac:dyDescent="0.25">
      <c r="A2341" s="8">
        <v>1.7457031999998436E-2</v>
      </c>
    </row>
    <row r="2342" spans="1:1" x14ac:dyDescent="0.25">
      <c r="A2342" s="8">
        <v>1.1570313000003806E-2</v>
      </c>
    </row>
    <row r="2343" spans="1:1" x14ac:dyDescent="0.25">
      <c r="A2343" s="8">
        <v>1.4148437000003469E-2</v>
      </c>
    </row>
    <row r="2344" spans="1:1" x14ac:dyDescent="0.25">
      <c r="A2344" s="8">
        <v>2.8132813000003806E-2</v>
      </c>
    </row>
    <row r="2345" spans="1:1" x14ac:dyDescent="0.25">
      <c r="A2345" s="8">
        <v>2.0957030999998096E-2</v>
      </c>
    </row>
    <row r="2346" spans="1:1" x14ac:dyDescent="0.25">
      <c r="A2346" s="8">
        <v>1.1523438000003806E-2</v>
      </c>
    </row>
    <row r="2347" spans="1:1" x14ac:dyDescent="0.25">
      <c r="A2347" s="8">
        <v>7.9296869999961935E-3</v>
      </c>
    </row>
    <row r="2348" spans="1:1" x14ac:dyDescent="0.25">
      <c r="A2348" s="8">
        <v>1.2773438000003808E-2</v>
      </c>
    </row>
    <row r="2349" spans="1:1" x14ac:dyDescent="0.25">
      <c r="A2349" s="8">
        <v>1.3867187999996531E-2</v>
      </c>
    </row>
    <row r="2350" spans="1:1" x14ac:dyDescent="0.25">
      <c r="A2350" s="8">
        <v>2.0253905999998097E-2</v>
      </c>
    </row>
    <row r="2351" spans="1:1" x14ac:dyDescent="0.25">
      <c r="A2351" s="8">
        <v>1.7199218000001563E-2</v>
      </c>
    </row>
    <row r="2352" spans="1:1" x14ac:dyDescent="0.25">
      <c r="A2352" s="8">
        <v>8.5898430000015645E-3</v>
      </c>
    </row>
    <row r="2353" spans="1:1" x14ac:dyDescent="0.25">
      <c r="A2353" s="8">
        <v>1.4253905999998097E-2</v>
      </c>
    </row>
    <row r="2354" spans="1:1" x14ac:dyDescent="0.25">
      <c r="A2354" s="8">
        <v>1.1808593999994628E-2</v>
      </c>
    </row>
    <row r="2355" spans="1:1" x14ac:dyDescent="0.25">
      <c r="A2355" s="8">
        <v>1.403125E-2</v>
      </c>
    </row>
    <row r="2356" spans="1:1" x14ac:dyDescent="0.25">
      <c r="A2356" s="8">
        <v>2.0468750000000001E-2</v>
      </c>
    </row>
    <row r="2357" spans="1:1" x14ac:dyDescent="0.25">
      <c r="A2357" s="8">
        <v>1.3773438000003807E-2</v>
      </c>
    </row>
    <row r="2358" spans="1:1" x14ac:dyDescent="0.25">
      <c r="A2358" s="8">
        <v>9.9218750000000001E-3</v>
      </c>
    </row>
    <row r="2359" spans="1:1" x14ac:dyDescent="0.25">
      <c r="A2359" s="8">
        <v>2.1296875E-2</v>
      </c>
    </row>
    <row r="2360" spans="1:1" x14ac:dyDescent="0.25">
      <c r="A2360" s="8">
        <v>2.7195313000003808E-2</v>
      </c>
    </row>
    <row r="2361" spans="1:1" x14ac:dyDescent="0.25">
      <c r="A2361" s="8">
        <v>1.15625E-2</v>
      </c>
    </row>
    <row r="2362" spans="1:1" x14ac:dyDescent="0.25">
      <c r="A2362" s="8">
        <v>1.3523436999996193E-2</v>
      </c>
    </row>
    <row r="2363" spans="1:1" x14ac:dyDescent="0.25">
      <c r="A2363" s="8">
        <v>7.4374999999999997E-3</v>
      </c>
    </row>
    <row r="2364" spans="1:1" x14ac:dyDescent="0.25">
      <c r="A2364" s="8">
        <v>9.7734369999961934E-3</v>
      </c>
    </row>
    <row r="2365" spans="1:1" x14ac:dyDescent="0.25">
      <c r="A2365" s="8">
        <v>2.0710938000003808E-2</v>
      </c>
    </row>
    <row r="2366" spans="1:1" x14ac:dyDescent="0.25">
      <c r="A2366" s="8">
        <v>2.2374999999999999E-2</v>
      </c>
    </row>
    <row r="2367" spans="1:1" x14ac:dyDescent="0.25">
      <c r="A2367" s="8">
        <v>1.8468749999999999E-2</v>
      </c>
    </row>
    <row r="2368" spans="1:1" x14ac:dyDescent="0.25">
      <c r="A2368" s="8">
        <v>1.0781249999999999E-2</v>
      </c>
    </row>
    <row r="2369" spans="1:1" x14ac:dyDescent="0.25">
      <c r="A2369" s="8">
        <v>2.8304686999996193E-2</v>
      </c>
    </row>
    <row r="2370" spans="1:1" x14ac:dyDescent="0.25">
      <c r="A2370" s="8">
        <v>1.7718749999999998E-2</v>
      </c>
    </row>
    <row r="2371" spans="1:1" x14ac:dyDescent="0.25">
      <c r="A2371" s="8">
        <v>3.0539061999996193E-2</v>
      </c>
    </row>
    <row r="2372" spans="1:1" x14ac:dyDescent="0.25">
      <c r="A2372" s="8">
        <v>1.4320313000003807E-2</v>
      </c>
    </row>
    <row r="2373" spans="1:1" x14ac:dyDescent="0.25">
      <c r="A2373" s="8">
        <v>1.1875E-2</v>
      </c>
    </row>
    <row r="2374" spans="1:1" x14ac:dyDescent="0.25">
      <c r="A2374" s="8">
        <v>1.4250000000000001E-2</v>
      </c>
    </row>
    <row r="2375" spans="1:1" x14ac:dyDescent="0.25">
      <c r="A2375" s="8">
        <v>3.0242186999996194E-2</v>
      </c>
    </row>
    <row r="2376" spans="1:1" x14ac:dyDescent="0.25">
      <c r="A2376" s="8">
        <v>2.3601561999996194E-2</v>
      </c>
    </row>
    <row r="2377" spans="1:1" x14ac:dyDescent="0.25">
      <c r="A2377" s="8">
        <v>2.009375E-2</v>
      </c>
    </row>
    <row r="2378" spans="1:1" x14ac:dyDescent="0.25">
      <c r="A2378" s="8">
        <v>1.7101563000003806E-2</v>
      </c>
    </row>
    <row r="2379" spans="1:1" x14ac:dyDescent="0.25">
      <c r="A2379" s="8">
        <v>2.3070313000003808E-2</v>
      </c>
    </row>
    <row r="2380" spans="1:1" x14ac:dyDescent="0.25">
      <c r="A2380" s="8">
        <v>7.6874999999999999E-3</v>
      </c>
    </row>
    <row r="2381" spans="1:1" x14ac:dyDescent="0.25">
      <c r="A2381" s="8">
        <v>2.2687499999999999E-2</v>
      </c>
    </row>
    <row r="2382" spans="1:1" x14ac:dyDescent="0.25">
      <c r="A2382" s="8">
        <v>1.2132811999996192E-2</v>
      </c>
    </row>
    <row r="2383" spans="1:1" x14ac:dyDescent="0.25">
      <c r="A2383" s="8">
        <v>1.15E-2</v>
      </c>
    </row>
    <row r="2384" spans="1:1" x14ac:dyDescent="0.25">
      <c r="A2384" s="8">
        <v>2.0304686999996192E-2</v>
      </c>
    </row>
    <row r="2385" spans="1:1" x14ac:dyDescent="0.25">
      <c r="A2385" s="8">
        <v>2.1250000000000002E-2</v>
      </c>
    </row>
    <row r="2386" spans="1:1" x14ac:dyDescent="0.25">
      <c r="A2386" s="8">
        <v>1.39375E-2</v>
      </c>
    </row>
    <row r="2387" spans="1:1" x14ac:dyDescent="0.25">
      <c r="A2387" s="8">
        <v>1.371875E-2</v>
      </c>
    </row>
    <row r="2388" spans="1:1" x14ac:dyDescent="0.25">
      <c r="A2388" s="8">
        <v>1.1179688000003808E-2</v>
      </c>
    </row>
    <row r="2389" spans="1:1" x14ac:dyDescent="0.25">
      <c r="A2389" s="8">
        <v>9.5234380000038081E-3</v>
      </c>
    </row>
    <row r="2390" spans="1:1" x14ac:dyDescent="0.25">
      <c r="A2390" s="8">
        <v>1.1460938000003808E-2</v>
      </c>
    </row>
    <row r="2391" spans="1:1" x14ac:dyDescent="0.25">
      <c r="A2391" s="8">
        <v>1.1992188000003807E-2</v>
      </c>
    </row>
    <row r="2392" spans="1:1" x14ac:dyDescent="0.25">
      <c r="A2392" s="8">
        <v>2.7585938000003807E-2</v>
      </c>
    </row>
    <row r="2393" spans="1:1" x14ac:dyDescent="0.25">
      <c r="A2393" s="8">
        <v>1.0531250000000001E-2</v>
      </c>
    </row>
    <row r="2394" spans="1:1" x14ac:dyDescent="0.25">
      <c r="A2394" s="8">
        <v>2.778125E-2</v>
      </c>
    </row>
    <row r="2395" spans="1:1" x14ac:dyDescent="0.25">
      <c r="A2395" s="8">
        <v>1.115625E-2</v>
      </c>
    </row>
    <row r="2396" spans="1:1" x14ac:dyDescent="0.25">
      <c r="A2396" s="8">
        <v>1.0406250000000001E-2</v>
      </c>
    </row>
    <row r="2397" spans="1:1" x14ac:dyDescent="0.25">
      <c r="A2397" s="8">
        <v>2.2054688000003809E-2</v>
      </c>
    </row>
    <row r="2398" spans="1:1" x14ac:dyDescent="0.25">
      <c r="A2398" s="8">
        <v>9.5312499999999998E-3</v>
      </c>
    </row>
    <row r="2399" spans="1:1" x14ac:dyDescent="0.25">
      <c r="A2399" s="8">
        <v>2.3148438000003806E-2</v>
      </c>
    </row>
    <row r="2400" spans="1:1" x14ac:dyDescent="0.25">
      <c r="A2400" s="8">
        <v>1.8109375E-2</v>
      </c>
    </row>
    <row r="2401" spans="1:1" x14ac:dyDescent="0.25">
      <c r="A2401" s="8">
        <v>2.7039063000003808E-2</v>
      </c>
    </row>
    <row r="2402" spans="1:1" x14ac:dyDescent="0.25">
      <c r="A2402" s="8">
        <v>1.9765624999999998E-2</v>
      </c>
    </row>
    <row r="2403" spans="1:1" x14ac:dyDescent="0.25">
      <c r="A2403" s="8">
        <v>1.95E-2</v>
      </c>
    </row>
    <row r="2404" spans="1:1" x14ac:dyDescent="0.25">
      <c r="A2404" s="8">
        <v>1.6828124999999999E-2</v>
      </c>
    </row>
    <row r="2405" spans="1:1" x14ac:dyDescent="0.25">
      <c r="A2405" s="8">
        <v>1.0406250000000001E-2</v>
      </c>
    </row>
    <row r="2406" spans="1:1" x14ac:dyDescent="0.25">
      <c r="A2406" s="8">
        <v>1.7406250000000002E-2</v>
      </c>
    </row>
    <row r="2407" spans="1:1" x14ac:dyDescent="0.25">
      <c r="A2407" s="8">
        <v>2.0140624999999999E-2</v>
      </c>
    </row>
    <row r="2408" spans="1:1" x14ac:dyDescent="0.25">
      <c r="A2408" s="8">
        <v>1.0968749999999999E-2</v>
      </c>
    </row>
    <row r="2409" spans="1:1" x14ac:dyDescent="0.25">
      <c r="A2409" s="8">
        <v>1.4515625000000001E-2</v>
      </c>
    </row>
    <row r="2410" spans="1:1" x14ac:dyDescent="0.25">
      <c r="A2410" s="8">
        <v>1.3296875E-2</v>
      </c>
    </row>
    <row r="2411" spans="1:1" x14ac:dyDescent="0.25">
      <c r="A2411" s="8">
        <v>1.128125E-2</v>
      </c>
    </row>
    <row r="2412" spans="1:1" x14ac:dyDescent="0.25">
      <c r="A2412" s="8">
        <v>2.3078125000000001E-2</v>
      </c>
    </row>
    <row r="2413" spans="1:1" x14ac:dyDescent="0.25">
      <c r="A2413" s="8">
        <v>2.1375000000000002E-2</v>
      </c>
    </row>
    <row r="2414" spans="1:1" x14ac:dyDescent="0.25">
      <c r="A2414" s="8">
        <v>5.4796875000000002E-2</v>
      </c>
    </row>
    <row r="2415" spans="1:1" x14ac:dyDescent="0.25">
      <c r="A2415" s="8">
        <v>1.7828125E-2</v>
      </c>
    </row>
    <row r="2416" spans="1:1" x14ac:dyDescent="0.25">
      <c r="A2416" s="8">
        <v>2.2593749999999999E-2</v>
      </c>
    </row>
    <row r="2417" spans="1:1" x14ac:dyDescent="0.25">
      <c r="A2417" s="8">
        <v>1.4593750000000001E-2</v>
      </c>
    </row>
    <row r="2418" spans="1:1" x14ac:dyDescent="0.25">
      <c r="A2418" s="8">
        <v>3.6421874999999999E-2</v>
      </c>
    </row>
    <row r="2419" spans="1:1" x14ac:dyDescent="0.25">
      <c r="A2419" s="8">
        <v>1.965625E-2</v>
      </c>
    </row>
    <row r="2420" spans="1:1" x14ac:dyDescent="0.25">
      <c r="A2420" s="8">
        <v>0.132015625</v>
      </c>
    </row>
    <row r="2421" spans="1:1" x14ac:dyDescent="0.25">
      <c r="A2421" s="8">
        <v>1.8078125E-2</v>
      </c>
    </row>
    <row r="2422" spans="1:1" x14ac:dyDescent="0.25">
      <c r="A2422" s="8">
        <v>9.9843750000000002E-3</v>
      </c>
    </row>
    <row r="2423" spans="1:1" x14ac:dyDescent="0.25">
      <c r="A2423" s="8">
        <v>1.5703124999999998E-2</v>
      </c>
    </row>
    <row r="2424" spans="1:1" x14ac:dyDescent="0.25">
      <c r="A2424" s="8">
        <v>2.9328125E-2</v>
      </c>
    </row>
    <row r="2425" spans="1:1" x14ac:dyDescent="0.25">
      <c r="A2425" s="8">
        <v>1.7312500000000001E-2</v>
      </c>
    </row>
    <row r="2426" spans="1:1" x14ac:dyDescent="0.25">
      <c r="A2426" s="8">
        <v>9.2187499999999995E-3</v>
      </c>
    </row>
    <row r="2427" spans="1:1" x14ac:dyDescent="0.25">
      <c r="A2427" s="8">
        <v>2.0468750000000001E-2</v>
      </c>
    </row>
    <row r="2428" spans="1:1" x14ac:dyDescent="0.25">
      <c r="A2428" s="8">
        <v>1.1646484999997483E-2</v>
      </c>
    </row>
    <row r="2429" spans="1:1" x14ac:dyDescent="0.25">
      <c r="A2429" s="8">
        <v>1.1986327999999049E-2</v>
      </c>
    </row>
    <row r="2430" spans="1:1" x14ac:dyDescent="0.25">
      <c r="A2430" s="8">
        <v>1.7644530999998097E-2</v>
      </c>
    </row>
    <row r="2431" spans="1:1" x14ac:dyDescent="0.25">
      <c r="A2431" s="8">
        <v>2.0593750000000001E-2</v>
      </c>
    </row>
    <row r="2432" spans="1:1" x14ac:dyDescent="0.25">
      <c r="A2432" s="8">
        <v>1.1964843000001566E-2</v>
      </c>
    </row>
    <row r="2433" spans="1:1" x14ac:dyDescent="0.25">
      <c r="A2433" s="8">
        <v>1.1761718999998266E-2</v>
      </c>
    </row>
    <row r="2434" spans="1:1" x14ac:dyDescent="0.25">
      <c r="A2434" s="8">
        <v>2.296875E-2</v>
      </c>
    </row>
    <row r="2435" spans="1:1" x14ac:dyDescent="0.25">
      <c r="A2435" s="8">
        <v>1.7437500000000002E-2</v>
      </c>
    </row>
    <row r="2436" spans="1:1" x14ac:dyDescent="0.25">
      <c r="A2436" s="8">
        <v>2.2363280999998097E-2</v>
      </c>
    </row>
    <row r="2437" spans="1:1" x14ac:dyDescent="0.25">
      <c r="A2437" s="8">
        <v>2.4746093999994629E-2</v>
      </c>
    </row>
    <row r="2438" spans="1:1" x14ac:dyDescent="0.25">
      <c r="A2438" s="8">
        <v>7.8632819999984345E-3</v>
      </c>
    </row>
    <row r="2439" spans="1:1" x14ac:dyDescent="0.25">
      <c r="A2439" s="8">
        <v>1.3984375E-2</v>
      </c>
    </row>
    <row r="2440" spans="1:1" x14ac:dyDescent="0.25">
      <c r="A2440" s="8">
        <v>2.2804686999996191E-2</v>
      </c>
    </row>
    <row r="2441" spans="1:1" x14ac:dyDescent="0.25">
      <c r="A2441" s="8">
        <v>1.1746093999994628E-2</v>
      </c>
    </row>
    <row r="2442" spans="1:1" x14ac:dyDescent="0.25">
      <c r="A2442" s="8">
        <v>2.3417968000001566E-2</v>
      </c>
    </row>
    <row r="2443" spans="1:1" x14ac:dyDescent="0.25">
      <c r="A2443" s="8">
        <v>2.6976561999996193E-2</v>
      </c>
    </row>
    <row r="2444" spans="1:1" x14ac:dyDescent="0.25">
      <c r="A2444" s="8">
        <v>1.9320313000003808E-2</v>
      </c>
    </row>
    <row r="2445" spans="1:1" x14ac:dyDescent="0.25">
      <c r="A2445" s="8">
        <v>2.3363280999998095E-2</v>
      </c>
    </row>
    <row r="2446" spans="1:1" x14ac:dyDescent="0.25">
      <c r="A2446" s="8">
        <v>1.4777344000001904E-2</v>
      </c>
    </row>
    <row r="2447" spans="1:1" x14ac:dyDescent="0.25">
      <c r="A2447" s="8">
        <v>2.4281250000000001E-2</v>
      </c>
    </row>
    <row r="2448" spans="1:1" x14ac:dyDescent="0.25">
      <c r="A2448" s="8">
        <v>1.7980469000001904E-2</v>
      </c>
    </row>
    <row r="2449" spans="1:1" x14ac:dyDescent="0.25">
      <c r="A2449" s="8">
        <v>1.6296874999999999E-2</v>
      </c>
    </row>
    <row r="2450" spans="1:1" x14ac:dyDescent="0.25">
      <c r="A2450" s="8">
        <v>8.9257810000053731E-3</v>
      </c>
    </row>
    <row r="2451" spans="1:1" x14ac:dyDescent="0.25">
      <c r="A2451" s="8">
        <v>2.0214843999994628E-2</v>
      </c>
    </row>
    <row r="2452" spans="1:1" x14ac:dyDescent="0.25">
      <c r="A2452" s="8">
        <v>1.7910155999998095E-2</v>
      </c>
    </row>
    <row r="2453" spans="1:1" x14ac:dyDescent="0.25">
      <c r="A2453" s="8">
        <v>2.2890625000000001E-2</v>
      </c>
    </row>
    <row r="2454" spans="1:1" x14ac:dyDescent="0.25">
      <c r="A2454" s="8">
        <v>2.9175781000005372E-2</v>
      </c>
    </row>
    <row r="2455" spans="1:1" x14ac:dyDescent="0.25">
      <c r="A2455" s="8">
        <v>2.3582030999998095E-2</v>
      </c>
    </row>
    <row r="2456" spans="1:1" x14ac:dyDescent="0.25">
      <c r="A2456" s="8">
        <v>1.3988281000005372E-2</v>
      </c>
    </row>
    <row r="2457" spans="1:1" x14ac:dyDescent="0.25">
      <c r="A2457" s="8">
        <v>1.3429686999996193E-2</v>
      </c>
    </row>
    <row r="2458" spans="1:1" x14ac:dyDescent="0.25">
      <c r="A2458" s="8">
        <v>2.6296875000000001E-2</v>
      </c>
    </row>
    <row r="2459" spans="1:1" x14ac:dyDescent="0.25">
      <c r="A2459" s="8">
        <v>7.7031249999999999E-3</v>
      </c>
    </row>
    <row r="2460" spans="1:1" x14ac:dyDescent="0.25">
      <c r="A2460" s="8">
        <v>2.2703125000000001E-2</v>
      </c>
    </row>
    <row r="2461" spans="1:1" x14ac:dyDescent="0.25">
      <c r="A2461" s="8">
        <v>1.4382811999996192E-2</v>
      </c>
    </row>
    <row r="2462" spans="1:1" x14ac:dyDescent="0.25">
      <c r="A2462" s="8">
        <v>7.8671869999961935E-3</v>
      </c>
    </row>
    <row r="2463" spans="1:1" x14ac:dyDescent="0.25">
      <c r="A2463" s="8">
        <v>1.6218750000000001E-2</v>
      </c>
    </row>
    <row r="2464" spans="1:1" x14ac:dyDescent="0.25">
      <c r="A2464" s="8">
        <v>5.8734374999999998E-2</v>
      </c>
    </row>
    <row r="2465" spans="1:1" x14ac:dyDescent="0.25">
      <c r="A2465" s="8">
        <v>1.0835938000003808E-2</v>
      </c>
    </row>
    <row r="2466" spans="1:1" x14ac:dyDescent="0.25">
      <c r="A2466" s="8">
        <v>2.4632813000003806E-2</v>
      </c>
    </row>
    <row r="2467" spans="1:1" x14ac:dyDescent="0.25">
      <c r="A2467" s="8">
        <v>1.384375E-2</v>
      </c>
    </row>
    <row r="2468" spans="1:1" x14ac:dyDescent="0.25">
      <c r="A2468" s="8">
        <v>1.4070313000003807E-2</v>
      </c>
    </row>
    <row r="2469" spans="1:1" x14ac:dyDescent="0.25">
      <c r="A2469" s="8">
        <v>2.1710938000003809E-2</v>
      </c>
    </row>
    <row r="2470" spans="1:1" x14ac:dyDescent="0.25">
      <c r="A2470" s="8">
        <v>1.0546875000000001E-2</v>
      </c>
    </row>
    <row r="2471" spans="1:1" x14ac:dyDescent="0.25">
      <c r="A2471" s="8">
        <v>2.5304688000003808E-2</v>
      </c>
    </row>
    <row r="2472" spans="1:1" x14ac:dyDescent="0.25">
      <c r="A2472" s="8">
        <v>2.4851563000003806E-2</v>
      </c>
    </row>
    <row r="2473" spans="1:1" x14ac:dyDescent="0.25">
      <c r="A2473" s="8">
        <v>2.7820311999996194E-2</v>
      </c>
    </row>
    <row r="2474" spans="1:1" x14ac:dyDescent="0.25">
      <c r="A2474" s="8">
        <v>2.7296875000000002E-2</v>
      </c>
    </row>
    <row r="2475" spans="1:1" x14ac:dyDescent="0.25">
      <c r="A2475" s="8">
        <v>2.2249999999999999E-2</v>
      </c>
    </row>
    <row r="2476" spans="1:1" x14ac:dyDescent="0.25">
      <c r="A2476" s="8">
        <v>1.7328125E-2</v>
      </c>
    </row>
    <row r="2477" spans="1:1" x14ac:dyDescent="0.25">
      <c r="A2477" s="8">
        <v>1.3140625E-2</v>
      </c>
    </row>
    <row r="2478" spans="1:1" x14ac:dyDescent="0.25">
      <c r="A2478" s="8">
        <v>1.4140625E-2</v>
      </c>
    </row>
    <row r="2479" spans="1:1" x14ac:dyDescent="0.25">
      <c r="A2479" s="8">
        <v>1.1148438000003808E-2</v>
      </c>
    </row>
    <row r="2480" spans="1:1" x14ac:dyDescent="0.25">
      <c r="A2480" s="8">
        <v>1.3796875E-2</v>
      </c>
    </row>
    <row r="2481" spans="1:1" x14ac:dyDescent="0.25">
      <c r="A2481" s="8">
        <v>1.7906249999999999E-2</v>
      </c>
    </row>
    <row r="2482" spans="1:1" x14ac:dyDescent="0.25">
      <c r="A2482" s="8">
        <v>8.3671880000038071E-3</v>
      </c>
    </row>
    <row r="2483" spans="1:1" x14ac:dyDescent="0.25">
      <c r="A2483" s="8">
        <v>1.5835936999996192E-2</v>
      </c>
    </row>
    <row r="2484" spans="1:1" x14ac:dyDescent="0.25">
      <c r="A2484" s="8">
        <v>5.6000000000000001E-2</v>
      </c>
    </row>
    <row r="2485" spans="1:1" x14ac:dyDescent="0.25">
      <c r="A2485" s="8">
        <v>1.7945311999996192E-2</v>
      </c>
    </row>
    <row r="2486" spans="1:1" x14ac:dyDescent="0.25">
      <c r="A2486" s="8">
        <v>1.3601561999996193E-2</v>
      </c>
    </row>
    <row r="2487" spans="1:1" x14ac:dyDescent="0.25">
      <c r="A2487" s="8">
        <v>1.9265625000000001E-2</v>
      </c>
    </row>
    <row r="2488" spans="1:1" x14ac:dyDescent="0.25">
      <c r="A2488" s="8">
        <v>1.7796875E-2</v>
      </c>
    </row>
    <row r="2489" spans="1:1" x14ac:dyDescent="0.25">
      <c r="A2489" s="8">
        <v>1.7859375E-2</v>
      </c>
    </row>
    <row r="2490" spans="1:1" x14ac:dyDescent="0.25">
      <c r="A2490" s="8">
        <v>2.2468749999999999E-2</v>
      </c>
    </row>
    <row r="2491" spans="1:1" x14ac:dyDescent="0.25">
      <c r="A2491" s="8">
        <v>2.3421875000000002E-2</v>
      </c>
    </row>
    <row r="2492" spans="1:1" x14ac:dyDescent="0.25">
      <c r="A2492" s="8">
        <v>1.90625E-2</v>
      </c>
    </row>
    <row r="2493" spans="1:1" x14ac:dyDescent="0.25">
      <c r="A2493" s="8">
        <v>1.6578124999999999E-2</v>
      </c>
    </row>
    <row r="2494" spans="1:1" x14ac:dyDescent="0.25">
      <c r="A2494" s="8">
        <v>2.1343750000000002E-2</v>
      </c>
    </row>
    <row r="2495" spans="1:1" x14ac:dyDescent="0.25">
      <c r="A2495" s="8">
        <v>2.2390625000000001E-2</v>
      </c>
    </row>
    <row r="2496" spans="1:1" x14ac:dyDescent="0.25">
      <c r="A2496" s="8">
        <v>1.7531250000000002E-2</v>
      </c>
    </row>
    <row r="2497" spans="1:1" x14ac:dyDescent="0.25">
      <c r="A2497" s="8">
        <v>2.5328125E-2</v>
      </c>
    </row>
    <row r="2498" spans="1:1" x14ac:dyDescent="0.25">
      <c r="A2498" s="8">
        <v>1.7453125E-2</v>
      </c>
    </row>
    <row r="2499" spans="1:1" x14ac:dyDescent="0.25">
      <c r="A2499" s="8">
        <v>1.8218749999999999E-2</v>
      </c>
    </row>
    <row r="2500" spans="1:1" x14ac:dyDescent="0.25">
      <c r="A2500" s="8">
        <v>1.140625E-2</v>
      </c>
    </row>
    <row r="2501" spans="1:1" x14ac:dyDescent="0.25">
      <c r="A2501" s="8">
        <v>3.2406249999999998E-2</v>
      </c>
    </row>
    <row r="2502" spans="1:1" x14ac:dyDescent="0.25">
      <c r="A2502" s="8">
        <v>7.6874999999999999E-3</v>
      </c>
    </row>
    <row r="2503" spans="1:1" x14ac:dyDescent="0.25">
      <c r="A2503" s="8">
        <v>1.0546875000000001E-2</v>
      </c>
    </row>
    <row r="2504" spans="1:1" x14ac:dyDescent="0.25">
      <c r="A2504" s="8">
        <v>9.0937499999999994E-3</v>
      </c>
    </row>
    <row r="2505" spans="1:1" x14ac:dyDescent="0.25">
      <c r="A2505" s="8">
        <v>1.7140625E-2</v>
      </c>
    </row>
    <row r="2506" spans="1:1" x14ac:dyDescent="0.25">
      <c r="A2506" s="8">
        <v>1.2533203000002687E-2</v>
      </c>
    </row>
    <row r="2507" spans="1:1" x14ac:dyDescent="0.25">
      <c r="A2507" s="8">
        <v>2.0447265999999218E-2</v>
      </c>
    </row>
    <row r="2508" spans="1:1" x14ac:dyDescent="0.25">
      <c r="A2508" s="8">
        <v>1.6548827999999047E-2</v>
      </c>
    </row>
    <row r="2509" spans="1:1" x14ac:dyDescent="0.25">
      <c r="A2509" s="8">
        <v>2.0654296999997313E-2</v>
      </c>
    </row>
    <row r="2510" spans="1:1" x14ac:dyDescent="0.25">
      <c r="A2510" s="8">
        <v>8.6542970000009524E-3</v>
      </c>
    </row>
    <row r="2511" spans="1:1" x14ac:dyDescent="0.25">
      <c r="A2511" s="8">
        <v>8.9628899999988788E-3</v>
      </c>
    </row>
    <row r="2512" spans="1:1" x14ac:dyDescent="0.25">
      <c r="A2512" s="8">
        <v>2.7101563000000169E-2</v>
      </c>
    </row>
    <row r="2513" spans="1:1" x14ac:dyDescent="0.25">
      <c r="A2513" s="8">
        <v>1.1019531000001734E-2</v>
      </c>
    </row>
    <row r="2514" spans="1:1" x14ac:dyDescent="0.25">
      <c r="A2514" s="8">
        <v>1.4925781000001734E-2</v>
      </c>
    </row>
    <row r="2515" spans="1:1" x14ac:dyDescent="0.25">
      <c r="A2515" s="8">
        <v>1.5839844000001903E-2</v>
      </c>
    </row>
    <row r="2516" spans="1:1" x14ac:dyDescent="0.25">
      <c r="A2516" s="8">
        <v>1.5351561999999831E-2</v>
      </c>
    </row>
    <row r="2517" spans="1:1" x14ac:dyDescent="0.25">
      <c r="A2517" s="8">
        <v>1.6535155999998098E-2</v>
      </c>
    </row>
    <row r="2518" spans="1:1" x14ac:dyDescent="0.25">
      <c r="A2518" s="8">
        <v>1.953125E-2</v>
      </c>
    </row>
    <row r="2519" spans="1:1" x14ac:dyDescent="0.25">
      <c r="A2519" s="8">
        <v>2.0949218000001567E-2</v>
      </c>
    </row>
    <row r="2520" spans="1:1" x14ac:dyDescent="0.25">
      <c r="A2520" s="8">
        <v>7.4999999999999997E-3</v>
      </c>
    </row>
    <row r="2521" spans="1:1" x14ac:dyDescent="0.25">
      <c r="A2521" s="8">
        <v>1.6210937000003468E-2</v>
      </c>
    </row>
    <row r="2522" spans="1:1" x14ac:dyDescent="0.25">
      <c r="A2522" s="8">
        <v>1.8238280999998097E-2</v>
      </c>
    </row>
    <row r="2523" spans="1:1" x14ac:dyDescent="0.25">
      <c r="A2523" s="8">
        <v>1.8757813000003808E-2</v>
      </c>
    </row>
    <row r="2524" spans="1:1" x14ac:dyDescent="0.25">
      <c r="A2524" s="8">
        <v>8.5000000000000006E-3</v>
      </c>
    </row>
    <row r="2525" spans="1:1" x14ac:dyDescent="0.25">
      <c r="A2525" s="8">
        <v>2.7347656000005372E-2</v>
      </c>
    </row>
    <row r="2526" spans="1:1" x14ac:dyDescent="0.25">
      <c r="A2526" s="8">
        <v>1.1210936999996193E-2</v>
      </c>
    </row>
    <row r="2527" spans="1:1" x14ac:dyDescent="0.25">
      <c r="A2527" s="8">
        <v>1.4425781000005373E-2</v>
      </c>
    </row>
    <row r="2528" spans="1:1" x14ac:dyDescent="0.25">
      <c r="A2528" s="8">
        <v>1.678906200000347E-2</v>
      </c>
    </row>
    <row r="2529" spans="1:1" x14ac:dyDescent="0.25">
      <c r="A2529" s="8">
        <v>2.1070311999996191E-2</v>
      </c>
    </row>
    <row r="2530" spans="1:1" x14ac:dyDescent="0.25">
      <c r="A2530" s="8">
        <v>2.0375000000000001E-2</v>
      </c>
    </row>
    <row r="2531" spans="1:1" x14ac:dyDescent="0.25">
      <c r="A2531" s="8">
        <v>8.2304690000019037E-3</v>
      </c>
    </row>
    <row r="2532" spans="1:1" x14ac:dyDescent="0.25">
      <c r="A2532" s="8">
        <v>1.9027343000001563E-2</v>
      </c>
    </row>
    <row r="2533" spans="1:1" x14ac:dyDescent="0.25">
      <c r="A2533" s="8">
        <v>2.2328125000000001E-2</v>
      </c>
    </row>
    <row r="2534" spans="1:1" x14ac:dyDescent="0.25">
      <c r="A2534" s="8">
        <v>1.4171875E-2</v>
      </c>
    </row>
    <row r="2535" spans="1:1" x14ac:dyDescent="0.25">
      <c r="A2535" s="8">
        <v>2.2726561999996193E-2</v>
      </c>
    </row>
    <row r="2536" spans="1:1" x14ac:dyDescent="0.25">
      <c r="A2536" s="8">
        <v>1.2789061999996193E-2</v>
      </c>
    </row>
    <row r="2537" spans="1:1" x14ac:dyDescent="0.25">
      <c r="A2537" s="8">
        <v>2.4195313000003806E-2</v>
      </c>
    </row>
    <row r="2538" spans="1:1" x14ac:dyDescent="0.25">
      <c r="A2538" s="8">
        <v>1.7414061999996192E-2</v>
      </c>
    </row>
    <row r="2539" spans="1:1" x14ac:dyDescent="0.25">
      <c r="A2539" s="8">
        <v>7.2656250000000004E-3</v>
      </c>
    </row>
    <row r="2540" spans="1:1" x14ac:dyDescent="0.25">
      <c r="A2540" s="8">
        <v>1.2632813000003807E-2</v>
      </c>
    </row>
    <row r="2541" spans="1:1" x14ac:dyDescent="0.25">
      <c r="A2541" s="8">
        <v>1.9289061999996193E-2</v>
      </c>
    </row>
    <row r="2542" spans="1:1" x14ac:dyDescent="0.25">
      <c r="A2542" s="8">
        <v>1.0765624999999999E-2</v>
      </c>
    </row>
    <row r="2543" spans="1:1" x14ac:dyDescent="0.25">
      <c r="A2543" s="8">
        <v>1.8921875000000001E-2</v>
      </c>
    </row>
    <row r="2544" spans="1:1" x14ac:dyDescent="0.25">
      <c r="A2544" s="8">
        <v>8.5156250000000006E-3</v>
      </c>
    </row>
    <row r="2545" spans="1:1" x14ac:dyDescent="0.25">
      <c r="A2545" s="8">
        <v>2.3460938000003807E-2</v>
      </c>
    </row>
    <row r="2546" spans="1:1" x14ac:dyDescent="0.25">
      <c r="A2546" s="8">
        <v>8.3984380000038071E-3</v>
      </c>
    </row>
    <row r="2547" spans="1:1" x14ac:dyDescent="0.25">
      <c r="A2547" s="8">
        <v>1.6531250000000001E-2</v>
      </c>
    </row>
    <row r="2548" spans="1:1" x14ac:dyDescent="0.25">
      <c r="A2548" s="8">
        <v>1.1617186999996193E-2</v>
      </c>
    </row>
    <row r="2549" spans="1:1" x14ac:dyDescent="0.25">
      <c r="A2549" s="8">
        <v>1.9804686999996192E-2</v>
      </c>
    </row>
    <row r="2550" spans="1:1" x14ac:dyDescent="0.25">
      <c r="A2550" s="8">
        <v>7.2890619999961929E-3</v>
      </c>
    </row>
    <row r="2551" spans="1:1" x14ac:dyDescent="0.25">
      <c r="A2551" s="8">
        <v>2.0875000000000001E-2</v>
      </c>
    </row>
    <row r="2552" spans="1:1" x14ac:dyDescent="0.25">
      <c r="A2552" s="8">
        <v>2.4289061999996194E-2</v>
      </c>
    </row>
    <row r="2553" spans="1:1" x14ac:dyDescent="0.25">
      <c r="A2553" s="8">
        <v>2.6546875000000001E-2</v>
      </c>
    </row>
    <row r="2554" spans="1:1" x14ac:dyDescent="0.25">
      <c r="A2554" s="8">
        <v>1.7242186999996193E-2</v>
      </c>
    </row>
    <row r="2555" spans="1:1" x14ac:dyDescent="0.25">
      <c r="A2555" s="8">
        <v>1.1039063000003808E-2</v>
      </c>
    </row>
    <row r="2556" spans="1:1" x14ac:dyDescent="0.25">
      <c r="A2556" s="8">
        <v>1.4929686999996193E-2</v>
      </c>
    </row>
    <row r="2557" spans="1:1" x14ac:dyDescent="0.25">
      <c r="A2557" s="8">
        <v>7.9234374999999996E-2</v>
      </c>
    </row>
    <row r="2558" spans="1:1" x14ac:dyDescent="0.25">
      <c r="A2558" s="8">
        <v>5.057031199999619E-2</v>
      </c>
    </row>
    <row r="2559" spans="1:1" x14ac:dyDescent="0.25">
      <c r="A2559" s="8">
        <v>1.0453125000000001E-2</v>
      </c>
    </row>
    <row r="2560" spans="1:1" x14ac:dyDescent="0.25">
      <c r="A2560" s="8">
        <v>2.1140625E-2</v>
      </c>
    </row>
    <row r="2561" spans="1:1" x14ac:dyDescent="0.25">
      <c r="A2561" s="8">
        <v>1.1093749999999999E-2</v>
      </c>
    </row>
    <row r="2562" spans="1:1" x14ac:dyDescent="0.25">
      <c r="A2562" s="8">
        <v>1.7023438000003808E-2</v>
      </c>
    </row>
    <row r="2563" spans="1:1" x14ac:dyDescent="0.25">
      <c r="A2563" s="8">
        <v>7.6328119999961924E-3</v>
      </c>
    </row>
    <row r="2564" spans="1:1" x14ac:dyDescent="0.25">
      <c r="A2564" s="8">
        <v>7.398436999996193E-3</v>
      </c>
    </row>
    <row r="2565" spans="1:1" x14ac:dyDescent="0.25">
      <c r="A2565" s="8">
        <v>2.5992186999996194E-2</v>
      </c>
    </row>
    <row r="2566" spans="1:1" x14ac:dyDescent="0.25">
      <c r="A2566" s="8">
        <v>2.1515625E-2</v>
      </c>
    </row>
    <row r="2567" spans="1:1" x14ac:dyDescent="0.25">
      <c r="A2567" s="8">
        <v>8.5000000000000006E-3</v>
      </c>
    </row>
    <row r="2568" spans="1:1" x14ac:dyDescent="0.25">
      <c r="A2568" s="8">
        <v>1.8812499999999999E-2</v>
      </c>
    </row>
    <row r="2569" spans="1:1" x14ac:dyDescent="0.25">
      <c r="A2569" s="8">
        <v>1.2718749999999999E-2</v>
      </c>
    </row>
    <row r="2570" spans="1:1" x14ac:dyDescent="0.25">
      <c r="A2570" s="8">
        <v>1.4515625000000001E-2</v>
      </c>
    </row>
    <row r="2571" spans="1:1" x14ac:dyDescent="0.25">
      <c r="A2571" s="8">
        <v>9.5781249999999998E-3</v>
      </c>
    </row>
    <row r="2572" spans="1:1" x14ac:dyDescent="0.25">
      <c r="A2572" s="8">
        <v>1.3328125E-2</v>
      </c>
    </row>
    <row r="2573" spans="1:1" x14ac:dyDescent="0.25">
      <c r="A2573" s="8">
        <v>1.2453125000000001E-2</v>
      </c>
    </row>
    <row r="2574" spans="1:1" x14ac:dyDescent="0.25">
      <c r="A2574" s="8">
        <v>8.4062500000000005E-3</v>
      </c>
    </row>
    <row r="2575" spans="1:1" x14ac:dyDescent="0.25">
      <c r="A2575" s="8">
        <v>1.0703125000000001E-2</v>
      </c>
    </row>
    <row r="2576" spans="1:1" x14ac:dyDescent="0.25">
      <c r="A2576" s="8">
        <v>9.7031249999999999E-3</v>
      </c>
    </row>
    <row r="2577" spans="1:1" x14ac:dyDescent="0.25">
      <c r="A2577" s="8">
        <v>1.1093749999999999E-2</v>
      </c>
    </row>
    <row r="2578" spans="1:1" x14ac:dyDescent="0.25">
      <c r="A2578" s="8">
        <v>0.12443750000000001</v>
      </c>
    </row>
    <row r="2579" spans="1:1" x14ac:dyDescent="0.25">
      <c r="A2579" s="8">
        <v>9.5781249999999998E-3</v>
      </c>
    </row>
    <row r="2580" spans="1:1" x14ac:dyDescent="0.25">
      <c r="A2580" s="8">
        <v>2.8093750000000001E-2</v>
      </c>
    </row>
    <row r="2581" spans="1:1" x14ac:dyDescent="0.25">
      <c r="A2581" s="8">
        <v>2.0453124999999999E-2</v>
      </c>
    </row>
    <row r="2582" spans="1:1" x14ac:dyDescent="0.25">
      <c r="A2582" s="8">
        <v>3.540625E-2</v>
      </c>
    </row>
    <row r="2583" spans="1:1" x14ac:dyDescent="0.25">
      <c r="A2583" s="8">
        <v>2.4660156999998434E-2</v>
      </c>
    </row>
    <row r="2584" spans="1:1" x14ac:dyDescent="0.25">
      <c r="A2584" s="8">
        <v>1.3408202999999048E-2</v>
      </c>
    </row>
    <row r="2585" spans="1:1" x14ac:dyDescent="0.25">
      <c r="A2585" s="8">
        <v>1.4736327999999048E-2</v>
      </c>
    </row>
    <row r="2586" spans="1:1" x14ac:dyDescent="0.25">
      <c r="A2586" s="8">
        <v>2.3599609999997485E-2</v>
      </c>
    </row>
    <row r="2587" spans="1:1" x14ac:dyDescent="0.25">
      <c r="A2587" s="8">
        <v>2.4910156999998434E-2</v>
      </c>
    </row>
    <row r="2588" spans="1:1" x14ac:dyDescent="0.25">
      <c r="A2588" s="8">
        <v>1.3798828999999386E-2</v>
      </c>
    </row>
    <row r="2589" spans="1:1" x14ac:dyDescent="0.25">
      <c r="A2589" s="8">
        <v>1.96875E-2</v>
      </c>
    </row>
    <row r="2590" spans="1:1" x14ac:dyDescent="0.25">
      <c r="A2590" s="8">
        <v>1.1337890999999217E-2</v>
      </c>
    </row>
    <row r="2591" spans="1:1" x14ac:dyDescent="0.25">
      <c r="A2591" s="8">
        <v>7.8925779999990484E-3</v>
      </c>
    </row>
    <row r="2592" spans="1:1" x14ac:dyDescent="0.25">
      <c r="A2592" s="8">
        <v>1.7609375E-2</v>
      </c>
    </row>
    <row r="2593" spans="1:1" x14ac:dyDescent="0.25">
      <c r="A2593" s="8">
        <v>2.5976562999996532E-2</v>
      </c>
    </row>
    <row r="2594" spans="1:1" x14ac:dyDescent="0.25">
      <c r="A2594" s="8">
        <v>7.7851569999984353E-3</v>
      </c>
    </row>
    <row r="2595" spans="1:1" x14ac:dyDescent="0.25">
      <c r="A2595" s="8">
        <v>1.4378905999998096E-2</v>
      </c>
    </row>
    <row r="2596" spans="1:1" x14ac:dyDescent="0.25">
      <c r="A2596" s="8">
        <v>1.8183594000001902E-2</v>
      </c>
    </row>
    <row r="2597" spans="1:1" x14ac:dyDescent="0.25">
      <c r="A2597" s="8">
        <v>1.1972655999998097E-2</v>
      </c>
    </row>
    <row r="2598" spans="1:1" x14ac:dyDescent="0.25">
      <c r="A2598" s="8">
        <v>2.614843700000347E-2</v>
      </c>
    </row>
    <row r="2599" spans="1:1" x14ac:dyDescent="0.25">
      <c r="A2599" s="8">
        <v>1.1320312000003468E-2</v>
      </c>
    </row>
    <row r="2600" spans="1:1" x14ac:dyDescent="0.25">
      <c r="A2600" s="8">
        <v>2.0855469000001903E-2</v>
      </c>
    </row>
    <row r="2601" spans="1:1" x14ac:dyDescent="0.25">
      <c r="A2601" s="8">
        <v>1.1921875E-2</v>
      </c>
    </row>
    <row r="2602" spans="1:1" x14ac:dyDescent="0.25">
      <c r="A2602" s="8">
        <v>1.1867186999996194E-2</v>
      </c>
    </row>
    <row r="2603" spans="1:1" x14ac:dyDescent="0.25">
      <c r="A2603" s="8">
        <v>1.5101563000003808E-2</v>
      </c>
    </row>
    <row r="2604" spans="1:1" x14ac:dyDescent="0.25">
      <c r="A2604" s="8">
        <v>7.589844000001904E-3</v>
      </c>
    </row>
    <row r="2605" spans="1:1" x14ac:dyDescent="0.25">
      <c r="A2605" s="8">
        <v>1.8167969000001904E-2</v>
      </c>
    </row>
    <row r="2606" spans="1:1" x14ac:dyDescent="0.25">
      <c r="A2606" s="8">
        <v>1.4328125000000001E-2</v>
      </c>
    </row>
    <row r="2607" spans="1:1" x14ac:dyDescent="0.25">
      <c r="A2607" s="8">
        <v>2.5050781999998436E-2</v>
      </c>
    </row>
    <row r="2608" spans="1:1" x14ac:dyDescent="0.25">
      <c r="A2608" s="8">
        <v>1.3253906000005372E-2</v>
      </c>
    </row>
    <row r="2609" spans="1:1" x14ac:dyDescent="0.25">
      <c r="A2609" s="8">
        <v>4.5796875000000001E-2</v>
      </c>
    </row>
    <row r="2610" spans="1:1" x14ac:dyDescent="0.25">
      <c r="A2610" s="8">
        <v>1.1054688000003808E-2</v>
      </c>
    </row>
    <row r="2611" spans="1:1" x14ac:dyDescent="0.25">
      <c r="A2611" s="8">
        <v>1.5679688000003807E-2</v>
      </c>
    </row>
    <row r="2612" spans="1:1" x14ac:dyDescent="0.25">
      <c r="A2612" s="8">
        <v>7.7109369999961925E-3</v>
      </c>
    </row>
    <row r="2613" spans="1:1" x14ac:dyDescent="0.25">
      <c r="A2613" s="8">
        <v>1.3515625E-2</v>
      </c>
    </row>
    <row r="2614" spans="1:1" x14ac:dyDescent="0.25">
      <c r="A2614" s="8">
        <v>8.1718750000000003E-3</v>
      </c>
    </row>
    <row r="2615" spans="1:1" x14ac:dyDescent="0.25">
      <c r="A2615" s="8">
        <v>1.4125E-2</v>
      </c>
    </row>
    <row r="2616" spans="1:1" x14ac:dyDescent="0.25">
      <c r="A2616" s="8">
        <v>1.1382813000003808E-2</v>
      </c>
    </row>
    <row r="2617" spans="1:1" x14ac:dyDescent="0.25">
      <c r="A2617" s="8">
        <v>2.2726563000003808E-2</v>
      </c>
    </row>
    <row r="2618" spans="1:1" x14ac:dyDescent="0.25">
      <c r="A2618" s="8">
        <v>2.1492186999996193E-2</v>
      </c>
    </row>
    <row r="2619" spans="1:1" x14ac:dyDescent="0.25">
      <c r="A2619" s="8">
        <v>1.3992186999996192E-2</v>
      </c>
    </row>
    <row r="2620" spans="1:1" x14ac:dyDescent="0.25">
      <c r="A2620" s="8">
        <v>1.4976563000003808E-2</v>
      </c>
    </row>
    <row r="2621" spans="1:1" x14ac:dyDescent="0.25">
      <c r="A2621" s="8">
        <v>1.1328125E-2</v>
      </c>
    </row>
    <row r="2622" spans="1:1" x14ac:dyDescent="0.25">
      <c r="A2622" s="8">
        <v>2.1523436999996193E-2</v>
      </c>
    </row>
    <row r="2623" spans="1:1" x14ac:dyDescent="0.25">
      <c r="A2623" s="8">
        <v>2.3476563000003808E-2</v>
      </c>
    </row>
    <row r="2624" spans="1:1" x14ac:dyDescent="0.25">
      <c r="A2624" s="8">
        <v>2.4296874999999999E-2</v>
      </c>
    </row>
    <row r="2625" spans="1:1" x14ac:dyDescent="0.25">
      <c r="A2625" s="8">
        <v>1.534375E-2</v>
      </c>
    </row>
    <row r="2626" spans="1:1" x14ac:dyDescent="0.25">
      <c r="A2626" s="8">
        <v>1.3953125E-2</v>
      </c>
    </row>
    <row r="2627" spans="1:1" x14ac:dyDescent="0.25">
      <c r="A2627" s="8">
        <v>2.3109375000000001E-2</v>
      </c>
    </row>
    <row r="2628" spans="1:1" x14ac:dyDescent="0.25">
      <c r="A2628" s="8">
        <v>1.409375E-2</v>
      </c>
    </row>
    <row r="2629" spans="1:1" x14ac:dyDescent="0.25">
      <c r="A2629" s="8">
        <v>2.1453125E-2</v>
      </c>
    </row>
    <row r="2630" spans="1:1" x14ac:dyDescent="0.25">
      <c r="A2630" s="8">
        <v>1.5617188000003807E-2</v>
      </c>
    </row>
    <row r="2631" spans="1:1" x14ac:dyDescent="0.25">
      <c r="A2631" s="8">
        <v>2.1218750000000001E-2</v>
      </c>
    </row>
    <row r="2632" spans="1:1" x14ac:dyDescent="0.25">
      <c r="A2632" s="8">
        <v>2.303125E-2</v>
      </c>
    </row>
    <row r="2633" spans="1:1" x14ac:dyDescent="0.25">
      <c r="A2633" s="8">
        <v>2.0875000000000001E-2</v>
      </c>
    </row>
    <row r="2634" spans="1:1" x14ac:dyDescent="0.25">
      <c r="A2634" s="8">
        <v>1.9679686999996192E-2</v>
      </c>
    </row>
    <row r="2635" spans="1:1" x14ac:dyDescent="0.25">
      <c r="A2635" s="8">
        <v>1.896875E-2</v>
      </c>
    </row>
    <row r="2636" spans="1:1" x14ac:dyDescent="0.25">
      <c r="A2636" s="8">
        <v>1.36875E-2</v>
      </c>
    </row>
    <row r="2637" spans="1:1" x14ac:dyDescent="0.25">
      <c r="A2637" s="8">
        <v>1.4125E-2</v>
      </c>
    </row>
    <row r="2638" spans="1:1" x14ac:dyDescent="0.25">
      <c r="A2638" s="8">
        <v>1.41875E-2</v>
      </c>
    </row>
    <row r="2639" spans="1:1" x14ac:dyDescent="0.25">
      <c r="A2639" s="8">
        <v>2.5906249999999999E-2</v>
      </c>
    </row>
    <row r="2640" spans="1:1" x14ac:dyDescent="0.25">
      <c r="A2640" s="8">
        <v>1.2445311999996192E-2</v>
      </c>
    </row>
    <row r="2641" spans="1:1" x14ac:dyDescent="0.25">
      <c r="A2641" s="8">
        <v>7.4296869999961931E-3</v>
      </c>
    </row>
    <row r="2642" spans="1:1" x14ac:dyDescent="0.25">
      <c r="A2642" s="8">
        <v>2.2687499999999999E-2</v>
      </c>
    </row>
    <row r="2643" spans="1:1" x14ac:dyDescent="0.25">
      <c r="A2643" s="8">
        <v>2.3984374999999999E-2</v>
      </c>
    </row>
    <row r="2644" spans="1:1" x14ac:dyDescent="0.25">
      <c r="A2644" s="8">
        <v>0.11615625</v>
      </c>
    </row>
    <row r="2645" spans="1:1" x14ac:dyDescent="0.25">
      <c r="A2645" s="8">
        <v>1.2718749999999999E-2</v>
      </c>
    </row>
    <row r="2646" spans="1:1" x14ac:dyDescent="0.25">
      <c r="A2646" s="8">
        <v>2.0968750000000001E-2</v>
      </c>
    </row>
    <row r="2647" spans="1:1" x14ac:dyDescent="0.25">
      <c r="A2647" s="8">
        <v>1.7578125E-2</v>
      </c>
    </row>
    <row r="2648" spans="1:1" x14ac:dyDescent="0.25">
      <c r="A2648" s="8">
        <v>1.3890625E-2</v>
      </c>
    </row>
    <row r="2649" spans="1:1" x14ac:dyDescent="0.25">
      <c r="A2649" s="8">
        <v>2.0718750000000001E-2</v>
      </c>
    </row>
    <row r="2650" spans="1:1" x14ac:dyDescent="0.25">
      <c r="A2650" s="8">
        <v>2.4546874999999999E-2</v>
      </c>
    </row>
    <row r="2651" spans="1:1" x14ac:dyDescent="0.25">
      <c r="A2651" s="8">
        <v>1.55625E-2</v>
      </c>
    </row>
    <row r="2652" spans="1:1" x14ac:dyDescent="0.25">
      <c r="A2652" s="8">
        <v>1.221875E-2</v>
      </c>
    </row>
    <row r="2653" spans="1:1" x14ac:dyDescent="0.25">
      <c r="A2653" s="8">
        <v>2.4828125E-2</v>
      </c>
    </row>
    <row r="2654" spans="1:1" x14ac:dyDescent="0.25">
      <c r="A2654" s="8">
        <v>2.0765624999999999E-2</v>
      </c>
    </row>
    <row r="2655" spans="1:1" x14ac:dyDescent="0.25">
      <c r="A2655" s="8">
        <v>2.6749999999999999E-2</v>
      </c>
    </row>
    <row r="2656" spans="1:1" x14ac:dyDescent="0.25">
      <c r="A2656" s="8">
        <v>1.2531250000000001E-2</v>
      </c>
    </row>
    <row r="2657" spans="1:1" x14ac:dyDescent="0.25">
      <c r="A2657" s="8">
        <v>2.740625E-2</v>
      </c>
    </row>
    <row r="2658" spans="1:1" x14ac:dyDescent="0.25">
      <c r="A2658" s="8">
        <v>2.0375000000000001E-2</v>
      </c>
    </row>
    <row r="2659" spans="1:1" x14ac:dyDescent="0.25">
      <c r="A2659" s="8">
        <v>2.0828124999999999E-2</v>
      </c>
    </row>
    <row r="2660" spans="1:1" x14ac:dyDescent="0.25">
      <c r="A2660" s="8">
        <v>2.4953125E-2</v>
      </c>
    </row>
    <row r="2661" spans="1:1" x14ac:dyDescent="0.25">
      <c r="A2661" s="8">
        <v>1.184375E-2</v>
      </c>
    </row>
    <row r="2662" spans="1:1" x14ac:dyDescent="0.25">
      <c r="A2662" s="8">
        <v>1.2609375000000001E-2</v>
      </c>
    </row>
    <row r="2663" spans="1:1" x14ac:dyDescent="0.25">
      <c r="A2663" s="8">
        <v>2.9980468999998264E-2</v>
      </c>
    </row>
    <row r="2664" spans="1:1" x14ac:dyDescent="0.25">
      <c r="A2664" s="8">
        <v>1.3902343000001566E-2</v>
      </c>
    </row>
    <row r="2665" spans="1:1" x14ac:dyDescent="0.25">
      <c r="A2665" s="8">
        <v>1.5089843000001565E-2</v>
      </c>
    </row>
    <row r="2666" spans="1:1" x14ac:dyDescent="0.25">
      <c r="A2666" s="8">
        <v>1.3943359000000783E-2</v>
      </c>
    </row>
    <row r="2667" spans="1:1" x14ac:dyDescent="0.25">
      <c r="A2667" s="8">
        <v>2.8154297000000952E-2</v>
      </c>
    </row>
    <row r="2668" spans="1:1" x14ac:dyDescent="0.25">
      <c r="A2668" s="8">
        <v>9.0820310000017338E-3</v>
      </c>
    </row>
    <row r="2669" spans="1:1" x14ac:dyDescent="0.25">
      <c r="A2669" s="8">
        <v>2.395117200000095E-2</v>
      </c>
    </row>
    <row r="2670" spans="1:1" x14ac:dyDescent="0.25">
      <c r="A2670" s="8">
        <v>2.1107421000000612E-2</v>
      </c>
    </row>
    <row r="2671" spans="1:1" x14ac:dyDescent="0.25">
      <c r="A2671" s="8">
        <v>1.2257812999996532E-2</v>
      </c>
    </row>
    <row r="2672" spans="1:1" x14ac:dyDescent="0.25">
      <c r="A2672" s="8">
        <v>1.7855469000001904E-2</v>
      </c>
    </row>
    <row r="2673" spans="1:1" x14ac:dyDescent="0.25">
      <c r="A2673" s="8">
        <v>2.4054688000003807E-2</v>
      </c>
    </row>
    <row r="2674" spans="1:1" x14ac:dyDescent="0.25">
      <c r="A2674" s="8">
        <v>1.1984375E-2</v>
      </c>
    </row>
    <row r="2675" spans="1:1" x14ac:dyDescent="0.25">
      <c r="A2675" s="8">
        <v>2.8605469000001903E-2</v>
      </c>
    </row>
    <row r="2676" spans="1:1" x14ac:dyDescent="0.25">
      <c r="A2676" s="8">
        <v>1.3421875E-2</v>
      </c>
    </row>
    <row r="2677" spans="1:1" x14ac:dyDescent="0.25">
      <c r="A2677" s="8">
        <v>1.1523437999996531E-2</v>
      </c>
    </row>
    <row r="2678" spans="1:1" x14ac:dyDescent="0.25">
      <c r="A2678" s="8">
        <v>1.6808594000001904E-2</v>
      </c>
    </row>
    <row r="2679" spans="1:1" x14ac:dyDescent="0.25">
      <c r="A2679" s="8">
        <v>3.3796874999999997E-2</v>
      </c>
    </row>
    <row r="2680" spans="1:1" x14ac:dyDescent="0.25">
      <c r="A2680" s="8">
        <v>7.8359369999961934E-3</v>
      </c>
    </row>
    <row r="2681" spans="1:1" x14ac:dyDescent="0.25">
      <c r="A2681" s="8">
        <v>1.3570311999996193E-2</v>
      </c>
    </row>
    <row r="2682" spans="1:1" x14ac:dyDescent="0.25">
      <c r="A2682" s="8">
        <v>2.7777344000001904E-2</v>
      </c>
    </row>
    <row r="2683" spans="1:1" x14ac:dyDescent="0.25">
      <c r="A2683" s="8">
        <v>7.7070309999980966E-3</v>
      </c>
    </row>
    <row r="2684" spans="1:1" x14ac:dyDescent="0.25">
      <c r="A2684" s="8">
        <v>2.6421875000000001E-2</v>
      </c>
    </row>
    <row r="2685" spans="1:1" x14ac:dyDescent="0.25">
      <c r="A2685" s="8">
        <v>2.5132811999996191E-2</v>
      </c>
    </row>
    <row r="2686" spans="1:1" x14ac:dyDescent="0.25">
      <c r="A2686" s="8">
        <v>7.5156249999999997E-3</v>
      </c>
    </row>
    <row r="2687" spans="1:1" x14ac:dyDescent="0.25">
      <c r="A2687" s="8">
        <v>2.5859375E-2</v>
      </c>
    </row>
    <row r="2688" spans="1:1" x14ac:dyDescent="0.25">
      <c r="A2688" s="8">
        <v>1.2687500000000001E-2</v>
      </c>
    </row>
    <row r="2689" spans="1:1" x14ac:dyDescent="0.25">
      <c r="A2689" s="8">
        <v>2.3757813000003809E-2</v>
      </c>
    </row>
    <row r="2690" spans="1:1" x14ac:dyDescent="0.25">
      <c r="A2690" s="8">
        <v>1.1429688000003808E-2</v>
      </c>
    </row>
    <row r="2691" spans="1:1" x14ac:dyDescent="0.25">
      <c r="A2691" s="8">
        <v>1.5382811999996193E-2</v>
      </c>
    </row>
    <row r="2692" spans="1:1" x14ac:dyDescent="0.25">
      <c r="A2692" s="8">
        <v>1.7539061999996192E-2</v>
      </c>
    </row>
    <row r="2693" spans="1:1" x14ac:dyDescent="0.25">
      <c r="A2693" s="8">
        <v>1.5421875E-2</v>
      </c>
    </row>
    <row r="2694" spans="1:1" x14ac:dyDescent="0.25">
      <c r="A2694" s="8">
        <v>1.7328125E-2</v>
      </c>
    </row>
    <row r="2695" spans="1:1" x14ac:dyDescent="0.25">
      <c r="A2695" s="8">
        <v>9.2656249999999996E-3</v>
      </c>
    </row>
    <row r="2696" spans="1:1" x14ac:dyDescent="0.25">
      <c r="A2696" s="8">
        <v>2.5078125E-2</v>
      </c>
    </row>
    <row r="2697" spans="1:1" x14ac:dyDescent="0.25">
      <c r="A2697" s="8">
        <v>1.1210938000003808E-2</v>
      </c>
    </row>
    <row r="2698" spans="1:1" x14ac:dyDescent="0.25">
      <c r="A2698" s="8">
        <v>1.1359375E-2</v>
      </c>
    </row>
    <row r="2699" spans="1:1" x14ac:dyDescent="0.25">
      <c r="A2699" s="8">
        <v>1.7304688000003808E-2</v>
      </c>
    </row>
    <row r="2700" spans="1:1" x14ac:dyDescent="0.25">
      <c r="A2700" s="8">
        <v>6.3117186999996189E-2</v>
      </c>
    </row>
    <row r="2701" spans="1:1" x14ac:dyDescent="0.25">
      <c r="A2701" s="8">
        <v>1.2125E-2</v>
      </c>
    </row>
    <row r="2702" spans="1:1" x14ac:dyDescent="0.25">
      <c r="A2702" s="8">
        <v>2.2007813000003807E-2</v>
      </c>
    </row>
    <row r="2703" spans="1:1" x14ac:dyDescent="0.25">
      <c r="A2703" s="8">
        <v>2.0945313000003806E-2</v>
      </c>
    </row>
    <row r="2704" spans="1:1" x14ac:dyDescent="0.25">
      <c r="A2704" s="8">
        <v>1.96875E-2</v>
      </c>
    </row>
    <row r="2705" spans="1:1" x14ac:dyDescent="0.25">
      <c r="A2705" s="8">
        <v>9.1406249999999994E-3</v>
      </c>
    </row>
    <row r="2706" spans="1:1" x14ac:dyDescent="0.25">
      <c r="A2706" s="8">
        <v>8.5703130000038073E-3</v>
      </c>
    </row>
    <row r="2707" spans="1:1" x14ac:dyDescent="0.25">
      <c r="A2707" s="8">
        <v>2.0593750000000001E-2</v>
      </c>
    </row>
    <row r="2708" spans="1:1" x14ac:dyDescent="0.25">
      <c r="A2708" s="8">
        <v>1.5039061999996193E-2</v>
      </c>
    </row>
    <row r="2709" spans="1:1" x14ac:dyDescent="0.25">
      <c r="A2709" s="8">
        <v>7.4374999999999997E-3</v>
      </c>
    </row>
    <row r="2710" spans="1:1" x14ac:dyDescent="0.25">
      <c r="A2710" s="8">
        <v>8.1171875000000004E-2</v>
      </c>
    </row>
    <row r="2711" spans="1:1" x14ac:dyDescent="0.25">
      <c r="A2711" s="8">
        <v>1.3703125E-2</v>
      </c>
    </row>
    <row r="2712" spans="1:1" x14ac:dyDescent="0.25">
      <c r="A2712" s="8">
        <v>2.8484374999999999E-2</v>
      </c>
    </row>
    <row r="2713" spans="1:1" x14ac:dyDescent="0.25">
      <c r="A2713" s="8">
        <v>7.6406249999999998E-3</v>
      </c>
    </row>
    <row r="2714" spans="1:1" x14ac:dyDescent="0.25">
      <c r="A2714" s="8">
        <v>9.8125E-3</v>
      </c>
    </row>
    <row r="2715" spans="1:1" x14ac:dyDescent="0.25">
      <c r="A2715" s="8">
        <v>1.984375E-2</v>
      </c>
    </row>
    <row r="2716" spans="1:1" x14ac:dyDescent="0.25">
      <c r="A2716" s="8">
        <v>2.0625000000000001E-2</v>
      </c>
    </row>
    <row r="2717" spans="1:1" x14ac:dyDescent="0.25">
      <c r="A2717" s="8">
        <v>1.8281249999999999E-2</v>
      </c>
    </row>
    <row r="2718" spans="1:1" x14ac:dyDescent="0.25">
      <c r="A2718" s="8">
        <v>8.5156250000000006E-3</v>
      </c>
    </row>
    <row r="2719" spans="1:1" x14ac:dyDescent="0.25">
      <c r="A2719" s="8">
        <v>1.1421875E-2</v>
      </c>
    </row>
    <row r="2720" spans="1:1" x14ac:dyDescent="0.25">
      <c r="A2720" s="8">
        <v>2.390625E-2</v>
      </c>
    </row>
    <row r="2721" spans="1:1" x14ac:dyDescent="0.25">
      <c r="A2721" s="8">
        <v>1.58125E-2</v>
      </c>
    </row>
    <row r="2722" spans="1:1" x14ac:dyDescent="0.25">
      <c r="A2722" s="8">
        <v>1.7218750000000001E-2</v>
      </c>
    </row>
    <row r="2723" spans="1:1" x14ac:dyDescent="0.25">
      <c r="A2723" s="8">
        <v>0.118609375</v>
      </c>
    </row>
    <row r="2724" spans="1:1" x14ac:dyDescent="0.25">
      <c r="A2724" s="8">
        <v>2.4984375E-2</v>
      </c>
    </row>
    <row r="2725" spans="1:1" x14ac:dyDescent="0.25">
      <c r="A2725" s="8">
        <v>2.6970703000002687E-2</v>
      </c>
    </row>
    <row r="2726" spans="1:1" x14ac:dyDescent="0.25">
      <c r="A2726" s="8">
        <v>1.7261718999998267E-2</v>
      </c>
    </row>
    <row r="2727" spans="1:1" x14ac:dyDescent="0.25">
      <c r="A2727" s="8">
        <v>2.1464844000001905E-2</v>
      </c>
    </row>
    <row r="2728" spans="1:1" x14ac:dyDescent="0.25">
      <c r="A2728" s="8">
        <v>1.1957030999998097E-2</v>
      </c>
    </row>
    <row r="2729" spans="1:1" x14ac:dyDescent="0.25">
      <c r="A2729" s="8">
        <v>1.4167968000001564E-2</v>
      </c>
    </row>
    <row r="2730" spans="1:1" x14ac:dyDescent="0.25">
      <c r="A2730" s="8">
        <v>1.4328125000000001E-2</v>
      </c>
    </row>
    <row r="2731" spans="1:1" x14ac:dyDescent="0.25">
      <c r="A2731" s="8">
        <v>5.5640624999999999E-2</v>
      </c>
    </row>
    <row r="2732" spans="1:1" x14ac:dyDescent="0.25">
      <c r="A2732" s="8">
        <v>1.1441405999998096E-2</v>
      </c>
    </row>
    <row r="2733" spans="1:1" x14ac:dyDescent="0.25">
      <c r="A2733" s="8">
        <v>1.2027343000001566E-2</v>
      </c>
    </row>
    <row r="2734" spans="1:1" x14ac:dyDescent="0.25">
      <c r="A2734" s="8">
        <v>7.652344000001904E-3</v>
      </c>
    </row>
    <row r="2735" spans="1:1" x14ac:dyDescent="0.25">
      <c r="A2735" s="8">
        <v>1.7406250000000002E-2</v>
      </c>
    </row>
    <row r="2736" spans="1:1" x14ac:dyDescent="0.25">
      <c r="A2736" s="8">
        <v>1.409375E-2</v>
      </c>
    </row>
    <row r="2737" spans="1:1" x14ac:dyDescent="0.25">
      <c r="A2737" s="8">
        <v>1.7476561999996192E-2</v>
      </c>
    </row>
    <row r="2738" spans="1:1" x14ac:dyDescent="0.25">
      <c r="A2738" s="8">
        <v>1.5460936999996193E-2</v>
      </c>
    </row>
    <row r="2739" spans="1:1" x14ac:dyDescent="0.25">
      <c r="A2739" s="8">
        <v>1.1550781999998434E-2</v>
      </c>
    </row>
    <row r="2740" spans="1:1" x14ac:dyDescent="0.25">
      <c r="A2740" s="8">
        <v>1.1234375E-2</v>
      </c>
    </row>
    <row r="2741" spans="1:1" x14ac:dyDescent="0.25">
      <c r="A2741" s="8">
        <v>1.7281250000000001E-2</v>
      </c>
    </row>
    <row r="2742" spans="1:1" x14ac:dyDescent="0.25">
      <c r="A2742" s="8">
        <v>2.0578124999999999E-2</v>
      </c>
    </row>
    <row r="2743" spans="1:1" x14ac:dyDescent="0.25">
      <c r="A2743" s="8">
        <v>1.7226563000003806E-2</v>
      </c>
    </row>
    <row r="2744" spans="1:1" x14ac:dyDescent="0.25">
      <c r="A2744" s="8">
        <v>1.8812499999999999E-2</v>
      </c>
    </row>
    <row r="2745" spans="1:1" x14ac:dyDescent="0.25">
      <c r="A2745" s="8">
        <v>2.7039061999996193E-2</v>
      </c>
    </row>
    <row r="2746" spans="1:1" x14ac:dyDescent="0.25">
      <c r="A2746" s="8">
        <v>8.1718750000000003E-3</v>
      </c>
    </row>
    <row r="2747" spans="1:1" x14ac:dyDescent="0.25">
      <c r="A2747" s="8">
        <v>7.4999999999999997E-3</v>
      </c>
    </row>
    <row r="2748" spans="1:1" x14ac:dyDescent="0.25">
      <c r="A2748" s="8">
        <v>3.0101563000003807E-2</v>
      </c>
    </row>
    <row r="2749" spans="1:1" x14ac:dyDescent="0.25">
      <c r="A2749" s="8">
        <v>2.8226561999996194E-2</v>
      </c>
    </row>
    <row r="2750" spans="1:1" x14ac:dyDescent="0.25">
      <c r="A2750" s="8">
        <v>1.0773436999996193E-2</v>
      </c>
    </row>
    <row r="2751" spans="1:1" x14ac:dyDescent="0.25">
      <c r="A2751" s="8">
        <v>1.38125E-2</v>
      </c>
    </row>
    <row r="2752" spans="1:1" x14ac:dyDescent="0.25">
      <c r="A2752" s="8">
        <v>2.6453125000000001E-2</v>
      </c>
    </row>
    <row r="2753" spans="1:1" x14ac:dyDescent="0.25">
      <c r="A2753" s="8">
        <v>1.1445313000003808E-2</v>
      </c>
    </row>
    <row r="2754" spans="1:1" x14ac:dyDescent="0.25">
      <c r="A2754" s="8">
        <v>2.3234375000000002E-2</v>
      </c>
    </row>
    <row r="2755" spans="1:1" x14ac:dyDescent="0.25">
      <c r="A2755" s="8">
        <v>7.351563000003807E-3</v>
      </c>
    </row>
    <row r="2756" spans="1:1" x14ac:dyDescent="0.25">
      <c r="A2756" s="8">
        <v>1.1710936999996193E-2</v>
      </c>
    </row>
    <row r="2757" spans="1:1" x14ac:dyDescent="0.25">
      <c r="A2757" s="8">
        <v>2.8882813000003806E-2</v>
      </c>
    </row>
    <row r="2758" spans="1:1" x14ac:dyDescent="0.25">
      <c r="A2758" s="8">
        <v>7.8750000000000001E-3</v>
      </c>
    </row>
    <row r="2759" spans="1:1" x14ac:dyDescent="0.25">
      <c r="A2759" s="8">
        <v>1.6617186999996193E-2</v>
      </c>
    </row>
    <row r="2760" spans="1:1" x14ac:dyDescent="0.25">
      <c r="A2760" s="8">
        <v>1.0554688000003807E-2</v>
      </c>
    </row>
    <row r="2761" spans="1:1" x14ac:dyDescent="0.25">
      <c r="A2761" s="8">
        <v>9.1328119999961929E-3</v>
      </c>
    </row>
    <row r="2762" spans="1:1" x14ac:dyDescent="0.25">
      <c r="A2762" s="8">
        <v>7.84375E-3</v>
      </c>
    </row>
    <row r="2763" spans="1:1" x14ac:dyDescent="0.25">
      <c r="A2763" s="8">
        <v>5.3289061999996196E-2</v>
      </c>
    </row>
    <row r="2764" spans="1:1" x14ac:dyDescent="0.25">
      <c r="A2764" s="8">
        <v>1.4210938000003807E-2</v>
      </c>
    </row>
    <row r="2765" spans="1:1" x14ac:dyDescent="0.25">
      <c r="A2765" s="8">
        <v>7.9140630000038067E-3</v>
      </c>
    </row>
    <row r="2766" spans="1:1" x14ac:dyDescent="0.25">
      <c r="A2766" s="8">
        <v>3.0078125000000001E-2</v>
      </c>
    </row>
    <row r="2767" spans="1:1" x14ac:dyDescent="0.25">
      <c r="A2767" s="8">
        <v>2.4335938000003807E-2</v>
      </c>
    </row>
    <row r="2768" spans="1:1" x14ac:dyDescent="0.25">
      <c r="A2768" s="8">
        <v>1.2531250000000001E-2</v>
      </c>
    </row>
    <row r="2769" spans="1:1" x14ac:dyDescent="0.25">
      <c r="A2769" s="8">
        <v>7.6562499999999999E-3</v>
      </c>
    </row>
    <row r="2770" spans="1:1" x14ac:dyDescent="0.25">
      <c r="A2770" s="8">
        <v>1.5171875E-2</v>
      </c>
    </row>
    <row r="2771" spans="1:1" x14ac:dyDescent="0.25">
      <c r="A2771" s="8">
        <v>1.6960936999996193E-2</v>
      </c>
    </row>
    <row r="2772" spans="1:1" x14ac:dyDescent="0.25">
      <c r="A2772" s="8">
        <v>1.8640625000000001E-2</v>
      </c>
    </row>
    <row r="2773" spans="1:1" x14ac:dyDescent="0.25">
      <c r="A2773" s="8">
        <v>1.3695313000003807E-2</v>
      </c>
    </row>
    <row r="2774" spans="1:1" x14ac:dyDescent="0.25">
      <c r="A2774" s="8">
        <v>2.1039061999996191E-2</v>
      </c>
    </row>
    <row r="2775" spans="1:1" x14ac:dyDescent="0.25">
      <c r="A2775" s="8">
        <v>1.3960938000003807E-2</v>
      </c>
    </row>
    <row r="2776" spans="1:1" x14ac:dyDescent="0.25">
      <c r="A2776" s="8">
        <v>1.0882811999996193E-2</v>
      </c>
    </row>
    <row r="2777" spans="1:1" x14ac:dyDescent="0.25">
      <c r="A2777" s="8">
        <v>1.3671875E-2</v>
      </c>
    </row>
    <row r="2778" spans="1:1" x14ac:dyDescent="0.25">
      <c r="A2778" s="8">
        <v>2.2281249999999999E-2</v>
      </c>
    </row>
    <row r="2779" spans="1:1" x14ac:dyDescent="0.25">
      <c r="A2779" s="8">
        <v>1.9671874999999998E-2</v>
      </c>
    </row>
    <row r="2780" spans="1:1" x14ac:dyDescent="0.25">
      <c r="A2780" s="8">
        <v>7.6406249999999998E-3</v>
      </c>
    </row>
    <row r="2781" spans="1:1" x14ac:dyDescent="0.25">
      <c r="A2781" s="8">
        <v>1.1546875E-2</v>
      </c>
    </row>
    <row r="2782" spans="1:1" x14ac:dyDescent="0.25">
      <c r="A2782" s="8">
        <v>2.371875E-2</v>
      </c>
    </row>
    <row r="2783" spans="1:1" x14ac:dyDescent="0.25">
      <c r="A2783" s="8">
        <v>1.9015625000000001E-2</v>
      </c>
    </row>
    <row r="2784" spans="1:1" x14ac:dyDescent="0.25">
      <c r="A2784" s="8">
        <v>2.1718749999999998E-2</v>
      </c>
    </row>
    <row r="2785" spans="1:1" x14ac:dyDescent="0.25">
      <c r="A2785" s="8">
        <v>1.7203125E-2</v>
      </c>
    </row>
    <row r="2786" spans="1:1" x14ac:dyDescent="0.25">
      <c r="A2786" s="8">
        <v>1.7937499999999999E-2</v>
      </c>
    </row>
    <row r="2787" spans="1:1" x14ac:dyDescent="0.25">
      <c r="A2787" s="8">
        <v>1.984375E-2</v>
      </c>
    </row>
    <row r="2788" spans="1:1" x14ac:dyDescent="0.25">
      <c r="A2788" s="8">
        <v>0.12478125</v>
      </c>
    </row>
    <row r="2789" spans="1:1" x14ac:dyDescent="0.25">
      <c r="A2789" s="8">
        <v>8.7296874999999996E-2</v>
      </c>
    </row>
    <row r="2790" spans="1:1" x14ac:dyDescent="0.25">
      <c r="A2790" s="8">
        <v>7.765625E-3</v>
      </c>
    </row>
    <row r="2791" spans="1:1" x14ac:dyDescent="0.25">
      <c r="A2791" s="8">
        <v>7.6249999999999998E-3</v>
      </c>
    </row>
    <row r="2792" spans="1:1" x14ac:dyDescent="0.25">
      <c r="A2792" s="8">
        <v>1.13125E-2</v>
      </c>
    </row>
    <row r="2793" spans="1:1" x14ac:dyDescent="0.25">
      <c r="A2793" s="8">
        <v>1.2337890999999218E-2</v>
      </c>
    </row>
    <row r="2794" spans="1:1" x14ac:dyDescent="0.25">
      <c r="A2794" s="8">
        <v>2.0298827999999047E-2</v>
      </c>
    </row>
    <row r="2795" spans="1:1" x14ac:dyDescent="0.25">
      <c r="A2795" s="8">
        <v>2.7244140999999219E-2</v>
      </c>
    </row>
    <row r="2796" spans="1:1" x14ac:dyDescent="0.25">
      <c r="A2796" s="8">
        <v>1.9359375000000002E-2</v>
      </c>
    </row>
    <row r="2797" spans="1:1" x14ac:dyDescent="0.25">
      <c r="A2797" s="8">
        <v>2.0003906000001733E-2</v>
      </c>
    </row>
    <row r="2798" spans="1:1" x14ac:dyDescent="0.25">
      <c r="A2798" s="8">
        <v>1.2105468000001566E-2</v>
      </c>
    </row>
    <row r="2799" spans="1:1" x14ac:dyDescent="0.25">
      <c r="A2799" s="8">
        <v>1.6371093999998265E-2</v>
      </c>
    </row>
    <row r="2800" spans="1:1" x14ac:dyDescent="0.25">
      <c r="A2800" s="8">
        <v>1.34375E-2</v>
      </c>
    </row>
    <row r="2801" spans="1:1" x14ac:dyDescent="0.25">
      <c r="A2801" s="8">
        <v>2.3644531999998435E-2</v>
      </c>
    </row>
    <row r="2802" spans="1:1" x14ac:dyDescent="0.25">
      <c r="A2802" s="8">
        <v>1.1347656999998434E-2</v>
      </c>
    </row>
    <row r="2803" spans="1:1" x14ac:dyDescent="0.25">
      <c r="A2803" s="8">
        <v>2.0292969000001902E-2</v>
      </c>
    </row>
    <row r="2804" spans="1:1" x14ac:dyDescent="0.25">
      <c r="A2804" s="8">
        <v>2.4453124999999999E-2</v>
      </c>
    </row>
    <row r="2805" spans="1:1" x14ac:dyDescent="0.25">
      <c r="A2805" s="8">
        <v>2.1441406999998434E-2</v>
      </c>
    </row>
    <row r="2806" spans="1:1" x14ac:dyDescent="0.25">
      <c r="A2806" s="8">
        <v>1.6285155999998097E-2</v>
      </c>
    </row>
    <row r="2807" spans="1:1" x14ac:dyDescent="0.25">
      <c r="A2807" s="8">
        <v>7.3085939999946274E-3</v>
      </c>
    </row>
    <row r="2808" spans="1:1" x14ac:dyDescent="0.25">
      <c r="A2808" s="8">
        <v>1.7343750000000002E-2</v>
      </c>
    </row>
    <row r="2809" spans="1:1" x14ac:dyDescent="0.25">
      <c r="A2809" s="8">
        <v>2.4042969000001902E-2</v>
      </c>
    </row>
    <row r="2810" spans="1:1" x14ac:dyDescent="0.25">
      <c r="A2810" s="8">
        <v>1.1816406999998435E-2</v>
      </c>
    </row>
    <row r="2811" spans="1:1" x14ac:dyDescent="0.25">
      <c r="A2811" s="8">
        <v>2.0367187999996532E-2</v>
      </c>
    </row>
    <row r="2812" spans="1:1" x14ac:dyDescent="0.25">
      <c r="A2812" s="8">
        <v>1.3394530999998096E-2</v>
      </c>
    </row>
    <row r="2813" spans="1:1" x14ac:dyDescent="0.25">
      <c r="A2813" s="8">
        <v>1.4402343999994629E-2</v>
      </c>
    </row>
    <row r="2814" spans="1:1" x14ac:dyDescent="0.25">
      <c r="A2814" s="8">
        <v>1.8695312000003468E-2</v>
      </c>
    </row>
    <row r="2815" spans="1:1" x14ac:dyDescent="0.25">
      <c r="A2815" s="8">
        <v>0.10357031299999653</v>
      </c>
    </row>
    <row r="2816" spans="1:1" x14ac:dyDescent="0.25">
      <c r="A2816" s="8">
        <v>1.3273438000003808E-2</v>
      </c>
    </row>
    <row r="2817" spans="1:1" x14ac:dyDescent="0.25">
      <c r="A2817" s="8">
        <v>1.3484375E-2</v>
      </c>
    </row>
    <row r="2818" spans="1:1" x14ac:dyDescent="0.25">
      <c r="A2818" s="8">
        <v>2.4976563000003806E-2</v>
      </c>
    </row>
    <row r="2819" spans="1:1" x14ac:dyDescent="0.25">
      <c r="A2819" s="8">
        <v>2.5765625E-2</v>
      </c>
    </row>
    <row r="2820" spans="1:1" x14ac:dyDescent="0.25">
      <c r="A2820" s="8">
        <v>1.6460936999996192E-2</v>
      </c>
    </row>
    <row r="2821" spans="1:1" x14ac:dyDescent="0.25">
      <c r="A2821" s="8">
        <v>1.0132811999996192E-2</v>
      </c>
    </row>
    <row r="2822" spans="1:1" x14ac:dyDescent="0.25">
      <c r="A2822" s="8">
        <v>1.93125E-2</v>
      </c>
    </row>
    <row r="2823" spans="1:1" x14ac:dyDescent="0.25">
      <c r="A2823" s="8">
        <v>1.1867188000003807E-2</v>
      </c>
    </row>
    <row r="2824" spans="1:1" x14ac:dyDescent="0.25">
      <c r="A2824" s="8">
        <v>1.0382811999996192E-2</v>
      </c>
    </row>
    <row r="2825" spans="1:1" x14ac:dyDescent="0.25">
      <c r="A2825" s="8">
        <v>2.0976561999996191E-2</v>
      </c>
    </row>
    <row r="2826" spans="1:1" x14ac:dyDescent="0.25">
      <c r="A2826" s="8">
        <v>4.6046875000000001E-2</v>
      </c>
    </row>
    <row r="2827" spans="1:1" x14ac:dyDescent="0.25">
      <c r="A2827" s="8">
        <v>1.4867188000003808E-2</v>
      </c>
    </row>
    <row r="2828" spans="1:1" x14ac:dyDescent="0.25">
      <c r="A2828" s="8">
        <v>1.928125E-2</v>
      </c>
    </row>
    <row r="2829" spans="1:1" x14ac:dyDescent="0.25">
      <c r="A2829" s="8">
        <v>7.6640630000038073E-3</v>
      </c>
    </row>
    <row r="2830" spans="1:1" x14ac:dyDescent="0.25">
      <c r="A2830" s="8">
        <v>1.7906249999999999E-2</v>
      </c>
    </row>
    <row r="2831" spans="1:1" x14ac:dyDescent="0.25">
      <c r="A2831" s="8">
        <v>0.1113046869999962</v>
      </c>
    </row>
    <row r="2832" spans="1:1" x14ac:dyDescent="0.25">
      <c r="A2832" s="8">
        <v>1.0101561999996192E-2</v>
      </c>
    </row>
    <row r="2833" spans="1:1" x14ac:dyDescent="0.25">
      <c r="A2833" s="8">
        <v>1.4015625E-2</v>
      </c>
    </row>
    <row r="2834" spans="1:1" x14ac:dyDescent="0.25">
      <c r="A2834" s="8">
        <v>1.0695313000003807E-2</v>
      </c>
    </row>
    <row r="2835" spans="1:1" x14ac:dyDescent="0.25">
      <c r="A2835" s="8">
        <v>1.3320311999996193E-2</v>
      </c>
    </row>
    <row r="2836" spans="1:1" x14ac:dyDescent="0.25">
      <c r="A2836" s="8">
        <v>1.8820313000003808E-2</v>
      </c>
    </row>
    <row r="2837" spans="1:1" x14ac:dyDescent="0.25">
      <c r="A2837" s="8">
        <v>1.1070311999996193E-2</v>
      </c>
    </row>
    <row r="2838" spans="1:1" x14ac:dyDescent="0.25">
      <c r="A2838" s="8">
        <v>1.8882813000003808E-2</v>
      </c>
    </row>
    <row r="2839" spans="1:1" x14ac:dyDescent="0.25">
      <c r="A2839" s="8">
        <v>1.0773436999996193E-2</v>
      </c>
    </row>
    <row r="2840" spans="1:1" x14ac:dyDescent="0.25">
      <c r="A2840" s="8">
        <v>1.3875E-2</v>
      </c>
    </row>
    <row r="2841" spans="1:1" x14ac:dyDescent="0.25">
      <c r="A2841" s="8">
        <v>1.0601561999996192E-2</v>
      </c>
    </row>
    <row r="2842" spans="1:1" x14ac:dyDescent="0.25">
      <c r="A2842" s="8">
        <v>3.06875E-2</v>
      </c>
    </row>
    <row r="2843" spans="1:1" x14ac:dyDescent="0.25">
      <c r="A2843" s="8">
        <v>1.3554688000003806E-2</v>
      </c>
    </row>
    <row r="2844" spans="1:1" x14ac:dyDescent="0.25">
      <c r="A2844" s="8">
        <v>7.335938000003807E-3</v>
      </c>
    </row>
    <row r="2845" spans="1:1" x14ac:dyDescent="0.25">
      <c r="A2845" s="8">
        <v>2.4234374999999999E-2</v>
      </c>
    </row>
    <row r="2846" spans="1:1" x14ac:dyDescent="0.25">
      <c r="A2846" s="8">
        <v>1.6500000000000001E-2</v>
      </c>
    </row>
    <row r="2847" spans="1:1" x14ac:dyDescent="0.25">
      <c r="A2847" s="8">
        <v>3.18125E-2</v>
      </c>
    </row>
    <row r="2848" spans="1:1" x14ac:dyDescent="0.25">
      <c r="A2848" s="8">
        <v>2.0187500000000001E-2</v>
      </c>
    </row>
    <row r="2849" spans="1:1" x14ac:dyDescent="0.25">
      <c r="A2849" s="8">
        <v>1.8921875000000001E-2</v>
      </c>
    </row>
    <row r="2850" spans="1:1" x14ac:dyDescent="0.25">
      <c r="A2850" s="8">
        <v>1.546875E-2</v>
      </c>
    </row>
    <row r="2851" spans="1:1" x14ac:dyDescent="0.25">
      <c r="A2851" s="8">
        <v>1.4609375000000001E-2</v>
      </c>
    </row>
    <row r="2852" spans="1:1" x14ac:dyDescent="0.25">
      <c r="A2852" s="8">
        <v>2.1734375E-2</v>
      </c>
    </row>
    <row r="2853" spans="1:1" x14ac:dyDescent="0.25">
      <c r="A2853" s="8">
        <v>7.0625000000000002E-3</v>
      </c>
    </row>
    <row r="2854" spans="1:1" x14ac:dyDescent="0.25">
      <c r="A2854" s="8">
        <v>1.115625E-2</v>
      </c>
    </row>
    <row r="2855" spans="1:1" x14ac:dyDescent="0.25">
      <c r="A2855" s="8">
        <v>2.6687499999999999E-2</v>
      </c>
    </row>
    <row r="2856" spans="1:1" x14ac:dyDescent="0.25">
      <c r="A2856" s="8">
        <v>1.3171875E-2</v>
      </c>
    </row>
    <row r="2857" spans="1:1" x14ac:dyDescent="0.25">
      <c r="A2857" s="8">
        <v>7.1406250000000003E-3</v>
      </c>
    </row>
    <row r="2858" spans="1:1" x14ac:dyDescent="0.25">
      <c r="A2858" s="8">
        <v>1.7656249999999998E-2</v>
      </c>
    </row>
    <row r="2859" spans="1:1" x14ac:dyDescent="0.25">
      <c r="A2859" s="8">
        <v>1.8906249999999999E-2</v>
      </c>
    </row>
    <row r="2860" spans="1:1" x14ac:dyDescent="0.25">
      <c r="A2860" s="8">
        <v>8.9999999999999993E-3</v>
      </c>
    </row>
    <row r="2861" spans="1:1" x14ac:dyDescent="0.25">
      <c r="A2861" s="8">
        <v>2.3578124999999998E-2</v>
      </c>
    </row>
    <row r="2862" spans="1:1" x14ac:dyDescent="0.25">
      <c r="A2862" s="8">
        <v>1.1015624999999999E-2</v>
      </c>
    </row>
    <row r="2863" spans="1:1" x14ac:dyDescent="0.25">
      <c r="A2863" s="8">
        <v>1.8781249999999999E-2</v>
      </c>
    </row>
    <row r="2864" spans="1:1" x14ac:dyDescent="0.25">
      <c r="A2864" s="8">
        <v>1.8187499999999999E-2</v>
      </c>
    </row>
    <row r="2865" spans="1:1" x14ac:dyDescent="0.25">
      <c r="A2865" s="8">
        <v>8.3593750000000005E-3</v>
      </c>
    </row>
    <row r="2866" spans="1:1" x14ac:dyDescent="0.25">
      <c r="A2866" s="8">
        <v>1.2999999999999999E-2</v>
      </c>
    </row>
    <row r="2867" spans="1:1" x14ac:dyDescent="0.25">
      <c r="A2867" s="8">
        <v>4.4515625000000003E-2</v>
      </c>
    </row>
    <row r="2868" spans="1:1" x14ac:dyDescent="0.25">
      <c r="A2868" s="8">
        <v>7.2968750000000004E-3</v>
      </c>
    </row>
    <row r="2869" spans="1:1" x14ac:dyDescent="0.25">
      <c r="A2869" s="8">
        <v>1.2765624999999999E-2</v>
      </c>
    </row>
    <row r="2870" spans="1:1" x14ac:dyDescent="0.25">
      <c r="A2870" s="8">
        <v>2.6269531000001733E-2</v>
      </c>
    </row>
    <row r="2871" spans="1:1" x14ac:dyDescent="0.25">
      <c r="A2871" s="8">
        <v>7.7285150000025171E-3</v>
      </c>
    </row>
    <row r="2872" spans="1:1" x14ac:dyDescent="0.25">
      <c r="A2872" s="8">
        <v>9.7359374999999998E-2</v>
      </c>
    </row>
    <row r="2873" spans="1:1" x14ac:dyDescent="0.25">
      <c r="A2873" s="8">
        <v>1.1830077999999048E-2</v>
      </c>
    </row>
    <row r="2874" spans="1:1" x14ac:dyDescent="0.25">
      <c r="A2874" s="8">
        <v>1.1320311999999831E-2</v>
      </c>
    </row>
    <row r="2875" spans="1:1" x14ac:dyDescent="0.25">
      <c r="A2875" s="8">
        <v>2.1615234000000781E-2</v>
      </c>
    </row>
    <row r="2876" spans="1:1" x14ac:dyDescent="0.25">
      <c r="A2876" s="8">
        <v>1.5472656999998434E-2</v>
      </c>
    </row>
    <row r="2877" spans="1:1" x14ac:dyDescent="0.25">
      <c r="A2877" s="8">
        <v>1.1433594000001903E-2</v>
      </c>
    </row>
    <row r="2878" spans="1:1" x14ac:dyDescent="0.25">
      <c r="A2878" s="8">
        <v>2.5146484999997484E-2</v>
      </c>
    </row>
    <row r="2879" spans="1:1" x14ac:dyDescent="0.25">
      <c r="A2879" s="8">
        <v>2.4533203000002685E-2</v>
      </c>
    </row>
    <row r="2880" spans="1:1" x14ac:dyDescent="0.25">
      <c r="A2880" s="8">
        <v>2.3984374999999999E-2</v>
      </c>
    </row>
    <row r="2881" spans="1:1" x14ac:dyDescent="0.25">
      <c r="A2881" s="8">
        <v>2.3667968000001566E-2</v>
      </c>
    </row>
    <row r="2882" spans="1:1" x14ac:dyDescent="0.25">
      <c r="A2882" s="8">
        <v>7.5722649999988793E-3</v>
      </c>
    </row>
    <row r="2883" spans="1:1" x14ac:dyDescent="0.25">
      <c r="A2883" s="8">
        <v>2.4714844000001904E-2</v>
      </c>
    </row>
    <row r="2884" spans="1:1" x14ac:dyDescent="0.25">
      <c r="A2884" s="8">
        <v>1.4199218000001564E-2</v>
      </c>
    </row>
    <row r="2885" spans="1:1" x14ac:dyDescent="0.25">
      <c r="A2885" s="8">
        <v>2.4613280999998096E-2</v>
      </c>
    </row>
    <row r="2886" spans="1:1" x14ac:dyDescent="0.25">
      <c r="A2886" s="8">
        <v>1.2414062999996532E-2</v>
      </c>
    </row>
    <row r="2887" spans="1:1" x14ac:dyDescent="0.25">
      <c r="A2887" s="8">
        <v>7.8789059999980968E-3</v>
      </c>
    </row>
    <row r="2888" spans="1:1" x14ac:dyDescent="0.25">
      <c r="A2888" s="8">
        <v>2.5011719000001903E-2</v>
      </c>
    </row>
    <row r="2889" spans="1:1" x14ac:dyDescent="0.25">
      <c r="A2889" s="8">
        <v>3.18398440000019E-2</v>
      </c>
    </row>
    <row r="2890" spans="1:1" x14ac:dyDescent="0.25">
      <c r="A2890" s="8">
        <v>1.0769531000005373E-2</v>
      </c>
    </row>
    <row r="2891" spans="1:1" x14ac:dyDescent="0.25">
      <c r="A2891" s="8">
        <v>2.6332030999998098E-2</v>
      </c>
    </row>
    <row r="2892" spans="1:1" x14ac:dyDescent="0.25">
      <c r="A2892" s="8">
        <v>2.3195311999996193E-2</v>
      </c>
    </row>
    <row r="2893" spans="1:1" x14ac:dyDescent="0.25">
      <c r="A2893" s="8">
        <v>2.2160155999998096E-2</v>
      </c>
    </row>
    <row r="2894" spans="1:1" x14ac:dyDescent="0.25">
      <c r="A2894" s="8">
        <v>1.0914063000003808E-2</v>
      </c>
    </row>
    <row r="2895" spans="1:1" x14ac:dyDescent="0.25">
      <c r="A2895" s="8">
        <v>2.3714844000001904E-2</v>
      </c>
    </row>
    <row r="2896" spans="1:1" x14ac:dyDescent="0.25">
      <c r="A2896" s="8">
        <v>1.9699219000001905E-2</v>
      </c>
    </row>
    <row r="2897" spans="1:1" x14ac:dyDescent="0.25">
      <c r="A2897" s="8">
        <v>2.2011719000001904E-2</v>
      </c>
    </row>
    <row r="2898" spans="1:1" x14ac:dyDescent="0.25">
      <c r="A2898" s="8">
        <v>1.0406250000000001E-2</v>
      </c>
    </row>
    <row r="2899" spans="1:1" x14ac:dyDescent="0.25">
      <c r="A2899" s="8">
        <v>9.4765620000034686E-3</v>
      </c>
    </row>
    <row r="2900" spans="1:1" x14ac:dyDescent="0.25">
      <c r="A2900" s="8">
        <v>1.6425780999998096E-2</v>
      </c>
    </row>
    <row r="2901" spans="1:1" x14ac:dyDescent="0.25">
      <c r="A2901" s="8">
        <v>3.2679688000003808E-2</v>
      </c>
    </row>
    <row r="2902" spans="1:1" x14ac:dyDescent="0.25">
      <c r="A2902" s="8">
        <v>1.2257811999996192E-2</v>
      </c>
    </row>
    <row r="2903" spans="1:1" x14ac:dyDescent="0.25">
      <c r="A2903" s="8">
        <v>7.84375E-3</v>
      </c>
    </row>
    <row r="2904" spans="1:1" x14ac:dyDescent="0.25">
      <c r="A2904" s="8">
        <v>1.3539061999996193E-2</v>
      </c>
    </row>
    <row r="2905" spans="1:1" x14ac:dyDescent="0.25">
      <c r="A2905" s="8">
        <v>1.4539061999996192E-2</v>
      </c>
    </row>
    <row r="2906" spans="1:1" x14ac:dyDescent="0.25">
      <c r="A2906" s="8">
        <v>2.740625E-2</v>
      </c>
    </row>
    <row r="2907" spans="1:1" x14ac:dyDescent="0.25">
      <c r="A2907" s="8">
        <v>1.5421875E-2</v>
      </c>
    </row>
    <row r="2908" spans="1:1" x14ac:dyDescent="0.25">
      <c r="A2908" s="8">
        <v>1.7617188000003808E-2</v>
      </c>
    </row>
    <row r="2909" spans="1:1" x14ac:dyDescent="0.25">
      <c r="A2909" s="8">
        <v>2.5874999999999999E-2</v>
      </c>
    </row>
    <row r="2910" spans="1:1" x14ac:dyDescent="0.25">
      <c r="A2910" s="8">
        <v>4.5749999999999999E-2</v>
      </c>
    </row>
    <row r="2911" spans="1:1" x14ac:dyDescent="0.25">
      <c r="A2911" s="8">
        <v>2.0804686999996193E-2</v>
      </c>
    </row>
    <row r="2912" spans="1:1" x14ac:dyDescent="0.25">
      <c r="A2912" s="8">
        <v>1.365625E-2</v>
      </c>
    </row>
    <row r="2913" spans="1:1" x14ac:dyDescent="0.25">
      <c r="A2913" s="8">
        <v>1.3304688000003808E-2</v>
      </c>
    </row>
    <row r="2914" spans="1:1" x14ac:dyDescent="0.25">
      <c r="A2914" s="8">
        <v>1.5054688000003808E-2</v>
      </c>
    </row>
    <row r="2915" spans="1:1" x14ac:dyDescent="0.25">
      <c r="A2915" s="8">
        <v>2.9281250000000002E-2</v>
      </c>
    </row>
    <row r="2916" spans="1:1" x14ac:dyDescent="0.25">
      <c r="A2916" s="8">
        <v>1.9523438000003807E-2</v>
      </c>
    </row>
    <row r="2917" spans="1:1" x14ac:dyDescent="0.25">
      <c r="A2917" s="8">
        <v>7.7187499999999999E-3</v>
      </c>
    </row>
    <row r="2918" spans="1:1" x14ac:dyDescent="0.25">
      <c r="A2918" s="8">
        <v>2.0492188000003807E-2</v>
      </c>
    </row>
    <row r="2919" spans="1:1" x14ac:dyDescent="0.25">
      <c r="A2919" s="8">
        <v>2.4757813000003806E-2</v>
      </c>
    </row>
    <row r="2920" spans="1:1" x14ac:dyDescent="0.25">
      <c r="A2920" s="8">
        <v>1.7624999999999998E-2</v>
      </c>
    </row>
    <row r="2921" spans="1:1" x14ac:dyDescent="0.25">
      <c r="A2921" s="8">
        <v>1.125E-2</v>
      </c>
    </row>
    <row r="2922" spans="1:1" x14ac:dyDescent="0.25">
      <c r="A2922" s="8">
        <v>1.6804686999996193E-2</v>
      </c>
    </row>
    <row r="2923" spans="1:1" x14ac:dyDescent="0.25">
      <c r="A2923" s="8">
        <v>1.4367186999996192E-2</v>
      </c>
    </row>
    <row r="2924" spans="1:1" x14ac:dyDescent="0.25">
      <c r="A2924" s="8">
        <v>1.1179688000003808E-2</v>
      </c>
    </row>
    <row r="2925" spans="1:1" x14ac:dyDescent="0.25">
      <c r="A2925" s="8">
        <v>4.5851561999996196E-2</v>
      </c>
    </row>
    <row r="2926" spans="1:1" x14ac:dyDescent="0.25">
      <c r="A2926" s="8">
        <v>2.2640625000000001E-2</v>
      </c>
    </row>
    <row r="2927" spans="1:1" x14ac:dyDescent="0.25">
      <c r="A2927" s="8">
        <v>6.7187499999999999E-3</v>
      </c>
    </row>
    <row r="2928" spans="1:1" x14ac:dyDescent="0.25">
      <c r="A2928" s="8">
        <v>2.0312500000000001E-2</v>
      </c>
    </row>
    <row r="2929" spans="1:1" x14ac:dyDescent="0.25">
      <c r="A2929" s="8">
        <v>1.609375E-2</v>
      </c>
    </row>
    <row r="2930" spans="1:1" x14ac:dyDescent="0.25">
      <c r="A2930" s="8">
        <v>1.61875E-2</v>
      </c>
    </row>
    <row r="2931" spans="1:1" x14ac:dyDescent="0.25">
      <c r="A2931" s="8">
        <v>2.0328124999999999E-2</v>
      </c>
    </row>
    <row r="2932" spans="1:1" x14ac:dyDescent="0.25">
      <c r="A2932" s="8">
        <v>2.8390624999999999E-2</v>
      </c>
    </row>
    <row r="2933" spans="1:1" x14ac:dyDescent="0.25">
      <c r="A2933" s="8">
        <v>1.7421875E-2</v>
      </c>
    </row>
    <row r="2934" spans="1:1" x14ac:dyDescent="0.25">
      <c r="A2934" s="8">
        <v>3.9968749999999997E-2</v>
      </c>
    </row>
    <row r="2935" spans="1:1" x14ac:dyDescent="0.25">
      <c r="A2935" s="8">
        <v>7.7187499999999999E-3</v>
      </c>
    </row>
    <row r="2936" spans="1:1" x14ac:dyDescent="0.25">
      <c r="A2936" s="8">
        <v>1.215625E-2</v>
      </c>
    </row>
    <row r="2937" spans="1:1" x14ac:dyDescent="0.25">
      <c r="A2937" s="8">
        <v>2.8312500000000001E-2</v>
      </c>
    </row>
    <row r="2938" spans="1:1" x14ac:dyDescent="0.25">
      <c r="A2938" s="8">
        <v>8.7500000000000008E-3</v>
      </c>
    </row>
    <row r="2939" spans="1:1" x14ac:dyDescent="0.25">
      <c r="A2939" s="8">
        <v>1.7546875E-2</v>
      </c>
    </row>
    <row r="2940" spans="1:1" x14ac:dyDescent="0.25">
      <c r="A2940" s="8">
        <v>1.6953124999999999E-2</v>
      </c>
    </row>
    <row r="2941" spans="1:1" x14ac:dyDescent="0.25">
      <c r="A2941" s="8">
        <v>1.2984374999999999E-2</v>
      </c>
    </row>
    <row r="2942" spans="1:1" x14ac:dyDescent="0.25">
      <c r="A2942" s="8">
        <v>1.1171875E-2</v>
      </c>
    </row>
    <row r="2943" spans="1:1" x14ac:dyDescent="0.25">
      <c r="A2943" s="8">
        <v>1.4921874999999999E-2</v>
      </c>
    </row>
    <row r="2944" spans="1:1" x14ac:dyDescent="0.25">
      <c r="A2944" s="8">
        <v>1.4015625E-2</v>
      </c>
    </row>
    <row r="2945" spans="1:1" x14ac:dyDescent="0.25">
      <c r="A2945" s="8">
        <v>1.3703125E-2</v>
      </c>
    </row>
    <row r="2946" spans="1:1" x14ac:dyDescent="0.25">
      <c r="A2946" s="8">
        <v>4.8359375000000003E-2</v>
      </c>
    </row>
    <row r="2947" spans="1:1" x14ac:dyDescent="0.25">
      <c r="A2947" s="8">
        <v>2.375E-2</v>
      </c>
    </row>
    <row r="2948" spans="1:1" x14ac:dyDescent="0.25">
      <c r="A2948" s="8">
        <v>1.7156250000000001E-2</v>
      </c>
    </row>
    <row r="2949" spans="1:1" x14ac:dyDescent="0.25">
      <c r="A2949" s="8">
        <v>1.5031249999999999E-2</v>
      </c>
    </row>
    <row r="2950" spans="1:1" x14ac:dyDescent="0.25">
      <c r="A2950" s="8">
        <v>1.7296875E-2</v>
      </c>
    </row>
    <row r="2951" spans="1:1" x14ac:dyDescent="0.25">
      <c r="A2951" s="8">
        <v>1.3966797000000952E-2</v>
      </c>
    </row>
    <row r="2952" spans="1:1" x14ac:dyDescent="0.25">
      <c r="A2952" s="8">
        <v>1.2285156999998435E-2</v>
      </c>
    </row>
    <row r="2953" spans="1:1" x14ac:dyDescent="0.25">
      <c r="A2953" s="8">
        <v>1.8574219000001904E-2</v>
      </c>
    </row>
    <row r="2954" spans="1:1" x14ac:dyDescent="0.25">
      <c r="A2954" s="8">
        <v>1.3869140000002517E-2</v>
      </c>
    </row>
    <row r="2955" spans="1:1" x14ac:dyDescent="0.25">
      <c r="A2955" s="8">
        <v>1.5523437999996531E-2</v>
      </c>
    </row>
    <row r="2956" spans="1:1" x14ac:dyDescent="0.25">
      <c r="A2956" s="8">
        <v>2.5900390999999218E-2</v>
      </c>
    </row>
    <row r="2957" spans="1:1" x14ac:dyDescent="0.25">
      <c r="A2957" s="8">
        <v>1.1488280999998097E-2</v>
      </c>
    </row>
    <row r="2958" spans="1:1" x14ac:dyDescent="0.25">
      <c r="A2958" s="8">
        <v>1.786718699999983E-2</v>
      </c>
    </row>
    <row r="2959" spans="1:1" x14ac:dyDescent="0.25">
      <c r="A2959" s="8">
        <v>2.0816405999998098E-2</v>
      </c>
    </row>
    <row r="2960" spans="1:1" x14ac:dyDescent="0.25">
      <c r="A2960" s="8">
        <v>7.8203119999961934E-3</v>
      </c>
    </row>
    <row r="2961" spans="1:1" x14ac:dyDescent="0.25">
      <c r="A2961" s="8">
        <v>2.0472656999998434E-2</v>
      </c>
    </row>
    <row r="2962" spans="1:1" x14ac:dyDescent="0.25">
      <c r="A2962" s="8">
        <v>1.1304687999996531E-2</v>
      </c>
    </row>
    <row r="2963" spans="1:1" x14ac:dyDescent="0.25">
      <c r="A2963" s="8">
        <v>2.4781250000000001E-2</v>
      </c>
    </row>
    <row r="2964" spans="1:1" x14ac:dyDescent="0.25">
      <c r="A2964" s="8">
        <v>2.1156250000000001E-2</v>
      </c>
    </row>
    <row r="2965" spans="1:1" x14ac:dyDescent="0.25">
      <c r="A2965" s="8">
        <v>1.8285156999998435E-2</v>
      </c>
    </row>
    <row r="2966" spans="1:1" x14ac:dyDescent="0.25">
      <c r="A2966" s="8">
        <v>1.777343799999653E-2</v>
      </c>
    </row>
    <row r="2967" spans="1:1" x14ac:dyDescent="0.25">
      <c r="A2967" s="8">
        <v>7.6015620000034687E-3</v>
      </c>
    </row>
    <row r="2968" spans="1:1" x14ac:dyDescent="0.25">
      <c r="A2968" s="8">
        <v>1.6527343999994629E-2</v>
      </c>
    </row>
    <row r="2969" spans="1:1" x14ac:dyDescent="0.25">
      <c r="A2969" s="8">
        <v>8.5703129999965318E-3</v>
      </c>
    </row>
    <row r="2970" spans="1:1" x14ac:dyDescent="0.25">
      <c r="A2970" s="8">
        <v>1.8082031999998437E-2</v>
      </c>
    </row>
    <row r="2971" spans="1:1" x14ac:dyDescent="0.25">
      <c r="A2971" s="8">
        <v>8.8632819999984354E-3</v>
      </c>
    </row>
    <row r="2972" spans="1:1" x14ac:dyDescent="0.25">
      <c r="A2972" s="8">
        <v>2.0152343999994628E-2</v>
      </c>
    </row>
    <row r="2973" spans="1:1" x14ac:dyDescent="0.25">
      <c r="A2973" s="8">
        <v>9.601562999996531E-3</v>
      </c>
    </row>
    <row r="2974" spans="1:1" x14ac:dyDescent="0.25">
      <c r="A2974" s="8">
        <v>1.8648438000003806E-2</v>
      </c>
    </row>
    <row r="2975" spans="1:1" x14ac:dyDescent="0.25">
      <c r="A2975" s="8">
        <v>2.3414063000003808E-2</v>
      </c>
    </row>
    <row r="2976" spans="1:1" x14ac:dyDescent="0.25">
      <c r="A2976" s="8">
        <v>1.3917968000001566E-2</v>
      </c>
    </row>
    <row r="2977" spans="1:1" x14ac:dyDescent="0.25">
      <c r="A2977" s="8">
        <v>1.4617186999996193E-2</v>
      </c>
    </row>
    <row r="2978" spans="1:1" x14ac:dyDescent="0.25">
      <c r="A2978" s="8">
        <v>8.5703119999961924E-3</v>
      </c>
    </row>
    <row r="2979" spans="1:1" x14ac:dyDescent="0.25">
      <c r="A2979" s="8">
        <v>1.1226561999996193E-2</v>
      </c>
    </row>
    <row r="2980" spans="1:1" x14ac:dyDescent="0.25">
      <c r="A2980" s="8">
        <v>9.0546869999961928E-3</v>
      </c>
    </row>
    <row r="2981" spans="1:1" x14ac:dyDescent="0.25">
      <c r="A2981" s="8">
        <v>1.5648436999996192E-2</v>
      </c>
    </row>
    <row r="2982" spans="1:1" x14ac:dyDescent="0.25">
      <c r="A2982" s="8">
        <v>2.0960938000003808E-2</v>
      </c>
    </row>
    <row r="2983" spans="1:1" x14ac:dyDescent="0.25">
      <c r="A2983" s="8">
        <v>2.2531249999999999E-2</v>
      </c>
    </row>
    <row r="2984" spans="1:1" x14ac:dyDescent="0.25">
      <c r="A2984" s="8">
        <v>1.8804688000003806E-2</v>
      </c>
    </row>
    <row r="2985" spans="1:1" x14ac:dyDescent="0.25">
      <c r="A2985" s="8">
        <v>2.1046875E-2</v>
      </c>
    </row>
    <row r="2986" spans="1:1" x14ac:dyDescent="0.25">
      <c r="A2986" s="8">
        <v>3.4054688000003809E-2</v>
      </c>
    </row>
    <row r="2987" spans="1:1" x14ac:dyDescent="0.25">
      <c r="A2987" s="8">
        <v>9.0703119999961928E-3</v>
      </c>
    </row>
    <row r="2988" spans="1:1" x14ac:dyDescent="0.25">
      <c r="A2988" s="8">
        <v>1.0820313000003808E-2</v>
      </c>
    </row>
    <row r="2989" spans="1:1" x14ac:dyDescent="0.25">
      <c r="A2989" s="8">
        <v>2.3234375000000002E-2</v>
      </c>
    </row>
    <row r="2990" spans="1:1" x14ac:dyDescent="0.25">
      <c r="A2990" s="8">
        <v>1.1539063000003806E-2</v>
      </c>
    </row>
    <row r="2991" spans="1:1" x14ac:dyDescent="0.25">
      <c r="A2991" s="8">
        <v>1.9820311999996194E-2</v>
      </c>
    </row>
    <row r="2992" spans="1:1" x14ac:dyDescent="0.25">
      <c r="A2992" s="8">
        <v>2.9539061999996192E-2</v>
      </c>
    </row>
    <row r="2993" spans="1:1" x14ac:dyDescent="0.25">
      <c r="A2993" s="8">
        <v>2.0250000000000001E-2</v>
      </c>
    </row>
    <row r="2994" spans="1:1" x14ac:dyDescent="0.25">
      <c r="A2994" s="8">
        <v>2.5171875E-2</v>
      </c>
    </row>
    <row r="2995" spans="1:1" x14ac:dyDescent="0.25">
      <c r="A2995" s="8">
        <v>2.8140624999999999E-2</v>
      </c>
    </row>
    <row r="2996" spans="1:1" x14ac:dyDescent="0.25">
      <c r="A2996" s="8">
        <v>2.4992186999996193E-2</v>
      </c>
    </row>
    <row r="2997" spans="1:1" x14ac:dyDescent="0.25">
      <c r="A2997" s="8">
        <v>1.3929688000003807E-2</v>
      </c>
    </row>
    <row r="2998" spans="1:1" x14ac:dyDescent="0.25">
      <c r="A2998" s="8">
        <v>1.6242186999996192E-2</v>
      </c>
    </row>
    <row r="2999" spans="1:1" x14ac:dyDescent="0.25">
      <c r="A2999" s="8">
        <v>1.559375E-2</v>
      </c>
    </row>
    <row r="3000" spans="1:1" x14ac:dyDescent="0.25">
      <c r="A3000" s="8">
        <v>8.5468750000000007E-3</v>
      </c>
    </row>
    <row r="3001" spans="1:1" x14ac:dyDescent="0.25">
      <c r="A3001" s="8">
        <v>1.0335938000003807E-2</v>
      </c>
    </row>
    <row r="3002" spans="1:1" x14ac:dyDescent="0.25">
      <c r="A3002" s="8">
        <v>2.1265625E-2</v>
      </c>
    </row>
    <row r="3003" spans="1:1" x14ac:dyDescent="0.25">
      <c r="A3003" s="8">
        <v>0.11478125</v>
      </c>
    </row>
    <row r="3004" spans="1:1" x14ac:dyDescent="0.25">
      <c r="A3004" s="8">
        <v>2.7328125000000002E-2</v>
      </c>
    </row>
    <row r="3005" spans="1:1" x14ac:dyDescent="0.25">
      <c r="A3005" s="8">
        <v>1.5445311999996193E-2</v>
      </c>
    </row>
    <row r="3006" spans="1:1" x14ac:dyDescent="0.25">
      <c r="A3006" s="8">
        <v>1.0820313000003808E-2</v>
      </c>
    </row>
    <row r="3007" spans="1:1" x14ac:dyDescent="0.25">
      <c r="A3007" s="8">
        <v>1.0749999999999999E-2</v>
      </c>
    </row>
    <row r="3008" spans="1:1" x14ac:dyDescent="0.25">
      <c r="A3008" s="8">
        <v>1.2671875000000001E-2</v>
      </c>
    </row>
    <row r="3009" spans="1:1" x14ac:dyDescent="0.25">
      <c r="A3009" s="8">
        <v>1.4289063000003807E-2</v>
      </c>
    </row>
    <row r="3010" spans="1:1" x14ac:dyDescent="0.25">
      <c r="A3010" s="8">
        <v>2.0968750000000001E-2</v>
      </c>
    </row>
    <row r="3011" spans="1:1" x14ac:dyDescent="0.25">
      <c r="A3011" s="8">
        <v>2.296875E-2</v>
      </c>
    </row>
    <row r="3012" spans="1:1" x14ac:dyDescent="0.25">
      <c r="A3012" s="8">
        <v>1.1046874999999999E-2</v>
      </c>
    </row>
    <row r="3013" spans="1:1" x14ac:dyDescent="0.25">
      <c r="A3013" s="8">
        <v>2.1578125E-2</v>
      </c>
    </row>
    <row r="3014" spans="1:1" x14ac:dyDescent="0.25">
      <c r="A3014" s="8">
        <v>8.5234369999961923E-3</v>
      </c>
    </row>
    <row r="3015" spans="1:1" x14ac:dyDescent="0.25">
      <c r="A3015" s="8">
        <v>1.4171875E-2</v>
      </c>
    </row>
    <row r="3016" spans="1:1" x14ac:dyDescent="0.25">
      <c r="A3016" s="8">
        <v>2.8125000000000001E-2</v>
      </c>
    </row>
    <row r="3017" spans="1:1" x14ac:dyDescent="0.25">
      <c r="A3017" s="8">
        <v>1.4546875000000001E-2</v>
      </c>
    </row>
    <row r="3018" spans="1:1" x14ac:dyDescent="0.25">
      <c r="A3018" s="8">
        <v>2.5218750000000002E-2</v>
      </c>
    </row>
    <row r="3019" spans="1:1" x14ac:dyDescent="0.25">
      <c r="A3019" s="8">
        <v>1.5125E-2</v>
      </c>
    </row>
    <row r="3020" spans="1:1" x14ac:dyDescent="0.25">
      <c r="A3020" s="8">
        <v>1.7234375E-2</v>
      </c>
    </row>
    <row r="3021" spans="1:1" x14ac:dyDescent="0.25">
      <c r="A3021" s="8">
        <v>7.9218750000000001E-3</v>
      </c>
    </row>
    <row r="3022" spans="1:1" x14ac:dyDescent="0.25">
      <c r="A3022" s="8">
        <v>1.3703125E-2</v>
      </c>
    </row>
    <row r="3023" spans="1:1" x14ac:dyDescent="0.25">
      <c r="A3023" s="8">
        <v>1.3484375E-2</v>
      </c>
    </row>
    <row r="3024" spans="1:1" x14ac:dyDescent="0.25">
      <c r="A3024" s="8">
        <v>2.1734375E-2</v>
      </c>
    </row>
    <row r="3025" spans="1:1" x14ac:dyDescent="0.25">
      <c r="A3025" s="8">
        <v>1.98125E-2</v>
      </c>
    </row>
    <row r="3026" spans="1:1" x14ac:dyDescent="0.25">
      <c r="A3026" s="8">
        <v>7.6562499999999999E-3</v>
      </c>
    </row>
    <row r="3027" spans="1:1" x14ac:dyDescent="0.25">
      <c r="A3027" s="8">
        <v>3.1125E-2</v>
      </c>
    </row>
    <row r="3028" spans="1:1" x14ac:dyDescent="0.25">
      <c r="A3028" s="8">
        <v>1.209375E-2</v>
      </c>
    </row>
    <row r="3029" spans="1:1" x14ac:dyDescent="0.25">
      <c r="A3029" s="8">
        <v>1.1703125E-2</v>
      </c>
    </row>
    <row r="3030" spans="1:1" x14ac:dyDescent="0.25">
      <c r="A3030" s="8">
        <v>7.8125E-3</v>
      </c>
    </row>
    <row r="3031" spans="1:1" x14ac:dyDescent="0.25">
      <c r="A3031" s="8">
        <v>1.0843749999999999E-2</v>
      </c>
    </row>
    <row r="3032" spans="1:1" x14ac:dyDescent="0.25">
      <c r="A3032" s="8">
        <v>2.0625000000000001E-2</v>
      </c>
    </row>
    <row r="3033" spans="1:1" x14ac:dyDescent="0.25">
      <c r="A3033" s="8">
        <v>1.528125E-2</v>
      </c>
    </row>
    <row r="3034" spans="1:1" x14ac:dyDescent="0.25">
      <c r="A3034" s="8">
        <v>2.5546875E-2</v>
      </c>
    </row>
    <row r="3035" spans="1:1" x14ac:dyDescent="0.25">
      <c r="A3035" s="8">
        <v>2.1250000000000002E-2</v>
      </c>
    </row>
    <row r="3036" spans="1:1" x14ac:dyDescent="0.25">
      <c r="A3036" s="8">
        <v>2.1843749999999999E-2</v>
      </c>
    </row>
    <row r="3037" spans="1:1" x14ac:dyDescent="0.25">
      <c r="A3037" s="8">
        <v>8.2656250000000004E-3</v>
      </c>
    </row>
    <row r="3038" spans="1:1" x14ac:dyDescent="0.25">
      <c r="A3038" s="8">
        <v>1.6546874999999999E-2</v>
      </c>
    </row>
    <row r="3039" spans="1:1" x14ac:dyDescent="0.25">
      <c r="A3039" s="8">
        <v>1.6343750000000001E-2</v>
      </c>
    </row>
    <row r="3040" spans="1:1" x14ac:dyDescent="0.25">
      <c r="A3040" s="8">
        <v>7.7031249999999999E-3</v>
      </c>
    </row>
    <row r="3041" spans="1:1" x14ac:dyDescent="0.25">
      <c r="A3041" s="8">
        <v>2.4578124999999999E-2</v>
      </c>
    </row>
    <row r="3042" spans="1:1" x14ac:dyDescent="0.25">
      <c r="A3042" s="8">
        <v>8.8906249999999992E-3</v>
      </c>
    </row>
    <row r="3043" spans="1:1" x14ac:dyDescent="0.25">
      <c r="A3043" s="8">
        <v>2.31875E-2</v>
      </c>
    </row>
    <row r="3044" spans="1:1" x14ac:dyDescent="0.25">
      <c r="A3044" s="8">
        <v>2.2281249999999999E-2</v>
      </c>
    </row>
    <row r="3045" spans="1:1" x14ac:dyDescent="0.25">
      <c r="A3045" s="8">
        <v>1.984375E-2</v>
      </c>
    </row>
    <row r="3046" spans="1:1" x14ac:dyDescent="0.25">
      <c r="A3046" s="8">
        <v>1.5748046999997312E-2</v>
      </c>
    </row>
    <row r="3047" spans="1:1" x14ac:dyDescent="0.25">
      <c r="A3047" s="8">
        <v>1.5638671999997314E-2</v>
      </c>
    </row>
    <row r="3048" spans="1:1" x14ac:dyDescent="0.25">
      <c r="A3048" s="8">
        <v>1.4878906000001734E-2</v>
      </c>
    </row>
    <row r="3049" spans="1:1" x14ac:dyDescent="0.25">
      <c r="A3049" s="8">
        <v>5.0191406000001736E-2</v>
      </c>
    </row>
    <row r="3050" spans="1:1" x14ac:dyDescent="0.25">
      <c r="A3050" s="8">
        <v>1.4753906000001734E-2</v>
      </c>
    </row>
    <row r="3051" spans="1:1" x14ac:dyDescent="0.25">
      <c r="A3051" s="8">
        <v>1.4759765999999218E-2</v>
      </c>
    </row>
    <row r="3052" spans="1:1" x14ac:dyDescent="0.25">
      <c r="A3052" s="8">
        <v>1.334375E-2</v>
      </c>
    </row>
    <row r="3053" spans="1:1" x14ac:dyDescent="0.25">
      <c r="A3053" s="8">
        <v>1.6544921999997315E-2</v>
      </c>
    </row>
    <row r="3054" spans="1:1" x14ac:dyDescent="0.25">
      <c r="A3054" s="8">
        <v>2.385742200000095E-2</v>
      </c>
    </row>
    <row r="3055" spans="1:1" x14ac:dyDescent="0.25">
      <c r="A3055" s="8">
        <v>1.2636718999998266E-2</v>
      </c>
    </row>
    <row r="3056" spans="1:1" x14ac:dyDescent="0.25">
      <c r="A3056" s="8">
        <v>1.7410155999998095E-2</v>
      </c>
    </row>
    <row r="3057" spans="1:1" x14ac:dyDescent="0.25">
      <c r="A3057" s="8">
        <v>1.7308593000001565E-2</v>
      </c>
    </row>
    <row r="3058" spans="1:1" x14ac:dyDescent="0.25">
      <c r="A3058" s="8">
        <v>2.0359374999999999E-2</v>
      </c>
    </row>
    <row r="3059" spans="1:1" x14ac:dyDescent="0.25">
      <c r="A3059" s="8">
        <v>7.5742180000015653E-3</v>
      </c>
    </row>
    <row r="3060" spans="1:1" x14ac:dyDescent="0.25">
      <c r="A3060" s="8">
        <v>1.8476562999996532E-2</v>
      </c>
    </row>
    <row r="3061" spans="1:1" x14ac:dyDescent="0.25">
      <c r="A3061" s="8">
        <v>1.9464843999994628E-2</v>
      </c>
    </row>
    <row r="3062" spans="1:1" x14ac:dyDescent="0.25">
      <c r="A3062" s="8">
        <v>1.18125E-2</v>
      </c>
    </row>
    <row r="3063" spans="1:1" x14ac:dyDescent="0.25">
      <c r="A3063" s="8">
        <v>1.3859375E-2</v>
      </c>
    </row>
    <row r="3064" spans="1:1" x14ac:dyDescent="0.25">
      <c r="A3064" s="8">
        <v>1.3355468999994628E-2</v>
      </c>
    </row>
    <row r="3065" spans="1:1" x14ac:dyDescent="0.25">
      <c r="A3065" s="8">
        <v>1.1425781999998434E-2</v>
      </c>
    </row>
    <row r="3066" spans="1:1" x14ac:dyDescent="0.25">
      <c r="A3066" s="8">
        <v>2.5281250000000002E-2</v>
      </c>
    </row>
    <row r="3067" spans="1:1" x14ac:dyDescent="0.25">
      <c r="A3067" s="8">
        <v>1.9335938000003806E-2</v>
      </c>
    </row>
    <row r="3068" spans="1:1" x14ac:dyDescent="0.25">
      <c r="A3068" s="8">
        <v>1.8984375000000001E-2</v>
      </c>
    </row>
    <row r="3069" spans="1:1" x14ac:dyDescent="0.25">
      <c r="A3069" s="8">
        <v>1.15625E-2</v>
      </c>
    </row>
    <row r="3070" spans="1:1" x14ac:dyDescent="0.25">
      <c r="A3070" s="8">
        <v>1.6945313000003806E-2</v>
      </c>
    </row>
    <row r="3071" spans="1:1" x14ac:dyDescent="0.25">
      <c r="A3071" s="8">
        <v>7.859375E-3</v>
      </c>
    </row>
    <row r="3072" spans="1:1" x14ac:dyDescent="0.25">
      <c r="A3072" s="8">
        <v>7.796875E-3</v>
      </c>
    </row>
    <row r="3073" spans="1:1" x14ac:dyDescent="0.25">
      <c r="A3073" s="8">
        <v>1.4468750000000001E-2</v>
      </c>
    </row>
    <row r="3074" spans="1:1" x14ac:dyDescent="0.25">
      <c r="A3074" s="8">
        <v>2.9492186999996194E-2</v>
      </c>
    </row>
    <row r="3075" spans="1:1" x14ac:dyDescent="0.25">
      <c r="A3075" s="8">
        <v>2.0007811999996194E-2</v>
      </c>
    </row>
    <row r="3076" spans="1:1" x14ac:dyDescent="0.25">
      <c r="A3076" s="8">
        <v>1.8179686999996194E-2</v>
      </c>
    </row>
    <row r="3077" spans="1:1" x14ac:dyDescent="0.25">
      <c r="A3077" s="8">
        <v>1.7070311999996191E-2</v>
      </c>
    </row>
    <row r="3078" spans="1:1" x14ac:dyDescent="0.25">
      <c r="A3078" s="8">
        <v>1.509375E-2</v>
      </c>
    </row>
    <row r="3079" spans="1:1" x14ac:dyDescent="0.25">
      <c r="A3079" s="8">
        <v>9.257811999996193E-3</v>
      </c>
    </row>
    <row r="3080" spans="1:1" x14ac:dyDescent="0.25">
      <c r="A3080" s="8">
        <v>1.6867186999996193E-2</v>
      </c>
    </row>
    <row r="3081" spans="1:1" x14ac:dyDescent="0.25">
      <c r="A3081" s="8">
        <v>1.4843749999999999E-2</v>
      </c>
    </row>
    <row r="3082" spans="1:1" x14ac:dyDescent="0.25">
      <c r="A3082" s="8">
        <v>2.2109375000000001E-2</v>
      </c>
    </row>
    <row r="3083" spans="1:1" x14ac:dyDescent="0.25">
      <c r="A3083" s="8">
        <v>2.1617188000003808E-2</v>
      </c>
    </row>
    <row r="3084" spans="1:1" x14ac:dyDescent="0.25">
      <c r="A3084" s="8">
        <v>1.178125E-2</v>
      </c>
    </row>
    <row r="3085" spans="1:1" x14ac:dyDescent="0.25">
      <c r="A3085" s="8">
        <v>1.4312500000000001E-2</v>
      </c>
    </row>
    <row r="3086" spans="1:1" x14ac:dyDescent="0.25">
      <c r="A3086" s="8">
        <v>1.7242186999996193E-2</v>
      </c>
    </row>
    <row r="3087" spans="1:1" x14ac:dyDescent="0.25">
      <c r="A3087" s="8">
        <v>1.7187500000000001E-2</v>
      </c>
    </row>
    <row r="3088" spans="1:1" x14ac:dyDescent="0.25">
      <c r="A3088" s="8">
        <v>1.40625E-2</v>
      </c>
    </row>
    <row r="3089" spans="1:1" x14ac:dyDescent="0.25">
      <c r="A3089" s="8">
        <v>1.1601561999996193E-2</v>
      </c>
    </row>
    <row r="3090" spans="1:1" x14ac:dyDescent="0.25">
      <c r="A3090" s="8">
        <v>1.4250000000000001E-2</v>
      </c>
    </row>
    <row r="3091" spans="1:1" x14ac:dyDescent="0.25">
      <c r="A3091" s="8">
        <v>2.8742188000003808E-2</v>
      </c>
    </row>
    <row r="3092" spans="1:1" x14ac:dyDescent="0.25">
      <c r="A3092" s="8">
        <v>2.4453124999999999E-2</v>
      </c>
    </row>
    <row r="3093" spans="1:1" x14ac:dyDescent="0.25">
      <c r="A3093" s="8">
        <v>1.4367186999996192E-2</v>
      </c>
    </row>
    <row r="3094" spans="1:1" x14ac:dyDescent="0.25">
      <c r="A3094" s="8">
        <v>1.3265625E-2</v>
      </c>
    </row>
    <row r="3095" spans="1:1" x14ac:dyDescent="0.25">
      <c r="A3095" s="8">
        <v>1.121875E-2</v>
      </c>
    </row>
    <row r="3096" spans="1:1" x14ac:dyDescent="0.25">
      <c r="A3096" s="8">
        <v>1.5460936999996193E-2</v>
      </c>
    </row>
    <row r="3097" spans="1:1" x14ac:dyDescent="0.25">
      <c r="A3097" s="8">
        <v>1.5546875E-2</v>
      </c>
    </row>
    <row r="3098" spans="1:1" x14ac:dyDescent="0.25">
      <c r="A3098" s="8">
        <v>2.3210936999996191E-2</v>
      </c>
    </row>
    <row r="3099" spans="1:1" x14ac:dyDescent="0.25">
      <c r="A3099" s="8">
        <v>1.7789063000003807E-2</v>
      </c>
    </row>
    <row r="3100" spans="1:1" x14ac:dyDescent="0.25">
      <c r="A3100" s="8">
        <v>3.2390624999999999E-2</v>
      </c>
    </row>
    <row r="3101" spans="1:1" x14ac:dyDescent="0.25">
      <c r="A3101" s="8">
        <v>1.6109374999999999E-2</v>
      </c>
    </row>
    <row r="3102" spans="1:1" x14ac:dyDescent="0.25">
      <c r="A3102" s="8">
        <v>1.3601561999996193E-2</v>
      </c>
    </row>
    <row r="3103" spans="1:1" x14ac:dyDescent="0.25">
      <c r="A3103" s="8">
        <v>1.2515625000000001E-2</v>
      </c>
    </row>
    <row r="3104" spans="1:1" x14ac:dyDescent="0.25">
      <c r="A3104" s="8">
        <v>1.6359374999999999E-2</v>
      </c>
    </row>
    <row r="3105" spans="1:1" x14ac:dyDescent="0.25">
      <c r="A3105" s="8">
        <v>1.1015624999999999E-2</v>
      </c>
    </row>
    <row r="3106" spans="1:1" x14ac:dyDescent="0.25">
      <c r="A3106" s="8">
        <v>1.95E-2</v>
      </c>
    </row>
    <row r="3107" spans="1:1" x14ac:dyDescent="0.25">
      <c r="A3107" s="8">
        <v>2.5734375E-2</v>
      </c>
    </row>
    <row r="3108" spans="1:1" x14ac:dyDescent="0.25">
      <c r="A3108" s="8">
        <v>1.9515625000000002E-2</v>
      </c>
    </row>
    <row r="3109" spans="1:1" x14ac:dyDescent="0.25">
      <c r="A3109" s="8">
        <v>1.225E-2</v>
      </c>
    </row>
    <row r="3110" spans="1:1" x14ac:dyDescent="0.25">
      <c r="A3110" s="8">
        <v>2.4125000000000001E-2</v>
      </c>
    </row>
    <row r="3111" spans="1:1" x14ac:dyDescent="0.25">
      <c r="A3111" s="8">
        <v>1.3421875E-2</v>
      </c>
    </row>
    <row r="3112" spans="1:1" x14ac:dyDescent="0.25">
      <c r="A3112" s="8">
        <v>2.2312499999999999E-2</v>
      </c>
    </row>
    <row r="3113" spans="1:1" x14ac:dyDescent="0.25">
      <c r="A3113" s="8">
        <v>1.5703124999999998E-2</v>
      </c>
    </row>
    <row r="3114" spans="1:1" x14ac:dyDescent="0.25">
      <c r="A3114" s="8">
        <v>1.8046875E-2</v>
      </c>
    </row>
    <row r="3115" spans="1:1" x14ac:dyDescent="0.25">
      <c r="A3115" s="8">
        <v>7.5484375000000006E-2</v>
      </c>
    </row>
    <row r="3116" spans="1:1" x14ac:dyDescent="0.25">
      <c r="A3116" s="8">
        <v>1.1203125E-2</v>
      </c>
    </row>
    <row r="3117" spans="1:1" x14ac:dyDescent="0.25">
      <c r="A3117" s="8">
        <v>8.6093750000000007E-3</v>
      </c>
    </row>
    <row r="3118" spans="1:1" x14ac:dyDescent="0.25">
      <c r="A3118" s="8">
        <v>1.8890625000000001E-2</v>
      </c>
    </row>
    <row r="3119" spans="1:1" x14ac:dyDescent="0.25">
      <c r="A3119" s="8">
        <v>1.9296875000000002E-2</v>
      </c>
    </row>
    <row r="3120" spans="1:1" x14ac:dyDescent="0.25">
      <c r="A3120" s="8">
        <v>1.7562500000000002E-2</v>
      </c>
    </row>
    <row r="3121" spans="1:1" x14ac:dyDescent="0.25">
      <c r="A3121" s="8">
        <v>2.1250000000000002E-2</v>
      </c>
    </row>
    <row r="3122" spans="1:1" x14ac:dyDescent="0.25">
      <c r="A3122" s="8">
        <v>2.4171874999999999E-2</v>
      </c>
    </row>
    <row r="3123" spans="1:1" x14ac:dyDescent="0.25">
      <c r="A3123" s="8">
        <v>1.6523438000000168E-2</v>
      </c>
    </row>
    <row r="3124" spans="1:1" x14ac:dyDescent="0.25">
      <c r="A3124" s="8">
        <v>2.7066406000001736E-2</v>
      </c>
    </row>
    <row r="3125" spans="1:1" x14ac:dyDescent="0.25">
      <c r="A3125" s="8">
        <v>2.6644531999998434E-2</v>
      </c>
    </row>
    <row r="3126" spans="1:1" x14ac:dyDescent="0.25">
      <c r="A3126" s="8">
        <v>1.6083984999997483E-2</v>
      </c>
    </row>
    <row r="3127" spans="1:1" x14ac:dyDescent="0.25">
      <c r="A3127" s="8">
        <v>1.3755859000000783E-2</v>
      </c>
    </row>
    <row r="3128" spans="1:1" x14ac:dyDescent="0.25">
      <c r="A3128" s="8">
        <v>1.7275390000002517E-2</v>
      </c>
    </row>
    <row r="3129" spans="1:1" x14ac:dyDescent="0.25">
      <c r="A3129" s="8">
        <v>1.3931640999999217E-2</v>
      </c>
    </row>
    <row r="3130" spans="1:1" x14ac:dyDescent="0.25">
      <c r="A3130" s="8">
        <v>1.3919922000000952E-2</v>
      </c>
    </row>
    <row r="3131" spans="1:1" x14ac:dyDescent="0.25">
      <c r="A3131" s="8">
        <v>0.1347382809999981</v>
      </c>
    </row>
    <row r="3132" spans="1:1" x14ac:dyDescent="0.25">
      <c r="A3132" s="8">
        <v>1.6890624999999999E-2</v>
      </c>
    </row>
    <row r="3133" spans="1:1" x14ac:dyDescent="0.25">
      <c r="A3133" s="8">
        <v>8.4347655999998092E-2</v>
      </c>
    </row>
    <row r="3134" spans="1:1" x14ac:dyDescent="0.25">
      <c r="A3134" s="8">
        <v>1.4246094000001904E-2</v>
      </c>
    </row>
    <row r="3135" spans="1:1" x14ac:dyDescent="0.25">
      <c r="A3135" s="8">
        <v>9.1328119999961929E-3</v>
      </c>
    </row>
    <row r="3136" spans="1:1" x14ac:dyDescent="0.25">
      <c r="A3136" s="8">
        <v>1.8574219000001904E-2</v>
      </c>
    </row>
    <row r="3137" spans="1:1" x14ac:dyDescent="0.25">
      <c r="A3137" s="8">
        <v>7.2187500000000003E-3</v>
      </c>
    </row>
    <row r="3138" spans="1:1" x14ac:dyDescent="0.25">
      <c r="A3138" s="8">
        <v>1.5601563000003807E-2</v>
      </c>
    </row>
    <row r="3139" spans="1:1" x14ac:dyDescent="0.25">
      <c r="A3139" s="8">
        <v>2.390625E-2</v>
      </c>
    </row>
    <row r="3140" spans="1:1" x14ac:dyDescent="0.25">
      <c r="A3140" s="8">
        <v>1.5320312999996531E-2</v>
      </c>
    </row>
    <row r="3141" spans="1:1" x14ac:dyDescent="0.25">
      <c r="A3141" s="8">
        <v>1.9355468999994626E-2</v>
      </c>
    </row>
    <row r="3142" spans="1:1" x14ac:dyDescent="0.25">
      <c r="A3142" s="8">
        <v>2.2406249999999999E-2</v>
      </c>
    </row>
    <row r="3143" spans="1:1" x14ac:dyDescent="0.25">
      <c r="A3143" s="8">
        <v>1.1140624999999999E-2</v>
      </c>
    </row>
    <row r="3144" spans="1:1" x14ac:dyDescent="0.25">
      <c r="A3144" s="8">
        <v>7.214843000001565E-3</v>
      </c>
    </row>
    <row r="3145" spans="1:1" x14ac:dyDescent="0.25">
      <c r="A3145" s="8">
        <v>1.2425780999998096E-2</v>
      </c>
    </row>
    <row r="3146" spans="1:1" x14ac:dyDescent="0.25">
      <c r="A3146" s="8">
        <v>2.4082031000005371E-2</v>
      </c>
    </row>
    <row r="3147" spans="1:1" x14ac:dyDescent="0.25">
      <c r="A3147" s="8">
        <v>1.808593799999653E-2</v>
      </c>
    </row>
    <row r="3148" spans="1:1" x14ac:dyDescent="0.25">
      <c r="A3148" s="8">
        <v>7.1210940000019035E-3</v>
      </c>
    </row>
    <row r="3149" spans="1:1" x14ac:dyDescent="0.25">
      <c r="A3149" s="8">
        <v>1.6882813000003806E-2</v>
      </c>
    </row>
    <row r="3150" spans="1:1" x14ac:dyDescent="0.25">
      <c r="A3150" s="8">
        <v>1.0656250000000001E-2</v>
      </c>
    </row>
    <row r="3151" spans="1:1" x14ac:dyDescent="0.25">
      <c r="A3151" s="8">
        <v>1.0984374999999999E-2</v>
      </c>
    </row>
    <row r="3152" spans="1:1" x14ac:dyDescent="0.25">
      <c r="A3152" s="8">
        <v>1.7000000000000001E-2</v>
      </c>
    </row>
    <row r="3153" spans="1:1" x14ac:dyDescent="0.25">
      <c r="A3153" s="8">
        <v>2.0429688000003807E-2</v>
      </c>
    </row>
    <row r="3154" spans="1:1" x14ac:dyDescent="0.25">
      <c r="A3154" s="8">
        <v>1.0859374999999999E-2</v>
      </c>
    </row>
    <row r="3155" spans="1:1" x14ac:dyDescent="0.25">
      <c r="A3155" s="8">
        <v>1.953125E-2</v>
      </c>
    </row>
    <row r="3156" spans="1:1" x14ac:dyDescent="0.25">
      <c r="A3156" s="8">
        <v>9.796875E-3</v>
      </c>
    </row>
    <row r="3157" spans="1:1" x14ac:dyDescent="0.25">
      <c r="A3157" s="8">
        <v>1.4578125000000001E-2</v>
      </c>
    </row>
    <row r="3158" spans="1:1" x14ac:dyDescent="0.25">
      <c r="A3158" s="8">
        <v>1.6890624999999999E-2</v>
      </c>
    </row>
    <row r="3159" spans="1:1" x14ac:dyDescent="0.25">
      <c r="A3159" s="8">
        <v>1.0921874999999999E-2</v>
      </c>
    </row>
    <row r="3160" spans="1:1" x14ac:dyDescent="0.25">
      <c r="A3160" s="8">
        <v>2.5687499999999999E-2</v>
      </c>
    </row>
    <row r="3161" spans="1:1" x14ac:dyDescent="0.25">
      <c r="A3161" s="8">
        <v>1.7617186999996193E-2</v>
      </c>
    </row>
    <row r="3162" spans="1:1" x14ac:dyDescent="0.25">
      <c r="A3162" s="8">
        <v>1.0687500000000001E-2</v>
      </c>
    </row>
    <row r="3163" spans="1:1" x14ac:dyDescent="0.25">
      <c r="A3163" s="8">
        <v>2.75E-2</v>
      </c>
    </row>
    <row r="3164" spans="1:1" x14ac:dyDescent="0.25">
      <c r="A3164" s="8">
        <v>7.2656250000000004E-3</v>
      </c>
    </row>
    <row r="3165" spans="1:1" x14ac:dyDescent="0.25">
      <c r="A3165" s="8">
        <v>7.5156249999999997E-3</v>
      </c>
    </row>
    <row r="3166" spans="1:1" x14ac:dyDescent="0.25">
      <c r="A3166" s="8">
        <v>2.2960938000003806E-2</v>
      </c>
    </row>
    <row r="3167" spans="1:1" x14ac:dyDescent="0.25">
      <c r="A3167" s="8">
        <v>2.4257811999996194E-2</v>
      </c>
    </row>
    <row r="3168" spans="1:1" x14ac:dyDescent="0.25">
      <c r="A3168" s="8">
        <v>1.5640624999999998E-2</v>
      </c>
    </row>
    <row r="3169" spans="1:1" x14ac:dyDescent="0.25">
      <c r="A3169" s="8">
        <v>1.4820311999996193E-2</v>
      </c>
    </row>
    <row r="3170" spans="1:1" x14ac:dyDescent="0.25">
      <c r="A3170" s="8">
        <v>1.2125E-2</v>
      </c>
    </row>
    <row r="3171" spans="1:1" x14ac:dyDescent="0.25">
      <c r="A3171" s="8">
        <v>1.6296874999999999E-2</v>
      </c>
    </row>
    <row r="3172" spans="1:1" x14ac:dyDescent="0.25">
      <c r="A3172" s="8">
        <v>1.5054688000003808E-2</v>
      </c>
    </row>
    <row r="3173" spans="1:1" x14ac:dyDescent="0.25">
      <c r="A3173" s="8">
        <v>1.559375E-2</v>
      </c>
    </row>
    <row r="3174" spans="1:1" x14ac:dyDescent="0.25">
      <c r="A3174" s="8">
        <v>1.1476561999996193E-2</v>
      </c>
    </row>
    <row r="3175" spans="1:1" x14ac:dyDescent="0.25">
      <c r="A3175" s="8">
        <v>9.5781249999999998E-3</v>
      </c>
    </row>
    <row r="3176" spans="1:1" x14ac:dyDescent="0.25">
      <c r="A3176" s="8">
        <v>2.5304688000003808E-2</v>
      </c>
    </row>
    <row r="3177" spans="1:1" x14ac:dyDescent="0.25">
      <c r="A3177" s="8">
        <v>1.9265625000000001E-2</v>
      </c>
    </row>
    <row r="3178" spans="1:1" x14ac:dyDescent="0.25">
      <c r="A3178" s="8">
        <v>1.1648436999996193E-2</v>
      </c>
    </row>
    <row r="3179" spans="1:1" x14ac:dyDescent="0.25">
      <c r="A3179" s="8">
        <v>7.4609369999961931E-3</v>
      </c>
    </row>
    <row r="3180" spans="1:1" x14ac:dyDescent="0.25">
      <c r="A3180" s="8">
        <v>1.6515624999999999E-2</v>
      </c>
    </row>
    <row r="3181" spans="1:1" x14ac:dyDescent="0.25">
      <c r="A3181" s="8">
        <v>1.8195311999996192E-2</v>
      </c>
    </row>
    <row r="3182" spans="1:1" x14ac:dyDescent="0.25">
      <c r="A3182" s="8">
        <v>1.134375E-2</v>
      </c>
    </row>
    <row r="3183" spans="1:1" x14ac:dyDescent="0.25">
      <c r="A3183" s="8">
        <v>1.8648436999996194E-2</v>
      </c>
    </row>
    <row r="3184" spans="1:1" x14ac:dyDescent="0.25">
      <c r="A3184" s="8">
        <v>8.7734380000038074E-3</v>
      </c>
    </row>
    <row r="3185" spans="1:1" x14ac:dyDescent="0.25">
      <c r="A3185" s="8">
        <v>3.2531249999999998E-2</v>
      </c>
    </row>
    <row r="3186" spans="1:1" x14ac:dyDescent="0.25">
      <c r="A3186" s="8">
        <v>1.1445311999996193E-2</v>
      </c>
    </row>
    <row r="3187" spans="1:1" x14ac:dyDescent="0.25">
      <c r="A3187" s="8">
        <v>1.96875E-2</v>
      </c>
    </row>
    <row r="3188" spans="1:1" x14ac:dyDescent="0.25">
      <c r="A3188" s="8">
        <v>1.6664061999996194E-2</v>
      </c>
    </row>
    <row r="3189" spans="1:1" x14ac:dyDescent="0.25">
      <c r="A3189" s="8">
        <v>2.1914063000003807E-2</v>
      </c>
    </row>
    <row r="3190" spans="1:1" x14ac:dyDescent="0.25">
      <c r="A3190" s="8">
        <v>3.1492188000003807E-2</v>
      </c>
    </row>
    <row r="3191" spans="1:1" x14ac:dyDescent="0.25">
      <c r="A3191" s="8">
        <v>1.2882811999996193E-2</v>
      </c>
    </row>
    <row r="3192" spans="1:1" x14ac:dyDescent="0.25">
      <c r="A3192" s="8">
        <v>1.6101561999996194E-2</v>
      </c>
    </row>
    <row r="3193" spans="1:1" x14ac:dyDescent="0.25">
      <c r="A3193" s="8">
        <v>2.0781250000000001E-2</v>
      </c>
    </row>
    <row r="3194" spans="1:1" x14ac:dyDescent="0.25">
      <c r="A3194" s="8">
        <v>1.3640625E-2</v>
      </c>
    </row>
    <row r="3195" spans="1:1" x14ac:dyDescent="0.25">
      <c r="A3195" s="8">
        <v>1.1031249999999999E-2</v>
      </c>
    </row>
    <row r="3196" spans="1:1" x14ac:dyDescent="0.25">
      <c r="A3196" s="8">
        <v>2.0828124999999999E-2</v>
      </c>
    </row>
    <row r="3197" spans="1:1" x14ac:dyDescent="0.25">
      <c r="A3197" s="8">
        <v>2.1734375E-2</v>
      </c>
    </row>
    <row r="3198" spans="1:1" x14ac:dyDescent="0.25">
      <c r="A3198" s="8">
        <v>2.5734375E-2</v>
      </c>
    </row>
    <row r="3199" spans="1:1" x14ac:dyDescent="0.25">
      <c r="A3199" s="8">
        <v>1.0953124999999999E-2</v>
      </c>
    </row>
    <row r="3200" spans="1:1" x14ac:dyDescent="0.25">
      <c r="A3200" s="8">
        <v>2.7109375000000002E-2</v>
      </c>
    </row>
    <row r="3201" spans="1:1" x14ac:dyDescent="0.25">
      <c r="A3201" s="8">
        <v>8.2343750000000004E-3</v>
      </c>
    </row>
    <row r="3202" spans="1:1" x14ac:dyDescent="0.25">
      <c r="A3202" s="8">
        <v>1.0359375000000001E-2</v>
      </c>
    </row>
    <row r="3203" spans="1:1" x14ac:dyDescent="0.25">
      <c r="A3203" s="8">
        <v>2.4156250000000001E-2</v>
      </c>
    </row>
    <row r="3204" spans="1:1" x14ac:dyDescent="0.25">
      <c r="A3204" s="8">
        <v>1.6500000000000001E-2</v>
      </c>
    </row>
    <row r="3205" spans="1:1" x14ac:dyDescent="0.25">
      <c r="A3205" s="8">
        <v>3.1380859000000781E-2</v>
      </c>
    </row>
    <row r="3206" spans="1:1" x14ac:dyDescent="0.25">
      <c r="A3206" s="8">
        <v>1.4529296000000613E-2</v>
      </c>
    </row>
    <row r="3207" spans="1:1" x14ac:dyDescent="0.25">
      <c r="A3207" s="8">
        <v>1.7242186999999829E-2</v>
      </c>
    </row>
    <row r="3208" spans="1:1" x14ac:dyDescent="0.25">
      <c r="A3208" s="8">
        <v>1.996875E-2</v>
      </c>
    </row>
    <row r="3209" spans="1:1" x14ac:dyDescent="0.25">
      <c r="A3209" s="8">
        <v>2.3271484999997483E-2</v>
      </c>
    </row>
    <row r="3210" spans="1:1" x14ac:dyDescent="0.25">
      <c r="A3210" s="8">
        <v>1.3759765999999217E-2</v>
      </c>
    </row>
    <row r="3211" spans="1:1" x14ac:dyDescent="0.25">
      <c r="A3211" s="8">
        <v>1.5667968000001566E-2</v>
      </c>
    </row>
    <row r="3212" spans="1:1" x14ac:dyDescent="0.25">
      <c r="A3212" s="8">
        <v>4.4089844000001904E-2</v>
      </c>
    </row>
    <row r="3213" spans="1:1" x14ac:dyDescent="0.25">
      <c r="A3213" s="8">
        <v>2.3E-2</v>
      </c>
    </row>
    <row r="3214" spans="1:1" x14ac:dyDescent="0.25">
      <c r="A3214" s="8">
        <v>1.1675781999998434E-2</v>
      </c>
    </row>
    <row r="3215" spans="1:1" x14ac:dyDescent="0.25">
      <c r="A3215" s="8">
        <v>1.3898437999996531E-2</v>
      </c>
    </row>
    <row r="3216" spans="1:1" x14ac:dyDescent="0.25">
      <c r="A3216" s="8">
        <v>1.7585937999996533E-2</v>
      </c>
    </row>
    <row r="3217" spans="1:1" x14ac:dyDescent="0.25">
      <c r="A3217" s="8">
        <v>1.7660156999998435E-2</v>
      </c>
    </row>
    <row r="3218" spans="1:1" x14ac:dyDescent="0.25">
      <c r="A3218" s="8">
        <v>2.1589844000001905E-2</v>
      </c>
    </row>
    <row r="3219" spans="1:1" x14ac:dyDescent="0.25">
      <c r="A3219" s="8">
        <v>6.4128905999998098E-2</v>
      </c>
    </row>
    <row r="3220" spans="1:1" x14ac:dyDescent="0.25">
      <c r="A3220" s="8">
        <v>1.9894530999998095E-2</v>
      </c>
    </row>
    <row r="3221" spans="1:1" x14ac:dyDescent="0.25">
      <c r="A3221" s="8">
        <v>1.0878906999998435E-2</v>
      </c>
    </row>
    <row r="3222" spans="1:1" x14ac:dyDescent="0.25">
      <c r="A3222" s="8">
        <v>7.5859380000038073E-3</v>
      </c>
    </row>
    <row r="3223" spans="1:1" x14ac:dyDescent="0.25">
      <c r="A3223" s="8">
        <v>1.5429688000003806E-2</v>
      </c>
    </row>
    <row r="3224" spans="1:1" x14ac:dyDescent="0.25">
      <c r="A3224" s="8">
        <v>2.9140625E-2</v>
      </c>
    </row>
    <row r="3225" spans="1:1" x14ac:dyDescent="0.25">
      <c r="A3225" s="8">
        <v>3.0203125000000001E-2</v>
      </c>
    </row>
    <row r="3226" spans="1:1" x14ac:dyDescent="0.25">
      <c r="A3226" s="8">
        <v>1.9136719000001905E-2</v>
      </c>
    </row>
    <row r="3227" spans="1:1" x14ac:dyDescent="0.25">
      <c r="A3227" s="8">
        <v>1.0968749999999999E-2</v>
      </c>
    </row>
    <row r="3228" spans="1:1" x14ac:dyDescent="0.25">
      <c r="A3228" s="8">
        <v>2.5835936999996194E-2</v>
      </c>
    </row>
    <row r="3229" spans="1:1" x14ac:dyDescent="0.25">
      <c r="A3229" s="8">
        <v>2.1906249999999999E-2</v>
      </c>
    </row>
    <row r="3230" spans="1:1" x14ac:dyDescent="0.25">
      <c r="A3230" s="8">
        <v>2.3539061999996194E-2</v>
      </c>
    </row>
    <row r="3231" spans="1:1" x14ac:dyDescent="0.25">
      <c r="A3231" s="8">
        <v>2.0562500000000001E-2</v>
      </c>
    </row>
    <row r="3232" spans="1:1" x14ac:dyDescent="0.25">
      <c r="A3232" s="8">
        <v>8.0781250000000002E-3</v>
      </c>
    </row>
    <row r="3233" spans="1:1" x14ac:dyDescent="0.25">
      <c r="A3233" s="8">
        <v>2.2624999999999999E-2</v>
      </c>
    </row>
    <row r="3234" spans="1:1" x14ac:dyDescent="0.25">
      <c r="A3234" s="8">
        <v>1.7828125E-2</v>
      </c>
    </row>
    <row r="3235" spans="1:1" x14ac:dyDescent="0.25">
      <c r="A3235" s="8">
        <v>2.6265625000000001E-2</v>
      </c>
    </row>
    <row r="3236" spans="1:1" x14ac:dyDescent="0.25">
      <c r="A3236" s="8">
        <v>6.5656249999999999E-2</v>
      </c>
    </row>
    <row r="3237" spans="1:1" x14ac:dyDescent="0.25">
      <c r="A3237" s="8">
        <v>1.1601561999996193E-2</v>
      </c>
    </row>
    <row r="3238" spans="1:1" x14ac:dyDescent="0.25">
      <c r="A3238" s="8">
        <v>1.4406250000000001E-2</v>
      </c>
    </row>
    <row r="3239" spans="1:1" x14ac:dyDescent="0.25">
      <c r="A3239" s="8">
        <v>1.1398438000003808E-2</v>
      </c>
    </row>
    <row r="3240" spans="1:1" x14ac:dyDescent="0.25">
      <c r="A3240" s="8">
        <v>8.8593749999999992E-3</v>
      </c>
    </row>
    <row r="3241" spans="1:1" x14ac:dyDescent="0.25">
      <c r="A3241" s="8">
        <v>2.4648438000003808E-2</v>
      </c>
    </row>
    <row r="3242" spans="1:1" x14ac:dyDescent="0.25">
      <c r="A3242" s="8">
        <v>2.6656249999999999E-2</v>
      </c>
    </row>
    <row r="3243" spans="1:1" x14ac:dyDescent="0.25">
      <c r="A3243" s="8">
        <v>1.1195313000003808E-2</v>
      </c>
    </row>
    <row r="3244" spans="1:1" x14ac:dyDescent="0.25">
      <c r="A3244" s="8">
        <v>2.0265624999999999E-2</v>
      </c>
    </row>
    <row r="3245" spans="1:1" x14ac:dyDescent="0.25">
      <c r="A3245" s="8">
        <v>2.6203125000000001E-2</v>
      </c>
    </row>
    <row r="3246" spans="1:1" x14ac:dyDescent="0.25">
      <c r="A3246" s="8">
        <v>1.3578125E-2</v>
      </c>
    </row>
    <row r="3247" spans="1:1" x14ac:dyDescent="0.25">
      <c r="A3247" s="8">
        <v>1.1078124999999999E-2</v>
      </c>
    </row>
    <row r="3248" spans="1:1" x14ac:dyDescent="0.25">
      <c r="A3248" s="8">
        <v>1.1546875E-2</v>
      </c>
    </row>
    <row r="3249" spans="1:1" x14ac:dyDescent="0.25">
      <c r="A3249" s="8">
        <v>1.1695311999996193E-2</v>
      </c>
    </row>
    <row r="3250" spans="1:1" x14ac:dyDescent="0.25">
      <c r="A3250" s="8">
        <v>1.7398438000003808E-2</v>
      </c>
    </row>
    <row r="3251" spans="1:1" x14ac:dyDescent="0.25">
      <c r="A3251" s="8">
        <v>1.1632813000003807E-2</v>
      </c>
    </row>
    <row r="3252" spans="1:1" x14ac:dyDescent="0.25">
      <c r="A3252" s="8">
        <v>1.5054686999996193E-2</v>
      </c>
    </row>
    <row r="3253" spans="1:1" x14ac:dyDescent="0.25">
      <c r="A3253" s="8">
        <v>2.2773436999996191E-2</v>
      </c>
    </row>
    <row r="3254" spans="1:1" x14ac:dyDescent="0.25">
      <c r="A3254" s="8">
        <v>2.1046875E-2</v>
      </c>
    </row>
    <row r="3255" spans="1:1" x14ac:dyDescent="0.25">
      <c r="A3255" s="8">
        <v>2.7148438000003806E-2</v>
      </c>
    </row>
    <row r="3256" spans="1:1" x14ac:dyDescent="0.25">
      <c r="A3256" s="8">
        <v>1.3859375E-2</v>
      </c>
    </row>
    <row r="3257" spans="1:1" x14ac:dyDescent="0.25">
      <c r="A3257" s="8">
        <v>1.4039063000003807E-2</v>
      </c>
    </row>
    <row r="3258" spans="1:1" x14ac:dyDescent="0.25">
      <c r="A3258" s="8">
        <v>2.5367186999996193E-2</v>
      </c>
    </row>
    <row r="3259" spans="1:1" x14ac:dyDescent="0.25">
      <c r="A3259" s="8">
        <v>1.940625E-2</v>
      </c>
    </row>
    <row r="3260" spans="1:1" x14ac:dyDescent="0.25">
      <c r="A3260" s="8">
        <v>9.0546880000038077E-3</v>
      </c>
    </row>
    <row r="3261" spans="1:1" x14ac:dyDescent="0.25">
      <c r="A3261" s="8">
        <v>1.4546875000000001E-2</v>
      </c>
    </row>
    <row r="3262" spans="1:1" x14ac:dyDescent="0.25">
      <c r="A3262" s="8">
        <v>1.3546875E-2</v>
      </c>
    </row>
    <row r="3263" spans="1:1" x14ac:dyDescent="0.25">
      <c r="A3263" s="8">
        <v>1.3265625E-2</v>
      </c>
    </row>
    <row r="3264" spans="1:1" x14ac:dyDescent="0.25">
      <c r="A3264" s="8">
        <v>1.6546874999999999E-2</v>
      </c>
    </row>
    <row r="3265" spans="1:1" x14ac:dyDescent="0.25">
      <c r="A3265" s="8">
        <v>1.1015624999999999E-2</v>
      </c>
    </row>
    <row r="3266" spans="1:1" x14ac:dyDescent="0.25">
      <c r="A3266" s="8">
        <v>1.1796875E-2</v>
      </c>
    </row>
    <row r="3267" spans="1:1" x14ac:dyDescent="0.25">
      <c r="A3267" s="8">
        <v>1.8531249999999999E-2</v>
      </c>
    </row>
    <row r="3268" spans="1:1" x14ac:dyDescent="0.25">
      <c r="A3268" s="8">
        <v>1.1484375E-2</v>
      </c>
    </row>
    <row r="3269" spans="1:1" x14ac:dyDescent="0.25">
      <c r="A3269" s="8">
        <v>8.9531249999999993E-3</v>
      </c>
    </row>
    <row r="3270" spans="1:1" x14ac:dyDescent="0.25">
      <c r="A3270" s="8">
        <v>1.6750000000000001E-2</v>
      </c>
    </row>
    <row r="3271" spans="1:1" x14ac:dyDescent="0.25">
      <c r="A3271" s="8">
        <v>8.7343750000000008E-3</v>
      </c>
    </row>
    <row r="3272" spans="1:1" x14ac:dyDescent="0.25">
      <c r="A3272" s="8">
        <v>1.8031249999999999E-2</v>
      </c>
    </row>
    <row r="3273" spans="1:1" x14ac:dyDescent="0.25">
      <c r="A3273" s="8">
        <v>1.1296875E-2</v>
      </c>
    </row>
    <row r="3274" spans="1:1" x14ac:dyDescent="0.25">
      <c r="A3274" s="8">
        <v>2.0828124999999999E-2</v>
      </c>
    </row>
    <row r="3275" spans="1:1" x14ac:dyDescent="0.25">
      <c r="A3275" s="8">
        <v>1.0593750000000001E-2</v>
      </c>
    </row>
    <row r="3276" spans="1:1" x14ac:dyDescent="0.25">
      <c r="A3276" s="8">
        <v>1.4906249999999999E-2</v>
      </c>
    </row>
    <row r="3277" spans="1:1" x14ac:dyDescent="0.25">
      <c r="A3277" s="8">
        <v>1.4984374999999999E-2</v>
      </c>
    </row>
    <row r="3278" spans="1:1" x14ac:dyDescent="0.25">
      <c r="A3278" s="8">
        <v>2.3265625000000002E-2</v>
      </c>
    </row>
    <row r="3279" spans="1:1" x14ac:dyDescent="0.25">
      <c r="A3279" s="8">
        <v>2.1193359000000783E-2</v>
      </c>
    </row>
    <row r="3280" spans="1:1" x14ac:dyDescent="0.25">
      <c r="A3280" s="8">
        <v>1.3785156999998435E-2</v>
      </c>
    </row>
    <row r="3281" spans="1:1" x14ac:dyDescent="0.25">
      <c r="A3281" s="8">
        <v>1.6185547000000952E-2</v>
      </c>
    </row>
    <row r="3282" spans="1:1" x14ac:dyDescent="0.25">
      <c r="A3282" s="8">
        <v>1.7330077999999048E-2</v>
      </c>
    </row>
    <row r="3283" spans="1:1" x14ac:dyDescent="0.25">
      <c r="A3283" s="8">
        <v>1.712695299999905E-2</v>
      </c>
    </row>
    <row r="3284" spans="1:1" x14ac:dyDescent="0.25">
      <c r="A3284" s="8">
        <v>2.2783202999999048E-2</v>
      </c>
    </row>
    <row r="3285" spans="1:1" x14ac:dyDescent="0.25">
      <c r="A3285" s="8">
        <v>1.7011718999998267E-2</v>
      </c>
    </row>
    <row r="3286" spans="1:1" x14ac:dyDescent="0.25">
      <c r="A3286" s="8">
        <v>1.5328125E-2</v>
      </c>
    </row>
    <row r="3287" spans="1:1" x14ac:dyDescent="0.25">
      <c r="A3287" s="8">
        <v>1.8355469000001904E-2</v>
      </c>
    </row>
    <row r="3288" spans="1:1" x14ac:dyDescent="0.25">
      <c r="A3288" s="8">
        <v>2.5941405999998095E-2</v>
      </c>
    </row>
    <row r="3289" spans="1:1" x14ac:dyDescent="0.25">
      <c r="A3289" s="8">
        <v>7.5039059999980964E-3</v>
      </c>
    </row>
    <row r="3290" spans="1:1" x14ac:dyDescent="0.25">
      <c r="A3290" s="8">
        <v>1.7125000000000001E-2</v>
      </c>
    </row>
    <row r="3291" spans="1:1" x14ac:dyDescent="0.25">
      <c r="A3291" s="8">
        <v>1.3847655999998097E-2</v>
      </c>
    </row>
    <row r="3292" spans="1:1" x14ac:dyDescent="0.25">
      <c r="A3292" s="8">
        <v>1.7109375E-2</v>
      </c>
    </row>
    <row r="3293" spans="1:1" x14ac:dyDescent="0.25">
      <c r="A3293" s="8">
        <v>1.6636719000001902E-2</v>
      </c>
    </row>
    <row r="3294" spans="1:1" x14ac:dyDescent="0.25">
      <c r="A3294" s="8">
        <v>8.9414060000053731E-3</v>
      </c>
    </row>
    <row r="3295" spans="1:1" x14ac:dyDescent="0.25">
      <c r="A3295" s="8">
        <v>1.9539063000003808E-2</v>
      </c>
    </row>
    <row r="3296" spans="1:1" x14ac:dyDescent="0.25">
      <c r="A3296" s="8">
        <v>1.7152343999994629E-2</v>
      </c>
    </row>
    <row r="3297" spans="1:1" x14ac:dyDescent="0.25">
      <c r="A3297" s="8">
        <v>8.9257819999984354E-3</v>
      </c>
    </row>
    <row r="3298" spans="1:1" x14ac:dyDescent="0.25">
      <c r="A3298" s="8">
        <v>8.7031250000000008E-3</v>
      </c>
    </row>
    <row r="3299" spans="1:1" x14ac:dyDescent="0.25">
      <c r="A3299" s="8">
        <v>1.3628906999998434E-2</v>
      </c>
    </row>
    <row r="3300" spans="1:1" x14ac:dyDescent="0.25">
      <c r="A3300" s="8">
        <v>1.1472656999998434E-2</v>
      </c>
    </row>
    <row r="3301" spans="1:1" x14ac:dyDescent="0.25">
      <c r="A3301" s="8">
        <v>7.675781000005372E-3</v>
      </c>
    </row>
    <row r="3302" spans="1:1" x14ac:dyDescent="0.25">
      <c r="A3302" s="8">
        <v>1.3636718000001566E-2</v>
      </c>
    </row>
    <row r="3303" spans="1:1" x14ac:dyDescent="0.25">
      <c r="A3303" s="8">
        <v>7.933593999994628E-3</v>
      </c>
    </row>
    <row r="3304" spans="1:1" x14ac:dyDescent="0.25">
      <c r="A3304" s="8">
        <v>1.3414062999996531E-2</v>
      </c>
    </row>
    <row r="3305" spans="1:1" x14ac:dyDescent="0.25">
      <c r="A3305" s="8">
        <v>1.1308593000001565E-2</v>
      </c>
    </row>
    <row r="3306" spans="1:1" x14ac:dyDescent="0.25">
      <c r="A3306" s="8">
        <v>8.8320319999984354E-3</v>
      </c>
    </row>
    <row r="3307" spans="1:1" x14ac:dyDescent="0.25">
      <c r="A3307" s="8">
        <v>1.9675781000005374E-2</v>
      </c>
    </row>
    <row r="3308" spans="1:1" x14ac:dyDescent="0.25">
      <c r="A3308" s="8">
        <v>1.6140624999999999E-2</v>
      </c>
    </row>
    <row r="3309" spans="1:1" x14ac:dyDescent="0.25">
      <c r="A3309" s="8">
        <v>1.2507813000003807E-2</v>
      </c>
    </row>
    <row r="3310" spans="1:1" x14ac:dyDescent="0.25">
      <c r="A3310" s="8">
        <v>8.2968750000000004E-3</v>
      </c>
    </row>
    <row r="3311" spans="1:1" x14ac:dyDescent="0.25">
      <c r="A3311" s="8">
        <v>1.4046875E-2</v>
      </c>
    </row>
    <row r="3312" spans="1:1" x14ac:dyDescent="0.25">
      <c r="A3312" s="8">
        <v>2.0312500000000001E-2</v>
      </c>
    </row>
    <row r="3313" spans="1:1" x14ac:dyDescent="0.25">
      <c r="A3313" s="8">
        <v>2.7734374999999999E-2</v>
      </c>
    </row>
    <row r="3314" spans="1:1" x14ac:dyDescent="0.25">
      <c r="A3314" s="8">
        <v>1.5398438000003806E-2</v>
      </c>
    </row>
    <row r="3315" spans="1:1" x14ac:dyDescent="0.25">
      <c r="A3315" s="8">
        <v>2.0796874999999999E-2</v>
      </c>
    </row>
    <row r="3316" spans="1:1" x14ac:dyDescent="0.25">
      <c r="A3316" s="8">
        <v>2.1749999999999999E-2</v>
      </c>
    </row>
    <row r="3317" spans="1:1" x14ac:dyDescent="0.25">
      <c r="A3317" s="8">
        <v>7.6999999999999999E-2</v>
      </c>
    </row>
    <row r="3318" spans="1:1" x14ac:dyDescent="0.25">
      <c r="A3318" s="8">
        <v>1.8421875000000001E-2</v>
      </c>
    </row>
    <row r="3319" spans="1:1" x14ac:dyDescent="0.25">
      <c r="A3319" s="8">
        <v>2.0773438000003808E-2</v>
      </c>
    </row>
    <row r="3320" spans="1:1" x14ac:dyDescent="0.25">
      <c r="A3320" s="8">
        <v>8.7968749999999991E-3</v>
      </c>
    </row>
    <row r="3321" spans="1:1" x14ac:dyDescent="0.25">
      <c r="A3321" s="8">
        <v>3.2492186999996189E-2</v>
      </c>
    </row>
    <row r="3322" spans="1:1" x14ac:dyDescent="0.25">
      <c r="A3322" s="8">
        <v>1.1093749999999999E-2</v>
      </c>
    </row>
    <row r="3323" spans="1:1" x14ac:dyDescent="0.25">
      <c r="A3323" s="8">
        <v>2.1523436999996193E-2</v>
      </c>
    </row>
    <row r="3324" spans="1:1" x14ac:dyDescent="0.25">
      <c r="A3324" s="8">
        <v>1.1617188000003806E-2</v>
      </c>
    </row>
    <row r="3325" spans="1:1" x14ac:dyDescent="0.25">
      <c r="A3325" s="8">
        <v>9.304686999996193E-3</v>
      </c>
    </row>
    <row r="3326" spans="1:1" x14ac:dyDescent="0.25">
      <c r="A3326" s="8">
        <v>2.1101561999996191E-2</v>
      </c>
    </row>
    <row r="3327" spans="1:1" x14ac:dyDescent="0.25">
      <c r="A3327" s="8">
        <v>1.4578125000000001E-2</v>
      </c>
    </row>
    <row r="3328" spans="1:1" x14ac:dyDescent="0.25">
      <c r="A3328" s="8">
        <v>1.1546875E-2</v>
      </c>
    </row>
    <row r="3329" spans="1:1" x14ac:dyDescent="0.25">
      <c r="A3329" s="8">
        <v>7.5546869999961932E-3</v>
      </c>
    </row>
    <row r="3330" spans="1:1" x14ac:dyDescent="0.25">
      <c r="A3330" s="8">
        <v>1.7421875E-2</v>
      </c>
    </row>
    <row r="3331" spans="1:1" x14ac:dyDescent="0.25">
      <c r="A3331" s="8">
        <v>2.2515625000000001E-2</v>
      </c>
    </row>
    <row r="3332" spans="1:1" x14ac:dyDescent="0.25">
      <c r="A3332" s="8">
        <v>2.0460936999996193E-2</v>
      </c>
    </row>
    <row r="3333" spans="1:1" x14ac:dyDescent="0.25">
      <c r="A3333" s="8">
        <v>7.9140619999961935E-3</v>
      </c>
    </row>
    <row r="3334" spans="1:1" x14ac:dyDescent="0.25">
      <c r="A3334" s="8">
        <v>1.1242188000003808E-2</v>
      </c>
    </row>
    <row r="3335" spans="1:1" x14ac:dyDescent="0.25">
      <c r="A3335" s="8">
        <v>7.7578119999961925E-3</v>
      </c>
    </row>
    <row r="3336" spans="1:1" x14ac:dyDescent="0.25">
      <c r="A3336" s="8">
        <v>1.4999999999999999E-2</v>
      </c>
    </row>
    <row r="3337" spans="1:1" x14ac:dyDescent="0.25">
      <c r="A3337" s="8">
        <v>1.0601561999996192E-2</v>
      </c>
    </row>
    <row r="3338" spans="1:1" x14ac:dyDescent="0.25">
      <c r="A3338" s="8">
        <v>1.7851563000003807E-2</v>
      </c>
    </row>
    <row r="3339" spans="1:1" x14ac:dyDescent="0.25">
      <c r="A3339" s="8">
        <v>7.6093749999999998E-3</v>
      </c>
    </row>
    <row r="3340" spans="1:1" x14ac:dyDescent="0.25">
      <c r="A3340" s="8">
        <v>2.4523436999996193E-2</v>
      </c>
    </row>
    <row r="3341" spans="1:1" x14ac:dyDescent="0.25">
      <c r="A3341" s="8">
        <v>9.9296880000038067E-3</v>
      </c>
    </row>
    <row r="3342" spans="1:1" x14ac:dyDescent="0.25">
      <c r="A3342" s="8">
        <v>2.8179688000003807E-2</v>
      </c>
    </row>
    <row r="3343" spans="1:1" x14ac:dyDescent="0.25">
      <c r="A3343" s="8">
        <v>1.7937499999999999E-2</v>
      </c>
    </row>
    <row r="3344" spans="1:1" x14ac:dyDescent="0.25">
      <c r="A3344" s="8">
        <v>2.0304688000003807E-2</v>
      </c>
    </row>
    <row r="3345" spans="1:1" x14ac:dyDescent="0.25">
      <c r="A3345" s="8">
        <v>2.3703124999999999E-2</v>
      </c>
    </row>
    <row r="3346" spans="1:1" x14ac:dyDescent="0.25">
      <c r="A3346" s="8">
        <v>2.8570313000003806E-2</v>
      </c>
    </row>
    <row r="3347" spans="1:1" x14ac:dyDescent="0.25">
      <c r="A3347" s="8">
        <v>2.0890624999999999E-2</v>
      </c>
    </row>
    <row r="3348" spans="1:1" x14ac:dyDescent="0.25">
      <c r="A3348" s="8">
        <v>1.4109375E-2</v>
      </c>
    </row>
    <row r="3349" spans="1:1" x14ac:dyDescent="0.25">
      <c r="A3349" s="8">
        <v>2.0804686999996193E-2</v>
      </c>
    </row>
    <row r="3350" spans="1:1" x14ac:dyDescent="0.25">
      <c r="A3350" s="8">
        <v>1.1828125E-2</v>
      </c>
    </row>
    <row r="3351" spans="1:1" x14ac:dyDescent="0.25">
      <c r="A3351" s="8">
        <v>2.1906249999999999E-2</v>
      </c>
    </row>
    <row r="3352" spans="1:1" x14ac:dyDescent="0.25">
      <c r="A3352" s="8">
        <v>8.7500000000000008E-3</v>
      </c>
    </row>
    <row r="3353" spans="1:1" x14ac:dyDescent="0.25">
      <c r="A3353" s="8">
        <v>2.1945311999996192E-2</v>
      </c>
    </row>
    <row r="3354" spans="1:1" x14ac:dyDescent="0.25">
      <c r="A3354" s="8">
        <v>5.6796874999999997E-2</v>
      </c>
    </row>
    <row r="3355" spans="1:1" x14ac:dyDescent="0.25">
      <c r="A3355" s="8">
        <v>2.5218750000000002E-2</v>
      </c>
    </row>
    <row r="3356" spans="1:1" x14ac:dyDescent="0.25">
      <c r="A3356" s="8">
        <v>1.3859375E-2</v>
      </c>
    </row>
    <row r="3357" spans="1:1" x14ac:dyDescent="0.25">
      <c r="A3357" s="8">
        <v>3.109375E-2</v>
      </c>
    </row>
    <row r="3358" spans="1:1" x14ac:dyDescent="0.25">
      <c r="A3358" s="8">
        <v>2.4078124999999999E-2</v>
      </c>
    </row>
    <row r="3359" spans="1:1" x14ac:dyDescent="0.25">
      <c r="A3359" s="8">
        <v>9.6562499999999999E-3</v>
      </c>
    </row>
    <row r="3360" spans="1:1" x14ac:dyDescent="0.25">
      <c r="A3360" s="8">
        <v>1.6468750000000001E-2</v>
      </c>
    </row>
    <row r="3361" spans="1:1" x14ac:dyDescent="0.25">
      <c r="A3361" s="8">
        <v>2.0046874999999999E-2</v>
      </c>
    </row>
    <row r="3362" spans="1:1" x14ac:dyDescent="0.25">
      <c r="A3362" s="8">
        <v>2.4734374999999999E-2</v>
      </c>
    </row>
    <row r="3363" spans="1:1" x14ac:dyDescent="0.25">
      <c r="A3363" s="8">
        <v>2.2140625000000001E-2</v>
      </c>
    </row>
    <row r="3364" spans="1:1" x14ac:dyDescent="0.25">
      <c r="A3364" s="8">
        <v>2.9531249999999998E-2</v>
      </c>
    </row>
    <row r="3365" spans="1:1" x14ac:dyDescent="0.25">
      <c r="A3365" s="8">
        <v>1.4265625000000001E-2</v>
      </c>
    </row>
    <row r="3366" spans="1:1" x14ac:dyDescent="0.25">
      <c r="A3366" s="8">
        <v>1.3046874999999999E-2</v>
      </c>
    </row>
    <row r="3367" spans="1:1" x14ac:dyDescent="0.25">
      <c r="A3367" s="8">
        <v>1.940625E-2</v>
      </c>
    </row>
    <row r="3368" spans="1:1" x14ac:dyDescent="0.25">
      <c r="A3368" s="8">
        <v>1.14375E-2</v>
      </c>
    </row>
    <row r="3369" spans="1:1" x14ac:dyDescent="0.25">
      <c r="A3369" s="8">
        <v>2.2417968999998265E-2</v>
      </c>
    </row>
    <row r="3370" spans="1:1" x14ac:dyDescent="0.25">
      <c r="A3370" s="8">
        <v>1.3849609000000783E-2</v>
      </c>
    </row>
    <row r="3371" spans="1:1" x14ac:dyDescent="0.25">
      <c r="A3371" s="8">
        <v>1.8144530999998097E-2</v>
      </c>
    </row>
    <row r="3372" spans="1:1" x14ac:dyDescent="0.25">
      <c r="A3372" s="8">
        <v>1.6535156000001733E-2</v>
      </c>
    </row>
    <row r="3373" spans="1:1" x14ac:dyDescent="0.25">
      <c r="A3373" s="8">
        <v>1.9457030999998095E-2</v>
      </c>
    </row>
    <row r="3374" spans="1:1" x14ac:dyDescent="0.25">
      <c r="A3374" s="8">
        <v>1.8507812000003468E-2</v>
      </c>
    </row>
    <row r="3375" spans="1:1" x14ac:dyDescent="0.25">
      <c r="A3375" s="8">
        <v>1.5037109000000782E-2</v>
      </c>
    </row>
    <row r="3376" spans="1:1" x14ac:dyDescent="0.25">
      <c r="A3376" s="8">
        <v>1.0685547000000952E-2</v>
      </c>
    </row>
    <row r="3377" spans="1:1" x14ac:dyDescent="0.25">
      <c r="A3377" s="8">
        <v>2.7785156000001733E-2</v>
      </c>
    </row>
    <row r="3378" spans="1:1" x14ac:dyDescent="0.25">
      <c r="A3378" s="8">
        <v>1.7783202999999047E-2</v>
      </c>
    </row>
    <row r="3379" spans="1:1" x14ac:dyDescent="0.25">
      <c r="A3379" s="8">
        <v>1.6396484000000783E-2</v>
      </c>
    </row>
    <row r="3380" spans="1:1" x14ac:dyDescent="0.25">
      <c r="A3380" s="8">
        <v>2.1433594000001905E-2</v>
      </c>
    </row>
    <row r="3381" spans="1:1" x14ac:dyDescent="0.25">
      <c r="A3381" s="8">
        <v>7.6796869999961924E-3</v>
      </c>
    </row>
    <row r="3382" spans="1:1" x14ac:dyDescent="0.25">
      <c r="A3382" s="8">
        <v>1.4140625E-2</v>
      </c>
    </row>
    <row r="3383" spans="1:1" x14ac:dyDescent="0.25">
      <c r="A3383" s="8">
        <v>2.0914061999996191E-2</v>
      </c>
    </row>
    <row r="3384" spans="1:1" x14ac:dyDescent="0.25">
      <c r="A3384" s="8">
        <v>2.0964844000001905E-2</v>
      </c>
    </row>
    <row r="3385" spans="1:1" x14ac:dyDescent="0.25">
      <c r="A3385" s="8">
        <v>7.4058594000001907E-2</v>
      </c>
    </row>
    <row r="3386" spans="1:1" x14ac:dyDescent="0.25">
      <c r="A3386" s="8">
        <v>1.13125E-2</v>
      </c>
    </row>
    <row r="3387" spans="1:1" x14ac:dyDescent="0.25">
      <c r="A3387" s="8">
        <v>1.1210938000003808E-2</v>
      </c>
    </row>
    <row r="3388" spans="1:1" x14ac:dyDescent="0.25">
      <c r="A3388" s="8">
        <v>2.0808593000001565E-2</v>
      </c>
    </row>
    <row r="3389" spans="1:1" x14ac:dyDescent="0.25">
      <c r="A3389" s="8">
        <v>7.7343749999999999E-3</v>
      </c>
    </row>
    <row r="3390" spans="1:1" x14ac:dyDescent="0.25">
      <c r="A3390" s="8">
        <v>1.6992186999996193E-2</v>
      </c>
    </row>
    <row r="3391" spans="1:1" x14ac:dyDescent="0.25">
      <c r="A3391" s="8">
        <v>2.6089843000001566E-2</v>
      </c>
    </row>
    <row r="3392" spans="1:1" x14ac:dyDescent="0.25">
      <c r="A3392" s="8">
        <v>2.6374999999999999E-2</v>
      </c>
    </row>
    <row r="3393" spans="1:1" x14ac:dyDescent="0.25">
      <c r="A3393" s="8">
        <v>1.7816406000005371E-2</v>
      </c>
    </row>
    <row r="3394" spans="1:1" x14ac:dyDescent="0.25">
      <c r="A3394" s="8">
        <v>1.0476562000003469E-2</v>
      </c>
    </row>
    <row r="3395" spans="1:1" x14ac:dyDescent="0.25">
      <c r="A3395" s="8">
        <v>1.1066406999998436E-2</v>
      </c>
    </row>
    <row r="3396" spans="1:1" x14ac:dyDescent="0.25">
      <c r="A3396" s="8">
        <v>2.0234374999999999E-2</v>
      </c>
    </row>
    <row r="3397" spans="1:1" x14ac:dyDescent="0.25">
      <c r="A3397" s="8">
        <v>2.9148436999996193E-2</v>
      </c>
    </row>
    <row r="3398" spans="1:1" x14ac:dyDescent="0.25">
      <c r="A3398" s="8">
        <v>1.4E-2</v>
      </c>
    </row>
    <row r="3399" spans="1:1" x14ac:dyDescent="0.25">
      <c r="A3399" s="8">
        <v>1.7226563000003806E-2</v>
      </c>
    </row>
    <row r="3400" spans="1:1" x14ac:dyDescent="0.25">
      <c r="A3400" s="8">
        <v>7.5781249999999998E-3</v>
      </c>
    </row>
    <row r="3401" spans="1:1" x14ac:dyDescent="0.25">
      <c r="A3401" s="8">
        <v>1.9953124999999999E-2</v>
      </c>
    </row>
    <row r="3402" spans="1:1" x14ac:dyDescent="0.25">
      <c r="A3402" s="8">
        <v>2.9640625E-2</v>
      </c>
    </row>
    <row r="3403" spans="1:1" x14ac:dyDescent="0.25">
      <c r="A3403" s="8">
        <v>1.1492188000003806E-2</v>
      </c>
    </row>
    <row r="3404" spans="1:1" x14ac:dyDescent="0.25">
      <c r="A3404" s="8">
        <v>2.3648438000003807E-2</v>
      </c>
    </row>
    <row r="3405" spans="1:1" x14ac:dyDescent="0.25">
      <c r="A3405" s="8">
        <v>1.3203125E-2</v>
      </c>
    </row>
    <row r="3406" spans="1:1" x14ac:dyDescent="0.25">
      <c r="A3406" s="8">
        <v>1.4656249999999999E-2</v>
      </c>
    </row>
    <row r="3407" spans="1:1" x14ac:dyDescent="0.25">
      <c r="A3407" s="8">
        <v>7.5937499999999998E-3</v>
      </c>
    </row>
    <row r="3408" spans="1:1" x14ac:dyDescent="0.25">
      <c r="A3408" s="8">
        <v>1.5734374999999998E-2</v>
      </c>
    </row>
    <row r="3409" spans="1:1" x14ac:dyDescent="0.25">
      <c r="A3409" s="8">
        <v>4.5890624999999997E-2</v>
      </c>
    </row>
    <row r="3410" spans="1:1" x14ac:dyDescent="0.25">
      <c r="A3410" s="8">
        <v>1.1054686999996193E-2</v>
      </c>
    </row>
    <row r="3411" spans="1:1" x14ac:dyDescent="0.25">
      <c r="A3411" s="8">
        <v>1.7757811999996192E-2</v>
      </c>
    </row>
    <row r="3412" spans="1:1" x14ac:dyDescent="0.25">
      <c r="A3412" s="8">
        <v>1.8242186999996194E-2</v>
      </c>
    </row>
    <row r="3413" spans="1:1" x14ac:dyDescent="0.25">
      <c r="A3413" s="8">
        <v>9.9484375E-2</v>
      </c>
    </row>
    <row r="3414" spans="1:1" x14ac:dyDescent="0.25">
      <c r="A3414" s="8">
        <v>7.6093749999999998E-3</v>
      </c>
    </row>
    <row r="3415" spans="1:1" x14ac:dyDescent="0.25">
      <c r="A3415" s="8">
        <v>9.414063000003808E-3</v>
      </c>
    </row>
    <row r="3416" spans="1:1" x14ac:dyDescent="0.25">
      <c r="A3416" s="8">
        <v>1.4718749999999999E-2</v>
      </c>
    </row>
    <row r="3417" spans="1:1" x14ac:dyDescent="0.25">
      <c r="A3417" s="8">
        <v>1.0898436999996193E-2</v>
      </c>
    </row>
    <row r="3418" spans="1:1" x14ac:dyDescent="0.25">
      <c r="A3418" s="8">
        <v>8.1250000000000003E-3</v>
      </c>
    </row>
    <row r="3419" spans="1:1" x14ac:dyDescent="0.25">
      <c r="A3419" s="8">
        <v>2.3992188000003807E-2</v>
      </c>
    </row>
    <row r="3420" spans="1:1" x14ac:dyDescent="0.25">
      <c r="A3420" s="8">
        <v>9.2031249999999995E-3</v>
      </c>
    </row>
    <row r="3421" spans="1:1" x14ac:dyDescent="0.25">
      <c r="A3421" s="8">
        <v>1.4250000000000001E-2</v>
      </c>
    </row>
    <row r="3422" spans="1:1" x14ac:dyDescent="0.25">
      <c r="A3422" s="8">
        <v>8.7890630000038075E-3</v>
      </c>
    </row>
    <row r="3423" spans="1:1" x14ac:dyDescent="0.25">
      <c r="A3423" s="8">
        <v>8.0781250000000002E-3</v>
      </c>
    </row>
    <row r="3424" spans="1:1" x14ac:dyDescent="0.25">
      <c r="A3424" s="8">
        <v>2.0921875E-2</v>
      </c>
    </row>
    <row r="3425" spans="1:1" x14ac:dyDescent="0.25">
      <c r="A3425" s="8">
        <v>2.5867186999996194E-2</v>
      </c>
    </row>
    <row r="3426" spans="1:1" x14ac:dyDescent="0.25">
      <c r="A3426" s="8">
        <v>1.7492186999996193E-2</v>
      </c>
    </row>
    <row r="3427" spans="1:1" x14ac:dyDescent="0.25">
      <c r="A3427" s="8">
        <v>2.0218750000000001E-2</v>
      </c>
    </row>
    <row r="3428" spans="1:1" x14ac:dyDescent="0.25">
      <c r="A3428" s="8">
        <v>2.1179688000003808E-2</v>
      </c>
    </row>
    <row r="3429" spans="1:1" x14ac:dyDescent="0.25">
      <c r="A3429" s="8">
        <v>2.1726561999996192E-2</v>
      </c>
    </row>
    <row r="3430" spans="1:1" x14ac:dyDescent="0.25">
      <c r="A3430" s="8">
        <v>2.3414063000003808E-2</v>
      </c>
    </row>
    <row r="3431" spans="1:1" x14ac:dyDescent="0.25">
      <c r="A3431" s="8">
        <v>1.9546874999999998E-2</v>
      </c>
    </row>
    <row r="3432" spans="1:1" x14ac:dyDescent="0.25">
      <c r="A3432" s="8">
        <v>7.7578130000038074E-3</v>
      </c>
    </row>
    <row r="3433" spans="1:1" x14ac:dyDescent="0.25">
      <c r="A3433" s="8">
        <v>1.7171875E-2</v>
      </c>
    </row>
    <row r="3434" spans="1:1" x14ac:dyDescent="0.25">
      <c r="A3434" s="8">
        <v>2.7726561999996194E-2</v>
      </c>
    </row>
    <row r="3435" spans="1:1" x14ac:dyDescent="0.25">
      <c r="A3435" s="8">
        <v>2.0500000000000001E-2</v>
      </c>
    </row>
    <row r="3436" spans="1:1" x14ac:dyDescent="0.25">
      <c r="A3436" s="8">
        <v>1.18125E-2</v>
      </c>
    </row>
    <row r="3437" spans="1:1" x14ac:dyDescent="0.25">
      <c r="A3437" s="8">
        <v>6.6718749999999999E-3</v>
      </c>
    </row>
    <row r="3438" spans="1:1" x14ac:dyDescent="0.25">
      <c r="A3438" s="8">
        <v>1.7046875E-2</v>
      </c>
    </row>
    <row r="3439" spans="1:1" x14ac:dyDescent="0.25">
      <c r="A3439" s="8">
        <v>4.8921874999999997E-2</v>
      </c>
    </row>
    <row r="3440" spans="1:1" x14ac:dyDescent="0.25">
      <c r="A3440" s="8">
        <v>1.125E-2</v>
      </c>
    </row>
    <row r="3441" spans="1:1" x14ac:dyDescent="0.25">
      <c r="A3441" s="8">
        <v>2.6023436999996194E-2</v>
      </c>
    </row>
    <row r="3442" spans="1:1" x14ac:dyDescent="0.25">
      <c r="A3442" s="8">
        <v>1.4562500000000001E-2</v>
      </c>
    </row>
    <row r="3443" spans="1:1" x14ac:dyDescent="0.25">
      <c r="A3443" s="8">
        <v>2.4062500000000001E-2</v>
      </c>
    </row>
    <row r="3444" spans="1:1" x14ac:dyDescent="0.25">
      <c r="A3444" s="8">
        <v>1.59375E-2</v>
      </c>
    </row>
    <row r="3445" spans="1:1" x14ac:dyDescent="0.25">
      <c r="A3445" s="8">
        <v>1.2671875000000001E-2</v>
      </c>
    </row>
    <row r="3446" spans="1:1" x14ac:dyDescent="0.25">
      <c r="A3446" s="8">
        <v>2.0859374999999999E-2</v>
      </c>
    </row>
    <row r="3447" spans="1:1" x14ac:dyDescent="0.25">
      <c r="A3447" s="8">
        <v>1.159375E-2</v>
      </c>
    </row>
    <row r="3448" spans="1:1" x14ac:dyDescent="0.25">
      <c r="A3448" s="8">
        <v>1.1734375E-2</v>
      </c>
    </row>
    <row r="3449" spans="1:1" x14ac:dyDescent="0.25">
      <c r="A3449" s="8">
        <v>2.4015624999999999E-2</v>
      </c>
    </row>
    <row r="3450" spans="1:1" x14ac:dyDescent="0.25">
      <c r="A3450" s="8">
        <v>1.8015625E-2</v>
      </c>
    </row>
    <row r="3451" spans="1:1" x14ac:dyDescent="0.25">
      <c r="A3451" s="8">
        <v>1.7375000000000002E-2</v>
      </c>
    </row>
    <row r="3452" spans="1:1" x14ac:dyDescent="0.25">
      <c r="A3452" s="8">
        <v>2.2390625000000001E-2</v>
      </c>
    </row>
    <row r="3453" spans="1:1" x14ac:dyDescent="0.25">
      <c r="A3453" s="8">
        <v>1.2E-2</v>
      </c>
    </row>
    <row r="3454" spans="1:1" x14ac:dyDescent="0.25">
      <c r="A3454" s="8">
        <v>7.6874999999999999E-3</v>
      </c>
    </row>
    <row r="3455" spans="1:1" x14ac:dyDescent="0.25">
      <c r="A3455" s="8">
        <v>2.5906249999999999E-2</v>
      </c>
    </row>
    <row r="3456" spans="1:1" x14ac:dyDescent="0.25">
      <c r="A3456" s="8">
        <v>1.6134765000002518E-2</v>
      </c>
    </row>
    <row r="3457" spans="1:1" x14ac:dyDescent="0.25">
      <c r="A3457" s="8">
        <v>1.0970703999999387E-2</v>
      </c>
    </row>
    <row r="3458" spans="1:1" x14ac:dyDescent="0.25">
      <c r="A3458" s="8">
        <v>7.2519529999990479E-3</v>
      </c>
    </row>
    <row r="3459" spans="1:1" x14ac:dyDescent="0.25">
      <c r="A3459" s="8">
        <v>2.1230469000001903E-2</v>
      </c>
    </row>
    <row r="3460" spans="1:1" x14ac:dyDescent="0.25">
      <c r="A3460" s="8">
        <v>1.3453125E-2</v>
      </c>
    </row>
    <row r="3461" spans="1:1" x14ac:dyDescent="0.25">
      <c r="A3461" s="8">
        <v>2.0964844000001905E-2</v>
      </c>
    </row>
    <row r="3462" spans="1:1" x14ac:dyDescent="0.25">
      <c r="A3462" s="8">
        <v>3.08125E-2</v>
      </c>
    </row>
    <row r="3463" spans="1:1" x14ac:dyDescent="0.25">
      <c r="A3463" s="8">
        <v>1.0554686999996192E-2</v>
      </c>
    </row>
    <row r="3464" spans="1:1" x14ac:dyDescent="0.25">
      <c r="A3464" s="8">
        <v>1.9019531999998434E-2</v>
      </c>
    </row>
    <row r="3465" spans="1:1" x14ac:dyDescent="0.25">
      <c r="A3465" s="8">
        <v>1.4E-2</v>
      </c>
    </row>
    <row r="3466" spans="1:1" x14ac:dyDescent="0.25">
      <c r="A3466" s="8">
        <v>4.0414062999996531E-2</v>
      </c>
    </row>
    <row r="3467" spans="1:1" x14ac:dyDescent="0.25">
      <c r="A3467" s="8">
        <v>1.5707031999998435E-2</v>
      </c>
    </row>
    <row r="3468" spans="1:1" x14ac:dyDescent="0.25">
      <c r="A3468" s="8">
        <v>2.4667968000001567E-2</v>
      </c>
    </row>
    <row r="3469" spans="1:1" x14ac:dyDescent="0.25">
      <c r="A3469" s="8">
        <v>1.5632812999996533E-2</v>
      </c>
    </row>
    <row r="3470" spans="1:1" x14ac:dyDescent="0.25">
      <c r="A3470" s="8">
        <v>1.3093749999999999E-2</v>
      </c>
    </row>
    <row r="3471" spans="1:1" x14ac:dyDescent="0.25">
      <c r="A3471" s="8">
        <v>2.003125E-2</v>
      </c>
    </row>
    <row r="3472" spans="1:1" x14ac:dyDescent="0.25">
      <c r="A3472" s="8">
        <v>1.8976562000003468E-2</v>
      </c>
    </row>
    <row r="3473" spans="1:1" x14ac:dyDescent="0.25">
      <c r="A3473" s="8">
        <v>2.1457031999998436E-2</v>
      </c>
    </row>
    <row r="3474" spans="1:1" x14ac:dyDescent="0.25">
      <c r="A3474" s="8">
        <v>1.8164062999996532E-2</v>
      </c>
    </row>
    <row r="3475" spans="1:1" x14ac:dyDescent="0.25">
      <c r="A3475" s="8">
        <v>1.7601561999996192E-2</v>
      </c>
    </row>
    <row r="3476" spans="1:1" x14ac:dyDescent="0.25">
      <c r="A3476" s="8">
        <v>1.7781249999999998E-2</v>
      </c>
    </row>
    <row r="3477" spans="1:1" x14ac:dyDescent="0.25">
      <c r="A3477" s="8">
        <v>1.4574219000001904E-2</v>
      </c>
    </row>
    <row r="3478" spans="1:1" x14ac:dyDescent="0.25">
      <c r="A3478" s="8">
        <v>1.1527344000001903E-2</v>
      </c>
    </row>
    <row r="3479" spans="1:1" x14ac:dyDescent="0.25">
      <c r="A3479" s="8">
        <v>1.0585937999996532E-2</v>
      </c>
    </row>
    <row r="3480" spans="1:1" x14ac:dyDescent="0.25">
      <c r="A3480" s="8">
        <v>2.1999999999999999E-2</v>
      </c>
    </row>
    <row r="3481" spans="1:1" x14ac:dyDescent="0.25">
      <c r="A3481" s="8">
        <v>1.8140625E-2</v>
      </c>
    </row>
    <row r="3482" spans="1:1" x14ac:dyDescent="0.25">
      <c r="A3482" s="8">
        <v>2.6679688000003806E-2</v>
      </c>
    </row>
    <row r="3483" spans="1:1" x14ac:dyDescent="0.25">
      <c r="A3483" s="8">
        <v>7.1562500000000003E-3</v>
      </c>
    </row>
    <row r="3484" spans="1:1" x14ac:dyDescent="0.25">
      <c r="A3484" s="8">
        <v>1.9E-2</v>
      </c>
    </row>
    <row r="3485" spans="1:1" x14ac:dyDescent="0.25">
      <c r="A3485" s="8">
        <v>1.2101563000003807E-2</v>
      </c>
    </row>
    <row r="3486" spans="1:1" x14ac:dyDescent="0.25">
      <c r="A3486" s="8">
        <v>2.5015625E-2</v>
      </c>
    </row>
    <row r="3487" spans="1:1" x14ac:dyDescent="0.25">
      <c r="A3487" s="8">
        <v>2.3398436999996192E-2</v>
      </c>
    </row>
    <row r="3488" spans="1:1" x14ac:dyDescent="0.25">
      <c r="A3488" s="8">
        <v>2.6476563000003808E-2</v>
      </c>
    </row>
    <row r="3489" spans="1:1" x14ac:dyDescent="0.25">
      <c r="A3489" s="8">
        <v>2.2476561999996193E-2</v>
      </c>
    </row>
    <row r="3490" spans="1:1" x14ac:dyDescent="0.25">
      <c r="A3490" s="8">
        <v>1.1960936999996192E-2</v>
      </c>
    </row>
    <row r="3491" spans="1:1" x14ac:dyDescent="0.25">
      <c r="A3491" s="8">
        <v>8.9062499999999992E-3</v>
      </c>
    </row>
    <row r="3492" spans="1:1" x14ac:dyDescent="0.25">
      <c r="A3492" s="8">
        <v>1.2312500000000001E-2</v>
      </c>
    </row>
    <row r="3493" spans="1:1" x14ac:dyDescent="0.25">
      <c r="A3493" s="8">
        <v>1.9601561999996193E-2</v>
      </c>
    </row>
    <row r="3494" spans="1:1" x14ac:dyDescent="0.25">
      <c r="A3494" s="8">
        <v>2.5093750000000001E-2</v>
      </c>
    </row>
    <row r="3495" spans="1:1" x14ac:dyDescent="0.25">
      <c r="A3495" s="8">
        <v>1.3117186999996193E-2</v>
      </c>
    </row>
    <row r="3496" spans="1:1" x14ac:dyDescent="0.25">
      <c r="A3496" s="8">
        <v>0.1138046869999962</v>
      </c>
    </row>
    <row r="3497" spans="1:1" x14ac:dyDescent="0.25">
      <c r="A3497" s="8">
        <v>7.4374999999999997E-3</v>
      </c>
    </row>
    <row r="3498" spans="1:1" x14ac:dyDescent="0.25">
      <c r="A3498" s="8">
        <v>3.94375E-2</v>
      </c>
    </row>
    <row r="3499" spans="1:1" x14ac:dyDescent="0.25">
      <c r="A3499" s="8">
        <v>1.4765624999999999E-2</v>
      </c>
    </row>
    <row r="3500" spans="1:1" x14ac:dyDescent="0.25">
      <c r="A3500" s="8">
        <v>2.0125000000000001E-2</v>
      </c>
    </row>
    <row r="3501" spans="1:1" x14ac:dyDescent="0.25">
      <c r="A3501" s="8">
        <v>1.4265625000000001E-2</v>
      </c>
    </row>
    <row r="3502" spans="1:1" x14ac:dyDescent="0.25">
      <c r="A3502" s="8">
        <v>1.1640625E-2</v>
      </c>
    </row>
    <row r="3503" spans="1:1" x14ac:dyDescent="0.25">
      <c r="A3503" s="8">
        <v>1.1031249999999999E-2</v>
      </c>
    </row>
    <row r="3504" spans="1:1" x14ac:dyDescent="0.25">
      <c r="A3504" s="8">
        <v>2.1062500000000001E-2</v>
      </c>
    </row>
    <row r="3505" spans="1:1" x14ac:dyDescent="0.25">
      <c r="A3505" s="8">
        <v>1.9765624999999998E-2</v>
      </c>
    </row>
    <row r="3506" spans="1:1" x14ac:dyDescent="0.25">
      <c r="A3506" s="8">
        <v>9.2343749999999995E-3</v>
      </c>
    </row>
    <row r="3507" spans="1:1" x14ac:dyDescent="0.25">
      <c r="A3507" s="8">
        <v>7.4687499999999997E-3</v>
      </c>
    </row>
    <row r="3508" spans="1:1" x14ac:dyDescent="0.25">
      <c r="A3508" s="8">
        <v>0.112953125</v>
      </c>
    </row>
    <row r="3509" spans="1:1" x14ac:dyDescent="0.25">
      <c r="A3509" s="8">
        <v>1.3484375E-2</v>
      </c>
    </row>
    <row r="3510" spans="1:1" x14ac:dyDescent="0.25">
      <c r="A3510" s="8">
        <v>1.9875E-2</v>
      </c>
    </row>
    <row r="3511" spans="1:1" x14ac:dyDescent="0.25">
      <c r="A3511" s="8">
        <v>2.8031250000000001E-2</v>
      </c>
    </row>
    <row r="3512" spans="1:1" x14ac:dyDescent="0.25">
      <c r="A3512" s="8">
        <v>4.0890625E-2</v>
      </c>
    </row>
    <row r="3513" spans="1:1" x14ac:dyDescent="0.25">
      <c r="A3513" s="8">
        <v>1.5390625E-2</v>
      </c>
    </row>
    <row r="3514" spans="1:1" x14ac:dyDescent="0.25">
      <c r="A3514" s="8">
        <v>1.8718749999999999E-2</v>
      </c>
    </row>
    <row r="3515" spans="1:1" x14ac:dyDescent="0.25">
      <c r="A3515" s="8">
        <v>1.7640625E-2</v>
      </c>
    </row>
    <row r="3516" spans="1:1" x14ac:dyDescent="0.25">
      <c r="A3516" s="8">
        <v>1.415625E-2</v>
      </c>
    </row>
    <row r="3517" spans="1:1" x14ac:dyDescent="0.25">
      <c r="A3517" s="8">
        <v>1.159375E-2</v>
      </c>
    </row>
    <row r="3518" spans="1:1" x14ac:dyDescent="0.25">
      <c r="A3518" s="8">
        <v>1.4281250000000001E-2</v>
      </c>
    </row>
    <row r="3519" spans="1:1" x14ac:dyDescent="0.25">
      <c r="A3519" s="8">
        <v>7.4843749999999997E-3</v>
      </c>
    </row>
    <row r="3520" spans="1:1" x14ac:dyDescent="0.25">
      <c r="A3520" s="8">
        <v>1.6640624999999999E-2</v>
      </c>
    </row>
    <row r="3521" spans="1:1" x14ac:dyDescent="0.25">
      <c r="A3521" s="8">
        <v>2.2453125000000001E-2</v>
      </c>
    </row>
    <row r="3522" spans="1:1" x14ac:dyDescent="0.25">
      <c r="A3522" s="8">
        <v>1.13125E-2</v>
      </c>
    </row>
    <row r="3523" spans="1:1" x14ac:dyDescent="0.25">
      <c r="A3523" s="8">
        <v>1.6515624999999999E-2</v>
      </c>
    </row>
    <row r="3524" spans="1:1" x14ac:dyDescent="0.25">
      <c r="A3524" s="8">
        <v>2.1896484999997481E-2</v>
      </c>
    </row>
    <row r="3525" spans="1:1" x14ac:dyDescent="0.25">
      <c r="A3525" s="8">
        <v>1.1828125E-2</v>
      </c>
    </row>
    <row r="3526" spans="1:1" x14ac:dyDescent="0.25">
      <c r="A3526" s="8">
        <v>1.1701172000000952E-2</v>
      </c>
    </row>
    <row r="3527" spans="1:1" x14ac:dyDescent="0.25">
      <c r="A3527" s="8">
        <v>1.139648500000112E-2</v>
      </c>
    </row>
    <row r="3528" spans="1:1" x14ac:dyDescent="0.25">
      <c r="A3528" s="8">
        <v>1.3886718999998266E-2</v>
      </c>
    </row>
    <row r="3529" spans="1:1" x14ac:dyDescent="0.25">
      <c r="A3529" s="8">
        <v>2.435156199999983E-2</v>
      </c>
    </row>
    <row r="3530" spans="1:1" x14ac:dyDescent="0.25">
      <c r="A3530" s="8">
        <v>2.0716797000000953E-2</v>
      </c>
    </row>
    <row r="3531" spans="1:1" x14ac:dyDescent="0.25">
      <c r="A3531" s="8">
        <v>7.3515619999998307E-3</v>
      </c>
    </row>
    <row r="3532" spans="1:1" x14ac:dyDescent="0.25">
      <c r="A3532" s="8">
        <v>7.720703000002686E-3</v>
      </c>
    </row>
    <row r="3533" spans="1:1" x14ac:dyDescent="0.25">
      <c r="A3533" s="8">
        <v>1.9898438000000171E-2</v>
      </c>
    </row>
    <row r="3534" spans="1:1" x14ac:dyDescent="0.25">
      <c r="A3534" s="8">
        <v>1.1097656000001734E-2</v>
      </c>
    </row>
    <row r="3535" spans="1:1" x14ac:dyDescent="0.25">
      <c r="A3535" s="8">
        <v>1.1132812000003468E-2</v>
      </c>
    </row>
    <row r="3536" spans="1:1" x14ac:dyDescent="0.25">
      <c r="A3536" s="8">
        <v>4.8695312999996535E-2</v>
      </c>
    </row>
    <row r="3537" spans="1:1" x14ac:dyDescent="0.25">
      <c r="A3537" s="8">
        <v>1.1878905999998097E-2</v>
      </c>
    </row>
    <row r="3538" spans="1:1" x14ac:dyDescent="0.25">
      <c r="A3538" s="8">
        <v>1.1175781000005372E-2</v>
      </c>
    </row>
    <row r="3539" spans="1:1" x14ac:dyDescent="0.25">
      <c r="A3539" s="8">
        <v>2.8226563000003806E-2</v>
      </c>
    </row>
    <row r="3540" spans="1:1" x14ac:dyDescent="0.25">
      <c r="A3540" s="8">
        <v>1.2367188000003807E-2</v>
      </c>
    </row>
    <row r="3541" spans="1:1" x14ac:dyDescent="0.25">
      <c r="A3541" s="8">
        <v>1.2562500000000001E-2</v>
      </c>
    </row>
    <row r="3542" spans="1:1" x14ac:dyDescent="0.25">
      <c r="A3542" s="8">
        <v>1.1925781000005372E-2</v>
      </c>
    </row>
    <row r="3543" spans="1:1" x14ac:dyDescent="0.25">
      <c r="A3543" s="8">
        <v>1.4410155999998096E-2</v>
      </c>
    </row>
    <row r="3544" spans="1:1" x14ac:dyDescent="0.25">
      <c r="A3544" s="8">
        <v>2.3679686999996192E-2</v>
      </c>
    </row>
    <row r="3545" spans="1:1" x14ac:dyDescent="0.25">
      <c r="A3545" s="8">
        <v>5.3269531999998433E-2</v>
      </c>
    </row>
    <row r="3546" spans="1:1" x14ac:dyDescent="0.25">
      <c r="A3546" s="8">
        <v>1.1957030999998097E-2</v>
      </c>
    </row>
    <row r="3547" spans="1:1" x14ac:dyDescent="0.25">
      <c r="A3547" s="8">
        <v>2.2640625000000001E-2</v>
      </c>
    </row>
    <row r="3548" spans="1:1" x14ac:dyDescent="0.25">
      <c r="A3548" s="8">
        <v>1.1246094000001903E-2</v>
      </c>
    </row>
    <row r="3549" spans="1:1" x14ac:dyDescent="0.25">
      <c r="A3549" s="8">
        <v>1.4652344000001904E-2</v>
      </c>
    </row>
    <row r="3550" spans="1:1" x14ac:dyDescent="0.25">
      <c r="A3550" s="8">
        <v>1.7671875E-2</v>
      </c>
    </row>
    <row r="3551" spans="1:1" x14ac:dyDescent="0.25">
      <c r="A3551" s="8">
        <v>1.1476561999996193E-2</v>
      </c>
    </row>
    <row r="3552" spans="1:1" x14ac:dyDescent="0.25">
      <c r="A3552" s="8">
        <v>1.8671875000000001E-2</v>
      </c>
    </row>
    <row r="3553" spans="1:1" x14ac:dyDescent="0.25">
      <c r="A3553" s="8">
        <v>1.365625E-2</v>
      </c>
    </row>
    <row r="3554" spans="1:1" x14ac:dyDescent="0.25">
      <c r="A3554" s="8">
        <v>1.5054686999996193E-2</v>
      </c>
    </row>
    <row r="3555" spans="1:1" x14ac:dyDescent="0.25">
      <c r="A3555" s="8">
        <v>1.3984375E-2</v>
      </c>
    </row>
    <row r="3556" spans="1:1" x14ac:dyDescent="0.25">
      <c r="A3556" s="8">
        <v>2.2585936999996194E-2</v>
      </c>
    </row>
    <row r="3557" spans="1:1" x14ac:dyDescent="0.25">
      <c r="A3557" s="8">
        <v>1.31875E-2</v>
      </c>
    </row>
    <row r="3558" spans="1:1" x14ac:dyDescent="0.25">
      <c r="A3558" s="8">
        <v>1.1085938000003808E-2</v>
      </c>
    </row>
    <row r="3559" spans="1:1" x14ac:dyDescent="0.25">
      <c r="A3559" s="8">
        <v>1.121875E-2</v>
      </c>
    </row>
    <row r="3560" spans="1:1" x14ac:dyDescent="0.25">
      <c r="A3560" s="8">
        <v>2.9164061999996192E-2</v>
      </c>
    </row>
    <row r="3561" spans="1:1" x14ac:dyDescent="0.25">
      <c r="A3561" s="8">
        <v>2.2328125000000001E-2</v>
      </c>
    </row>
    <row r="3562" spans="1:1" x14ac:dyDescent="0.25">
      <c r="A3562" s="8">
        <v>1.1062499999999999E-2</v>
      </c>
    </row>
    <row r="3563" spans="1:1" x14ac:dyDescent="0.25">
      <c r="A3563" s="8">
        <v>1.1039063000003808E-2</v>
      </c>
    </row>
    <row r="3564" spans="1:1" x14ac:dyDescent="0.25">
      <c r="A3564" s="8">
        <v>8.0703119999961919E-3</v>
      </c>
    </row>
    <row r="3565" spans="1:1" x14ac:dyDescent="0.25">
      <c r="A3565" s="8">
        <v>1.8937499999999999E-2</v>
      </c>
    </row>
    <row r="3566" spans="1:1" x14ac:dyDescent="0.25">
      <c r="A3566" s="8">
        <v>1.0085938000003807E-2</v>
      </c>
    </row>
    <row r="3567" spans="1:1" x14ac:dyDescent="0.25">
      <c r="A3567" s="8">
        <v>1.7632811999996192E-2</v>
      </c>
    </row>
    <row r="3568" spans="1:1" x14ac:dyDescent="0.25">
      <c r="A3568" s="8">
        <v>1.0929686999996193E-2</v>
      </c>
    </row>
    <row r="3569" spans="1:1" x14ac:dyDescent="0.25">
      <c r="A3569" s="8">
        <v>7.6562499999999999E-3</v>
      </c>
    </row>
    <row r="3570" spans="1:1" x14ac:dyDescent="0.25">
      <c r="A3570" s="8">
        <v>1.1429688000003808E-2</v>
      </c>
    </row>
    <row r="3571" spans="1:1" x14ac:dyDescent="0.25">
      <c r="A3571" s="8">
        <v>2.2976561999996193E-2</v>
      </c>
    </row>
    <row r="3572" spans="1:1" x14ac:dyDescent="0.25">
      <c r="A3572" s="8">
        <v>7.6796880000038073E-3</v>
      </c>
    </row>
    <row r="3573" spans="1:1" x14ac:dyDescent="0.25">
      <c r="A3573" s="8">
        <v>5.4546875000000002E-2</v>
      </c>
    </row>
    <row r="3574" spans="1:1" x14ac:dyDescent="0.25">
      <c r="A3574" s="8">
        <v>1.6937500000000001E-2</v>
      </c>
    </row>
    <row r="3575" spans="1:1" x14ac:dyDescent="0.25">
      <c r="A3575" s="8">
        <v>1.7015625E-2</v>
      </c>
    </row>
    <row r="3576" spans="1:1" x14ac:dyDescent="0.25">
      <c r="A3576" s="8">
        <v>7.7187499999999999E-3</v>
      </c>
    </row>
    <row r="3577" spans="1:1" x14ac:dyDescent="0.25">
      <c r="A3577" s="8">
        <v>1.971875E-2</v>
      </c>
    </row>
    <row r="3578" spans="1:1" x14ac:dyDescent="0.25">
      <c r="A3578" s="8">
        <v>1.5031249999999999E-2</v>
      </c>
    </row>
    <row r="3579" spans="1:1" x14ac:dyDescent="0.25">
      <c r="A3579" s="8">
        <v>1.0921874999999999E-2</v>
      </c>
    </row>
    <row r="3580" spans="1:1" x14ac:dyDescent="0.25">
      <c r="A3580" s="8">
        <v>1.7132811999996191E-2</v>
      </c>
    </row>
    <row r="3581" spans="1:1" x14ac:dyDescent="0.25">
      <c r="A3581" s="8">
        <v>1.6375000000000001E-2</v>
      </c>
    </row>
    <row r="3582" spans="1:1" x14ac:dyDescent="0.25">
      <c r="A3582" s="8">
        <v>1.7562500000000002E-2</v>
      </c>
    </row>
    <row r="3583" spans="1:1" x14ac:dyDescent="0.25">
      <c r="A3583" s="8">
        <v>1.9125E-2</v>
      </c>
    </row>
    <row r="3584" spans="1:1" x14ac:dyDescent="0.25">
      <c r="A3584" s="8">
        <v>2.0390624999999999E-2</v>
      </c>
    </row>
    <row r="3585" spans="1:1" x14ac:dyDescent="0.25">
      <c r="A3585" s="8">
        <v>1.5265625E-2</v>
      </c>
    </row>
    <row r="3586" spans="1:1" x14ac:dyDescent="0.25">
      <c r="A3586" s="8">
        <v>1.1828125E-2</v>
      </c>
    </row>
    <row r="3587" spans="1:1" x14ac:dyDescent="0.25">
      <c r="A3587" s="8">
        <v>1.4984374999999999E-2</v>
      </c>
    </row>
    <row r="3588" spans="1:1" x14ac:dyDescent="0.25">
      <c r="A3588" s="8">
        <v>2.0140624999999999E-2</v>
      </c>
    </row>
    <row r="3589" spans="1:1" x14ac:dyDescent="0.25">
      <c r="A3589" s="8">
        <v>2.4531250000000001E-2</v>
      </c>
    </row>
    <row r="3590" spans="1:1" x14ac:dyDescent="0.25">
      <c r="A3590" s="8">
        <v>1.515625E-2</v>
      </c>
    </row>
    <row r="3591" spans="1:1" x14ac:dyDescent="0.25">
      <c r="A3591" s="8">
        <v>8.1718750000000003E-3</v>
      </c>
    </row>
    <row r="3592" spans="1:1" x14ac:dyDescent="0.25">
      <c r="A3592" s="8">
        <v>2.2312499999999999E-2</v>
      </c>
    </row>
    <row r="3593" spans="1:1" x14ac:dyDescent="0.25">
      <c r="A3593" s="8">
        <v>2.1593749999999998E-2</v>
      </c>
    </row>
    <row r="3594" spans="1:1" x14ac:dyDescent="0.25">
      <c r="A3594" s="8">
        <v>1.2140625E-2</v>
      </c>
    </row>
    <row r="3595" spans="1:1" x14ac:dyDescent="0.25">
      <c r="A3595" s="8">
        <v>1.7687499999999998E-2</v>
      </c>
    </row>
    <row r="3596" spans="1:1" x14ac:dyDescent="0.25">
      <c r="A3596" s="8">
        <v>2.7109375000000002E-2</v>
      </c>
    </row>
    <row r="3597" spans="1:1" x14ac:dyDescent="0.25">
      <c r="A3597" s="8">
        <v>1.2515625000000001E-2</v>
      </c>
    </row>
    <row r="3598" spans="1:1" x14ac:dyDescent="0.25">
      <c r="A3598" s="8">
        <v>1.0531250000000001E-2</v>
      </c>
    </row>
    <row r="3599" spans="1:1" x14ac:dyDescent="0.25">
      <c r="A3599" s="8">
        <v>2.0302734000000783E-2</v>
      </c>
    </row>
    <row r="3600" spans="1:1" x14ac:dyDescent="0.25">
      <c r="A3600" s="8">
        <v>1.2083984999997483E-2</v>
      </c>
    </row>
    <row r="3601" spans="1:1" x14ac:dyDescent="0.25">
      <c r="A3601" s="8">
        <v>1.4908203999999387E-2</v>
      </c>
    </row>
    <row r="3602" spans="1:1" x14ac:dyDescent="0.25">
      <c r="A3602" s="8">
        <v>2.7476563000000169E-2</v>
      </c>
    </row>
    <row r="3603" spans="1:1" x14ac:dyDescent="0.25">
      <c r="A3603" s="8">
        <v>2.3921874999999999E-2</v>
      </c>
    </row>
    <row r="3604" spans="1:1" x14ac:dyDescent="0.25">
      <c r="A3604" s="8">
        <v>1.0958984000000782E-2</v>
      </c>
    </row>
    <row r="3605" spans="1:1" x14ac:dyDescent="0.25">
      <c r="A3605" s="8">
        <v>1.6718750000000001E-2</v>
      </c>
    </row>
    <row r="3606" spans="1:1" x14ac:dyDescent="0.25">
      <c r="A3606" s="8">
        <v>2.9058594000001905E-2</v>
      </c>
    </row>
    <row r="3607" spans="1:1" x14ac:dyDescent="0.25">
      <c r="A3607" s="8">
        <v>7.7499999999999999E-3</v>
      </c>
    </row>
    <row r="3608" spans="1:1" x14ac:dyDescent="0.25">
      <c r="A3608" s="8">
        <v>1.7304687999996533E-2</v>
      </c>
    </row>
    <row r="3609" spans="1:1" x14ac:dyDescent="0.25">
      <c r="A3609" s="8">
        <v>0.11186328099999809</v>
      </c>
    </row>
    <row r="3610" spans="1:1" x14ac:dyDescent="0.25">
      <c r="A3610" s="8">
        <v>7.5898439999946277E-3</v>
      </c>
    </row>
    <row r="3611" spans="1:1" x14ac:dyDescent="0.25">
      <c r="A3611" s="8">
        <v>2.3421875000000002E-2</v>
      </c>
    </row>
    <row r="3612" spans="1:1" x14ac:dyDescent="0.25">
      <c r="A3612" s="8">
        <v>2.0972655999998098E-2</v>
      </c>
    </row>
    <row r="3613" spans="1:1" x14ac:dyDescent="0.25">
      <c r="A3613" s="8">
        <v>2.4703124999999999E-2</v>
      </c>
    </row>
    <row r="3614" spans="1:1" x14ac:dyDescent="0.25">
      <c r="A3614" s="8">
        <v>9.6757810000053721E-3</v>
      </c>
    </row>
    <row r="3615" spans="1:1" x14ac:dyDescent="0.25">
      <c r="A3615" s="8">
        <v>2.6207031999998433E-2</v>
      </c>
    </row>
    <row r="3616" spans="1:1" x14ac:dyDescent="0.25">
      <c r="A3616" s="8">
        <v>1.5300780999998096E-2</v>
      </c>
    </row>
    <row r="3617" spans="1:1" x14ac:dyDescent="0.25">
      <c r="A3617" s="8">
        <v>1.4839844000001904E-2</v>
      </c>
    </row>
    <row r="3618" spans="1:1" x14ac:dyDescent="0.25">
      <c r="A3618" s="8">
        <v>7.5898439999946277E-3</v>
      </c>
    </row>
    <row r="3619" spans="1:1" x14ac:dyDescent="0.25">
      <c r="A3619" s="8">
        <v>2.6078125000000001E-2</v>
      </c>
    </row>
    <row r="3620" spans="1:1" x14ac:dyDescent="0.25">
      <c r="A3620" s="8">
        <v>2.725E-2</v>
      </c>
    </row>
    <row r="3621" spans="1:1" x14ac:dyDescent="0.25">
      <c r="A3621" s="8">
        <v>1.8945313000003808E-2</v>
      </c>
    </row>
    <row r="3622" spans="1:1" x14ac:dyDescent="0.25">
      <c r="A3622" s="8">
        <v>1.6515624999999999E-2</v>
      </c>
    </row>
    <row r="3623" spans="1:1" x14ac:dyDescent="0.25">
      <c r="A3623" s="8">
        <v>1.8054686999996194E-2</v>
      </c>
    </row>
    <row r="3624" spans="1:1" x14ac:dyDescent="0.25">
      <c r="A3624" s="8">
        <v>7.9765630000038067E-3</v>
      </c>
    </row>
    <row r="3625" spans="1:1" x14ac:dyDescent="0.25">
      <c r="A3625" s="8">
        <v>1.1304686999996193E-2</v>
      </c>
    </row>
    <row r="3626" spans="1:1" x14ac:dyDescent="0.25">
      <c r="A3626" s="8">
        <v>2.4226561999996194E-2</v>
      </c>
    </row>
    <row r="3627" spans="1:1" x14ac:dyDescent="0.25">
      <c r="A3627" s="8">
        <v>2.9335938000003808E-2</v>
      </c>
    </row>
    <row r="3628" spans="1:1" x14ac:dyDescent="0.25">
      <c r="A3628" s="8">
        <v>7.4921880000038072E-3</v>
      </c>
    </row>
    <row r="3629" spans="1:1" x14ac:dyDescent="0.25">
      <c r="A3629" s="8">
        <v>2.2953125000000001E-2</v>
      </c>
    </row>
    <row r="3630" spans="1:1" x14ac:dyDescent="0.25">
      <c r="A3630" s="8">
        <v>1.0812499999999999E-2</v>
      </c>
    </row>
    <row r="3631" spans="1:1" x14ac:dyDescent="0.25">
      <c r="A3631" s="8">
        <v>1.1398438000003808E-2</v>
      </c>
    </row>
    <row r="3632" spans="1:1" x14ac:dyDescent="0.25">
      <c r="A3632" s="8">
        <v>1.4257811999996192E-2</v>
      </c>
    </row>
    <row r="3633" spans="1:1" x14ac:dyDescent="0.25">
      <c r="A3633" s="8">
        <v>2.1195311999996191E-2</v>
      </c>
    </row>
    <row r="3634" spans="1:1" x14ac:dyDescent="0.25">
      <c r="A3634" s="8">
        <v>1.5007811999996193E-2</v>
      </c>
    </row>
    <row r="3635" spans="1:1" x14ac:dyDescent="0.25">
      <c r="A3635" s="8">
        <v>2.1273438000003808E-2</v>
      </c>
    </row>
    <row r="3636" spans="1:1" x14ac:dyDescent="0.25">
      <c r="A3636" s="8">
        <v>2.6390625000000001E-2</v>
      </c>
    </row>
    <row r="3637" spans="1:1" x14ac:dyDescent="0.25">
      <c r="A3637" s="8">
        <v>2.1664063000003807E-2</v>
      </c>
    </row>
    <row r="3638" spans="1:1" x14ac:dyDescent="0.25">
      <c r="A3638" s="8">
        <v>2.0789061999996191E-2</v>
      </c>
    </row>
    <row r="3639" spans="1:1" x14ac:dyDescent="0.25">
      <c r="A3639" s="8">
        <v>2.1031250000000001E-2</v>
      </c>
    </row>
    <row r="3640" spans="1:1" x14ac:dyDescent="0.25">
      <c r="A3640" s="8">
        <v>1.115625E-2</v>
      </c>
    </row>
    <row r="3641" spans="1:1" x14ac:dyDescent="0.25">
      <c r="A3641" s="8">
        <v>2.4062500000000001E-2</v>
      </c>
    </row>
    <row r="3642" spans="1:1" x14ac:dyDescent="0.25">
      <c r="A3642" s="8">
        <v>7.382811999996193E-3</v>
      </c>
    </row>
    <row r="3643" spans="1:1" x14ac:dyDescent="0.25">
      <c r="A3643" s="8">
        <v>1.3109375E-2</v>
      </c>
    </row>
    <row r="3644" spans="1:1" x14ac:dyDescent="0.25">
      <c r="A3644" s="8">
        <v>1.8671875000000001E-2</v>
      </c>
    </row>
    <row r="3645" spans="1:1" x14ac:dyDescent="0.25">
      <c r="A3645" s="8">
        <v>0.10808593800000381</v>
      </c>
    </row>
    <row r="3646" spans="1:1" x14ac:dyDescent="0.25">
      <c r="A3646" s="8">
        <v>8.7109380000038074E-3</v>
      </c>
    </row>
    <row r="3647" spans="1:1" x14ac:dyDescent="0.25">
      <c r="A3647" s="8">
        <v>1.1062499999999999E-2</v>
      </c>
    </row>
    <row r="3648" spans="1:1" x14ac:dyDescent="0.25">
      <c r="A3648" s="8">
        <v>2.0156250000000001E-2</v>
      </c>
    </row>
    <row r="3649" spans="1:1" x14ac:dyDescent="0.25">
      <c r="A3649" s="8">
        <v>1.4320311999996192E-2</v>
      </c>
    </row>
    <row r="3650" spans="1:1" x14ac:dyDescent="0.25">
      <c r="A3650" s="8">
        <v>1.3734375E-2</v>
      </c>
    </row>
    <row r="3651" spans="1:1" x14ac:dyDescent="0.25">
      <c r="A3651" s="8">
        <v>2.1609375E-2</v>
      </c>
    </row>
    <row r="3652" spans="1:1" x14ac:dyDescent="0.25">
      <c r="A3652" s="8">
        <v>7.7499999999999999E-3</v>
      </c>
    </row>
    <row r="3653" spans="1:1" x14ac:dyDescent="0.25">
      <c r="A3653" s="8">
        <v>1.2562500000000001E-2</v>
      </c>
    </row>
    <row r="3654" spans="1:1" x14ac:dyDescent="0.25">
      <c r="A3654" s="8">
        <v>9.6249999999999999E-3</v>
      </c>
    </row>
    <row r="3655" spans="1:1" x14ac:dyDescent="0.25">
      <c r="A3655" s="8">
        <v>1.4812499999999999E-2</v>
      </c>
    </row>
    <row r="3656" spans="1:1" x14ac:dyDescent="0.25">
      <c r="A3656" s="8">
        <v>1.0703125000000001E-2</v>
      </c>
    </row>
    <row r="3657" spans="1:1" x14ac:dyDescent="0.25">
      <c r="A3657" s="8">
        <v>9.9218749999999994E-2</v>
      </c>
    </row>
    <row r="3658" spans="1:1" x14ac:dyDescent="0.25">
      <c r="A3658" s="8">
        <v>2.6421875000000001E-2</v>
      </c>
    </row>
    <row r="3659" spans="1:1" x14ac:dyDescent="0.25">
      <c r="A3659" s="8">
        <v>1.4890624999999999E-2</v>
      </c>
    </row>
    <row r="3660" spans="1:1" x14ac:dyDescent="0.25">
      <c r="A3660" s="8">
        <v>1.2468750000000001E-2</v>
      </c>
    </row>
    <row r="3661" spans="1:1" x14ac:dyDescent="0.25">
      <c r="A3661" s="8">
        <v>2.346875E-2</v>
      </c>
    </row>
    <row r="3662" spans="1:1" x14ac:dyDescent="0.25">
      <c r="A3662" s="8">
        <v>1.2046875E-2</v>
      </c>
    </row>
    <row r="3663" spans="1:1" x14ac:dyDescent="0.25">
      <c r="A3663" s="8">
        <v>1.390625E-2</v>
      </c>
    </row>
    <row r="3664" spans="1:1" x14ac:dyDescent="0.25">
      <c r="A3664" s="8">
        <v>1.6656250000000001E-2</v>
      </c>
    </row>
    <row r="3665" spans="1:1" x14ac:dyDescent="0.25">
      <c r="A3665" s="8">
        <v>1.18125E-2</v>
      </c>
    </row>
    <row r="3666" spans="1:1" x14ac:dyDescent="0.25">
      <c r="A3666" s="8">
        <v>7.4238280000026866E-3</v>
      </c>
    </row>
    <row r="3667" spans="1:1" x14ac:dyDescent="0.25">
      <c r="A3667" s="8">
        <v>2.0814453000002685E-2</v>
      </c>
    </row>
    <row r="3668" spans="1:1" x14ac:dyDescent="0.25">
      <c r="A3668" s="8">
        <v>1.1277343999998265E-2</v>
      </c>
    </row>
    <row r="3669" spans="1:1" x14ac:dyDescent="0.25">
      <c r="A3669" s="8">
        <v>1.1011719000001904E-2</v>
      </c>
    </row>
    <row r="3670" spans="1:1" x14ac:dyDescent="0.25">
      <c r="A3670" s="8">
        <v>1.4142577999999049E-2</v>
      </c>
    </row>
    <row r="3671" spans="1:1" x14ac:dyDescent="0.25">
      <c r="A3671" s="8">
        <v>1.3572265999999217E-2</v>
      </c>
    </row>
    <row r="3672" spans="1:1" x14ac:dyDescent="0.25">
      <c r="A3672" s="8">
        <v>1.9144531000001734E-2</v>
      </c>
    </row>
    <row r="3673" spans="1:1" x14ac:dyDescent="0.25">
      <c r="A3673" s="8">
        <v>1.3623047000000952E-2</v>
      </c>
    </row>
    <row r="3674" spans="1:1" x14ac:dyDescent="0.25">
      <c r="A3674" s="8">
        <v>2.4767577999999048E-2</v>
      </c>
    </row>
    <row r="3675" spans="1:1" x14ac:dyDescent="0.25">
      <c r="A3675" s="8">
        <v>7.828125E-3</v>
      </c>
    </row>
    <row r="3676" spans="1:1" x14ac:dyDescent="0.25">
      <c r="A3676" s="8">
        <v>1.6253905999998097E-2</v>
      </c>
    </row>
    <row r="3677" spans="1:1" x14ac:dyDescent="0.25">
      <c r="A3677" s="8">
        <v>2.3238281000005374E-2</v>
      </c>
    </row>
    <row r="3678" spans="1:1" x14ac:dyDescent="0.25">
      <c r="A3678" s="8">
        <v>3.4281249999999999E-2</v>
      </c>
    </row>
    <row r="3679" spans="1:1" x14ac:dyDescent="0.25">
      <c r="A3679" s="8">
        <v>9.4296870000034685E-3</v>
      </c>
    </row>
    <row r="3680" spans="1:1" x14ac:dyDescent="0.25">
      <c r="A3680" s="8">
        <v>1.6562500000000001E-2</v>
      </c>
    </row>
    <row r="3681" spans="1:1" x14ac:dyDescent="0.25">
      <c r="A3681" s="8">
        <v>1.8261718999994628E-2</v>
      </c>
    </row>
    <row r="3682" spans="1:1" x14ac:dyDescent="0.25">
      <c r="A3682" s="8">
        <v>2.2546875000000001E-2</v>
      </c>
    </row>
    <row r="3683" spans="1:1" x14ac:dyDescent="0.25">
      <c r="A3683" s="8">
        <v>1.50625E-2</v>
      </c>
    </row>
    <row r="3684" spans="1:1" x14ac:dyDescent="0.25">
      <c r="A3684" s="8">
        <v>1.0910155999998096E-2</v>
      </c>
    </row>
    <row r="3685" spans="1:1" x14ac:dyDescent="0.25">
      <c r="A3685" s="8">
        <v>1.8828125000000001E-2</v>
      </c>
    </row>
    <row r="3686" spans="1:1" x14ac:dyDescent="0.25">
      <c r="A3686" s="8">
        <v>8.8320309999980959E-3</v>
      </c>
    </row>
    <row r="3687" spans="1:1" x14ac:dyDescent="0.25">
      <c r="A3687" s="8">
        <v>1.2613281000005373E-2</v>
      </c>
    </row>
    <row r="3688" spans="1:1" x14ac:dyDescent="0.25">
      <c r="A3688" s="8">
        <v>3.1386719000001902E-2</v>
      </c>
    </row>
    <row r="3689" spans="1:1" x14ac:dyDescent="0.25">
      <c r="A3689" s="8">
        <v>1.4757812000003468E-2</v>
      </c>
    </row>
    <row r="3690" spans="1:1" x14ac:dyDescent="0.25">
      <c r="A3690" s="8">
        <v>1.1421875E-2</v>
      </c>
    </row>
    <row r="3691" spans="1:1" x14ac:dyDescent="0.25">
      <c r="A3691" s="8">
        <v>1.0828124999999999E-2</v>
      </c>
    </row>
    <row r="3692" spans="1:1" x14ac:dyDescent="0.25">
      <c r="A3692" s="8">
        <v>1.6832030999998096E-2</v>
      </c>
    </row>
    <row r="3693" spans="1:1" x14ac:dyDescent="0.25">
      <c r="A3693" s="8">
        <v>7.6796869999961924E-3</v>
      </c>
    </row>
    <row r="3694" spans="1:1" x14ac:dyDescent="0.25">
      <c r="A3694" s="8">
        <v>1.3726563000003807E-2</v>
      </c>
    </row>
    <row r="3695" spans="1:1" x14ac:dyDescent="0.25">
      <c r="A3695" s="8">
        <v>1.2070311999996192E-2</v>
      </c>
    </row>
    <row r="3696" spans="1:1" x14ac:dyDescent="0.25">
      <c r="A3696" s="8">
        <v>2.715625E-2</v>
      </c>
    </row>
    <row r="3697" spans="1:1" x14ac:dyDescent="0.25">
      <c r="A3697" s="8">
        <v>7.859375E-3</v>
      </c>
    </row>
    <row r="3698" spans="1:1" x14ac:dyDescent="0.25">
      <c r="A3698" s="8">
        <v>1.9992188000003807E-2</v>
      </c>
    </row>
    <row r="3699" spans="1:1" x14ac:dyDescent="0.25">
      <c r="A3699" s="8">
        <v>2.2492186999996194E-2</v>
      </c>
    </row>
    <row r="3700" spans="1:1" x14ac:dyDescent="0.25">
      <c r="A3700" s="8">
        <v>2.9406249999999998E-2</v>
      </c>
    </row>
    <row r="3701" spans="1:1" x14ac:dyDescent="0.25">
      <c r="A3701" s="8">
        <v>1.3578125E-2</v>
      </c>
    </row>
    <row r="3702" spans="1:1" x14ac:dyDescent="0.25">
      <c r="A3702" s="8">
        <v>1.7148438000003808E-2</v>
      </c>
    </row>
    <row r="3703" spans="1:1" x14ac:dyDescent="0.25">
      <c r="A3703" s="8">
        <v>1.6328124999999999E-2</v>
      </c>
    </row>
    <row r="3704" spans="1:1" x14ac:dyDescent="0.25">
      <c r="A3704" s="8">
        <v>1.4320313000003807E-2</v>
      </c>
    </row>
    <row r="3705" spans="1:1" x14ac:dyDescent="0.25">
      <c r="A3705" s="8">
        <v>7.7265619999961925E-3</v>
      </c>
    </row>
    <row r="3706" spans="1:1" x14ac:dyDescent="0.25">
      <c r="A3706" s="8">
        <v>7.6718749999999999E-3</v>
      </c>
    </row>
    <row r="3707" spans="1:1" x14ac:dyDescent="0.25">
      <c r="A3707" s="8">
        <v>1.9820311999996194E-2</v>
      </c>
    </row>
    <row r="3708" spans="1:1" x14ac:dyDescent="0.25">
      <c r="A3708" s="8">
        <v>1.3726563000003807E-2</v>
      </c>
    </row>
    <row r="3709" spans="1:1" x14ac:dyDescent="0.25">
      <c r="A3709" s="8">
        <v>9.3281249999999996E-3</v>
      </c>
    </row>
    <row r="3710" spans="1:1" x14ac:dyDescent="0.25">
      <c r="A3710" s="8">
        <v>1.7242188000003808E-2</v>
      </c>
    </row>
    <row r="3711" spans="1:1" x14ac:dyDescent="0.25">
      <c r="A3711" s="8">
        <v>1.7187500000000001E-2</v>
      </c>
    </row>
    <row r="3712" spans="1:1" x14ac:dyDescent="0.25">
      <c r="A3712" s="8">
        <v>9.5468749999999998E-3</v>
      </c>
    </row>
    <row r="3713" spans="1:1" x14ac:dyDescent="0.25">
      <c r="A3713" s="8">
        <v>1.90625E-2</v>
      </c>
    </row>
    <row r="3714" spans="1:1" x14ac:dyDescent="0.25">
      <c r="A3714" s="8">
        <v>1.5921874999999999E-2</v>
      </c>
    </row>
    <row r="3715" spans="1:1" x14ac:dyDescent="0.25">
      <c r="A3715" s="8">
        <v>2.6265625000000001E-2</v>
      </c>
    </row>
    <row r="3716" spans="1:1" x14ac:dyDescent="0.25">
      <c r="A3716" s="8">
        <v>1.1351561999996193E-2</v>
      </c>
    </row>
    <row r="3717" spans="1:1" x14ac:dyDescent="0.25">
      <c r="A3717" s="8">
        <v>1.571875E-2</v>
      </c>
    </row>
    <row r="3718" spans="1:1" x14ac:dyDescent="0.25">
      <c r="A3718" s="8">
        <v>2.4812500000000001E-2</v>
      </c>
    </row>
    <row r="3719" spans="1:1" x14ac:dyDescent="0.25">
      <c r="A3719" s="8">
        <v>2.3546874999999998E-2</v>
      </c>
    </row>
    <row r="3720" spans="1:1" x14ac:dyDescent="0.25">
      <c r="A3720" s="8">
        <v>1.61875E-2</v>
      </c>
    </row>
    <row r="3721" spans="1:1" x14ac:dyDescent="0.25">
      <c r="A3721" s="8">
        <v>1.1507811999996193E-2</v>
      </c>
    </row>
    <row r="3722" spans="1:1" x14ac:dyDescent="0.25">
      <c r="A3722" s="8">
        <v>2.1406250000000002E-2</v>
      </c>
    </row>
    <row r="3723" spans="1:1" x14ac:dyDescent="0.25">
      <c r="A3723" s="8">
        <v>1.5140625E-2</v>
      </c>
    </row>
    <row r="3724" spans="1:1" x14ac:dyDescent="0.25">
      <c r="A3724" s="8">
        <v>1.2406250000000001E-2</v>
      </c>
    </row>
    <row r="3725" spans="1:1" x14ac:dyDescent="0.25">
      <c r="A3725" s="8">
        <v>7.7499999999999999E-2</v>
      </c>
    </row>
    <row r="3726" spans="1:1" x14ac:dyDescent="0.25">
      <c r="A3726" s="8">
        <v>1.4250000000000001E-2</v>
      </c>
    </row>
    <row r="3727" spans="1:1" x14ac:dyDescent="0.25">
      <c r="A3727" s="8">
        <v>1.9171875000000001E-2</v>
      </c>
    </row>
    <row r="3728" spans="1:1" x14ac:dyDescent="0.25">
      <c r="A3728" s="8">
        <v>1.39375E-2</v>
      </c>
    </row>
    <row r="3729" spans="1:1" x14ac:dyDescent="0.25">
      <c r="A3729" s="8">
        <v>2.0406250000000001E-2</v>
      </c>
    </row>
    <row r="3730" spans="1:1" x14ac:dyDescent="0.25">
      <c r="A3730" s="8">
        <v>1.7953125E-2</v>
      </c>
    </row>
    <row r="3731" spans="1:1" x14ac:dyDescent="0.25">
      <c r="A3731" s="8">
        <v>1.95E-2</v>
      </c>
    </row>
    <row r="3732" spans="1:1" x14ac:dyDescent="0.25">
      <c r="A3732" s="8">
        <v>2.35625E-2</v>
      </c>
    </row>
    <row r="3733" spans="1:1" x14ac:dyDescent="0.25">
      <c r="A3733" s="8">
        <v>2.5796875E-2</v>
      </c>
    </row>
    <row r="3734" spans="1:1" x14ac:dyDescent="0.25">
      <c r="A3734" s="8">
        <v>1.7312500000000001E-2</v>
      </c>
    </row>
    <row r="3735" spans="1:1" x14ac:dyDescent="0.25">
      <c r="A3735" s="8">
        <v>3.115625E-2</v>
      </c>
    </row>
    <row r="3736" spans="1:1" x14ac:dyDescent="0.25">
      <c r="A3736" s="8">
        <v>2.1312500000000002E-2</v>
      </c>
    </row>
    <row r="3737" spans="1:1" x14ac:dyDescent="0.25">
      <c r="A3737" s="8">
        <v>1.98125E-2</v>
      </c>
    </row>
    <row r="3738" spans="1:1" x14ac:dyDescent="0.25">
      <c r="A3738" s="8">
        <v>2.4078124999999999E-2</v>
      </c>
    </row>
    <row r="3739" spans="1:1" x14ac:dyDescent="0.25">
      <c r="A3739" s="8">
        <v>2.5296875E-2</v>
      </c>
    </row>
    <row r="3740" spans="1:1" x14ac:dyDescent="0.25">
      <c r="A3740" s="8">
        <v>1.5390625E-2</v>
      </c>
    </row>
    <row r="3741" spans="1:1" x14ac:dyDescent="0.25">
      <c r="A3741" s="8">
        <v>1.2515625000000001E-2</v>
      </c>
    </row>
    <row r="3742" spans="1:1" x14ac:dyDescent="0.25">
      <c r="A3742" s="8">
        <v>1.1546875E-2</v>
      </c>
    </row>
    <row r="3743" spans="1:1" x14ac:dyDescent="0.25">
      <c r="A3743" s="8">
        <v>1.1671875E-2</v>
      </c>
    </row>
    <row r="3744" spans="1:1" x14ac:dyDescent="0.25">
      <c r="A3744" s="8">
        <v>2.281836000000112E-2</v>
      </c>
    </row>
    <row r="3745" spans="1:1" x14ac:dyDescent="0.25">
      <c r="A3745" s="8">
        <v>7.4296869999998308E-3</v>
      </c>
    </row>
    <row r="3746" spans="1:1" x14ac:dyDescent="0.25">
      <c r="A3746" s="8">
        <v>1.4400390999999218E-2</v>
      </c>
    </row>
    <row r="3747" spans="1:1" x14ac:dyDescent="0.25">
      <c r="A3747" s="8">
        <v>4.9386718999998268E-2</v>
      </c>
    </row>
    <row r="3748" spans="1:1" x14ac:dyDescent="0.25">
      <c r="A3748" s="8">
        <v>1.0371093999998266E-2</v>
      </c>
    </row>
    <row r="3749" spans="1:1" x14ac:dyDescent="0.25">
      <c r="A3749" s="8">
        <v>1.6177734999997483E-2</v>
      </c>
    </row>
    <row r="3750" spans="1:1" x14ac:dyDescent="0.25">
      <c r="A3750" s="8">
        <v>2.1212890999999217E-2</v>
      </c>
    </row>
    <row r="3751" spans="1:1" x14ac:dyDescent="0.25">
      <c r="A3751" s="8">
        <v>1.6085938000003807E-2</v>
      </c>
    </row>
    <row r="3752" spans="1:1" x14ac:dyDescent="0.25">
      <c r="A3752" s="8">
        <v>2.2195311999996192E-2</v>
      </c>
    </row>
    <row r="3753" spans="1:1" x14ac:dyDescent="0.25">
      <c r="A3753" s="8">
        <v>1.4199218999994628E-2</v>
      </c>
    </row>
    <row r="3754" spans="1:1" x14ac:dyDescent="0.25">
      <c r="A3754" s="8">
        <v>1.6621093000001565E-2</v>
      </c>
    </row>
    <row r="3755" spans="1:1" x14ac:dyDescent="0.25">
      <c r="A3755" s="8">
        <v>1.925E-2</v>
      </c>
    </row>
    <row r="3756" spans="1:1" x14ac:dyDescent="0.25">
      <c r="A3756" s="8">
        <v>7.3242190000019037E-3</v>
      </c>
    </row>
    <row r="3757" spans="1:1" x14ac:dyDescent="0.25">
      <c r="A3757" s="8">
        <v>8.7617180000015647E-3</v>
      </c>
    </row>
    <row r="3758" spans="1:1" x14ac:dyDescent="0.25">
      <c r="A3758" s="8">
        <v>1.4136719000001904E-2</v>
      </c>
    </row>
    <row r="3759" spans="1:1" x14ac:dyDescent="0.25">
      <c r="A3759" s="8">
        <v>2.277343700000347E-2</v>
      </c>
    </row>
    <row r="3760" spans="1:1" x14ac:dyDescent="0.25">
      <c r="A3760" s="8">
        <v>1.7968749999999999E-2</v>
      </c>
    </row>
    <row r="3761" spans="1:1" x14ac:dyDescent="0.25">
      <c r="A3761" s="8">
        <v>7.6171870000034687E-3</v>
      </c>
    </row>
    <row r="3762" spans="1:1" x14ac:dyDescent="0.25">
      <c r="A3762" s="8">
        <v>7.4335939999946275E-3</v>
      </c>
    </row>
    <row r="3763" spans="1:1" x14ac:dyDescent="0.25">
      <c r="A3763" s="8">
        <v>1.1335937000003469E-2</v>
      </c>
    </row>
    <row r="3764" spans="1:1" x14ac:dyDescent="0.25">
      <c r="A3764" s="8">
        <v>2.3378905999998097E-2</v>
      </c>
    </row>
    <row r="3765" spans="1:1" x14ac:dyDescent="0.25">
      <c r="A3765" s="8">
        <v>1.1082030999998096E-2</v>
      </c>
    </row>
    <row r="3766" spans="1:1" x14ac:dyDescent="0.25">
      <c r="A3766" s="8">
        <v>1.0406250000000001E-2</v>
      </c>
    </row>
    <row r="3767" spans="1:1" x14ac:dyDescent="0.25">
      <c r="A3767" s="8">
        <v>2.0429686999996192E-2</v>
      </c>
    </row>
    <row r="3768" spans="1:1" x14ac:dyDescent="0.25">
      <c r="A3768" s="8">
        <v>1.5828124999999998E-2</v>
      </c>
    </row>
    <row r="3769" spans="1:1" x14ac:dyDescent="0.25">
      <c r="A3769" s="8">
        <v>2.771875E-2</v>
      </c>
    </row>
    <row r="3770" spans="1:1" x14ac:dyDescent="0.25">
      <c r="A3770" s="8">
        <v>2.3757811999996194E-2</v>
      </c>
    </row>
    <row r="3771" spans="1:1" x14ac:dyDescent="0.25">
      <c r="A3771" s="8">
        <v>1.0765624999999999E-2</v>
      </c>
    </row>
    <row r="3772" spans="1:1" x14ac:dyDescent="0.25">
      <c r="A3772" s="8">
        <v>1.6421874999999999E-2</v>
      </c>
    </row>
    <row r="3773" spans="1:1" x14ac:dyDescent="0.25">
      <c r="A3773" s="8">
        <v>1.6500000000000001E-2</v>
      </c>
    </row>
    <row r="3774" spans="1:1" x14ac:dyDescent="0.25">
      <c r="A3774" s="8">
        <v>1.7968749999999999E-2</v>
      </c>
    </row>
    <row r="3775" spans="1:1" x14ac:dyDescent="0.25">
      <c r="A3775" s="8">
        <v>2.4875000000000001E-2</v>
      </c>
    </row>
    <row r="3776" spans="1:1" x14ac:dyDescent="0.25">
      <c r="A3776" s="8">
        <v>2.3515624999999998E-2</v>
      </c>
    </row>
    <row r="3777" spans="1:1" x14ac:dyDescent="0.25">
      <c r="A3777" s="8">
        <v>2.2976561999996193E-2</v>
      </c>
    </row>
    <row r="3778" spans="1:1" x14ac:dyDescent="0.25">
      <c r="A3778" s="8">
        <v>1.4867186999996193E-2</v>
      </c>
    </row>
    <row r="3779" spans="1:1" x14ac:dyDescent="0.25">
      <c r="A3779" s="8">
        <v>1.3210938000003808E-2</v>
      </c>
    </row>
    <row r="3780" spans="1:1" x14ac:dyDescent="0.25">
      <c r="A3780" s="8">
        <v>1.8960936999996191E-2</v>
      </c>
    </row>
    <row r="3781" spans="1:1" x14ac:dyDescent="0.25">
      <c r="A3781" s="8">
        <v>5.9507811999996191E-2</v>
      </c>
    </row>
    <row r="3782" spans="1:1" x14ac:dyDescent="0.25">
      <c r="A3782" s="8">
        <v>7.4531249999999997E-3</v>
      </c>
    </row>
    <row r="3783" spans="1:1" x14ac:dyDescent="0.25">
      <c r="A3783" s="8">
        <v>1.021875E-2</v>
      </c>
    </row>
    <row r="3784" spans="1:1" x14ac:dyDescent="0.25">
      <c r="A3784" s="8">
        <v>2.1742186999996194E-2</v>
      </c>
    </row>
    <row r="3785" spans="1:1" x14ac:dyDescent="0.25">
      <c r="A3785" s="8">
        <v>1.9242188000003806E-2</v>
      </c>
    </row>
    <row r="3786" spans="1:1" x14ac:dyDescent="0.25">
      <c r="A3786" s="8">
        <v>1.3289063000003808E-2</v>
      </c>
    </row>
    <row r="3787" spans="1:1" x14ac:dyDescent="0.25">
      <c r="A3787" s="8">
        <v>2.5953125E-2</v>
      </c>
    </row>
    <row r="3788" spans="1:1" x14ac:dyDescent="0.25">
      <c r="A3788" s="8">
        <v>7.4531249999999997E-3</v>
      </c>
    </row>
    <row r="3789" spans="1:1" x14ac:dyDescent="0.25">
      <c r="A3789" s="8">
        <v>1.328125E-2</v>
      </c>
    </row>
    <row r="3790" spans="1:1" x14ac:dyDescent="0.25">
      <c r="A3790" s="8">
        <v>1.61875E-2</v>
      </c>
    </row>
    <row r="3791" spans="1:1" x14ac:dyDescent="0.25">
      <c r="A3791" s="8">
        <v>2.2828125000000001E-2</v>
      </c>
    </row>
    <row r="3792" spans="1:1" x14ac:dyDescent="0.25">
      <c r="A3792" s="8">
        <v>2.0765624999999999E-2</v>
      </c>
    </row>
    <row r="3793" spans="1:1" x14ac:dyDescent="0.25">
      <c r="A3793" s="8">
        <v>1.4125E-2</v>
      </c>
    </row>
    <row r="3794" spans="1:1" x14ac:dyDescent="0.25">
      <c r="A3794" s="8">
        <v>2.0109374999999999E-2</v>
      </c>
    </row>
    <row r="3795" spans="1:1" x14ac:dyDescent="0.25">
      <c r="A3795" s="8">
        <v>8.8437499999999992E-3</v>
      </c>
    </row>
    <row r="3796" spans="1:1" x14ac:dyDescent="0.25">
      <c r="A3796" s="8">
        <v>1.5625E-2</v>
      </c>
    </row>
    <row r="3797" spans="1:1" x14ac:dyDescent="0.25">
      <c r="A3797" s="8">
        <v>2.0468750000000001E-2</v>
      </c>
    </row>
    <row r="3798" spans="1:1" x14ac:dyDescent="0.25">
      <c r="A3798" s="8">
        <v>2.4468750000000001E-2</v>
      </c>
    </row>
    <row r="3799" spans="1:1" x14ac:dyDescent="0.25">
      <c r="A3799" s="8">
        <v>1.7796875E-2</v>
      </c>
    </row>
    <row r="3800" spans="1:1" x14ac:dyDescent="0.25">
      <c r="A3800" s="8">
        <v>1.2140625E-2</v>
      </c>
    </row>
    <row r="3801" spans="1:1" x14ac:dyDescent="0.25">
      <c r="A3801" s="8">
        <v>1.6546874999999999E-2</v>
      </c>
    </row>
    <row r="3802" spans="1:1" x14ac:dyDescent="0.25">
      <c r="A3802" s="8">
        <v>2.0234374999999999E-2</v>
      </c>
    </row>
    <row r="3803" spans="1:1" x14ac:dyDescent="0.25">
      <c r="A3803" s="8">
        <v>1.6453124999999999E-2</v>
      </c>
    </row>
    <row r="3804" spans="1:1" x14ac:dyDescent="0.25">
      <c r="A3804" s="8">
        <v>2.328125E-2</v>
      </c>
    </row>
    <row r="3805" spans="1:1" x14ac:dyDescent="0.25">
      <c r="A3805" s="8">
        <v>8.9531249999999993E-3</v>
      </c>
    </row>
    <row r="3806" spans="1:1" x14ac:dyDescent="0.25">
      <c r="A3806" s="8">
        <v>1.35E-2</v>
      </c>
    </row>
    <row r="3807" spans="1:1" x14ac:dyDescent="0.25">
      <c r="A3807" s="8">
        <v>2.0203124999999999E-2</v>
      </c>
    </row>
    <row r="3808" spans="1:1" x14ac:dyDescent="0.25">
      <c r="A3808" s="8">
        <v>2.0625000000000001E-2</v>
      </c>
    </row>
    <row r="3809" spans="1:1" x14ac:dyDescent="0.25">
      <c r="A3809" s="8">
        <v>1.1859375E-2</v>
      </c>
    </row>
    <row r="3810" spans="1:1" x14ac:dyDescent="0.25">
      <c r="A3810" s="8">
        <v>2.0300781000001735E-2</v>
      </c>
    </row>
    <row r="3811" spans="1:1" x14ac:dyDescent="0.25">
      <c r="A3811" s="8">
        <v>1.5675781999998434E-2</v>
      </c>
    </row>
    <row r="3812" spans="1:1" x14ac:dyDescent="0.25">
      <c r="A3812" s="8">
        <v>1.7990234999997481E-2</v>
      </c>
    </row>
    <row r="3813" spans="1:1" x14ac:dyDescent="0.25">
      <c r="A3813" s="8">
        <v>1.3265625E-2</v>
      </c>
    </row>
    <row r="3814" spans="1:1" x14ac:dyDescent="0.25">
      <c r="A3814" s="8">
        <v>1.8197265999999216E-2</v>
      </c>
    </row>
    <row r="3815" spans="1:1" x14ac:dyDescent="0.25">
      <c r="A3815" s="8">
        <v>1.5662109000000781E-2</v>
      </c>
    </row>
    <row r="3816" spans="1:1" x14ac:dyDescent="0.25">
      <c r="A3816" s="8">
        <v>1.6636719000001902E-2</v>
      </c>
    </row>
    <row r="3817" spans="1:1" x14ac:dyDescent="0.25">
      <c r="A3817" s="8">
        <v>2.0210938000003807E-2</v>
      </c>
    </row>
    <row r="3818" spans="1:1" x14ac:dyDescent="0.25">
      <c r="A3818" s="8">
        <v>1.1105469000001904E-2</v>
      </c>
    </row>
    <row r="3819" spans="1:1" x14ac:dyDescent="0.25">
      <c r="A3819" s="8">
        <v>1.1058594000001904E-2</v>
      </c>
    </row>
    <row r="3820" spans="1:1" x14ac:dyDescent="0.25">
      <c r="A3820" s="8">
        <v>1.0328125E-2</v>
      </c>
    </row>
    <row r="3821" spans="1:1" x14ac:dyDescent="0.25">
      <c r="A3821" s="8">
        <v>1.1046874999999999E-2</v>
      </c>
    </row>
    <row r="3822" spans="1:1" x14ac:dyDescent="0.25">
      <c r="A3822" s="8">
        <v>2.8257813000003806E-2</v>
      </c>
    </row>
    <row r="3823" spans="1:1" x14ac:dyDescent="0.25">
      <c r="A3823" s="8">
        <v>7.0906250000000004E-2</v>
      </c>
    </row>
    <row r="3824" spans="1:1" x14ac:dyDescent="0.25">
      <c r="A3824" s="8">
        <v>8.7578120000034679E-3</v>
      </c>
    </row>
    <row r="3825" spans="1:1" x14ac:dyDescent="0.25">
      <c r="A3825" s="8">
        <v>1.2691405999998096E-2</v>
      </c>
    </row>
    <row r="3826" spans="1:1" x14ac:dyDescent="0.25">
      <c r="A3826" s="8">
        <v>1.8765625000000001E-2</v>
      </c>
    </row>
    <row r="3827" spans="1:1" x14ac:dyDescent="0.25">
      <c r="A3827" s="8">
        <v>1.4066406999998435E-2</v>
      </c>
    </row>
    <row r="3828" spans="1:1" x14ac:dyDescent="0.25">
      <c r="A3828" s="8">
        <v>1.4363280999998096E-2</v>
      </c>
    </row>
    <row r="3829" spans="1:1" x14ac:dyDescent="0.25">
      <c r="A3829" s="8">
        <v>1.5621094000001903E-2</v>
      </c>
    </row>
    <row r="3830" spans="1:1" x14ac:dyDescent="0.25">
      <c r="A3830" s="8">
        <v>1.5441405999998097E-2</v>
      </c>
    </row>
    <row r="3831" spans="1:1" x14ac:dyDescent="0.25">
      <c r="A3831" s="8">
        <v>2.2699219000001904E-2</v>
      </c>
    </row>
    <row r="3832" spans="1:1" x14ac:dyDescent="0.25">
      <c r="A3832" s="8">
        <v>2.6085938000003809E-2</v>
      </c>
    </row>
    <row r="3833" spans="1:1" x14ac:dyDescent="0.25">
      <c r="A3833" s="8">
        <v>2.2242188000003806E-2</v>
      </c>
    </row>
    <row r="3834" spans="1:1" x14ac:dyDescent="0.25">
      <c r="A3834" s="8">
        <v>1.4445312999996532E-2</v>
      </c>
    </row>
    <row r="3835" spans="1:1" x14ac:dyDescent="0.25">
      <c r="A3835" s="8">
        <v>1.9011719000001905E-2</v>
      </c>
    </row>
    <row r="3836" spans="1:1" x14ac:dyDescent="0.25">
      <c r="A3836" s="8">
        <v>1.1339843999994628E-2</v>
      </c>
    </row>
    <row r="3837" spans="1:1" x14ac:dyDescent="0.25">
      <c r="A3837" s="8">
        <v>1.1523436999996193E-2</v>
      </c>
    </row>
    <row r="3838" spans="1:1" x14ac:dyDescent="0.25">
      <c r="A3838" s="8">
        <v>2.0523436999996193E-2</v>
      </c>
    </row>
    <row r="3839" spans="1:1" x14ac:dyDescent="0.25">
      <c r="A3839" s="8">
        <v>2.0976563000003806E-2</v>
      </c>
    </row>
    <row r="3840" spans="1:1" x14ac:dyDescent="0.25">
      <c r="A3840" s="8">
        <v>8.6484380000038073E-3</v>
      </c>
    </row>
    <row r="3841" spans="1:1" x14ac:dyDescent="0.25">
      <c r="A3841" s="8">
        <v>2.0320311999996194E-2</v>
      </c>
    </row>
    <row r="3842" spans="1:1" x14ac:dyDescent="0.25">
      <c r="A3842" s="8">
        <v>1.8179686999996194E-2</v>
      </c>
    </row>
    <row r="3843" spans="1:1" x14ac:dyDescent="0.25">
      <c r="A3843" s="8">
        <v>8.6562500000000007E-3</v>
      </c>
    </row>
    <row r="3844" spans="1:1" x14ac:dyDescent="0.25">
      <c r="A3844" s="8">
        <v>1.6734374999999999E-2</v>
      </c>
    </row>
    <row r="3845" spans="1:1" x14ac:dyDescent="0.25">
      <c r="A3845" s="8">
        <v>2.1179688000003808E-2</v>
      </c>
    </row>
    <row r="3846" spans="1:1" x14ac:dyDescent="0.25">
      <c r="A3846" s="8">
        <v>1.8109375E-2</v>
      </c>
    </row>
    <row r="3847" spans="1:1" x14ac:dyDescent="0.25">
      <c r="A3847" s="8">
        <v>1.4101563000003807E-2</v>
      </c>
    </row>
    <row r="3848" spans="1:1" x14ac:dyDescent="0.25">
      <c r="A3848" s="8">
        <v>7.6874999999999999E-3</v>
      </c>
    </row>
    <row r="3849" spans="1:1" x14ac:dyDescent="0.25">
      <c r="A3849" s="8">
        <v>7.6562499999999999E-3</v>
      </c>
    </row>
    <row r="3850" spans="1:1" x14ac:dyDescent="0.25">
      <c r="A3850" s="8">
        <v>2.7109375000000002E-2</v>
      </c>
    </row>
    <row r="3851" spans="1:1" x14ac:dyDescent="0.25">
      <c r="A3851" s="8">
        <v>3.3664061999996192E-2</v>
      </c>
    </row>
    <row r="3852" spans="1:1" x14ac:dyDescent="0.25">
      <c r="A3852" s="8">
        <v>1.3554686999996193E-2</v>
      </c>
    </row>
    <row r="3853" spans="1:1" x14ac:dyDescent="0.25">
      <c r="A3853" s="8">
        <v>1.3109375E-2</v>
      </c>
    </row>
    <row r="3854" spans="1:1" x14ac:dyDescent="0.25">
      <c r="A3854" s="8">
        <v>0.14331250000000001</v>
      </c>
    </row>
    <row r="3855" spans="1:1" x14ac:dyDescent="0.25">
      <c r="A3855" s="8">
        <v>7.4062499999999996E-3</v>
      </c>
    </row>
    <row r="3856" spans="1:1" x14ac:dyDescent="0.25">
      <c r="A3856" s="8">
        <v>1.6500000000000001E-2</v>
      </c>
    </row>
    <row r="3857" spans="1:1" x14ac:dyDescent="0.25">
      <c r="A3857" s="8">
        <v>1.9921874999999999E-2</v>
      </c>
    </row>
    <row r="3858" spans="1:1" x14ac:dyDescent="0.25">
      <c r="A3858" s="8">
        <v>7.7578130000038074E-3</v>
      </c>
    </row>
    <row r="3859" spans="1:1" x14ac:dyDescent="0.25">
      <c r="A3859" s="8">
        <v>2.334375E-2</v>
      </c>
    </row>
    <row r="3860" spans="1:1" x14ac:dyDescent="0.25">
      <c r="A3860" s="8">
        <v>7.859375E-3</v>
      </c>
    </row>
    <row r="3861" spans="1:1" x14ac:dyDescent="0.25">
      <c r="A3861" s="8">
        <v>1.7937499999999999E-2</v>
      </c>
    </row>
    <row r="3862" spans="1:1" x14ac:dyDescent="0.25">
      <c r="A3862" s="8">
        <v>2.0648436999996193E-2</v>
      </c>
    </row>
    <row r="3863" spans="1:1" x14ac:dyDescent="0.25">
      <c r="A3863" s="8">
        <v>2.0789061999996191E-2</v>
      </c>
    </row>
    <row r="3864" spans="1:1" x14ac:dyDescent="0.25">
      <c r="A3864" s="8">
        <v>1.3679686999996193E-2</v>
      </c>
    </row>
    <row r="3865" spans="1:1" x14ac:dyDescent="0.25">
      <c r="A3865" s="8">
        <v>2.0828124999999999E-2</v>
      </c>
    </row>
    <row r="3866" spans="1:1" x14ac:dyDescent="0.25">
      <c r="A3866" s="8">
        <v>1.9390625000000002E-2</v>
      </c>
    </row>
    <row r="3867" spans="1:1" x14ac:dyDescent="0.25">
      <c r="A3867" s="8">
        <v>2.4820313000003806E-2</v>
      </c>
    </row>
    <row r="3868" spans="1:1" x14ac:dyDescent="0.25">
      <c r="A3868" s="8">
        <v>7.7187499999999999E-3</v>
      </c>
    </row>
    <row r="3869" spans="1:1" x14ac:dyDescent="0.25">
      <c r="A3869" s="8">
        <v>1.9820313000003809E-2</v>
      </c>
    </row>
    <row r="3870" spans="1:1" x14ac:dyDescent="0.25">
      <c r="A3870" s="8">
        <v>1.9976563000003809E-2</v>
      </c>
    </row>
    <row r="3871" spans="1:1" x14ac:dyDescent="0.25">
      <c r="A3871" s="8">
        <v>1.6750000000000001E-2</v>
      </c>
    </row>
    <row r="3872" spans="1:1" x14ac:dyDescent="0.25">
      <c r="A3872" s="8">
        <v>7.6718749999999999E-3</v>
      </c>
    </row>
    <row r="3873" spans="1:1" x14ac:dyDescent="0.25">
      <c r="A3873" s="8">
        <v>8.7656250000000008E-3</v>
      </c>
    </row>
    <row r="3874" spans="1:1" x14ac:dyDescent="0.25">
      <c r="A3874" s="8">
        <v>8.7812500000000009E-3</v>
      </c>
    </row>
    <row r="3875" spans="1:1" x14ac:dyDescent="0.25">
      <c r="A3875" s="8">
        <v>1.6812500000000001E-2</v>
      </c>
    </row>
    <row r="3876" spans="1:1" x14ac:dyDescent="0.25">
      <c r="A3876" s="8">
        <v>1.90625E-2</v>
      </c>
    </row>
    <row r="3877" spans="1:1" x14ac:dyDescent="0.25">
      <c r="A3877" s="8">
        <v>2.0375000000000001E-2</v>
      </c>
    </row>
    <row r="3878" spans="1:1" x14ac:dyDescent="0.25">
      <c r="A3878" s="8">
        <v>2.0140624999999999E-2</v>
      </c>
    </row>
    <row r="3879" spans="1:1" x14ac:dyDescent="0.25">
      <c r="A3879" s="8">
        <v>1.6218750000000001E-2</v>
      </c>
    </row>
    <row r="3880" spans="1:1" x14ac:dyDescent="0.25">
      <c r="A3880" s="8">
        <v>8.8124999999999992E-3</v>
      </c>
    </row>
    <row r="3881" spans="1:1" x14ac:dyDescent="0.25">
      <c r="A3881" s="8">
        <v>2.1687499999999998E-2</v>
      </c>
    </row>
    <row r="3882" spans="1:1" x14ac:dyDescent="0.25">
      <c r="A3882" s="8">
        <v>9.6874999999999999E-3</v>
      </c>
    </row>
    <row r="3883" spans="1:1" x14ac:dyDescent="0.25">
      <c r="A3883" s="8">
        <v>2.334375E-2</v>
      </c>
    </row>
    <row r="3884" spans="1:1" x14ac:dyDescent="0.25">
      <c r="A3884" s="8">
        <v>2.0937500000000001E-2</v>
      </c>
    </row>
    <row r="3885" spans="1:1" x14ac:dyDescent="0.25">
      <c r="A3885" s="8">
        <v>1.990625E-2</v>
      </c>
    </row>
    <row r="3886" spans="1:1" x14ac:dyDescent="0.25">
      <c r="A3886" s="8">
        <v>2.0312500000000001E-2</v>
      </c>
    </row>
    <row r="3887" spans="1:1" x14ac:dyDescent="0.25">
      <c r="A3887" s="8">
        <v>2.8843750000000001E-2</v>
      </c>
    </row>
    <row r="3888" spans="1:1" x14ac:dyDescent="0.25">
      <c r="A3888" s="8">
        <v>1.8640625000000001E-2</v>
      </c>
    </row>
    <row r="3889" spans="1:1" x14ac:dyDescent="0.25">
      <c r="A3889" s="8">
        <v>1.6078124999999999E-2</v>
      </c>
    </row>
    <row r="3890" spans="1:1" x14ac:dyDescent="0.25">
      <c r="A3890" s="8">
        <v>7.8125E-3</v>
      </c>
    </row>
    <row r="3891" spans="1:1" x14ac:dyDescent="0.25">
      <c r="A3891" s="8">
        <v>1.1058593000001565E-2</v>
      </c>
    </row>
    <row r="3892" spans="1:1" x14ac:dyDescent="0.25">
      <c r="A3892" s="8">
        <v>1.8638671999997313E-2</v>
      </c>
    </row>
    <row r="3893" spans="1:1" x14ac:dyDescent="0.25">
      <c r="A3893" s="8">
        <v>2.6404296000000615E-2</v>
      </c>
    </row>
    <row r="3894" spans="1:1" x14ac:dyDescent="0.25">
      <c r="A3894" s="8">
        <v>2.1771484999997485E-2</v>
      </c>
    </row>
    <row r="3895" spans="1:1" x14ac:dyDescent="0.25">
      <c r="A3895" s="8">
        <v>1.0988281999998436E-2</v>
      </c>
    </row>
    <row r="3896" spans="1:1" x14ac:dyDescent="0.25">
      <c r="A3896" s="8">
        <v>1.9917968000001566E-2</v>
      </c>
    </row>
    <row r="3897" spans="1:1" x14ac:dyDescent="0.25">
      <c r="A3897" s="8">
        <v>1.3964843000001566E-2</v>
      </c>
    </row>
    <row r="3898" spans="1:1" x14ac:dyDescent="0.25">
      <c r="A3898" s="8">
        <v>1.7246093999994629E-2</v>
      </c>
    </row>
    <row r="3899" spans="1:1" x14ac:dyDescent="0.25">
      <c r="A3899" s="8">
        <v>2.3535155999998097E-2</v>
      </c>
    </row>
    <row r="3900" spans="1:1" x14ac:dyDescent="0.25">
      <c r="A3900" s="8">
        <v>1.9417969000001905E-2</v>
      </c>
    </row>
    <row r="3901" spans="1:1" x14ac:dyDescent="0.25">
      <c r="A3901" s="8">
        <v>1.7605468000001564E-2</v>
      </c>
    </row>
    <row r="3902" spans="1:1" x14ac:dyDescent="0.25">
      <c r="A3902" s="8">
        <v>1.0546875000000001E-2</v>
      </c>
    </row>
    <row r="3903" spans="1:1" x14ac:dyDescent="0.25">
      <c r="A3903" s="8">
        <v>7.683594000001904E-3</v>
      </c>
    </row>
    <row r="3904" spans="1:1" x14ac:dyDescent="0.25">
      <c r="A3904" s="8">
        <v>1.5136718000001565E-2</v>
      </c>
    </row>
    <row r="3905" spans="1:1" x14ac:dyDescent="0.25">
      <c r="A3905" s="8">
        <v>7.9101560000053722E-3</v>
      </c>
    </row>
    <row r="3906" spans="1:1" x14ac:dyDescent="0.25">
      <c r="A3906" s="8">
        <v>2.2535156000005371E-2</v>
      </c>
    </row>
    <row r="3907" spans="1:1" x14ac:dyDescent="0.25">
      <c r="A3907" s="8">
        <v>1.1089844000001904E-2</v>
      </c>
    </row>
    <row r="3908" spans="1:1" x14ac:dyDescent="0.25">
      <c r="A3908" s="8">
        <v>2.2957030999998098E-2</v>
      </c>
    </row>
    <row r="3909" spans="1:1" x14ac:dyDescent="0.25">
      <c r="A3909" s="8">
        <v>1.7359375E-2</v>
      </c>
    </row>
    <row r="3910" spans="1:1" x14ac:dyDescent="0.25">
      <c r="A3910" s="8">
        <v>1.7250000000000001E-2</v>
      </c>
    </row>
    <row r="3911" spans="1:1" x14ac:dyDescent="0.25">
      <c r="A3911" s="8">
        <v>1.1773438000003807E-2</v>
      </c>
    </row>
    <row r="3912" spans="1:1" x14ac:dyDescent="0.25">
      <c r="A3912" s="8">
        <v>2.4984375E-2</v>
      </c>
    </row>
    <row r="3913" spans="1:1" x14ac:dyDescent="0.25">
      <c r="A3913" s="8">
        <v>1.8578125000000001E-2</v>
      </c>
    </row>
    <row r="3914" spans="1:1" x14ac:dyDescent="0.25">
      <c r="A3914" s="8">
        <v>1.7101561999996191E-2</v>
      </c>
    </row>
    <row r="3915" spans="1:1" x14ac:dyDescent="0.25">
      <c r="A3915" s="8">
        <v>7.796875E-3</v>
      </c>
    </row>
    <row r="3916" spans="1:1" x14ac:dyDescent="0.25">
      <c r="A3916" s="8">
        <v>1.6109374999999999E-2</v>
      </c>
    </row>
    <row r="3917" spans="1:1" x14ac:dyDescent="0.25">
      <c r="A3917" s="8">
        <v>1.1117188000003808E-2</v>
      </c>
    </row>
    <row r="3918" spans="1:1" x14ac:dyDescent="0.25">
      <c r="A3918" s="8">
        <v>2.4359374999999999E-2</v>
      </c>
    </row>
    <row r="3919" spans="1:1" x14ac:dyDescent="0.25">
      <c r="A3919" s="8">
        <v>1.353125E-2</v>
      </c>
    </row>
    <row r="3920" spans="1:1" x14ac:dyDescent="0.25">
      <c r="A3920" s="8">
        <v>1.559375E-2</v>
      </c>
    </row>
    <row r="3921" spans="1:1" x14ac:dyDescent="0.25">
      <c r="A3921" s="8">
        <v>1.1515625E-2</v>
      </c>
    </row>
    <row r="3922" spans="1:1" x14ac:dyDescent="0.25">
      <c r="A3922" s="8">
        <v>2.0132813000003809E-2</v>
      </c>
    </row>
    <row r="3923" spans="1:1" x14ac:dyDescent="0.25">
      <c r="A3923" s="8">
        <v>1.1328125E-2</v>
      </c>
    </row>
    <row r="3924" spans="1:1" x14ac:dyDescent="0.25">
      <c r="A3924" s="8">
        <v>1.53125E-2</v>
      </c>
    </row>
    <row r="3925" spans="1:1" x14ac:dyDescent="0.25">
      <c r="A3925" s="8">
        <v>1.3820311999996194E-2</v>
      </c>
    </row>
    <row r="3926" spans="1:1" x14ac:dyDescent="0.25">
      <c r="A3926" s="8">
        <v>1.1124999999999999E-2</v>
      </c>
    </row>
    <row r="3927" spans="1:1" x14ac:dyDescent="0.25">
      <c r="A3927" s="8">
        <v>1.0984374999999999E-2</v>
      </c>
    </row>
    <row r="3928" spans="1:1" x14ac:dyDescent="0.25">
      <c r="A3928" s="8">
        <v>2.0937500000000001E-2</v>
      </c>
    </row>
    <row r="3929" spans="1:1" x14ac:dyDescent="0.25">
      <c r="A3929" s="8">
        <v>1.3492186999996193E-2</v>
      </c>
    </row>
    <row r="3930" spans="1:1" x14ac:dyDescent="0.25">
      <c r="A3930" s="8">
        <v>1.98125E-2</v>
      </c>
    </row>
    <row r="3931" spans="1:1" x14ac:dyDescent="0.25">
      <c r="A3931" s="8">
        <v>1.9570311999996193E-2</v>
      </c>
    </row>
    <row r="3932" spans="1:1" x14ac:dyDescent="0.25">
      <c r="A3932" s="8">
        <v>1.375E-2</v>
      </c>
    </row>
    <row r="3933" spans="1:1" x14ac:dyDescent="0.25">
      <c r="A3933" s="8">
        <v>1.6601561999996194E-2</v>
      </c>
    </row>
    <row r="3934" spans="1:1" x14ac:dyDescent="0.25">
      <c r="A3934" s="8">
        <v>2.1250000000000002E-2</v>
      </c>
    </row>
    <row r="3935" spans="1:1" x14ac:dyDescent="0.25">
      <c r="A3935" s="8">
        <v>9.2812499999999996E-3</v>
      </c>
    </row>
    <row r="3936" spans="1:1" x14ac:dyDescent="0.25">
      <c r="A3936" s="8">
        <v>1.375E-2</v>
      </c>
    </row>
    <row r="3937" spans="1:1" x14ac:dyDescent="0.25">
      <c r="A3937" s="8">
        <v>2.2898438000003806E-2</v>
      </c>
    </row>
    <row r="3938" spans="1:1" x14ac:dyDescent="0.25">
      <c r="A3938" s="8">
        <v>1.7140625E-2</v>
      </c>
    </row>
    <row r="3939" spans="1:1" x14ac:dyDescent="0.25">
      <c r="A3939" s="8">
        <v>1.0890624999999999E-2</v>
      </c>
    </row>
    <row r="3940" spans="1:1" x14ac:dyDescent="0.25">
      <c r="A3940" s="8">
        <v>1.3234375E-2</v>
      </c>
    </row>
    <row r="3941" spans="1:1" x14ac:dyDescent="0.25">
      <c r="A3941" s="8">
        <v>1.54375E-2</v>
      </c>
    </row>
    <row r="3942" spans="1:1" x14ac:dyDescent="0.25">
      <c r="A3942" s="8">
        <v>2.8656250000000001E-2</v>
      </c>
    </row>
    <row r="3943" spans="1:1" x14ac:dyDescent="0.25">
      <c r="A3943" s="8">
        <v>1.6578124999999999E-2</v>
      </c>
    </row>
    <row r="3944" spans="1:1" x14ac:dyDescent="0.25">
      <c r="A3944" s="8">
        <v>1.00625E-2</v>
      </c>
    </row>
    <row r="3945" spans="1:1" x14ac:dyDescent="0.25">
      <c r="A3945" s="8">
        <v>1.4687499999999999E-2</v>
      </c>
    </row>
    <row r="3946" spans="1:1" x14ac:dyDescent="0.25">
      <c r="A3946" s="8">
        <v>1.3953125E-2</v>
      </c>
    </row>
    <row r="3947" spans="1:1" x14ac:dyDescent="0.25">
      <c r="A3947" s="8">
        <v>1.028125E-2</v>
      </c>
    </row>
    <row r="3948" spans="1:1" x14ac:dyDescent="0.25">
      <c r="A3948" s="8">
        <v>2.6109375000000001E-2</v>
      </c>
    </row>
    <row r="3949" spans="1:1" x14ac:dyDescent="0.25">
      <c r="A3949" s="8">
        <v>2.1109375E-2</v>
      </c>
    </row>
    <row r="3950" spans="1:1" x14ac:dyDescent="0.25">
      <c r="A3950" s="8">
        <v>1.1578125E-2</v>
      </c>
    </row>
    <row r="3951" spans="1:1" x14ac:dyDescent="0.25">
      <c r="A3951" s="8">
        <v>2.7078125000000001E-2</v>
      </c>
    </row>
    <row r="3952" spans="1:1" x14ac:dyDescent="0.25">
      <c r="A3952" s="8">
        <v>1.521875E-2</v>
      </c>
    </row>
    <row r="3953" spans="1:1" x14ac:dyDescent="0.25">
      <c r="A3953" s="8">
        <v>1.5265625E-2</v>
      </c>
    </row>
    <row r="3954" spans="1:1" x14ac:dyDescent="0.25">
      <c r="A3954" s="8">
        <v>1.178125E-2</v>
      </c>
    </row>
    <row r="3955" spans="1:1" x14ac:dyDescent="0.25">
      <c r="A3955" s="8">
        <v>2.6248047000000951E-2</v>
      </c>
    </row>
    <row r="3956" spans="1:1" x14ac:dyDescent="0.25">
      <c r="A3956" s="8">
        <v>8.6015619999998301E-3</v>
      </c>
    </row>
    <row r="3957" spans="1:1" x14ac:dyDescent="0.25">
      <c r="A3957" s="8">
        <v>1.4761718999998265E-2</v>
      </c>
    </row>
    <row r="3958" spans="1:1" x14ac:dyDescent="0.25">
      <c r="A3958" s="8">
        <v>2.0443360000001121E-2</v>
      </c>
    </row>
    <row r="3959" spans="1:1" x14ac:dyDescent="0.25">
      <c r="A3959" s="8">
        <v>2.1296875E-2</v>
      </c>
    </row>
    <row r="3960" spans="1:1" x14ac:dyDescent="0.25">
      <c r="A3960" s="8">
        <v>2.0716796999997313E-2</v>
      </c>
    </row>
    <row r="3961" spans="1:1" x14ac:dyDescent="0.25">
      <c r="A3961" s="8">
        <v>1.1753905999998097E-2</v>
      </c>
    </row>
    <row r="3962" spans="1:1" x14ac:dyDescent="0.25">
      <c r="A3962" s="8">
        <v>2.441406299999653E-2</v>
      </c>
    </row>
    <row r="3963" spans="1:1" x14ac:dyDescent="0.25">
      <c r="A3963" s="8">
        <v>3.0136719000001904E-2</v>
      </c>
    </row>
    <row r="3964" spans="1:1" x14ac:dyDescent="0.25">
      <c r="A3964" s="8">
        <v>1.1667968000001566E-2</v>
      </c>
    </row>
    <row r="3965" spans="1:1" x14ac:dyDescent="0.25">
      <c r="A3965" s="8">
        <v>2.2066405999998095E-2</v>
      </c>
    </row>
    <row r="3966" spans="1:1" x14ac:dyDescent="0.25">
      <c r="A3966" s="8">
        <v>2.1375000000000002E-2</v>
      </c>
    </row>
    <row r="3967" spans="1:1" x14ac:dyDescent="0.25">
      <c r="A3967" s="8">
        <v>1.7777343999994626E-2</v>
      </c>
    </row>
    <row r="3968" spans="1:1" x14ac:dyDescent="0.25">
      <c r="A3968" s="8">
        <v>1.9265625000000001E-2</v>
      </c>
    </row>
    <row r="3969" spans="1:1" x14ac:dyDescent="0.25">
      <c r="A3969" s="8">
        <v>1.3804687000003469E-2</v>
      </c>
    </row>
    <row r="3970" spans="1:1" x14ac:dyDescent="0.25">
      <c r="A3970" s="8">
        <v>1.8421875000000001E-2</v>
      </c>
    </row>
    <row r="3971" spans="1:1" x14ac:dyDescent="0.25">
      <c r="A3971" s="8">
        <v>1.4253905999998097E-2</v>
      </c>
    </row>
    <row r="3972" spans="1:1" x14ac:dyDescent="0.25">
      <c r="A3972" s="8">
        <v>9.0390629999965305E-3</v>
      </c>
    </row>
    <row r="3973" spans="1:1" x14ac:dyDescent="0.25">
      <c r="A3973" s="8">
        <v>1.7214843999994629E-2</v>
      </c>
    </row>
    <row r="3974" spans="1:1" x14ac:dyDescent="0.25">
      <c r="A3974" s="8">
        <v>1.8121093000001566E-2</v>
      </c>
    </row>
    <row r="3975" spans="1:1" x14ac:dyDescent="0.25">
      <c r="A3975" s="8">
        <v>1.3773436999996194E-2</v>
      </c>
    </row>
    <row r="3976" spans="1:1" x14ac:dyDescent="0.25">
      <c r="A3976" s="8">
        <v>8.7421880000038074E-3</v>
      </c>
    </row>
    <row r="3977" spans="1:1" x14ac:dyDescent="0.25">
      <c r="A3977" s="8">
        <v>1.7746093000001566E-2</v>
      </c>
    </row>
    <row r="3978" spans="1:1" x14ac:dyDescent="0.25">
      <c r="A3978" s="8">
        <v>1.8605469000001904E-2</v>
      </c>
    </row>
    <row r="3979" spans="1:1" x14ac:dyDescent="0.25">
      <c r="A3979" s="8">
        <v>7.828125E-3</v>
      </c>
    </row>
    <row r="3980" spans="1:1" x14ac:dyDescent="0.25">
      <c r="A3980" s="8">
        <v>7.4062499999999996E-3</v>
      </c>
    </row>
    <row r="3981" spans="1:1" x14ac:dyDescent="0.25">
      <c r="A3981" s="8">
        <v>7.4531249999999997E-3</v>
      </c>
    </row>
    <row r="3982" spans="1:1" x14ac:dyDescent="0.25">
      <c r="A3982" s="8">
        <v>8.9531249999999993E-3</v>
      </c>
    </row>
    <row r="3983" spans="1:1" x14ac:dyDescent="0.25">
      <c r="A3983" s="8">
        <v>1.9664061999996194E-2</v>
      </c>
    </row>
    <row r="3984" spans="1:1" x14ac:dyDescent="0.25">
      <c r="A3984" s="8">
        <v>1.9679688000003807E-2</v>
      </c>
    </row>
    <row r="3985" spans="1:1" x14ac:dyDescent="0.25">
      <c r="A3985" s="8">
        <v>2.2976561999996193E-2</v>
      </c>
    </row>
    <row r="3986" spans="1:1" x14ac:dyDescent="0.25">
      <c r="A3986" s="8">
        <v>2.3390625000000002E-2</v>
      </c>
    </row>
    <row r="3987" spans="1:1" x14ac:dyDescent="0.25">
      <c r="A3987" s="8">
        <v>2.6929688000003806E-2</v>
      </c>
    </row>
    <row r="3988" spans="1:1" x14ac:dyDescent="0.25">
      <c r="A3988" s="8">
        <v>1.7968749999999999E-2</v>
      </c>
    </row>
    <row r="3989" spans="1:1" x14ac:dyDescent="0.25">
      <c r="A3989" s="8">
        <v>2.8117188000003807E-2</v>
      </c>
    </row>
    <row r="3990" spans="1:1" x14ac:dyDescent="0.25">
      <c r="A3990" s="8">
        <v>1.5640624999999998E-2</v>
      </c>
    </row>
    <row r="3991" spans="1:1" x14ac:dyDescent="0.25">
      <c r="A3991" s="8">
        <v>2.684375E-2</v>
      </c>
    </row>
    <row r="3992" spans="1:1" x14ac:dyDescent="0.25">
      <c r="A3992" s="8">
        <v>1.7265625E-2</v>
      </c>
    </row>
    <row r="3993" spans="1:1" x14ac:dyDescent="0.25">
      <c r="A3993" s="8">
        <v>2.6570313000003808E-2</v>
      </c>
    </row>
    <row r="3994" spans="1:1" x14ac:dyDescent="0.25">
      <c r="A3994" s="8">
        <v>1.1289063000003808E-2</v>
      </c>
    </row>
    <row r="3995" spans="1:1" x14ac:dyDescent="0.25">
      <c r="A3995" s="8">
        <v>1.2460936999996192E-2</v>
      </c>
    </row>
    <row r="3996" spans="1:1" x14ac:dyDescent="0.25">
      <c r="A3996" s="8">
        <v>2.1109375E-2</v>
      </c>
    </row>
    <row r="3997" spans="1:1" x14ac:dyDescent="0.25">
      <c r="A3997" s="8">
        <v>2.0367186999996192E-2</v>
      </c>
    </row>
    <row r="3998" spans="1:1" x14ac:dyDescent="0.25">
      <c r="A3998" s="8">
        <v>1.7468750000000002E-2</v>
      </c>
    </row>
    <row r="3999" spans="1:1" x14ac:dyDescent="0.25">
      <c r="A3999" s="8">
        <v>7.6874999999999999E-3</v>
      </c>
    </row>
    <row r="4000" spans="1:1" x14ac:dyDescent="0.25">
      <c r="A4000" s="8">
        <v>2.2289061999996192E-2</v>
      </c>
    </row>
    <row r="4001" spans="1:1" x14ac:dyDescent="0.25">
      <c r="A4001" s="8">
        <v>1.7164063000003806E-2</v>
      </c>
    </row>
    <row r="4002" spans="1:1" x14ac:dyDescent="0.25">
      <c r="A4002" s="8">
        <v>3.8414061999996189E-2</v>
      </c>
    </row>
    <row r="4003" spans="1:1" x14ac:dyDescent="0.25">
      <c r="A4003" s="8">
        <v>2.0507813000003806E-2</v>
      </c>
    </row>
    <row r="4004" spans="1:1" x14ac:dyDescent="0.25">
      <c r="A4004" s="8">
        <v>2.5125000000000001E-2</v>
      </c>
    </row>
    <row r="4005" spans="1:1" x14ac:dyDescent="0.25">
      <c r="A4005" s="8">
        <v>1.9382813000003808E-2</v>
      </c>
    </row>
    <row r="4006" spans="1:1" x14ac:dyDescent="0.25">
      <c r="A4006" s="8">
        <v>1.7390625E-2</v>
      </c>
    </row>
    <row r="4007" spans="1:1" x14ac:dyDescent="0.25">
      <c r="A4007" s="8">
        <v>1.378125E-2</v>
      </c>
    </row>
    <row r="4008" spans="1:1" x14ac:dyDescent="0.25">
      <c r="A4008" s="8">
        <v>2.6921875000000001E-2</v>
      </c>
    </row>
    <row r="4009" spans="1:1" x14ac:dyDescent="0.25">
      <c r="A4009" s="8">
        <v>2.4781250000000001E-2</v>
      </c>
    </row>
    <row r="4010" spans="1:1" x14ac:dyDescent="0.25">
      <c r="A4010" s="8">
        <v>1.7968749999999999E-2</v>
      </c>
    </row>
    <row r="4011" spans="1:1" x14ac:dyDescent="0.25">
      <c r="A4011" s="8">
        <v>1.4312500000000001E-2</v>
      </c>
    </row>
    <row r="4012" spans="1:1" x14ac:dyDescent="0.25">
      <c r="A4012" s="8">
        <v>1.1117188000003808E-2</v>
      </c>
    </row>
    <row r="4013" spans="1:1" x14ac:dyDescent="0.25">
      <c r="A4013" s="8">
        <v>1.353125E-2</v>
      </c>
    </row>
    <row r="4014" spans="1:1" x14ac:dyDescent="0.25">
      <c r="A4014" s="8">
        <v>1.6328124999999999E-2</v>
      </c>
    </row>
    <row r="4015" spans="1:1" x14ac:dyDescent="0.25">
      <c r="A4015" s="8">
        <v>2.4820311999996191E-2</v>
      </c>
    </row>
    <row r="4016" spans="1:1" x14ac:dyDescent="0.25">
      <c r="A4016" s="8">
        <v>1.9421875000000002E-2</v>
      </c>
    </row>
    <row r="4017" spans="1:1" x14ac:dyDescent="0.25">
      <c r="A4017" s="8">
        <v>3.0671875000000001E-2</v>
      </c>
    </row>
    <row r="4018" spans="1:1" x14ac:dyDescent="0.25">
      <c r="A4018" s="8">
        <v>3.2343749999999998E-2</v>
      </c>
    </row>
    <row r="4019" spans="1:1" x14ac:dyDescent="0.25">
      <c r="A4019" s="8">
        <v>8.3515619999961922E-3</v>
      </c>
    </row>
    <row r="4020" spans="1:1" x14ac:dyDescent="0.25">
      <c r="A4020" s="8">
        <v>1.4140625E-2</v>
      </c>
    </row>
    <row r="4021" spans="1:1" x14ac:dyDescent="0.25">
      <c r="A4021" s="8">
        <v>1.559375E-2</v>
      </c>
    </row>
    <row r="4022" spans="1:1" x14ac:dyDescent="0.25">
      <c r="A4022" s="8">
        <v>2.1609375E-2</v>
      </c>
    </row>
    <row r="4023" spans="1:1" x14ac:dyDescent="0.25">
      <c r="A4023" s="8">
        <v>1.8484375000000001E-2</v>
      </c>
    </row>
    <row r="4024" spans="1:1" x14ac:dyDescent="0.25">
      <c r="A4024" s="8">
        <v>1.2171875E-2</v>
      </c>
    </row>
    <row r="4025" spans="1:1" x14ac:dyDescent="0.25">
      <c r="A4025" s="8">
        <v>1.8921875000000001E-2</v>
      </c>
    </row>
    <row r="4026" spans="1:1" x14ac:dyDescent="0.25">
      <c r="A4026" s="8">
        <v>3.1234375000000002E-2</v>
      </c>
    </row>
    <row r="4027" spans="1:1" x14ac:dyDescent="0.25">
      <c r="A4027" s="8">
        <v>0.02</v>
      </c>
    </row>
    <row r="4028" spans="1:1" x14ac:dyDescent="0.25">
      <c r="A4028" s="8">
        <v>0.139578125</v>
      </c>
    </row>
    <row r="4029" spans="1:1" x14ac:dyDescent="0.25">
      <c r="A4029" s="8">
        <v>1.7656249999999998E-2</v>
      </c>
    </row>
    <row r="4030" spans="1:1" x14ac:dyDescent="0.25">
      <c r="A4030" s="8">
        <v>2.0078124999999999E-2</v>
      </c>
    </row>
    <row r="4031" spans="1:1" x14ac:dyDescent="0.25">
      <c r="A4031" s="8">
        <v>2.5546875E-2</v>
      </c>
    </row>
    <row r="4032" spans="1:1" x14ac:dyDescent="0.25">
      <c r="A4032" s="8">
        <v>1.8078125E-2</v>
      </c>
    </row>
    <row r="4033" spans="1:1" x14ac:dyDescent="0.25">
      <c r="A4033" s="8">
        <v>1.2546875000000001E-2</v>
      </c>
    </row>
    <row r="4034" spans="1:1" x14ac:dyDescent="0.25">
      <c r="A4034" s="8">
        <v>3.8609375000000001E-2</v>
      </c>
    </row>
    <row r="4035" spans="1:1" x14ac:dyDescent="0.25">
      <c r="A4035" s="8">
        <v>1.1296875E-2</v>
      </c>
    </row>
    <row r="4036" spans="1:1" x14ac:dyDescent="0.25">
      <c r="A4036" s="8">
        <v>9.4999999999999998E-3</v>
      </c>
    </row>
    <row r="4037" spans="1:1" x14ac:dyDescent="0.25">
      <c r="A4037" s="8">
        <v>2.9816406999998435E-2</v>
      </c>
    </row>
    <row r="4038" spans="1:1" x14ac:dyDescent="0.25">
      <c r="A4038" s="8">
        <v>1.4984374999999999E-2</v>
      </c>
    </row>
    <row r="4039" spans="1:1" x14ac:dyDescent="0.25">
      <c r="A4039" s="8">
        <v>2.3736327999999047E-2</v>
      </c>
    </row>
    <row r="4040" spans="1:1" x14ac:dyDescent="0.25">
      <c r="A4040" s="8">
        <v>7.3378909999992177E-3</v>
      </c>
    </row>
    <row r="4041" spans="1:1" x14ac:dyDescent="0.25">
      <c r="A4041" s="8">
        <v>8.7070310000017352E-3</v>
      </c>
    </row>
    <row r="4042" spans="1:1" x14ac:dyDescent="0.25">
      <c r="A4042" s="8">
        <v>1.7396484000000781E-2</v>
      </c>
    </row>
    <row r="4043" spans="1:1" x14ac:dyDescent="0.25">
      <c r="A4043" s="8">
        <v>1.6175780999998095E-2</v>
      </c>
    </row>
    <row r="4044" spans="1:1" x14ac:dyDescent="0.25">
      <c r="A4044" s="8">
        <v>2.2910156999998436E-2</v>
      </c>
    </row>
    <row r="4045" spans="1:1" x14ac:dyDescent="0.25">
      <c r="A4045" s="8">
        <v>7.2734379999965315E-3</v>
      </c>
    </row>
    <row r="4046" spans="1:1" x14ac:dyDescent="0.25">
      <c r="A4046" s="8">
        <v>1.9921874999999999E-2</v>
      </c>
    </row>
    <row r="4047" spans="1:1" x14ac:dyDescent="0.25">
      <c r="A4047" s="8">
        <v>2.1351561999996192E-2</v>
      </c>
    </row>
    <row r="4048" spans="1:1" x14ac:dyDescent="0.25">
      <c r="A4048" s="8">
        <v>1.5707031999998435E-2</v>
      </c>
    </row>
    <row r="4049" spans="1:1" x14ac:dyDescent="0.25">
      <c r="A4049" s="8">
        <v>4.3027343999994624E-2</v>
      </c>
    </row>
    <row r="4050" spans="1:1" x14ac:dyDescent="0.25">
      <c r="A4050" s="8">
        <v>1.3554687000003469E-2</v>
      </c>
    </row>
    <row r="4051" spans="1:1" x14ac:dyDescent="0.25">
      <c r="A4051" s="8">
        <v>3.1171875000000002E-2</v>
      </c>
    </row>
    <row r="4052" spans="1:1" x14ac:dyDescent="0.25">
      <c r="A4052" s="8">
        <v>2.1304688000003808E-2</v>
      </c>
    </row>
    <row r="4053" spans="1:1" x14ac:dyDescent="0.25">
      <c r="A4053" s="8">
        <v>2.5015625E-2</v>
      </c>
    </row>
    <row r="4054" spans="1:1" x14ac:dyDescent="0.25">
      <c r="A4054" s="8">
        <v>1.4749999999999999E-2</v>
      </c>
    </row>
    <row r="4055" spans="1:1" x14ac:dyDescent="0.25">
      <c r="A4055" s="8">
        <v>1.2382811999996192E-2</v>
      </c>
    </row>
    <row r="4056" spans="1:1" x14ac:dyDescent="0.25">
      <c r="A4056" s="8">
        <v>8.4429686999996187E-2</v>
      </c>
    </row>
    <row r="4057" spans="1:1" x14ac:dyDescent="0.25">
      <c r="A4057" s="8">
        <v>2.1109375E-2</v>
      </c>
    </row>
    <row r="4058" spans="1:1" x14ac:dyDescent="0.25">
      <c r="A4058" s="8">
        <v>2.0875000000000001E-2</v>
      </c>
    </row>
    <row r="4059" spans="1:1" x14ac:dyDescent="0.25">
      <c r="A4059" s="8">
        <v>1.0492188000003807E-2</v>
      </c>
    </row>
    <row r="4060" spans="1:1" x14ac:dyDescent="0.25">
      <c r="A4060" s="8">
        <v>1.4515625000000001E-2</v>
      </c>
    </row>
    <row r="4061" spans="1:1" x14ac:dyDescent="0.25">
      <c r="A4061" s="8">
        <v>1.6609374999999999E-2</v>
      </c>
    </row>
    <row r="4062" spans="1:1" x14ac:dyDescent="0.25">
      <c r="A4062" s="8">
        <v>8.6015619999961924E-3</v>
      </c>
    </row>
    <row r="4063" spans="1:1" x14ac:dyDescent="0.25">
      <c r="A4063" s="8">
        <v>1.9460938000003807E-2</v>
      </c>
    </row>
    <row r="4064" spans="1:1" x14ac:dyDescent="0.25">
      <c r="A4064" s="8">
        <v>1.0437500000000001E-2</v>
      </c>
    </row>
    <row r="4065" spans="1:1" x14ac:dyDescent="0.25">
      <c r="A4065" s="8">
        <v>2.0343750000000001E-2</v>
      </c>
    </row>
    <row r="4066" spans="1:1" x14ac:dyDescent="0.25">
      <c r="A4066" s="8">
        <v>1.0789061999996193E-2</v>
      </c>
    </row>
    <row r="4067" spans="1:1" x14ac:dyDescent="0.25">
      <c r="A4067" s="8">
        <v>1.0671875000000001E-2</v>
      </c>
    </row>
    <row r="4068" spans="1:1" x14ac:dyDescent="0.25">
      <c r="A4068" s="8">
        <v>8.3437499999999998E-2</v>
      </c>
    </row>
    <row r="4069" spans="1:1" x14ac:dyDescent="0.25">
      <c r="A4069" s="8">
        <v>2.0203124999999999E-2</v>
      </c>
    </row>
    <row r="4070" spans="1:1" x14ac:dyDescent="0.25">
      <c r="A4070" s="8">
        <v>2.5843749999999999E-2</v>
      </c>
    </row>
    <row r="4071" spans="1:1" x14ac:dyDescent="0.25">
      <c r="A4071" s="8">
        <v>1.16875E-2</v>
      </c>
    </row>
    <row r="4072" spans="1:1" x14ac:dyDescent="0.25">
      <c r="A4072" s="8">
        <v>1.2929688000003808E-2</v>
      </c>
    </row>
    <row r="4073" spans="1:1" x14ac:dyDescent="0.25">
      <c r="A4073" s="8">
        <v>1.5742186999996192E-2</v>
      </c>
    </row>
    <row r="4074" spans="1:1" x14ac:dyDescent="0.25">
      <c r="A4074" s="8">
        <v>1.0679686999996192E-2</v>
      </c>
    </row>
    <row r="4075" spans="1:1" x14ac:dyDescent="0.25">
      <c r="A4075" s="8">
        <v>1.0859374999999999E-2</v>
      </c>
    </row>
    <row r="4076" spans="1:1" x14ac:dyDescent="0.25">
      <c r="A4076" s="8">
        <v>1.115625E-2</v>
      </c>
    </row>
    <row r="4077" spans="1:1" x14ac:dyDescent="0.25">
      <c r="A4077" s="8">
        <v>7.351561999996193E-3</v>
      </c>
    </row>
    <row r="4078" spans="1:1" x14ac:dyDescent="0.25">
      <c r="A4078" s="8">
        <v>1.5070311999996193E-2</v>
      </c>
    </row>
    <row r="4079" spans="1:1" x14ac:dyDescent="0.25">
      <c r="A4079" s="8">
        <v>7.9921875000000003E-2</v>
      </c>
    </row>
    <row r="4080" spans="1:1" x14ac:dyDescent="0.25">
      <c r="A4080" s="8">
        <v>3.1906249999999997E-2</v>
      </c>
    </row>
    <row r="4081" spans="1:1" x14ac:dyDescent="0.25">
      <c r="A4081" s="8">
        <v>9.765625E-3</v>
      </c>
    </row>
    <row r="4082" spans="1:1" x14ac:dyDescent="0.25">
      <c r="A4082" s="8">
        <v>2.1796875E-2</v>
      </c>
    </row>
    <row r="4083" spans="1:1" x14ac:dyDescent="0.25">
      <c r="A4083" s="8">
        <v>0.11654687499999999</v>
      </c>
    </row>
    <row r="4084" spans="1:1" x14ac:dyDescent="0.25">
      <c r="A4084" s="8">
        <v>1.3953125E-2</v>
      </c>
    </row>
    <row r="4085" spans="1:1" x14ac:dyDescent="0.25">
      <c r="A4085" s="8">
        <v>1.2640625000000001E-2</v>
      </c>
    </row>
    <row r="4086" spans="1:1" x14ac:dyDescent="0.25">
      <c r="A4086" s="8">
        <v>1.7093750000000001E-2</v>
      </c>
    </row>
    <row r="4087" spans="1:1" x14ac:dyDescent="0.25">
      <c r="A4087" s="8">
        <v>1.5515625E-2</v>
      </c>
    </row>
    <row r="4088" spans="1:1" x14ac:dyDescent="0.25">
      <c r="A4088" s="8">
        <v>7.3281249999999996E-3</v>
      </c>
    </row>
    <row r="4089" spans="1:1" x14ac:dyDescent="0.25">
      <c r="A4089" s="8">
        <v>1.6218750000000001E-2</v>
      </c>
    </row>
    <row r="4090" spans="1:1" x14ac:dyDescent="0.25">
      <c r="A4090" s="8">
        <v>1.2578125000000001E-2</v>
      </c>
    </row>
    <row r="4091" spans="1:1" x14ac:dyDescent="0.25">
      <c r="A4091" s="8">
        <v>1.0828124999999999E-2</v>
      </c>
    </row>
    <row r="4092" spans="1:1" x14ac:dyDescent="0.25">
      <c r="A4092" s="8">
        <v>1.5375E-2</v>
      </c>
    </row>
    <row r="4093" spans="1:1" x14ac:dyDescent="0.25">
      <c r="A4093" s="8">
        <v>1.0171875E-2</v>
      </c>
    </row>
    <row r="4094" spans="1:1" x14ac:dyDescent="0.25">
      <c r="A4094" s="8">
        <v>9.2187499999999995E-3</v>
      </c>
    </row>
    <row r="4095" spans="1:1" x14ac:dyDescent="0.25">
      <c r="A4095" s="8">
        <v>1.1421875E-2</v>
      </c>
    </row>
    <row r="4096" spans="1:1" x14ac:dyDescent="0.25">
      <c r="A4096" s="8">
        <v>2.1671875E-2</v>
      </c>
    </row>
    <row r="4097" spans="1:1" x14ac:dyDescent="0.25">
      <c r="A4097" s="8">
        <v>2.8437500000000001E-2</v>
      </c>
    </row>
    <row r="4098" spans="1:1" x14ac:dyDescent="0.25">
      <c r="A4098" s="8">
        <v>1.3296875E-2</v>
      </c>
    </row>
    <row r="4099" spans="1:1" x14ac:dyDescent="0.25">
      <c r="A4099" s="8">
        <v>1.4671874999999999E-2</v>
      </c>
    </row>
    <row r="4100" spans="1:1" x14ac:dyDescent="0.25">
      <c r="A4100" s="8">
        <v>1.6453124999999999E-2</v>
      </c>
    </row>
    <row r="4101" spans="1:1" x14ac:dyDescent="0.25">
      <c r="A4101" s="8">
        <v>1.378125E-2</v>
      </c>
    </row>
    <row r="4102" spans="1:1" x14ac:dyDescent="0.25">
      <c r="A4102" s="8">
        <v>1.609375E-2</v>
      </c>
    </row>
    <row r="4103" spans="1:1" x14ac:dyDescent="0.25">
      <c r="A4103" s="8">
        <v>1.2546875000000001E-2</v>
      </c>
    </row>
    <row r="4104" spans="1:1" x14ac:dyDescent="0.25">
      <c r="A4104" s="8">
        <v>2.1265625E-2</v>
      </c>
    </row>
    <row r="4105" spans="1:1" x14ac:dyDescent="0.25">
      <c r="A4105" s="8">
        <v>2.1437500000000002E-2</v>
      </c>
    </row>
    <row r="4106" spans="1:1" x14ac:dyDescent="0.25">
      <c r="A4106" s="8">
        <v>1.978125E-2</v>
      </c>
    </row>
    <row r="4107" spans="1:1" x14ac:dyDescent="0.25">
      <c r="A4107" s="8">
        <v>1.4220702999999049E-2</v>
      </c>
    </row>
    <row r="4108" spans="1:1" x14ac:dyDescent="0.25">
      <c r="A4108" s="8">
        <v>2.0310546999997313E-2</v>
      </c>
    </row>
    <row r="4109" spans="1:1" x14ac:dyDescent="0.25">
      <c r="A4109" s="8">
        <v>1.9998046999997313E-2</v>
      </c>
    </row>
    <row r="4110" spans="1:1" x14ac:dyDescent="0.25">
      <c r="A4110" s="8">
        <v>2.0582031999998435E-2</v>
      </c>
    </row>
    <row r="4111" spans="1:1" x14ac:dyDescent="0.25">
      <c r="A4111" s="8">
        <v>1.889843700000347E-2</v>
      </c>
    </row>
    <row r="4112" spans="1:1" x14ac:dyDescent="0.25">
      <c r="A4112" s="8">
        <v>1.2937499999999999E-2</v>
      </c>
    </row>
    <row r="4113" spans="1:1" x14ac:dyDescent="0.25">
      <c r="A4113" s="8">
        <v>1.8464843000001566E-2</v>
      </c>
    </row>
    <row r="4114" spans="1:1" x14ac:dyDescent="0.25">
      <c r="A4114" s="8">
        <v>2.1414063000003807E-2</v>
      </c>
    </row>
    <row r="4115" spans="1:1" x14ac:dyDescent="0.25">
      <c r="A4115" s="8">
        <v>1.4664063000003807E-2</v>
      </c>
    </row>
    <row r="4116" spans="1:1" x14ac:dyDescent="0.25">
      <c r="A4116" s="8">
        <v>2.4585938000003808E-2</v>
      </c>
    </row>
    <row r="4117" spans="1:1" x14ac:dyDescent="0.25">
      <c r="A4117" s="8">
        <v>1.3816405999998097E-2</v>
      </c>
    </row>
    <row r="4118" spans="1:1" x14ac:dyDescent="0.25">
      <c r="A4118" s="8">
        <v>2.4937500000000001E-2</v>
      </c>
    </row>
    <row r="4119" spans="1:1" x14ac:dyDescent="0.25">
      <c r="A4119" s="8">
        <v>2.0046874999999999E-2</v>
      </c>
    </row>
    <row r="4120" spans="1:1" x14ac:dyDescent="0.25">
      <c r="A4120" s="8">
        <v>2.0117187000003468E-2</v>
      </c>
    </row>
    <row r="4121" spans="1:1" x14ac:dyDescent="0.25">
      <c r="A4121" s="8">
        <v>1.1335938000003808E-2</v>
      </c>
    </row>
    <row r="4122" spans="1:1" x14ac:dyDescent="0.25">
      <c r="A4122" s="8">
        <v>1.7078125E-2</v>
      </c>
    </row>
    <row r="4123" spans="1:1" x14ac:dyDescent="0.25">
      <c r="A4123" s="8">
        <v>2.5398438000003808E-2</v>
      </c>
    </row>
    <row r="4124" spans="1:1" x14ac:dyDescent="0.25">
      <c r="A4124" s="8">
        <v>1.95625E-2</v>
      </c>
    </row>
    <row r="4125" spans="1:1" x14ac:dyDescent="0.25">
      <c r="A4125" s="8">
        <v>1.1101561999996193E-2</v>
      </c>
    </row>
    <row r="4126" spans="1:1" x14ac:dyDescent="0.25">
      <c r="A4126" s="8">
        <v>2.3671874999999998E-2</v>
      </c>
    </row>
    <row r="4127" spans="1:1" x14ac:dyDescent="0.25">
      <c r="A4127" s="8">
        <v>2.0750000000000001E-2</v>
      </c>
    </row>
    <row r="4128" spans="1:1" x14ac:dyDescent="0.25">
      <c r="A4128" s="8">
        <v>8.0312500000000002E-3</v>
      </c>
    </row>
    <row r="4129" spans="1:1" x14ac:dyDescent="0.25">
      <c r="A4129" s="8">
        <v>2.5695311999996192E-2</v>
      </c>
    </row>
    <row r="4130" spans="1:1" x14ac:dyDescent="0.25">
      <c r="A4130" s="8">
        <v>1.7593749999999998E-2</v>
      </c>
    </row>
    <row r="4131" spans="1:1" x14ac:dyDescent="0.25">
      <c r="A4131" s="8">
        <v>1.4023438000003807E-2</v>
      </c>
    </row>
    <row r="4132" spans="1:1" x14ac:dyDescent="0.25">
      <c r="A4132" s="8">
        <v>2.4632813000003806E-2</v>
      </c>
    </row>
    <row r="4133" spans="1:1" x14ac:dyDescent="0.25">
      <c r="A4133" s="8">
        <v>2.009375E-2</v>
      </c>
    </row>
    <row r="4134" spans="1:1" x14ac:dyDescent="0.25">
      <c r="A4134" s="8">
        <v>1.6367186999996192E-2</v>
      </c>
    </row>
    <row r="4135" spans="1:1" x14ac:dyDescent="0.25">
      <c r="A4135" s="8">
        <v>2.5031250000000001E-2</v>
      </c>
    </row>
    <row r="4136" spans="1:1" x14ac:dyDescent="0.25">
      <c r="A4136" s="8">
        <v>1.5804688000003807E-2</v>
      </c>
    </row>
    <row r="4137" spans="1:1" x14ac:dyDescent="0.25">
      <c r="A4137" s="8">
        <v>1.61875E-2</v>
      </c>
    </row>
    <row r="4138" spans="1:1" x14ac:dyDescent="0.25">
      <c r="A4138" s="8">
        <v>8.9765619999961927E-3</v>
      </c>
    </row>
    <row r="4139" spans="1:1" x14ac:dyDescent="0.25">
      <c r="A4139" s="8">
        <v>2.3117186999996191E-2</v>
      </c>
    </row>
    <row r="4140" spans="1:1" x14ac:dyDescent="0.25">
      <c r="A4140" s="8">
        <v>1.9390625000000002E-2</v>
      </c>
    </row>
    <row r="4141" spans="1:1" x14ac:dyDescent="0.25">
      <c r="A4141" s="8">
        <v>1.9195313000003808E-2</v>
      </c>
    </row>
    <row r="4142" spans="1:1" x14ac:dyDescent="0.25">
      <c r="A4142" s="8">
        <v>1.3578125E-2</v>
      </c>
    </row>
    <row r="4143" spans="1:1" x14ac:dyDescent="0.25">
      <c r="A4143" s="8">
        <v>2.0992186999996193E-2</v>
      </c>
    </row>
    <row r="4144" spans="1:1" x14ac:dyDescent="0.25">
      <c r="A4144" s="8">
        <v>1.7367188000003808E-2</v>
      </c>
    </row>
    <row r="4145" spans="1:1" x14ac:dyDescent="0.25">
      <c r="A4145" s="8">
        <v>7.8906250000000001E-3</v>
      </c>
    </row>
    <row r="4146" spans="1:1" x14ac:dyDescent="0.25">
      <c r="A4146" s="8">
        <v>2.4898436999996193E-2</v>
      </c>
    </row>
    <row r="4147" spans="1:1" x14ac:dyDescent="0.25">
      <c r="A4147" s="8">
        <v>5.0726561999996193E-2</v>
      </c>
    </row>
    <row r="4148" spans="1:1" x14ac:dyDescent="0.25">
      <c r="A4148" s="8">
        <v>1.5640624999999998E-2</v>
      </c>
    </row>
    <row r="4149" spans="1:1" x14ac:dyDescent="0.25">
      <c r="A4149" s="8">
        <v>2.0562500000000001E-2</v>
      </c>
    </row>
    <row r="4150" spans="1:1" x14ac:dyDescent="0.25">
      <c r="A4150" s="8">
        <v>7.9140630000038067E-3</v>
      </c>
    </row>
    <row r="4151" spans="1:1" x14ac:dyDescent="0.25">
      <c r="A4151" s="8">
        <v>2.1585938000003808E-2</v>
      </c>
    </row>
    <row r="4152" spans="1:1" x14ac:dyDescent="0.25">
      <c r="A4152" s="8">
        <v>1.1796875E-2</v>
      </c>
    </row>
    <row r="4153" spans="1:1" x14ac:dyDescent="0.25">
      <c r="A4153" s="8">
        <v>2.3601561999996194E-2</v>
      </c>
    </row>
    <row r="4154" spans="1:1" x14ac:dyDescent="0.25">
      <c r="A4154" s="8">
        <v>1.8101563000003807E-2</v>
      </c>
    </row>
    <row r="4155" spans="1:1" x14ac:dyDescent="0.25">
      <c r="A4155" s="8">
        <v>7.3984380000038071E-3</v>
      </c>
    </row>
    <row r="4156" spans="1:1" x14ac:dyDescent="0.25">
      <c r="A4156" s="8">
        <v>2.2796875000000001E-2</v>
      </c>
    </row>
    <row r="4157" spans="1:1" x14ac:dyDescent="0.25">
      <c r="A4157" s="8">
        <v>3.0218749999999999E-2</v>
      </c>
    </row>
    <row r="4158" spans="1:1" x14ac:dyDescent="0.25">
      <c r="A4158" s="8">
        <v>1.3328125E-2</v>
      </c>
    </row>
    <row r="4159" spans="1:1" x14ac:dyDescent="0.25">
      <c r="A4159" s="8">
        <v>1.128125E-2</v>
      </c>
    </row>
    <row r="4160" spans="1:1" x14ac:dyDescent="0.25">
      <c r="A4160" s="8">
        <v>1.7000000000000001E-2</v>
      </c>
    </row>
    <row r="4161" spans="1:1" x14ac:dyDescent="0.25">
      <c r="A4161" s="8">
        <v>2.7265625000000002E-2</v>
      </c>
    </row>
    <row r="4162" spans="1:1" x14ac:dyDescent="0.25">
      <c r="A4162" s="8">
        <v>1.6781250000000001E-2</v>
      </c>
    </row>
    <row r="4163" spans="1:1" x14ac:dyDescent="0.25">
      <c r="A4163" s="8">
        <v>1.553125E-2</v>
      </c>
    </row>
    <row r="4164" spans="1:1" x14ac:dyDescent="0.25">
      <c r="A4164" s="8">
        <v>1.7218750000000001E-2</v>
      </c>
    </row>
    <row r="4165" spans="1:1" x14ac:dyDescent="0.25">
      <c r="A4165" s="8">
        <v>9.0781249999999994E-3</v>
      </c>
    </row>
    <row r="4166" spans="1:1" x14ac:dyDescent="0.25">
      <c r="A4166" s="8">
        <v>2.390625E-2</v>
      </c>
    </row>
    <row r="4167" spans="1:1" x14ac:dyDescent="0.25">
      <c r="A4167" s="8">
        <v>1.6968750000000001E-2</v>
      </c>
    </row>
    <row r="4168" spans="1:1" x14ac:dyDescent="0.25">
      <c r="A4168" s="8">
        <v>1.978125E-2</v>
      </c>
    </row>
    <row r="4169" spans="1:1" x14ac:dyDescent="0.25">
      <c r="A4169" s="8">
        <v>2.4109374999999999E-2</v>
      </c>
    </row>
    <row r="4170" spans="1:1" x14ac:dyDescent="0.25">
      <c r="A4170" s="8">
        <v>1.603125E-2</v>
      </c>
    </row>
    <row r="4171" spans="1:1" x14ac:dyDescent="0.25">
      <c r="A4171" s="8">
        <v>1.20625E-2</v>
      </c>
    </row>
    <row r="4172" spans="1:1" x14ac:dyDescent="0.25">
      <c r="A4172" s="8">
        <v>1.5609375E-2</v>
      </c>
    </row>
    <row r="4173" spans="1:1" x14ac:dyDescent="0.25">
      <c r="A4173" s="8">
        <v>1.2171875E-2</v>
      </c>
    </row>
    <row r="4174" spans="1:1" x14ac:dyDescent="0.25">
      <c r="A4174" s="8">
        <v>9.0468749999999994E-3</v>
      </c>
    </row>
    <row r="4175" spans="1:1" x14ac:dyDescent="0.25">
      <c r="A4175" s="8">
        <v>1.2613281999998435E-2</v>
      </c>
    </row>
    <row r="4176" spans="1:1" x14ac:dyDescent="0.25">
      <c r="A4176" s="8">
        <v>1.9271484000000783E-2</v>
      </c>
    </row>
    <row r="4177" spans="1:1" x14ac:dyDescent="0.25">
      <c r="A4177" s="8">
        <v>1.8486327999999049E-2</v>
      </c>
    </row>
    <row r="4178" spans="1:1" x14ac:dyDescent="0.25">
      <c r="A4178" s="8">
        <v>1.4066405999998097E-2</v>
      </c>
    </row>
    <row r="4179" spans="1:1" x14ac:dyDescent="0.25">
      <c r="A4179" s="8">
        <v>2.2820311999996193E-2</v>
      </c>
    </row>
    <row r="4180" spans="1:1" x14ac:dyDescent="0.25">
      <c r="A4180" s="8">
        <v>1.2480468999994627E-2</v>
      </c>
    </row>
    <row r="4181" spans="1:1" x14ac:dyDescent="0.25">
      <c r="A4181" s="8">
        <v>1.8417968999994629E-2</v>
      </c>
    </row>
    <row r="4182" spans="1:1" x14ac:dyDescent="0.25">
      <c r="A4182" s="8">
        <v>1.4335937999996532E-2</v>
      </c>
    </row>
    <row r="4183" spans="1:1" x14ac:dyDescent="0.25">
      <c r="A4183" s="8">
        <v>1.6906250000000001E-2</v>
      </c>
    </row>
    <row r="4184" spans="1:1" x14ac:dyDescent="0.25">
      <c r="A4184" s="8">
        <v>2.5707030999998097E-2</v>
      </c>
    </row>
    <row r="4185" spans="1:1" x14ac:dyDescent="0.25">
      <c r="A4185" s="8">
        <v>1.6929686999996193E-2</v>
      </c>
    </row>
    <row r="4186" spans="1:1" x14ac:dyDescent="0.25">
      <c r="A4186" s="8">
        <v>1.3871094000001903E-2</v>
      </c>
    </row>
    <row r="4187" spans="1:1" x14ac:dyDescent="0.25">
      <c r="A4187" s="8">
        <v>2.0226561999996194E-2</v>
      </c>
    </row>
    <row r="4188" spans="1:1" x14ac:dyDescent="0.25">
      <c r="A4188" s="8">
        <v>1.9023438000003806E-2</v>
      </c>
    </row>
    <row r="4189" spans="1:1" x14ac:dyDescent="0.25">
      <c r="A4189" s="8">
        <v>1.0265625E-2</v>
      </c>
    </row>
    <row r="4190" spans="1:1" x14ac:dyDescent="0.25">
      <c r="A4190" s="8">
        <v>1.3492187000003469E-2</v>
      </c>
    </row>
    <row r="4191" spans="1:1" x14ac:dyDescent="0.25">
      <c r="A4191" s="8">
        <v>7.8906250000000001E-3</v>
      </c>
    </row>
    <row r="4192" spans="1:1" x14ac:dyDescent="0.25">
      <c r="A4192" s="8">
        <v>1.2015625E-2</v>
      </c>
    </row>
    <row r="4193" spans="1:1" x14ac:dyDescent="0.25">
      <c r="A4193" s="8">
        <v>1.9453125000000002E-2</v>
      </c>
    </row>
    <row r="4194" spans="1:1" x14ac:dyDescent="0.25">
      <c r="A4194" s="8">
        <v>1.4999999999999999E-2</v>
      </c>
    </row>
    <row r="4195" spans="1:1" x14ac:dyDescent="0.25">
      <c r="A4195" s="8">
        <v>1.3148438000003808E-2</v>
      </c>
    </row>
    <row r="4196" spans="1:1" x14ac:dyDescent="0.25">
      <c r="A4196" s="8">
        <v>3.0234375000000001E-2</v>
      </c>
    </row>
    <row r="4197" spans="1:1" x14ac:dyDescent="0.25">
      <c r="A4197" s="8">
        <v>1.2023436999996192E-2</v>
      </c>
    </row>
    <row r="4198" spans="1:1" x14ac:dyDescent="0.25">
      <c r="A4198" s="8">
        <v>1.1375E-2</v>
      </c>
    </row>
    <row r="4199" spans="1:1" x14ac:dyDescent="0.25">
      <c r="A4199" s="8">
        <v>1.3632811999996193E-2</v>
      </c>
    </row>
    <row r="4200" spans="1:1" x14ac:dyDescent="0.25">
      <c r="A4200" s="8">
        <v>2.1531249999999998E-2</v>
      </c>
    </row>
    <row r="4201" spans="1:1" x14ac:dyDescent="0.25">
      <c r="A4201" s="8">
        <v>8.8359369999961926E-3</v>
      </c>
    </row>
    <row r="4202" spans="1:1" x14ac:dyDescent="0.25">
      <c r="A4202" s="8">
        <v>2.6789061999996193E-2</v>
      </c>
    </row>
    <row r="4203" spans="1:1" x14ac:dyDescent="0.25">
      <c r="A4203" s="8">
        <v>2.7148436999996192E-2</v>
      </c>
    </row>
    <row r="4204" spans="1:1" x14ac:dyDescent="0.25">
      <c r="A4204" s="8">
        <v>1.39375E-2</v>
      </c>
    </row>
    <row r="4205" spans="1:1" x14ac:dyDescent="0.25">
      <c r="A4205" s="8">
        <v>2.1265625E-2</v>
      </c>
    </row>
    <row r="4206" spans="1:1" x14ac:dyDescent="0.25">
      <c r="A4206" s="8">
        <v>2.1359375E-2</v>
      </c>
    </row>
    <row r="4207" spans="1:1" x14ac:dyDescent="0.25">
      <c r="A4207" s="8">
        <v>1.13125E-2</v>
      </c>
    </row>
    <row r="4208" spans="1:1" x14ac:dyDescent="0.25">
      <c r="A4208" s="8">
        <v>2.1218750000000001E-2</v>
      </c>
    </row>
    <row r="4209" spans="1:1" x14ac:dyDescent="0.25">
      <c r="A4209" s="8">
        <v>1.0578125000000001E-2</v>
      </c>
    </row>
    <row r="4210" spans="1:1" x14ac:dyDescent="0.25">
      <c r="A4210" s="8">
        <v>2.4710936999996193E-2</v>
      </c>
    </row>
    <row r="4211" spans="1:1" x14ac:dyDescent="0.25">
      <c r="A4211" s="8">
        <v>1.7757811999996192E-2</v>
      </c>
    </row>
    <row r="4212" spans="1:1" x14ac:dyDescent="0.25">
      <c r="A4212" s="8">
        <v>2.340625E-2</v>
      </c>
    </row>
    <row r="4213" spans="1:1" x14ac:dyDescent="0.25">
      <c r="A4213" s="8">
        <v>1.7054688000003808E-2</v>
      </c>
    </row>
    <row r="4214" spans="1:1" x14ac:dyDescent="0.25">
      <c r="A4214" s="8">
        <v>1.903125E-2</v>
      </c>
    </row>
    <row r="4215" spans="1:1" x14ac:dyDescent="0.25">
      <c r="A4215" s="8">
        <v>9.3124999999999996E-3</v>
      </c>
    </row>
    <row r="4216" spans="1:1" x14ac:dyDescent="0.25">
      <c r="A4216" s="8">
        <v>1.3828125E-2</v>
      </c>
    </row>
    <row r="4217" spans="1:1" x14ac:dyDescent="0.25">
      <c r="A4217" s="8">
        <v>8.5078130000038072E-3</v>
      </c>
    </row>
    <row r="4218" spans="1:1" x14ac:dyDescent="0.25">
      <c r="A4218" s="8">
        <v>1.9375E-2</v>
      </c>
    </row>
    <row r="4219" spans="1:1" x14ac:dyDescent="0.25">
      <c r="A4219" s="8">
        <v>1.1828125E-2</v>
      </c>
    </row>
    <row r="4220" spans="1:1" x14ac:dyDescent="0.25">
      <c r="A4220" s="8">
        <v>9.7015624999999994E-2</v>
      </c>
    </row>
    <row r="4221" spans="1:1" x14ac:dyDescent="0.25">
      <c r="A4221" s="8">
        <v>1.9828124999999999E-2</v>
      </c>
    </row>
    <row r="4222" spans="1:1" x14ac:dyDescent="0.25">
      <c r="A4222" s="8">
        <v>2.0015624999999999E-2</v>
      </c>
    </row>
    <row r="4223" spans="1:1" x14ac:dyDescent="0.25">
      <c r="A4223" s="8">
        <v>7.7499999999999999E-3</v>
      </c>
    </row>
    <row r="4224" spans="1:1" x14ac:dyDescent="0.25">
      <c r="A4224" s="8">
        <v>2.3578124999999998E-2</v>
      </c>
    </row>
    <row r="4225" spans="1:1" x14ac:dyDescent="0.25">
      <c r="A4225" s="8">
        <v>1.0984374999999999E-2</v>
      </c>
    </row>
    <row r="4226" spans="1:1" x14ac:dyDescent="0.25">
      <c r="A4226" s="8">
        <v>2.0703124999999999E-2</v>
      </c>
    </row>
    <row r="4227" spans="1:1" x14ac:dyDescent="0.25">
      <c r="A4227" s="8">
        <v>2.6734375000000001E-2</v>
      </c>
    </row>
    <row r="4228" spans="1:1" x14ac:dyDescent="0.25">
      <c r="A4228" s="8">
        <v>1.2593750000000001E-2</v>
      </c>
    </row>
    <row r="4229" spans="1:1" x14ac:dyDescent="0.25">
      <c r="A4229" s="8">
        <v>2.1015625E-2</v>
      </c>
    </row>
    <row r="4230" spans="1:1" x14ac:dyDescent="0.25">
      <c r="A4230" s="8">
        <v>1.4359375000000001E-2</v>
      </c>
    </row>
    <row r="4231" spans="1:1" x14ac:dyDescent="0.25">
      <c r="A4231" s="8">
        <v>2.2203125000000001E-2</v>
      </c>
    </row>
    <row r="4232" spans="1:1" x14ac:dyDescent="0.25">
      <c r="A4232" s="8">
        <v>2.396875E-2</v>
      </c>
    </row>
    <row r="4233" spans="1:1" x14ac:dyDescent="0.25">
      <c r="A4233" s="8">
        <v>1.0171875E-2</v>
      </c>
    </row>
    <row r="4234" spans="1:1" x14ac:dyDescent="0.25">
      <c r="A4234" s="8">
        <v>1.1375E-2</v>
      </c>
    </row>
    <row r="4235" spans="1:1" x14ac:dyDescent="0.25">
      <c r="A4235" s="8">
        <v>2.0937500000000001E-2</v>
      </c>
    </row>
    <row r="4236" spans="1:1" x14ac:dyDescent="0.25">
      <c r="A4236" s="8">
        <v>2.30625E-2</v>
      </c>
    </row>
    <row r="4237" spans="1:1" x14ac:dyDescent="0.25">
      <c r="A4237" s="8">
        <v>2.5187500000000002E-2</v>
      </c>
    </row>
    <row r="4238" spans="1:1" x14ac:dyDescent="0.25">
      <c r="A4238" s="8">
        <v>1.6796874999999999E-2</v>
      </c>
    </row>
    <row r="4239" spans="1:1" x14ac:dyDescent="0.25">
      <c r="A4239" s="8">
        <v>2.0750000000000001E-2</v>
      </c>
    </row>
    <row r="4240" spans="1:1" x14ac:dyDescent="0.25">
      <c r="A4240" s="8">
        <v>2.2972656000001736E-2</v>
      </c>
    </row>
    <row r="4241" spans="1:1" x14ac:dyDescent="0.25">
      <c r="A4241" s="8">
        <v>1.8265625000000001E-2</v>
      </c>
    </row>
    <row r="4242" spans="1:1" x14ac:dyDescent="0.25">
      <c r="A4242" s="8">
        <v>1.4449218000001565E-2</v>
      </c>
    </row>
    <row r="4243" spans="1:1" x14ac:dyDescent="0.25">
      <c r="A4243" s="8">
        <v>1.3599609000000783E-2</v>
      </c>
    </row>
    <row r="4244" spans="1:1" x14ac:dyDescent="0.25">
      <c r="A4244" s="8">
        <v>1.7976561999999831E-2</v>
      </c>
    </row>
    <row r="4245" spans="1:1" x14ac:dyDescent="0.25">
      <c r="A4245" s="8">
        <v>1.1853515000002517E-2</v>
      </c>
    </row>
    <row r="4246" spans="1:1" x14ac:dyDescent="0.25">
      <c r="A4246" s="8">
        <v>1.6578124999999999E-2</v>
      </c>
    </row>
    <row r="4247" spans="1:1" x14ac:dyDescent="0.25">
      <c r="A4247" s="8">
        <v>2.0199219000001902E-2</v>
      </c>
    </row>
    <row r="4248" spans="1:1" x14ac:dyDescent="0.25">
      <c r="A4248" s="8">
        <v>1.4464843000001565E-2</v>
      </c>
    </row>
    <row r="4249" spans="1:1" x14ac:dyDescent="0.25">
      <c r="A4249" s="8">
        <v>1.1394531999998434E-2</v>
      </c>
    </row>
    <row r="4250" spans="1:1" x14ac:dyDescent="0.25">
      <c r="A4250" s="8">
        <v>2.1749999999999999E-2</v>
      </c>
    </row>
    <row r="4251" spans="1:1" x14ac:dyDescent="0.25">
      <c r="A4251" s="8">
        <v>3.380468799999653E-2</v>
      </c>
    </row>
    <row r="4252" spans="1:1" x14ac:dyDescent="0.25">
      <c r="A4252" s="8">
        <v>1.7878905999998095E-2</v>
      </c>
    </row>
    <row r="4253" spans="1:1" x14ac:dyDescent="0.25">
      <c r="A4253" s="8">
        <v>1.0242187000003469E-2</v>
      </c>
    </row>
    <row r="4254" spans="1:1" x14ac:dyDescent="0.25">
      <c r="A4254" s="8">
        <v>1.38125E-2</v>
      </c>
    </row>
    <row r="4255" spans="1:1" x14ac:dyDescent="0.25">
      <c r="A4255" s="8">
        <v>2.2378906000005371E-2</v>
      </c>
    </row>
    <row r="4256" spans="1:1" x14ac:dyDescent="0.25">
      <c r="A4256" s="8">
        <v>9.1640619999961929E-3</v>
      </c>
    </row>
    <row r="4257" spans="1:1" x14ac:dyDescent="0.25">
      <c r="A4257" s="8">
        <v>1.0929688000003808E-2</v>
      </c>
    </row>
    <row r="4258" spans="1:1" x14ac:dyDescent="0.25">
      <c r="A4258" s="8">
        <v>2.334375E-2</v>
      </c>
    </row>
    <row r="4259" spans="1:1" x14ac:dyDescent="0.25">
      <c r="A4259" s="8">
        <v>1.7085936999996193E-2</v>
      </c>
    </row>
    <row r="4260" spans="1:1" x14ac:dyDescent="0.25">
      <c r="A4260" s="8">
        <v>2.6445311999996193E-2</v>
      </c>
    </row>
    <row r="4261" spans="1:1" x14ac:dyDescent="0.25">
      <c r="A4261" s="8">
        <v>2.8140624999999999E-2</v>
      </c>
    </row>
    <row r="4262" spans="1:1" x14ac:dyDescent="0.25">
      <c r="A4262" s="8">
        <v>1.6273436999996192E-2</v>
      </c>
    </row>
    <row r="4263" spans="1:1" x14ac:dyDescent="0.25">
      <c r="A4263" s="8">
        <v>1.9046875000000001E-2</v>
      </c>
    </row>
    <row r="4264" spans="1:1" x14ac:dyDescent="0.25">
      <c r="A4264" s="8">
        <v>1.9429688000003806E-2</v>
      </c>
    </row>
    <row r="4265" spans="1:1" x14ac:dyDescent="0.25">
      <c r="A4265" s="8">
        <v>2.5062500000000001E-2</v>
      </c>
    </row>
    <row r="4266" spans="1:1" x14ac:dyDescent="0.25">
      <c r="A4266" s="8">
        <v>2.2640625000000001E-2</v>
      </c>
    </row>
    <row r="4267" spans="1:1" x14ac:dyDescent="0.25">
      <c r="A4267" s="8">
        <v>2.2320313000003807E-2</v>
      </c>
    </row>
    <row r="4268" spans="1:1" x14ac:dyDescent="0.25">
      <c r="A4268" s="8">
        <v>1.7242186999996193E-2</v>
      </c>
    </row>
    <row r="4269" spans="1:1" x14ac:dyDescent="0.25">
      <c r="A4269" s="8">
        <v>1.6859374999999999E-2</v>
      </c>
    </row>
    <row r="4270" spans="1:1" x14ac:dyDescent="0.25">
      <c r="A4270" s="8">
        <v>2.6132813000003807E-2</v>
      </c>
    </row>
    <row r="4271" spans="1:1" x14ac:dyDescent="0.25">
      <c r="A4271" s="8">
        <v>2.7890624999999999E-2</v>
      </c>
    </row>
    <row r="4272" spans="1:1" x14ac:dyDescent="0.25">
      <c r="A4272" s="8">
        <v>2.9523438000003809E-2</v>
      </c>
    </row>
    <row r="4273" spans="1:1" x14ac:dyDescent="0.25">
      <c r="A4273" s="8">
        <v>1.7976561999996192E-2</v>
      </c>
    </row>
    <row r="4274" spans="1:1" x14ac:dyDescent="0.25">
      <c r="A4274" s="8">
        <v>1.4710936999996193E-2</v>
      </c>
    </row>
    <row r="4275" spans="1:1" x14ac:dyDescent="0.25">
      <c r="A4275" s="8">
        <v>2.0414061999996194E-2</v>
      </c>
    </row>
    <row r="4276" spans="1:1" x14ac:dyDescent="0.25">
      <c r="A4276" s="8">
        <v>1.9234375000000001E-2</v>
      </c>
    </row>
    <row r="4277" spans="1:1" x14ac:dyDescent="0.25">
      <c r="A4277" s="8">
        <v>1.6484374999999999E-2</v>
      </c>
    </row>
    <row r="4278" spans="1:1" x14ac:dyDescent="0.25">
      <c r="A4278" s="8">
        <v>1.1570313000003806E-2</v>
      </c>
    </row>
    <row r="4279" spans="1:1" x14ac:dyDescent="0.25">
      <c r="A4279" s="8">
        <v>2.1968749999999999E-2</v>
      </c>
    </row>
    <row r="4280" spans="1:1" x14ac:dyDescent="0.25">
      <c r="A4280" s="8">
        <v>3.2125000000000001E-2</v>
      </c>
    </row>
    <row r="4281" spans="1:1" x14ac:dyDescent="0.25">
      <c r="A4281" s="8">
        <v>2.0257811999996194E-2</v>
      </c>
    </row>
    <row r="4282" spans="1:1" x14ac:dyDescent="0.25">
      <c r="A4282" s="8">
        <v>7.9296880000038067E-3</v>
      </c>
    </row>
    <row r="4283" spans="1:1" x14ac:dyDescent="0.25">
      <c r="A4283" s="8">
        <v>1.8531249999999999E-2</v>
      </c>
    </row>
    <row r="4284" spans="1:1" x14ac:dyDescent="0.25">
      <c r="A4284" s="8">
        <v>2.4921875E-2</v>
      </c>
    </row>
    <row r="4285" spans="1:1" x14ac:dyDescent="0.25">
      <c r="A4285" s="8">
        <v>1.2171875E-2</v>
      </c>
    </row>
    <row r="4286" spans="1:1" x14ac:dyDescent="0.25">
      <c r="A4286" s="8">
        <v>9.0468749999999994E-3</v>
      </c>
    </row>
    <row r="4287" spans="1:1" x14ac:dyDescent="0.25">
      <c r="A4287" s="8">
        <v>2.4375000000000001E-2</v>
      </c>
    </row>
    <row r="4288" spans="1:1" x14ac:dyDescent="0.25">
      <c r="A4288" s="8">
        <v>2.4312500000000001E-2</v>
      </c>
    </row>
    <row r="4289" spans="1:1" x14ac:dyDescent="0.25">
      <c r="A4289" s="8">
        <v>1.4140625E-2</v>
      </c>
    </row>
    <row r="4290" spans="1:1" x14ac:dyDescent="0.25">
      <c r="A4290" s="8">
        <v>1.9640624999999998E-2</v>
      </c>
    </row>
    <row r="4291" spans="1:1" x14ac:dyDescent="0.25">
      <c r="A4291" s="8">
        <v>1.965625E-2</v>
      </c>
    </row>
    <row r="4292" spans="1:1" x14ac:dyDescent="0.25">
      <c r="A4292" s="8">
        <v>1.9484375000000002E-2</v>
      </c>
    </row>
    <row r="4293" spans="1:1" x14ac:dyDescent="0.25">
      <c r="A4293" s="8">
        <v>1.5234375E-2</v>
      </c>
    </row>
    <row r="4294" spans="1:1" x14ac:dyDescent="0.25">
      <c r="A4294" s="8">
        <v>2.1749999999999999E-2</v>
      </c>
    </row>
    <row r="4295" spans="1:1" x14ac:dyDescent="0.25">
      <c r="A4295" s="8">
        <v>1.13125E-2</v>
      </c>
    </row>
    <row r="4296" spans="1:1" x14ac:dyDescent="0.25">
      <c r="A4296" s="8">
        <v>2.6281249999999999E-2</v>
      </c>
    </row>
    <row r="4297" spans="1:1" x14ac:dyDescent="0.25">
      <c r="A4297" s="8">
        <v>1.650781299999653E-2</v>
      </c>
    </row>
    <row r="4298" spans="1:1" x14ac:dyDescent="0.25">
      <c r="A4298" s="8">
        <v>1.5488281999998434E-2</v>
      </c>
    </row>
    <row r="4299" spans="1:1" x14ac:dyDescent="0.25">
      <c r="A4299" s="8">
        <v>1.8105469000001904E-2</v>
      </c>
    </row>
    <row r="4300" spans="1:1" x14ac:dyDescent="0.25">
      <c r="A4300" s="8">
        <v>1.7003905999998098E-2</v>
      </c>
    </row>
    <row r="4301" spans="1:1" x14ac:dyDescent="0.25">
      <c r="A4301" s="8">
        <v>1.9726563000003808E-2</v>
      </c>
    </row>
    <row r="4302" spans="1:1" x14ac:dyDescent="0.25">
      <c r="A4302" s="8">
        <v>1.3199218999994627E-2</v>
      </c>
    </row>
    <row r="4303" spans="1:1" x14ac:dyDescent="0.25">
      <c r="A4303" s="8">
        <v>1.5234375E-2</v>
      </c>
    </row>
    <row r="4304" spans="1:1" x14ac:dyDescent="0.25">
      <c r="A4304" s="8">
        <v>1.4230468999994628E-2</v>
      </c>
    </row>
    <row r="4305" spans="1:1" x14ac:dyDescent="0.25">
      <c r="A4305" s="8">
        <v>1.3125E-2</v>
      </c>
    </row>
    <row r="4306" spans="1:1" x14ac:dyDescent="0.25">
      <c r="A4306" s="8">
        <v>1.1929688000003807E-2</v>
      </c>
    </row>
    <row r="4307" spans="1:1" x14ac:dyDescent="0.25">
      <c r="A4307" s="8">
        <v>2.3757811999996194E-2</v>
      </c>
    </row>
    <row r="4308" spans="1:1" x14ac:dyDescent="0.25">
      <c r="A4308" s="8">
        <v>1.321875E-2</v>
      </c>
    </row>
    <row r="4309" spans="1:1" x14ac:dyDescent="0.25">
      <c r="A4309" s="8">
        <v>1.4023438000003807E-2</v>
      </c>
    </row>
    <row r="4310" spans="1:1" x14ac:dyDescent="0.25">
      <c r="A4310" s="8">
        <v>2.2148436999996194E-2</v>
      </c>
    </row>
    <row r="4311" spans="1:1" x14ac:dyDescent="0.25">
      <c r="A4311" s="8">
        <v>1.2949218000001565E-2</v>
      </c>
    </row>
    <row r="4312" spans="1:1" x14ac:dyDescent="0.25">
      <c r="A4312" s="8">
        <v>1.0593750000000001E-2</v>
      </c>
    </row>
    <row r="4313" spans="1:1" x14ac:dyDescent="0.25">
      <c r="A4313" s="8">
        <v>8.3125000000000004E-3</v>
      </c>
    </row>
    <row r="4314" spans="1:1" x14ac:dyDescent="0.25">
      <c r="A4314" s="8">
        <v>7.2890629999965316E-3</v>
      </c>
    </row>
    <row r="4315" spans="1:1" x14ac:dyDescent="0.25">
      <c r="A4315" s="8">
        <v>1.5523438000003806E-2</v>
      </c>
    </row>
    <row r="4316" spans="1:1" x14ac:dyDescent="0.25">
      <c r="A4316" s="8">
        <v>1.4585938000003807E-2</v>
      </c>
    </row>
    <row r="4317" spans="1:1" x14ac:dyDescent="0.25">
      <c r="A4317" s="8">
        <v>2.9273436999996193E-2</v>
      </c>
    </row>
    <row r="4318" spans="1:1" x14ac:dyDescent="0.25">
      <c r="A4318" s="8">
        <v>2.1921875E-2</v>
      </c>
    </row>
    <row r="4319" spans="1:1" x14ac:dyDescent="0.25">
      <c r="A4319" s="8">
        <v>1.7554686999996193E-2</v>
      </c>
    </row>
    <row r="4320" spans="1:1" x14ac:dyDescent="0.25">
      <c r="A4320" s="8">
        <v>1.4250000000000001E-2</v>
      </c>
    </row>
    <row r="4321" spans="1:1" x14ac:dyDescent="0.25">
      <c r="A4321" s="8">
        <v>3.1164061999996193E-2</v>
      </c>
    </row>
    <row r="4322" spans="1:1" x14ac:dyDescent="0.25">
      <c r="A4322" s="8">
        <v>1.0742188000003807E-2</v>
      </c>
    </row>
    <row r="4323" spans="1:1" x14ac:dyDescent="0.25">
      <c r="A4323" s="8">
        <v>7.7734369999961925E-3</v>
      </c>
    </row>
    <row r="4324" spans="1:1" x14ac:dyDescent="0.25">
      <c r="A4324" s="8">
        <v>1.7250000000000001E-2</v>
      </c>
    </row>
    <row r="4325" spans="1:1" x14ac:dyDescent="0.25">
      <c r="A4325" s="8">
        <v>2.1335936999996193E-2</v>
      </c>
    </row>
    <row r="4326" spans="1:1" x14ac:dyDescent="0.25">
      <c r="A4326" s="8">
        <v>2.0398436999996192E-2</v>
      </c>
    </row>
    <row r="4327" spans="1:1" x14ac:dyDescent="0.25">
      <c r="A4327" s="8">
        <v>1.3625E-2</v>
      </c>
    </row>
    <row r="4328" spans="1:1" x14ac:dyDescent="0.25">
      <c r="A4328" s="8">
        <v>1.6312500000000001E-2</v>
      </c>
    </row>
    <row r="4329" spans="1:1" x14ac:dyDescent="0.25">
      <c r="A4329" s="8">
        <v>1.7031250000000001E-2</v>
      </c>
    </row>
    <row r="4330" spans="1:1" x14ac:dyDescent="0.25">
      <c r="A4330" s="8">
        <v>1.6171874999999999E-2</v>
      </c>
    </row>
    <row r="4331" spans="1:1" x14ac:dyDescent="0.25">
      <c r="A4331" s="8">
        <v>8.7656250000000008E-3</v>
      </c>
    </row>
    <row r="4332" spans="1:1" x14ac:dyDescent="0.25">
      <c r="A4332" s="8">
        <v>1.9085938000003806E-2</v>
      </c>
    </row>
    <row r="4333" spans="1:1" x14ac:dyDescent="0.25">
      <c r="A4333" s="8">
        <v>1.6804688000003808E-2</v>
      </c>
    </row>
    <row r="4334" spans="1:1" x14ac:dyDescent="0.25">
      <c r="A4334" s="8">
        <v>5.1187499999999997E-2</v>
      </c>
    </row>
    <row r="4335" spans="1:1" x14ac:dyDescent="0.25">
      <c r="A4335" s="8">
        <v>1.6140624999999999E-2</v>
      </c>
    </row>
    <row r="4336" spans="1:1" x14ac:dyDescent="0.25">
      <c r="A4336" s="8">
        <v>2.3617188000003807E-2</v>
      </c>
    </row>
    <row r="4337" spans="1:1" x14ac:dyDescent="0.25">
      <c r="A4337" s="8">
        <v>7.4265625000000002E-2</v>
      </c>
    </row>
    <row r="4338" spans="1:1" x14ac:dyDescent="0.25">
      <c r="A4338" s="8">
        <v>7.2343750000000004E-3</v>
      </c>
    </row>
    <row r="4339" spans="1:1" x14ac:dyDescent="0.25">
      <c r="A4339" s="8">
        <v>2.0656250000000001E-2</v>
      </c>
    </row>
    <row r="4340" spans="1:1" x14ac:dyDescent="0.25">
      <c r="A4340" s="8">
        <v>7.2578119999961929E-3</v>
      </c>
    </row>
    <row r="4341" spans="1:1" x14ac:dyDescent="0.25">
      <c r="A4341" s="8">
        <v>1.175E-2</v>
      </c>
    </row>
    <row r="4342" spans="1:1" x14ac:dyDescent="0.25">
      <c r="A4342" s="8">
        <v>2.2437499999999999E-2</v>
      </c>
    </row>
    <row r="4343" spans="1:1" x14ac:dyDescent="0.25">
      <c r="A4343" s="8">
        <v>2.0265624999999999E-2</v>
      </c>
    </row>
    <row r="4344" spans="1:1" x14ac:dyDescent="0.25">
      <c r="A4344" s="8">
        <v>7.5312499999999998E-3</v>
      </c>
    </row>
    <row r="4345" spans="1:1" x14ac:dyDescent="0.25">
      <c r="A4345" s="8">
        <v>1.115625E-2</v>
      </c>
    </row>
    <row r="4346" spans="1:1" x14ac:dyDescent="0.25">
      <c r="A4346" s="8">
        <v>7.2500000000000004E-3</v>
      </c>
    </row>
    <row r="4347" spans="1:1" x14ac:dyDescent="0.25">
      <c r="A4347" s="8">
        <v>7.4999999999999997E-3</v>
      </c>
    </row>
    <row r="4348" spans="1:1" x14ac:dyDescent="0.25">
      <c r="A4348" s="8">
        <v>1.353125E-2</v>
      </c>
    </row>
    <row r="4349" spans="1:1" x14ac:dyDescent="0.25">
      <c r="A4349" s="8">
        <v>1.028125E-2</v>
      </c>
    </row>
    <row r="4350" spans="1:1" x14ac:dyDescent="0.25">
      <c r="A4350" s="8">
        <v>3.2171875000000003E-2</v>
      </c>
    </row>
    <row r="4351" spans="1:1" x14ac:dyDescent="0.25">
      <c r="A4351" s="8">
        <v>1.5828124999999998E-2</v>
      </c>
    </row>
    <row r="4352" spans="1:1" x14ac:dyDescent="0.25">
      <c r="A4352" s="8">
        <v>1.35E-2</v>
      </c>
    </row>
    <row r="4353" spans="1:1" x14ac:dyDescent="0.25">
      <c r="A4353" s="8">
        <v>1.8187499999999999E-2</v>
      </c>
    </row>
    <row r="4354" spans="1:1" x14ac:dyDescent="0.25">
      <c r="A4354" s="8">
        <v>2.3671874999999998E-2</v>
      </c>
    </row>
    <row r="4355" spans="1:1" x14ac:dyDescent="0.25">
      <c r="A4355" s="8">
        <v>3.3781249999999999E-2</v>
      </c>
    </row>
    <row r="4356" spans="1:1" x14ac:dyDescent="0.25">
      <c r="A4356" s="8">
        <v>7.0468750000000002E-3</v>
      </c>
    </row>
    <row r="4357" spans="1:1" x14ac:dyDescent="0.25">
      <c r="A4357" s="8">
        <v>1.7609375E-2</v>
      </c>
    </row>
    <row r="4358" spans="1:1" x14ac:dyDescent="0.25">
      <c r="A4358" s="8">
        <v>0.139578125</v>
      </c>
    </row>
    <row r="4359" spans="1:1" x14ac:dyDescent="0.25">
      <c r="A4359" s="8">
        <v>6.4750000000000002E-2</v>
      </c>
    </row>
    <row r="4360" spans="1:1" x14ac:dyDescent="0.25">
      <c r="A4360" s="8">
        <v>1.925E-2</v>
      </c>
    </row>
    <row r="4361" spans="1:1" x14ac:dyDescent="0.25">
      <c r="A4361" s="8">
        <v>2.6322265999999216E-2</v>
      </c>
    </row>
    <row r="4362" spans="1:1" x14ac:dyDescent="0.25">
      <c r="A4362" s="8">
        <v>2.1753906000001735E-2</v>
      </c>
    </row>
    <row r="4363" spans="1:1" x14ac:dyDescent="0.25">
      <c r="A4363" s="8">
        <v>1.8466796999997315E-2</v>
      </c>
    </row>
    <row r="4364" spans="1:1" x14ac:dyDescent="0.25">
      <c r="A4364" s="8">
        <v>2.7814453000002685E-2</v>
      </c>
    </row>
    <row r="4365" spans="1:1" x14ac:dyDescent="0.25">
      <c r="A4365" s="8">
        <v>4.8972656999998435E-2</v>
      </c>
    </row>
    <row r="4366" spans="1:1" x14ac:dyDescent="0.25">
      <c r="A4366" s="8">
        <v>1.8316406999998435E-2</v>
      </c>
    </row>
    <row r="4367" spans="1:1" x14ac:dyDescent="0.25">
      <c r="A4367" s="8">
        <v>1.3746093000001566E-2</v>
      </c>
    </row>
    <row r="4368" spans="1:1" x14ac:dyDescent="0.25">
      <c r="A4368" s="8">
        <v>2.0394531999998435E-2</v>
      </c>
    </row>
    <row r="4369" spans="1:1" x14ac:dyDescent="0.25">
      <c r="A4369" s="8">
        <v>3.6652344000001905E-2</v>
      </c>
    </row>
    <row r="4370" spans="1:1" x14ac:dyDescent="0.25">
      <c r="A4370" s="8">
        <v>1.6734374999999999E-2</v>
      </c>
    </row>
    <row r="4371" spans="1:1" x14ac:dyDescent="0.25">
      <c r="A4371" s="8">
        <v>2.1523436999996193E-2</v>
      </c>
    </row>
    <row r="4372" spans="1:1" x14ac:dyDescent="0.25">
      <c r="A4372" s="8">
        <v>2.2671875000000001E-2</v>
      </c>
    </row>
    <row r="4373" spans="1:1" x14ac:dyDescent="0.25">
      <c r="A4373" s="8">
        <v>7.6953130000038074E-3</v>
      </c>
    </row>
    <row r="4374" spans="1:1" x14ac:dyDescent="0.25">
      <c r="A4374" s="8">
        <v>5.8109374999999998E-2</v>
      </c>
    </row>
    <row r="4375" spans="1:1" x14ac:dyDescent="0.25">
      <c r="A4375" s="8">
        <v>1.9679686999996192E-2</v>
      </c>
    </row>
    <row r="4376" spans="1:1" x14ac:dyDescent="0.25">
      <c r="A4376" s="8">
        <v>2.9726563000003807E-2</v>
      </c>
    </row>
    <row r="4377" spans="1:1" x14ac:dyDescent="0.25">
      <c r="A4377" s="8">
        <v>2.6335936999996194E-2</v>
      </c>
    </row>
    <row r="4378" spans="1:1" x14ac:dyDescent="0.25">
      <c r="A4378" s="8">
        <v>1.7546875E-2</v>
      </c>
    </row>
    <row r="4379" spans="1:1" x14ac:dyDescent="0.25">
      <c r="A4379" s="8">
        <v>4.4460938000003808E-2</v>
      </c>
    </row>
    <row r="4380" spans="1:1" x14ac:dyDescent="0.25">
      <c r="A4380" s="8">
        <v>1.7976563000003807E-2</v>
      </c>
    </row>
    <row r="4381" spans="1:1" x14ac:dyDescent="0.25">
      <c r="A4381" s="8">
        <v>2.0304686999996192E-2</v>
      </c>
    </row>
    <row r="4382" spans="1:1" x14ac:dyDescent="0.25">
      <c r="A4382" s="8">
        <v>1.0648436999996192E-2</v>
      </c>
    </row>
    <row r="4383" spans="1:1" x14ac:dyDescent="0.25">
      <c r="A4383" s="8">
        <v>6.6484380000038073E-3</v>
      </c>
    </row>
    <row r="4384" spans="1:1" x14ac:dyDescent="0.25">
      <c r="A4384" s="8">
        <v>1.4687499999999999E-2</v>
      </c>
    </row>
    <row r="4385" spans="1:1" x14ac:dyDescent="0.25">
      <c r="A4385" s="8">
        <v>5.43125E-2</v>
      </c>
    </row>
    <row r="4386" spans="1:1" x14ac:dyDescent="0.25">
      <c r="A4386" s="8">
        <v>1.15E-2</v>
      </c>
    </row>
    <row r="4387" spans="1:1" x14ac:dyDescent="0.25">
      <c r="A4387" s="8">
        <v>2.4492186999996193E-2</v>
      </c>
    </row>
    <row r="4388" spans="1:1" x14ac:dyDescent="0.25">
      <c r="A4388" s="8">
        <v>5.5414061999996191E-2</v>
      </c>
    </row>
    <row r="4389" spans="1:1" x14ac:dyDescent="0.25">
      <c r="A4389" s="8">
        <v>1.1062499999999999E-2</v>
      </c>
    </row>
    <row r="4390" spans="1:1" x14ac:dyDescent="0.25">
      <c r="A4390" s="8">
        <v>1.5921874999999999E-2</v>
      </c>
    </row>
    <row r="4391" spans="1:1" x14ac:dyDescent="0.25">
      <c r="A4391" s="8">
        <v>1.6976563000003806E-2</v>
      </c>
    </row>
    <row r="4392" spans="1:1" x14ac:dyDescent="0.25">
      <c r="A4392" s="8">
        <v>2.2523436999996194E-2</v>
      </c>
    </row>
    <row r="4393" spans="1:1" x14ac:dyDescent="0.25">
      <c r="A4393" s="8">
        <v>1.8406249999999999E-2</v>
      </c>
    </row>
    <row r="4394" spans="1:1" x14ac:dyDescent="0.25">
      <c r="A4394" s="8">
        <v>2.0703124999999999E-2</v>
      </c>
    </row>
    <row r="4395" spans="1:1" x14ac:dyDescent="0.25">
      <c r="A4395" s="8">
        <v>1.2882813000003808E-2</v>
      </c>
    </row>
    <row r="4396" spans="1:1" x14ac:dyDescent="0.25">
      <c r="A4396" s="8">
        <v>1.1679686999996193E-2</v>
      </c>
    </row>
    <row r="4397" spans="1:1" x14ac:dyDescent="0.25">
      <c r="A4397" s="8">
        <v>2.2664063000003808E-2</v>
      </c>
    </row>
    <row r="4398" spans="1:1" x14ac:dyDescent="0.25">
      <c r="A4398" s="8">
        <v>1.128125E-2</v>
      </c>
    </row>
    <row r="4399" spans="1:1" x14ac:dyDescent="0.25">
      <c r="A4399" s="8">
        <v>1.5164061999996193E-2</v>
      </c>
    </row>
    <row r="4400" spans="1:1" x14ac:dyDescent="0.25">
      <c r="A4400" s="8">
        <v>1.165625E-2</v>
      </c>
    </row>
    <row r="4401" spans="1:1" x14ac:dyDescent="0.25">
      <c r="A4401" s="8">
        <v>1.8046875E-2</v>
      </c>
    </row>
    <row r="4402" spans="1:1" x14ac:dyDescent="0.25">
      <c r="A4402" s="8">
        <v>1.5578125E-2</v>
      </c>
    </row>
    <row r="4403" spans="1:1" x14ac:dyDescent="0.25">
      <c r="A4403" s="8">
        <v>0.10087500000000001</v>
      </c>
    </row>
    <row r="4404" spans="1:1" x14ac:dyDescent="0.25">
      <c r="A4404" s="8">
        <v>2.3875E-2</v>
      </c>
    </row>
    <row r="4405" spans="1:1" x14ac:dyDescent="0.25">
      <c r="A4405" s="8">
        <v>7.78125E-3</v>
      </c>
    </row>
    <row r="4406" spans="1:1" x14ac:dyDescent="0.25">
      <c r="A4406" s="8">
        <v>1.3062499999999999E-2</v>
      </c>
    </row>
    <row r="4407" spans="1:1" x14ac:dyDescent="0.25">
      <c r="A4407" s="8">
        <v>2.34375E-2</v>
      </c>
    </row>
    <row r="4408" spans="1:1" x14ac:dyDescent="0.25">
      <c r="A4408" s="8">
        <v>2.8187500000000001E-2</v>
      </c>
    </row>
    <row r="4409" spans="1:1" x14ac:dyDescent="0.25">
      <c r="A4409" s="8">
        <v>2.1312500000000002E-2</v>
      </c>
    </row>
    <row r="4410" spans="1:1" x14ac:dyDescent="0.25">
      <c r="A4410" s="8">
        <v>1.4968749999999999E-2</v>
      </c>
    </row>
    <row r="4411" spans="1:1" x14ac:dyDescent="0.25">
      <c r="A4411" s="8">
        <v>1.7171875E-2</v>
      </c>
    </row>
    <row r="4412" spans="1:1" x14ac:dyDescent="0.25">
      <c r="A4412" s="8">
        <v>1.6937500000000001E-2</v>
      </c>
    </row>
    <row r="4413" spans="1:1" x14ac:dyDescent="0.25">
      <c r="A4413" s="8">
        <v>1.8765625000000001E-2</v>
      </c>
    </row>
    <row r="4414" spans="1:1" x14ac:dyDescent="0.25">
      <c r="A4414" s="8">
        <v>1.0015625E-2</v>
      </c>
    </row>
    <row r="4415" spans="1:1" x14ac:dyDescent="0.25">
      <c r="A4415" s="8">
        <v>9.71875E-3</v>
      </c>
    </row>
    <row r="4416" spans="1:1" x14ac:dyDescent="0.25">
      <c r="A4416" s="8">
        <v>2.0250000000000001E-2</v>
      </c>
    </row>
    <row r="4417" spans="1:1" x14ac:dyDescent="0.25">
      <c r="A4417" s="8">
        <v>1.2265625E-2</v>
      </c>
    </row>
    <row r="4418" spans="1:1" x14ac:dyDescent="0.25">
      <c r="A4418" s="8">
        <v>2.6124999999999999E-2</v>
      </c>
    </row>
    <row r="4419" spans="1:1" x14ac:dyDescent="0.25">
      <c r="A4419" s="8">
        <v>0.101359375</v>
      </c>
    </row>
    <row r="4420" spans="1:1" x14ac:dyDescent="0.25">
      <c r="A4420" s="8">
        <v>1.8343749999999999E-2</v>
      </c>
    </row>
    <row r="4421" spans="1:1" x14ac:dyDescent="0.25">
      <c r="A4421" s="8">
        <v>2.1328125E-2</v>
      </c>
    </row>
    <row r="4422" spans="1:1" x14ac:dyDescent="0.25">
      <c r="A4422" s="8">
        <v>2.0406250000000001E-2</v>
      </c>
    </row>
    <row r="4423" spans="1:1" x14ac:dyDescent="0.25">
      <c r="A4423" s="8">
        <v>1.1203125E-2</v>
      </c>
    </row>
    <row r="4424" spans="1:1" x14ac:dyDescent="0.25">
      <c r="A4424" s="8">
        <v>1.8578125000000001E-2</v>
      </c>
    </row>
    <row r="4425" spans="1:1" x14ac:dyDescent="0.25">
      <c r="A4425" s="8">
        <v>1.4894530999998096E-2</v>
      </c>
    </row>
    <row r="4426" spans="1:1" x14ac:dyDescent="0.25">
      <c r="A4426" s="8">
        <v>2.2175781000001733E-2</v>
      </c>
    </row>
    <row r="4427" spans="1:1" x14ac:dyDescent="0.25">
      <c r="A4427" s="8">
        <v>1.7753906000001735E-2</v>
      </c>
    </row>
    <row r="4428" spans="1:1" x14ac:dyDescent="0.25">
      <c r="A4428" s="8">
        <v>2.8322265000002518E-2</v>
      </c>
    </row>
    <row r="4429" spans="1:1" x14ac:dyDescent="0.25">
      <c r="A4429" s="8">
        <v>1.5601561999999831E-2</v>
      </c>
    </row>
    <row r="4430" spans="1:1" x14ac:dyDescent="0.25">
      <c r="A4430" s="8">
        <v>8.3593750000000005E-3</v>
      </c>
    </row>
    <row r="4431" spans="1:1" x14ac:dyDescent="0.25">
      <c r="A4431" s="8">
        <v>2.9150390999999217E-2</v>
      </c>
    </row>
    <row r="4432" spans="1:1" x14ac:dyDescent="0.25">
      <c r="A4432" s="8">
        <v>1.4988281000001734E-2</v>
      </c>
    </row>
    <row r="4433" spans="1:1" x14ac:dyDescent="0.25">
      <c r="A4433" s="8">
        <v>8.6562500000000007E-3</v>
      </c>
    </row>
    <row r="4434" spans="1:1" x14ac:dyDescent="0.25">
      <c r="A4434" s="8">
        <v>1.6835936999996193E-2</v>
      </c>
    </row>
    <row r="4435" spans="1:1" x14ac:dyDescent="0.25">
      <c r="A4435" s="8">
        <v>2.4355469000001902E-2</v>
      </c>
    </row>
    <row r="4436" spans="1:1" x14ac:dyDescent="0.25">
      <c r="A4436" s="8">
        <v>1.4855469000001904E-2</v>
      </c>
    </row>
    <row r="4437" spans="1:1" x14ac:dyDescent="0.25">
      <c r="A4437" s="8">
        <v>1.3804688000003807E-2</v>
      </c>
    </row>
    <row r="4438" spans="1:1" x14ac:dyDescent="0.25">
      <c r="A4438" s="8">
        <v>1.7730468000001564E-2</v>
      </c>
    </row>
    <row r="4439" spans="1:1" x14ac:dyDescent="0.25">
      <c r="A4439" s="8">
        <v>1.5132813000003808E-2</v>
      </c>
    </row>
    <row r="4440" spans="1:1" x14ac:dyDescent="0.25">
      <c r="A4440" s="8">
        <v>1.7773437000003469E-2</v>
      </c>
    </row>
    <row r="4441" spans="1:1" x14ac:dyDescent="0.25">
      <c r="A4441" s="8">
        <v>2.4183594000001904E-2</v>
      </c>
    </row>
    <row r="4442" spans="1:1" x14ac:dyDescent="0.25">
      <c r="A4442" s="8">
        <v>1.8945311999996193E-2</v>
      </c>
    </row>
    <row r="4443" spans="1:1" x14ac:dyDescent="0.25">
      <c r="A4443" s="8">
        <v>3.1238281000005374E-2</v>
      </c>
    </row>
    <row r="4444" spans="1:1" x14ac:dyDescent="0.25">
      <c r="A4444" s="8">
        <v>7.7773440000019033E-3</v>
      </c>
    </row>
    <row r="4445" spans="1:1" x14ac:dyDescent="0.25">
      <c r="A4445" s="8">
        <v>2.6988280999998095E-2</v>
      </c>
    </row>
    <row r="4446" spans="1:1" x14ac:dyDescent="0.25">
      <c r="A4446" s="8">
        <v>1.3648437000003469E-2</v>
      </c>
    </row>
    <row r="4447" spans="1:1" x14ac:dyDescent="0.25">
      <c r="A4447" s="8">
        <v>1.6378905999998097E-2</v>
      </c>
    </row>
    <row r="4448" spans="1:1" x14ac:dyDescent="0.25">
      <c r="A4448" s="8">
        <v>1.6867186999996193E-2</v>
      </c>
    </row>
    <row r="4449" spans="1:1" x14ac:dyDescent="0.25">
      <c r="A4449" s="8">
        <v>1.4042969000001904E-2</v>
      </c>
    </row>
    <row r="4450" spans="1:1" x14ac:dyDescent="0.25">
      <c r="A4450" s="8">
        <v>1.9867186999996192E-2</v>
      </c>
    </row>
    <row r="4451" spans="1:1" x14ac:dyDescent="0.25">
      <c r="A4451" s="8">
        <v>2.0500000000000001E-2</v>
      </c>
    </row>
    <row r="4452" spans="1:1" x14ac:dyDescent="0.25">
      <c r="A4452" s="8">
        <v>1.0937499999999999E-2</v>
      </c>
    </row>
    <row r="4453" spans="1:1" x14ac:dyDescent="0.25">
      <c r="A4453" s="8">
        <v>2.0046874999999999E-2</v>
      </c>
    </row>
    <row r="4454" spans="1:1" x14ac:dyDescent="0.25">
      <c r="A4454" s="8">
        <v>2.2539063000003808E-2</v>
      </c>
    </row>
    <row r="4455" spans="1:1" x14ac:dyDescent="0.25">
      <c r="A4455" s="8">
        <v>1.384375E-2</v>
      </c>
    </row>
    <row r="4456" spans="1:1" x14ac:dyDescent="0.25">
      <c r="A4456" s="8">
        <v>2.2875E-2</v>
      </c>
    </row>
    <row r="4457" spans="1:1" x14ac:dyDescent="0.25">
      <c r="A4457" s="8">
        <v>2.5906249999999999E-2</v>
      </c>
    </row>
    <row r="4458" spans="1:1" x14ac:dyDescent="0.25">
      <c r="A4458" s="8">
        <v>1.1203125E-2</v>
      </c>
    </row>
    <row r="4459" spans="1:1" x14ac:dyDescent="0.25">
      <c r="A4459" s="8">
        <v>1.2648438000003807E-2</v>
      </c>
    </row>
    <row r="4460" spans="1:1" x14ac:dyDescent="0.25">
      <c r="A4460" s="8">
        <v>1.5601561999996193E-2</v>
      </c>
    </row>
    <row r="4461" spans="1:1" x14ac:dyDescent="0.25">
      <c r="A4461" s="8">
        <v>1.0867188000003808E-2</v>
      </c>
    </row>
    <row r="4462" spans="1:1" x14ac:dyDescent="0.25">
      <c r="A4462" s="8">
        <v>1.3960938000003807E-2</v>
      </c>
    </row>
    <row r="4463" spans="1:1" x14ac:dyDescent="0.25">
      <c r="A4463" s="8">
        <v>2.4765624999999999E-2</v>
      </c>
    </row>
    <row r="4464" spans="1:1" x14ac:dyDescent="0.25">
      <c r="A4464" s="8">
        <v>9.5703119999961932E-3</v>
      </c>
    </row>
    <row r="4465" spans="1:1" x14ac:dyDescent="0.25">
      <c r="A4465" s="8">
        <v>1.7898438000003809E-2</v>
      </c>
    </row>
    <row r="4466" spans="1:1" x14ac:dyDescent="0.25">
      <c r="A4466" s="8">
        <v>2.2445311999996193E-2</v>
      </c>
    </row>
    <row r="4467" spans="1:1" x14ac:dyDescent="0.25">
      <c r="A4467" s="8">
        <v>2.3945313000003809E-2</v>
      </c>
    </row>
    <row r="4468" spans="1:1" x14ac:dyDescent="0.25">
      <c r="A4468" s="8">
        <v>2.0289063000003806E-2</v>
      </c>
    </row>
    <row r="4469" spans="1:1" x14ac:dyDescent="0.25">
      <c r="A4469" s="8">
        <v>1.125E-2</v>
      </c>
    </row>
    <row r="4470" spans="1:1" x14ac:dyDescent="0.25">
      <c r="A4470" s="8">
        <v>7.5390619999961932E-3</v>
      </c>
    </row>
    <row r="4471" spans="1:1" x14ac:dyDescent="0.25">
      <c r="A4471" s="8">
        <v>1.5046874999999999E-2</v>
      </c>
    </row>
    <row r="4472" spans="1:1" x14ac:dyDescent="0.25">
      <c r="A4472" s="8">
        <v>2.6468749999999999E-2</v>
      </c>
    </row>
    <row r="4473" spans="1:1" x14ac:dyDescent="0.25">
      <c r="A4473" s="8">
        <v>2.0726561999996194E-2</v>
      </c>
    </row>
    <row r="4474" spans="1:1" x14ac:dyDescent="0.25">
      <c r="A4474" s="8">
        <v>1.128125E-2</v>
      </c>
    </row>
    <row r="4475" spans="1:1" x14ac:dyDescent="0.25">
      <c r="A4475" s="8">
        <v>9.2421880000038079E-3</v>
      </c>
    </row>
    <row r="4476" spans="1:1" x14ac:dyDescent="0.25">
      <c r="A4476" s="8">
        <v>1.3757811999996193E-2</v>
      </c>
    </row>
    <row r="4477" spans="1:1" x14ac:dyDescent="0.25">
      <c r="A4477" s="8">
        <v>1.16875E-2</v>
      </c>
    </row>
    <row r="4478" spans="1:1" x14ac:dyDescent="0.25">
      <c r="A4478" s="8">
        <v>1.3039063000003808E-2</v>
      </c>
    </row>
    <row r="4479" spans="1:1" x14ac:dyDescent="0.25">
      <c r="A4479" s="8">
        <v>2.4671874999999999E-2</v>
      </c>
    </row>
    <row r="4480" spans="1:1" x14ac:dyDescent="0.25">
      <c r="A4480" s="8">
        <v>0.1256484380000038</v>
      </c>
    </row>
    <row r="4481" spans="1:1" x14ac:dyDescent="0.25">
      <c r="A4481" s="8">
        <v>2.4859375E-2</v>
      </c>
    </row>
    <row r="4482" spans="1:1" x14ac:dyDescent="0.25">
      <c r="A4482" s="8">
        <v>1.3703125E-2</v>
      </c>
    </row>
    <row r="4483" spans="1:1" x14ac:dyDescent="0.25">
      <c r="A4483" s="8">
        <v>1.4453125000000001E-2</v>
      </c>
    </row>
    <row r="4484" spans="1:1" x14ac:dyDescent="0.25">
      <c r="A4484" s="8">
        <v>1.3765625E-2</v>
      </c>
    </row>
    <row r="4485" spans="1:1" x14ac:dyDescent="0.25">
      <c r="A4485" s="8">
        <v>2.4843750000000001E-2</v>
      </c>
    </row>
    <row r="4486" spans="1:1" x14ac:dyDescent="0.25">
      <c r="A4486" s="8">
        <v>1.2312500000000001E-2</v>
      </c>
    </row>
    <row r="4487" spans="1:1" x14ac:dyDescent="0.25">
      <c r="A4487" s="8">
        <v>1.3984375E-2</v>
      </c>
    </row>
    <row r="4488" spans="1:1" x14ac:dyDescent="0.25">
      <c r="A4488" s="8">
        <v>1.7015625E-2</v>
      </c>
    </row>
    <row r="4489" spans="1:1" x14ac:dyDescent="0.25">
      <c r="A4489" s="8">
        <v>2.0781250000000001E-2</v>
      </c>
    </row>
    <row r="4490" spans="1:1" x14ac:dyDescent="0.25">
      <c r="A4490" s="8">
        <v>2.0609374999999999E-2</v>
      </c>
    </row>
    <row r="4491" spans="1:1" x14ac:dyDescent="0.25">
      <c r="A4491" s="8">
        <v>9.4999999999999998E-3</v>
      </c>
    </row>
    <row r="4492" spans="1:1" x14ac:dyDescent="0.25">
      <c r="A4492" s="8">
        <v>1.7546875E-2</v>
      </c>
    </row>
    <row r="4493" spans="1:1" x14ac:dyDescent="0.25">
      <c r="A4493" s="8">
        <v>1.8390625000000001E-2</v>
      </c>
    </row>
    <row r="4494" spans="1:1" x14ac:dyDescent="0.25">
      <c r="A4494" s="8">
        <v>1.36875E-2</v>
      </c>
    </row>
    <row r="4495" spans="1:1" x14ac:dyDescent="0.25">
      <c r="A4495" s="8">
        <v>1.4078125E-2</v>
      </c>
    </row>
    <row r="4496" spans="1:1" x14ac:dyDescent="0.25">
      <c r="A4496" s="8">
        <v>1.3796875E-2</v>
      </c>
    </row>
    <row r="4497" spans="1:1" x14ac:dyDescent="0.25">
      <c r="A4497" s="8">
        <v>2.2749999999999999E-2</v>
      </c>
    </row>
    <row r="4498" spans="1:1" x14ac:dyDescent="0.25">
      <c r="A4498" s="8">
        <v>2.1468750000000002E-2</v>
      </c>
    </row>
    <row r="4499" spans="1:1" x14ac:dyDescent="0.25">
      <c r="A4499" s="8">
        <v>1.590625E-2</v>
      </c>
    </row>
    <row r="4500" spans="1:1" x14ac:dyDescent="0.25">
      <c r="A4500" s="8">
        <v>2.4421874999999999E-2</v>
      </c>
    </row>
    <row r="4501" spans="1:1" x14ac:dyDescent="0.25">
      <c r="A4501" s="8">
        <v>1.7250000000000001E-2</v>
      </c>
    </row>
    <row r="4502" spans="1:1" x14ac:dyDescent="0.25">
      <c r="A4502" s="8">
        <v>2.4078124999999999E-2</v>
      </c>
    </row>
    <row r="4503" spans="1:1" x14ac:dyDescent="0.25">
      <c r="A4503" s="8">
        <v>2.9015625E-2</v>
      </c>
    </row>
    <row r="4504" spans="1:1" x14ac:dyDescent="0.25">
      <c r="A4504" s="8">
        <v>0.10632031200000347</v>
      </c>
    </row>
    <row r="4505" spans="1:1" x14ac:dyDescent="0.25">
      <c r="A4505" s="8">
        <v>3.2480468999998263E-2</v>
      </c>
    </row>
    <row r="4506" spans="1:1" x14ac:dyDescent="0.25">
      <c r="A4506" s="8">
        <v>1.4951172000000951E-2</v>
      </c>
    </row>
    <row r="4507" spans="1:1" x14ac:dyDescent="0.25">
      <c r="A4507" s="8">
        <v>8.4277340000007833E-3</v>
      </c>
    </row>
    <row r="4508" spans="1:1" x14ac:dyDescent="0.25">
      <c r="A4508" s="8">
        <v>1.8087890000002518E-2</v>
      </c>
    </row>
    <row r="4509" spans="1:1" x14ac:dyDescent="0.25">
      <c r="A4509" s="8">
        <v>2.2365234999997482E-2</v>
      </c>
    </row>
    <row r="4510" spans="1:1" x14ac:dyDescent="0.25">
      <c r="A4510" s="8">
        <v>2.7355468000001566E-2</v>
      </c>
    </row>
    <row r="4511" spans="1:1" x14ac:dyDescent="0.25">
      <c r="A4511" s="8">
        <v>2.7308593999994628E-2</v>
      </c>
    </row>
    <row r="4512" spans="1:1" x14ac:dyDescent="0.25">
      <c r="A4512" s="8">
        <v>2.0628905999998098E-2</v>
      </c>
    </row>
    <row r="4513" spans="1:1" x14ac:dyDescent="0.25">
      <c r="A4513" s="8">
        <v>1.4234375E-2</v>
      </c>
    </row>
    <row r="4514" spans="1:1" x14ac:dyDescent="0.25">
      <c r="A4514" s="8">
        <v>2.1023437999996532E-2</v>
      </c>
    </row>
    <row r="4515" spans="1:1" x14ac:dyDescent="0.25">
      <c r="A4515" s="8">
        <v>2.0109374999999999E-2</v>
      </c>
    </row>
    <row r="4516" spans="1:1" x14ac:dyDescent="0.25">
      <c r="A4516" s="8">
        <v>7.8359369999961934E-3</v>
      </c>
    </row>
    <row r="4517" spans="1:1" x14ac:dyDescent="0.25">
      <c r="A4517" s="8">
        <v>1.5578125E-2</v>
      </c>
    </row>
    <row r="4518" spans="1:1" x14ac:dyDescent="0.25">
      <c r="A4518" s="8">
        <v>9.1484369999961929E-3</v>
      </c>
    </row>
    <row r="4519" spans="1:1" x14ac:dyDescent="0.25">
      <c r="A4519" s="8">
        <v>1.2609375000000001E-2</v>
      </c>
    </row>
    <row r="4520" spans="1:1" x14ac:dyDescent="0.25">
      <c r="A4520" s="8">
        <v>7.8046880000038074E-3</v>
      </c>
    </row>
    <row r="4521" spans="1:1" x14ac:dyDescent="0.25">
      <c r="A4521" s="8">
        <v>2.6945313000003808E-2</v>
      </c>
    </row>
    <row r="4522" spans="1:1" x14ac:dyDescent="0.25">
      <c r="A4522" s="8">
        <v>1.953125E-2</v>
      </c>
    </row>
    <row r="4523" spans="1:1" x14ac:dyDescent="0.25">
      <c r="A4523" s="8">
        <v>4.728906199999619E-2</v>
      </c>
    </row>
    <row r="4524" spans="1:1" x14ac:dyDescent="0.25">
      <c r="A4524" s="8">
        <v>1.2296875000000001E-2</v>
      </c>
    </row>
    <row r="4525" spans="1:1" x14ac:dyDescent="0.25">
      <c r="A4525" s="8">
        <v>7.9218750000000001E-3</v>
      </c>
    </row>
    <row r="4526" spans="1:1" x14ac:dyDescent="0.25">
      <c r="A4526" s="8">
        <v>1.3117186999996193E-2</v>
      </c>
    </row>
    <row r="4527" spans="1:1" x14ac:dyDescent="0.25">
      <c r="A4527" s="8">
        <v>2.4382811999996194E-2</v>
      </c>
    </row>
    <row r="4528" spans="1:1" x14ac:dyDescent="0.25">
      <c r="A4528" s="8">
        <v>1.4398438000003807E-2</v>
      </c>
    </row>
    <row r="4529" spans="1:1" x14ac:dyDescent="0.25">
      <c r="A4529" s="8">
        <v>2.3085938000003806E-2</v>
      </c>
    </row>
    <row r="4530" spans="1:1" x14ac:dyDescent="0.25">
      <c r="A4530" s="8">
        <v>1.6859374999999999E-2</v>
      </c>
    </row>
    <row r="4531" spans="1:1" x14ac:dyDescent="0.25">
      <c r="A4531" s="8">
        <v>2.0476563000003806E-2</v>
      </c>
    </row>
    <row r="4532" spans="1:1" x14ac:dyDescent="0.25">
      <c r="A4532" s="8">
        <v>1.6445311999996194E-2</v>
      </c>
    </row>
    <row r="4533" spans="1:1" x14ac:dyDescent="0.25">
      <c r="A4533" s="8">
        <v>1.3867186999996194E-2</v>
      </c>
    </row>
    <row r="4534" spans="1:1" x14ac:dyDescent="0.25">
      <c r="A4534" s="8">
        <v>1.3742188000003807E-2</v>
      </c>
    </row>
    <row r="4535" spans="1:1" x14ac:dyDescent="0.25">
      <c r="A4535" s="8">
        <v>1.3539063000003806E-2</v>
      </c>
    </row>
    <row r="4536" spans="1:1" x14ac:dyDescent="0.25">
      <c r="A4536" s="8">
        <v>1.93125E-2</v>
      </c>
    </row>
    <row r="4537" spans="1:1" x14ac:dyDescent="0.25">
      <c r="A4537" s="8">
        <v>2.6671875000000001E-2</v>
      </c>
    </row>
    <row r="4538" spans="1:1" x14ac:dyDescent="0.25">
      <c r="A4538" s="8">
        <v>2.0359374999999999E-2</v>
      </c>
    </row>
    <row r="4539" spans="1:1" x14ac:dyDescent="0.25">
      <c r="A4539" s="8">
        <v>7.7421869999961925E-3</v>
      </c>
    </row>
    <row r="4540" spans="1:1" x14ac:dyDescent="0.25">
      <c r="A4540" s="8">
        <v>1.7210936999996193E-2</v>
      </c>
    </row>
    <row r="4541" spans="1:1" x14ac:dyDescent="0.25">
      <c r="A4541" s="8">
        <v>2.1601561999996192E-2</v>
      </c>
    </row>
    <row r="4542" spans="1:1" x14ac:dyDescent="0.25">
      <c r="A4542" s="8">
        <v>1.7554688000003808E-2</v>
      </c>
    </row>
    <row r="4543" spans="1:1" x14ac:dyDescent="0.25">
      <c r="A4543" s="8">
        <v>1.1539063000003806E-2</v>
      </c>
    </row>
    <row r="4544" spans="1:1" x14ac:dyDescent="0.25">
      <c r="A4544" s="8">
        <v>1.7453125E-2</v>
      </c>
    </row>
    <row r="4545" spans="1:1" x14ac:dyDescent="0.25">
      <c r="A4545" s="8">
        <v>2.7351563000003808E-2</v>
      </c>
    </row>
    <row r="4546" spans="1:1" x14ac:dyDescent="0.25">
      <c r="A4546" s="8">
        <v>1.4617186999996193E-2</v>
      </c>
    </row>
    <row r="4547" spans="1:1" x14ac:dyDescent="0.25">
      <c r="A4547" s="8">
        <v>1.6234374999999999E-2</v>
      </c>
    </row>
    <row r="4548" spans="1:1" x14ac:dyDescent="0.25">
      <c r="A4548" s="8">
        <v>7.5546880000038072E-3</v>
      </c>
    </row>
    <row r="4549" spans="1:1" x14ac:dyDescent="0.25">
      <c r="A4549" s="8">
        <v>1.5398436999996193E-2</v>
      </c>
    </row>
    <row r="4550" spans="1:1" x14ac:dyDescent="0.25">
      <c r="A4550" s="8">
        <v>1.6898438000003808E-2</v>
      </c>
    </row>
    <row r="4551" spans="1:1" x14ac:dyDescent="0.25">
      <c r="A4551" s="8">
        <v>2.1453125E-2</v>
      </c>
    </row>
    <row r="4552" spans="1:1" x14ac:dyDescent="0.25">
      <c r="A4552" s="8">
        <v>1.5203125E-2</v>
      </c>
    </row>
    <row r="4553" spans="1:1" x14ac:dyDescent="0.25">
      <c r="A4553" s="8">
        <v>1.4859374999999999E-2</v>
      </c>
    </row>
    <row r="4554" spans="1:1" x14ac:dyDescent="0.25">
      <c r="A4554" s="8">
        <v>1.8765625000000001E-2</v>
      </c>
    </row>
    <row r="4555" spans="1:1" x14ac:dyDescent="0.25">
      <c r="A4555" s="8">
        <v>2.4187500000000001E-2</v>
      </c>
    </row>
    <row r="4556" spans="1:1" x14ac:dyDescent="0.25">
      <c r="A4556" s="8">
        <v>1.1609375E-2</v>
      </c>
    </row>
    <row r="4557" spans="1:1" x14ac:dyDescent="0.25">
      <c r="A4557" s="8">
        <v>1.0828124999999999E-2</v>
      </c>
    </row>
    <row r="4558" spans="1:1" x14ac:dyDescent="0.25">
      <c r="A4558" s="8">
        <v>1.8281249999999999E-2</v>
      </c>
    </row>
    <row r="4559" spans="1:1" x14ac:dyDescent="0.25">
      <c r="A4559" s="8">
        <v>1.5578125E-2</v>
      </c>
    </row>
    <row r="4560" spans="1:1" x14ac:dyDescent="0.25">
      <c r="A4560" s="8">
        <v>1.0484375000000001E-2</v>
      </c>
    </row>
    <row r="4561" spans="1:1" x14ac:dyDescent="0.25">
      <c r="A4561" s="8">
        <v>1.7828125E-2</v>
      </c>
    </row>
    <row r="4562" spans="1:1" x14ac:dyDescent="0.25">
      <c r="A4562" s="8">
        <v>2.5437499999999998E-2</v>
      </c>
    </row>
    <row r="4563" spans="1:1" x14ac:dyDescent="0.25">
      <c r="A4563" s="8">
        <v>2.365625E-2</v>
      </c>
    </row>
    <row r="4564" spans="1:1" x14ac:dyDescent="0.25">
      <c r="A4564" s="8">
        <v>7.0312500000000002E-3</v>
      </c>
    </row>
    <row r="4565" spans="1:1" x14ac:dyDescent="0.25">
      <c r="A4565" s="8">
        <v>7.7031249999999999E-3</v>
      </c>
    </row>
    <row r="4566" spans="1:1" x14ac:dyDescent="0.25">
      <c r="A4566" s="8">
        <v>1.125E-2</v>
      </c>
    </row>
    <row r="4567" spans="1:1" x14ac:dyDescent="0.25">
      <c r="A4567" s="8">
        <v>1.2312500000000001E-2</v>
      </c>
    </row>
    <row r="4568" spans="1:1" x14ac:dyDescent="0.25">
      <c r="A4568" s="8">
        <v>1.7828125E-2</v>
      </c>
    </row>
    <row r="4569" spans="1:1" x14ac:dyDescent="0.25">
      <c r="A4569" s="8">
        <v>1.2968749999999999E-2</v>
      </c>
    </row>
    <row r="4570" spans="1:1" x14ac:dyDescent="0.25">
      <c r="A4570" s="8">
        <v>1.7078125E-2</v>
      </c>
    </row>
    <row r="4571" spans="1:1" x14ac:dyDescent="0.25">
      <c r="A4571" s="8">
        <v>1.8531249999999999E-2</v>
      </c>
    </row>
    <row r="4572" spans="1:1" x14ac:dyDescent="0.25">
      <c r="A4572" s="8">
        <v>1.0500000000000001E-2</v>
      </c>
    </row>
    <row r="4573" spans="1:1" x14ac:dyDescent="0.25">
      <c r="A4573" s="8">
        <v>1.9546874999999998E-2</v>
      </c>
    </row>
    <row r="4574" spans="1:1" x14ac:dyDescent="0.25">
      <c r="A4574" s="8">
        <v>3.1E-2</v>
      </c>
    </row>
    <row r="4575" spans="1:1" x14ac:dyDescent="0.25">
      <c r="A4575" s="8">
        <v>1.6984374999999999E-2</v>
      </c>
    </row>
    <row r="4576" spans="1:1" x14ac:dyDescent="0.25">
      <c r="A4576" s="8">
        <v>2.0515624999999999E-2</v>
      </c>
    </row>
    <row r="4577" spans="1:1" x14ac:dyDescent="0.25">
      <c r="A4577" s="8">
        <v>2.4375000000000001E-2</v>
      </c>
    </row>
    <row r="4578" spans="1:1" x14ac:dyDescent="0.25">
      <c r="A4578" s="8">
        <v>1.4281250000000001E-2</v>
      </c>
    </row>
    <row r="4579" spans="1:1" x14ac:dyDescent="0.25">
      <c r="A4579" s="8">
        <v>9.1874999999999995E-3</v>
      </c>
    </row>
    <row r="4580" spans="1:1" x14ac:dyDescent="0.25">
      <c r="A4580" s="8">
        <v>1.0578125000000001E-2</v>
      </c>
    </row>
    <row r="4581" spans="1:1" x14ac:dyDescent="0.25">
      <c r="A4581" s="8">
        <v>1.5212890999999217E-2</v>
      </c>
    </row>
    <row r="4582" spans="1:1" x14ac:dyDescent="0.25">
      <c r="A4582" s="8">
        <v>1.0896484000000782E-2</v>
      </c>
    </row>
    <row r="4583" spans="1:1" x14ac:dyDescent="0.25">
      <c r="A4583" s="8">
        <v>7.6757809999980966E-3</v>
      </c>
    </row>
    <row r="4584" spans="1:1" x14ac:dyDescent="0.25">
      <c r="A4584" s="8">
        <v>1.0484375000000001E-2</v>
      </c>
    </row>
    <row r="4585" spans="1:1" x14ac:dyDescent="0.25">
      <c r="A4585" s="8">
        <v>1.2968749999999999E-2</v>
      </c>
    </row>
    <row r="4586" spans="1:1" x14ac:dyDescent="0.25">
      <c r="A4586" s="8">
        <v>1.4904297000000951E-2</v>
      </c>
    </row>
    <row r="4587" spans="1:1" x14ac:dyDescent="0.25">
      <c r="A4587" s="8">
        <v>8.9492190000019043E-3</v>
      </c>
    </row>
    <row r="4588" spans="1:1" x14ac:dyDescent="0.25">
      <c r="A4588" s="8">
        <v>1.3363281999998434E-2</v>
      </c>
    </row>
    <row r="4589" spans="1:1" x14ac:dyDescent="0.25">
      <c r="A4589" s="8">
        <v>2.6039061999996192E-2</v>
      </c>
    </row>
    <row r="4590" spans="1:1" x14ac:dyDescent="0.25">
      <c r="A4590" s="8">
        <v>1.31875E-2</v>
      </c>
    </row>
    <row r="4591" spans="1:1" x14ac:dyDescent="0.25">
      <c r="A4591" s="8">
        <v>1.5363280999998096E-2</v>
      </c>
    </row>
    <row r="4592" spans="1:1" x14ac:dyDescent="0.25">
      <c r="A4592" s="8">
        <v>2.3023438000003806E-2</v>
      </c>
    </row>
    <row r="4593" spans="1:1" x14ac:dyDescent="0.25">
      <c r="A4593" s="8">
        <v>1.7496094000001905E-2</v>
      </c>
    </row>
    <row r="4594" spans="1:1" x14ac:dyDescent="0.25">
      <c r="A4594" s="8">
        <v>2.2507812999996532E-2</v>
      </c>
    </row>
    <row r="4595" spans="1:1" x14ac:dyDescent="0.25">
      <c r="A4595" s="8">
        <v>7.1523440000019036E-3</v>
      </c>
    </row>
    <row r="4596" spans="1:1" x14ac:dyDescent="0.25">
      <c r="A4596" s="8">
        <v>9.9492190000019035E-3</v>
      </c>
    </row>
    <row r="4597" spans="1:1" x14ac:dyDescent="0.25">
      <c r="A4597" s="8">
        <v>8.8671879999965321E-3</v>
      </c>
    </row>
    <row r="4598" spans="1:1" x14ac:dyDescent="0.25">
      <c r="A4598" s="8">
        <v>1.6914061999996191E-2</v>
      </c>
    </row>
    <row r="4599" spans="1:1" x14ac:dyDescent="0.25">
      <c r="A4599" s="8">
        <v>8.4023430000015643E-3</v>
      </c>
    </row>
    <row r="4600" spans="1:1" x14ac:dyDescent="0.25">
      <c r="A4600" s="8">
        <v>1.1175781999998436E-2</v>
      </c>
    </row>
    <row r="4601" spans="1:1" x14ac:dyDescent="0.25">
      <c r="A4601" s="8">
        <v>1.2515625000000001E-2</v>
      </c>
    </row>
    <row r="4602" spans="1:1" x14ac:dyDescent="0.25">
      <c r="A4602" s="8">
        <v>2.0796874999999999E-2</v>
      </c>
    </row>
    <row r="4603" spans="1:1" x14ac:dyDescent="0.25">
      <c r="A4603" s="8">
        <v>1.8671875000000001E-2</v>
      </c>
    </row>
    <row r="4604" spans="1:1" x14ac:dyDescent="0.25">
      <c r="A4604" s="8">
        <v>1.3546875E-2</v>
      </c>
    </row>
    <row r="4605" spans="1:1" x14ac:dyDescent="0.25">
      <c r="A4605" s="8">
        <v>1.93125E-2</v>
      </c>
    </row>
    <row r="4606" spans="1:1" x14ac:dyDescent="0.25">
      <c r="A4606" s="8">
        <v>2.0875000000000001E-2</v>
      </c>
    </row>
    <row r="4607" spans="1:1" x14ac:dyDescent="0.25">
      <c r="A4607" s="8">
        <v>1.0210936999996192E-2</v>
      </c>
    </row>
    <row r="4608" spans="1:1" x14ac:dyDescent="0.25">
      <c r="A4608" s="8">
        <v>1.0789063000003807E-2</v>
      </c>
    </row>
    <row r="4609" spans="1:1" x14ac:dyDescent="0.25">
      <c r="A4609" s="8">
        <v>1.971875E-2</v>
      </c>
    </row>
    <row r="4610" spans="1:1" x14ac:dyDescent="0.25">
      <c r="A4610" s="8">
        <v>3.0406249999999999E-2</v>
      </c>
    </row>
    <row r="4611" spans="1:1" x14ac:dyDescent="0.25">
      <c r="A4611" s="8">
        <v>1.7492186999996193E-2</v>
      </c>
    </row>
    <row r="4612" spans="1:1" x14ac:dyDescent="0.25">
      <c r="A4612" s="8">
        <v>3.6093750000000001E-2</v>
      </c>
    </row>
    <row r="4613" spans="1:1" x14ac:dyDescent="0.25">
      <c r="A4613" s="8">
        <v>7.0859369999961928E-3</v>
      </c>
    </row>
    <row r="4614" spans="1:1" x14ac:dyDescent="0.25">
      <c r="A4614" s="8">
        <v>2.0289061999996194E-2</v>
      </c>
    </row>
    <row r="4615" spans="1:1" x14ac:dyDescent="0.25">
      <c r="A4615" s="8">
        <v>0.01</v>
      </c>
    </row>
    <row r="4616" spans="1:1" x14ac:dyDescent="0.25">
      <c r="A4616" s="8">
        <v>9.5390630000038064E-3</v>
      </c>
    </row>
    <row r="4617" spans="1:1" x14ac:dyDescent="0.25">
      <c r="A4617" s="8">
        <v>1.1062499999999999E-2</v>
      </c>
    </row>
    <row r="4618" spans="1:1" x14ac:dyDescent="0.25">
      <c r="A4618" s="8">
        <v>1.8742186999996194E-2</v>
      </c>
    </row>
    <row r="4619" spans="1:1" x14ac:dyDescent="0.25">
      <c r="A4619" s="8">
        <v>1.3148436999996193E-2</v>
      </c>
    </row>
    <row r="4620" spans="1:1" x14ac:dyDescent="0.25">
      <c r="A4620" s="8">
        <v>1.7234375E-2</v>
      </c>
    </row>
    <row r="4621" spans="1:1" x14ac:dyDescent="0.25">
      <c r="A4621" s="8">
        <v>1.4304686999996192E-2</v>
      </c>
    </row>
    <row r="4622" spans="1:1" x14ac:dyDescent="0.25">
      <c r="A4622" s="8">
        <v>3.3148436999996193E-2</v>
      </c>
    </row>
    <row r="4623" spans="1:1" x14ac:dyDescent="0.25">
      <c r="A4623" s="8">
        <v>1.3304688000003808E-2</v>
      </c>
    </row>
    <row r="4624" spans="1:1" x14ac:dyDescent="0.25">
      <c r="A4624" s="8">
        <v>1.6125E-2</v>
      </c>
    </row>
    <row r="4625" spans="1:1" x14ac:dyDescent="0.25">
      <c r="A4625" s="8">
        <v>1.6734374999999999E-2</v>
      </c>
    </row>
    <row r="4626" spans="1:1" x14ac:dyDescent="0.25">
      <c r="A4626" s="8">
        <v>2.1109375E-2</v>
      </c>
    </row>
    <row r="4627" spans="1:1" x14ac:dyDescent="0.25">
      <c r="A4627" s="8">
        <v>2.3421875000000002E-2</v>
      </c>
    </row>
    <row r="4628" spans="1:1" x14ac:dyDescent="0.25">
      <c r="A4628" s="8">
        <v>1.1921875E-2</v>
      </c>
    </row>
    <row r="4629" spans="1:1" x14ac:dyDescent="0.25">
      <c r="A4629" s="8">
        <v>1.6265624999999999E-2</v>
      </c>
    </row>
    <row r="4630" spans="1:1" x14ac:dyDescent="0.25">
      <c r="A4630" s="8">
        <v>1.3296875E-2</v>
      </c>
    </row>
    <row r="4631" spans="1:1" x14ac:dyDescent="0.25">
      <c r="A4631" s="8">
        <v>1.575E-2</v>
      </c>
    </row>
    <row r="4632" spans="1:1" x14ac:dyDescent="0.25">
      <c r="A4632" s="8">
        <v>1.1031249999999999E-2</v>
      </c>
    </row>
    <row r="4633" spans="1:1" x14ac:dyDescent="0.25">
      <c r="A4633" s="8">
        <v>2.4921875E-2</v>
      </c>
    </row>
    <row r="4634" spans="1:1" x14ac:dyDescent="0.25">
      <c r="A4634" s="8">
        <v>1.4671874999999999E-2</v>
      </c>
    </row>
    <row r="4635" spans="1:1" x14ac:dyDescent="0.25">
      <c r="A4635" s="8">
        <v>1.1203125E-2</v>
      </c>
    </row>
    <row r="4636" spans="1:1" x14ac:dyDescent="0.25">
      <c r="A4636" s="8">
        <v>1.7093750000000001E-2</v>
      </c>
    </row>
    <row r="4637" spans="1:1" x14ac:dyDescent="0.25">
      <c r="A4637" s="8">
        <v>1.31875E-2</v>
      </c>
    </row>
    <row r="4638" spans="1:1" x14ac:dyDescent="0.25">
      <c r="A4638" s="8">
        <v>1.53125E-2</v>
      </c>
    </row>
    <row r="4639" spans="1:1" x14ac:dyDescent="0.25">
      <c r="A4639" s="8">
        <v>1.0625000000000001E-2</v>
      </c>
    </row>
    <row r="4640" spans="1:1" x14ac:dyDescent="0.25">
      <c r="A4640" s="8">
        <v>1.4468750000000001E-2</v>
      </c>
    </row>
    <row r="4641" spans="1:1" x14ac:dyDescent="0.25">
      <c r="A4641" s="8">
        <v>1.0874999999999999E-2</v>
      </c>
    </row>
    <row r="4642" spans="1:1" x14ac:dyDescent="0.25">
      <c r="A4642" s="8">
        <v>1.3625E-2</v>
      </c>
    </row>
    <row r="4643" spans="1:1" x14ac:dyDescent="0.25">
      <c r="A4643" s="8">
        <v>7.5312499999999998E-3</v>
      </c>
    </row>
    <row r="4644" spans="1:1" x14ac:dyDescent="0.25">
      <c r="A4644" s="8">
        <v>2.0921875E-2</v>
      </c>
    </row>
    <row r="4645" spans="1:1" x14ac:dyDescent="0.25">
      <c r="A4645" s="8">
        <v>1.41875E-2</v>
      </c>
    </row>
    <row r="4646" spans="1:1" x14ac:dyDescent="0.25">
      <c r="A4646" s="8">
        <v>1.5578125E-2</v>
      </c>
    </row>
    <row r="4647" spans="1:1" x14ac:dyDescent="0.25">
      <c r="A4647" s="8">
        <v>2.2212890999999218E-2</v>
      </c>
    </row>
    <row r="4648" spans="1:1" x14ac:dyDescent="0.25">
      <c r="A4648" s="8">
        <v>1.4232422000000952E-2</v>
      </c>
    </row>
    <row r="4649" spans="1:1" x14ac:dyDescent="0.25">
      <c r="A4649" s="8">
        <v>1.6994140999999217E-2</v>
      </c>
    </row>
    <row r="4650" spans="1:1" x14ac:dyDescent="0.25">
      <c r="A4650" s="8">
        <v>1.4123047000000952E-2</v>
      </c>
    </row>
    <row r="4651" spans="1:1" x14ac:dyDescent="0.25">
      <c r="A4651" s="8">
        <v>1.232031199999983E-2</v>
      </c>
    </row>
    <row r="4652" spans="1:1" x14ac:dyDescent="0.25">
      <c r="A4652" s="8">
        <v>2.4765624999999999E-2</v>
      </c>
    </row>
    <row r="4653" spans="1:1" x14ac:dyDescent="0.25">
      <c r="A4653" s="8">
        <v>1.4898436999996193E-2</v>
      </c>
    </row>
    <row r="4654" spans="1:1" x14ac:dyDescent="0.25">
      <c r="A4654" s="8">
        <v>1.6785156000005373E-2</v>
      </c>
    </row>
    <row r="4655" spans="1:1" x14ac:dyDescent="0.25">
      <c r="A4655" s="8">
        <v>1.99375E-2</v>
      </c>
    </row>
    <row r="4656" spans="1:1" x14ac:dyDescent="0.25">
      <c r="A4656" s="8">
        <v>1.4417969000001904E-2</v>
      </c>
    </row>
    <row r="4657" spans="1:1" x14ac:dyDescent="0.25">
      <c r="A4657" s="8">
        <v>2.690625E-2</v>
      </c>
    </row>
    <row r="4658" spans="1:1" x14ac:dyDescent="0.25">
      <c r="A4658" s="8">
        <v>1.3210936999996193E-2</v>
      </c>
    </row>
    <row r="4659" spans="1:1" x14ac:dyDescent="0.25">
      <c r="A4659" s="8">
        <v>1.7785155999998095E-2</v>
      </c>
    </row>
    <row r="4660" spans="1:1" x14ac:dyDescent="0.25">
      <c r="A4660" s="8">
        <v>1.1730468999994628E-2</v>
      </c>
    </row>
    <row r="4661" spans="1:1" x14ac:dyDescent="0.25">
      <c r="A4661" s="8">
        <v>1.2390625000000001E-2</v>
      </c>
    </row>
    <row r="4662" spans="1:1" x14ac:dyDescent="0.25">
      <c r="A4662" s="8">
        <v>9.4453129999965309E-3</v>
      </c>
    </row>
    <row r="4663" spans="1:1" x14ac:dyDescent="0.25">
      <c r="A4663" s="8">
        <v>1.2242186999996192E-2</v>
      </c>
    </row>
    <row r="4664" spans="1:1" x14ac:dyDescent="0.25">
      <c r="A4664" s="8">
        <v>2.4023438000003807E-2</v>
      </c>
    </row>
    <row r="4665" spans="1:1" x14ac:dyDescent="0.25">
      <c r="A4665" s="8">
        <v>2.1367188000003808E-2</v>
      </c>
    </row>
    <row r="4666" spans="1:1" x14ac:dyDescent="0.25">
      <c r="A4666" s="8">
        <v>7.304686999996193E-3</v>
      </c>
    </row>
    <row r="4667" spans="1:1" x14ac:dyDescent="0.25">
      <c r="A4667" s="8">
        <v>1.4437500000000001E-2</v>
      </c>
    </row>
    <row r="4668" spans="1:1" x14ac:dyDescent="0.25">
      <c r="A4668" s="8">
        <v>1.7328125E-2</v>
      </c>
    </row>
    <row r="4669" spans="1:1" x14ac:dyDescent="0.25">
      <c r="A4669" s="8">
        <v>2.4062500000000001E-2</v>
      </c>
    </row>
    <row r="4670" spans="1:1" x14ac:dyDescent="0.25">
      <c r="A4670" s="8">
        <v>1.3609375E-2</v>
      </c>
    </row>
    <row r="4671" spans="1:1" x14ac:dyDescent="0.25">
      <c r="A4671" s="8">
        <v>8.9374999999999993E-3</v>
      </c>
    </row>
    <row r="4672" spans="1:1" x14ac:dyDescent="0.25">
      <c r="A4672" s="8">
        <v>1.1328125E-2</v>
      </c>
    </row>
    <row r="4673" spans="1:1" x14ac:dyDescent="0.25">
      <c r="A4673" s="8">
        <v>1.7367186999996193E-2</v>
      </c>
    </row>
    <row r="4674" spans="1:1" x14ac:dyDescent="0.25">
      <c r="A4674" s="8">
        <v>1.3460936999996193E-2</v>
      </c>
    </row>
    <row r="4675" spans="1:1" x14ac:dyDescent="0.25">
      <c r="A4675" s="8">
        <v>2.0468750000000001E-2</v>
      </c>
    </row>
    <row r="4676" spans="1:1" x14ac:dyDescent="0.25">
      <c r="A4676" s="8">
        <v>2.9523438000003809E-2</v>
      </c>
    </row>
    <row r="4677" spans="1:1" x14ac:dyDescent="0.25">
      <c r="A4677" s="8">
        <v>7.8515619999961934E-3</v>
      </c>
    </row>
    <row r="4678" spans="1:1" x14ac:dyDescent="0.25">
      <c r="A4678" s="8">
        <v>1.7132813000003806E-2</v>
      </c>
    </row>
    <row r="4679" spans="1:1" x14ac:dyDescent="0.25">
      <c r="A4679" s="8">
        <v>1.2640625000000001E-2</v>
      </c>
    </row>
    <row r="4680" spans="1:1" x14ac:dyDescent="0.25">
      <c r="A4680" s="8">
        <v>1.4976561999996193E-2</v>
      </c>
    </row>
    <row r="4681" spans="1:1" x14ac:dyDescent="0.25">
      <c r="A4681" s="8">
        <v>1.34375E-2</v>
      </c>
    </row>
    <row r="4682" spans="1:1" x14ac:dyDescent="0.25">
      <c r="A4682" s="8">
        <v>1.5757811999996194E-2</v>
      </c>
    </row>
    <row r="4683" spans="1:1" x14ac:dyDescent="0.25">
      <c r="A4683" s="8">
        <v>1.5335938000003808E-2</v>
      </c>
    </row>
    <row r="4684" spans="1:1" x14ac:dyDescent="0.25">
      <c r="A4684" s="8">
        <v>1.4546875000000001E-2</v>
      </c>
    </row>
    <row r="4685" spans="1:1" x14ac:dyDescent="0.25">
      <c r="A4685" s="8">
        <v>9.3828119999961931E-3</v>
      </c>
    </row>
    <row r="4686" spans="1:1" x14ac:dyDescent="0.25">
      <c r="A4686" s="8">
        <v>0.13237499999999999</v>
      </c>
    </row>
    <row r="4687" spans="1:1" x14ac:dyDescent="0.25">
      <c r="A4687" s="8">
        <v>1.9585938000003807E-2</v>
      </c>
    </row>
    <row r="4688" spans="1:1" x14ac:dyDescent="0.25">
      <c r="A4688" s="8">
        <v>1.4867186999996193E-2</v>
      </c>
    </row>
    <row r="4689" spans="1:1" x14ac:dyDescent="0.25">
      <c r="A4689" s="8">
        <v>2.2335938000003806E-2</v>
      </c>
    </row>
    <row r="4690" spans="1:1" x14ac:dyDescent="0.25">
      <c r="A4690" s="8">
        <v>1.9195313000003808E-2</v>
      </c>
    </row>
    <row r="4691" spans="1:1" x14ac:dyDescent="0.25">
      <c r="A4691" s="8">
        <v>1.1124999999999999E-2</v>
      </c>
    </row>
    <row r="4692" spans="1:1" x14ac:dyDescent="0.25">
      <c r="A4692" s="8">
        <v>2.5359375E-2</v>
      </c>
    </row>
    <row r="4693" spans="1:1" x14ac:dyDescent="0.25">
      <c r="A4693" s="8">
        <v>1.1953125E-2</v>
      </c>
    </row>
    <row r="4694" spans="1:1" x14ac:dyDescent="0.25">
      <c r="A4694" s="8">
        <v>2.0250000000000001E-2</v>
      </c>
    </row>
    <row r="4695" spans="1:1" x14ac:dyDescent="0.25">
      <c r="A4695" s="8">
        <v>2.6445311999996193E-2</v>
      </c>
    </row>
    <row r="4696" spans="1:1" x14ac:dyDescent="0.25">
      <c r="A4696" s="8">
        <v>2.1296875E-2</v>
      </c>
    </row>
    <row r="4697" spans="1:1" x14ac:dyDescent="0.25">
      <c r="A4697" s="8">
        <v>2.5351561999996192E-2</v>
      </c>
    </row>
    <row r="4698" spans="1:1" x14ac:dyDescent="0.25">
      <c r="A4698" s="8">
        <v>1.6367188000003807E-2</v>
      </c>
    </row>
    <row r="4699" spans="1:1" x14ac:dyDescent="0.25">
      <c r="A4699" s="8">
        <v>1.1570313000003806E-2</v>
      </c>
    </row>
    <row r="4700" spans="1:1" x14ac:dyDescent="0.25">
      <c r="A4700" s="8">
        <v>0.127703125</v>
      </c>
    </row>
    <row r="4701" spans="1:1" x14ac:dyDescent="0.25">
      <c r="A4701" s="8">
        <v>1.7718749999999998E-2</v>
      </c>
    </row>
    <row r="4702" spans="1:1" x14ac:dyDescent="0.25">
      <c r="A4702" s="8">
        <v>2.009375E-2</v>
      </c>
    </row>
    <row r="4703" spans="1:1" x14ac:dyDescent="0.25">
      <c r="A4703" s="8">
        <v>1.521875E-2</v>
      </c>
    </row>
    <row r="4704" spans="1:1" x14ac:dyDescent="0.25">
      <c r="A4704" s="8">
        <v>1.0531250000000001E-2</v>
      </c>
    </row>
    <row r="4705" spans="1:1" x14ac:dyDescent="0.25">
      <c r="A4705" s="8">
        <v>1.0843749999999999E-2</v>
      </c>
    </row>
    <row r="4706" spans="1:1" x14ac:dyDescent="0.25">
      <c r="A4706" s="8">
        <v>2.9000000000000001E-2</v>
      </c>
    </row>
    <row r="4707" spans="1:1" x14ac:dyDescent="0.25">
      <c r="A4707" s="8">
        <v>1.40625E-2</v>
      </c>
    </row>
    <row r="4708" spans="1:1" x14ac:dyDescent="0.25">
      <c r="A4708" s="8">
        <v>1.7218750000000001E-2</v>
      </c>
    </row>
    <row r="4709" spans="1:1" x14ac:dyDescent="0.25">
      <c r="A4709" s="8">
        <v>1.6468750000000001E-2</v>
      </c>
    </row>
    <row r="4710" spans="1:1" x14ac:dyDescent="0.25">
      <c r="A4710" s="8">
        <v>2.0859374999999999E-2</v>
      </c>
    </row>
    <row r="4711" spans="1:1" x14ac:dyDescent="0.25">
      <c r="A4711" s="8">
        <v>9.0781249999999994E-3</v>
      </c>
    </row>
    <row r="4712" spans="1:1" x14ac:dyDescent="0.25">
      <c r="A4712" s="8">
        <v>1.1265625E-2</v>
      </c>
    </row>
    <row r="4713" spans="1:1" x14ac:dyDescent="0.25">
      <c r="A4713" s="8">
        <v>1.9734374999999998E-2</v>
      </c>
    </row>
    <row r="4714" spans="1:1" x14ac:dyDescent="0.25">
      <c r="A4714" s="8">
        <v>9.1874999999999995E-3</v>
      </c>
    </row>
    <row r="4715" spans="1:1" x14ac:dyDescent="0.25">
      <c r="A4715" s="8">
        <v>1.1109374999999999E-2</v>
      </c>
    </row>
    <row r="4716" spans="1:1" x14ac:dyDescent="0.25">
      <c r="A4716" s="8">
        <v>1.4656249999999999E-2</v>
      </c>
    </row>
    <row r="4717" spans="1:1" x14ac:dyDescent="0.25">
      <c r="A4717" s="8">
        <v>7.6718749999999999E-3</v>
      </c>
    </row>
    <row r="4718" spans="1:1" x14ac:dyDescent="0.25">
      <c r="A4718" s="8">
        <v>2.0593750000000001E-2</v>
      </c>
    </row>
    <row r="4719" spans="1:1" x14ac:dyDescent="0.25">
      <c r="A4719" s="8">
        <v>2.33125E-2</v>
      </c>
    </row>
    <row r="4720" spans="1:1" x14ac:dyDescent="0.25">
      <c r="A4720" s="8">
        <v>1.8939453000002687E-2</v>
      </c>
    </row>
    <row r="4721" spans="1:1" x14ac:dyDescent="0.25">
      <c r="A4721" s="8">
        <v>1.3378906000001734E-2</v>
      </c>
    </row>
    <row r="4722" spans="1:1" x14ac:dyDescent="0.25">
      <c r="A4722" s="8">
        <v>1.1001953000002685E-2</v>
      </c>
    </row>
    <row r="4723" spans="1:1" x14ac:dyDescent="0.25">
      <c r="A4723" s="8">
        <v>0.11327343699999982</v>
      </c>
    </row>
    <row r="4724" spans="1:1" x14ac:dyDescent="0.25">
      <c r="A4724" s="8">
        <v>1.940625E-2</v>
      </c>
    </row>
    <row r="4725" spans="1:1" x14ac:dyDescent="0.25">
      <c r="A4725" s="8">
        <v>1.8253905999998096E-2</v>
      </c>
    </row>
    <row r="4726" spans="1:1" x14ac:dyDescent="0.25">
      <c r="A4726" s="8">
        <v>1.9894531000005371E-2</v>
      </c>
    </row>
    <row r="4727" spans="1:1" x14ac:dyDescent="0.25">
      <c r="A4727" s="8">
        <v>1.1867187000003469E-2</v>
      </c>
    </row>
    <row r="4728" spans="1:1" x14ac:dyDescent="0.25">
      <c r="A4728" s="8">
        <v>1.3734375E-2</v>
      </c>
    </row>
    <row r="4729" spans="1:1" x14ac:dyDescent="0.25">
      <c r="A4729" s="8">
        <v>1.4125E-2</v>
      </c>
    </row>
    <row r="4730" spans="1:1" x14ac:dyDescent="0.25">
      <c r="A4730" s="8">
        <v>1.7929688000003809E-2</v>
      </c>
    </row>
    <row r="4731" spans="1:1" x14ac:dyDescent="0.25">
      <c r="A4731" s="8">
        <v>1.1371093999994628E-2</v>
      </c>
    </row>
    <row r="4732" spans="1:1" x14ac:dyDescent="0.25">
      <c r="A4732" s="8">
        <v>2.4601561999996194E-2</v>
      </c>
    </row>
    <row r="4733" spans="1:1" x14ac:dyDescent="0.25">
      <c r="A4733" s="8">
        <v>2.4359374999999999E-2</v>
      </c>
    </row>
    <row r="4734" spans="1:1" x14ac:dyDescent="0.25">
      <c r="A4734" s="8">
        <v>1.3527344000001903E-2</v>
      </c>
    </row>
    <row r="4735" spans="1:1" x14ac:dyDescent="0.25">
      <c r="A4735" s="8">
        <v>2.0988280999998096E-2</v>
      </c>
    </row>
    <row r="4736" spans="1:1" x14ac:dyDescent="0.25">
      <c r="A4736" s="8">
        <v>1.7492187000003469E-2</v>
      </c>
    </row>
    <row r="4737" spans="1:1" x14ac:dyDescent="0.25">
      <c r="A4737" s="8">
        <v>1.1335937999996531E-2</v>
      </c>
    </row>
    <row r="4738" spans="1:1" x14ac:dyDescent="0.25">
      <c r="A4738" s="8">
        <v>1.4296875000000001E-2</v>
      </c>
    </row>
    <row r="4739" spans="1:1" x14ac:dyDescent="0.25">
      <c r="A4739" s="8">
        <v>1.4476563000003807E-2</v>
      </c>
    </row>
    <row r="4740" spans="1:1" x14ac:dyDescent="0.25">
      <c r="A4740" s="8">
        <v>1.4203125E-2</v>
      </c>
    </row>
    <row r="4741" spans="1:1" x14ac:dyDescent="0.25">
      <c r="A4741" s="8">
        <v>2.0312500000000001E-2</v>
      </c>
    </row>
    <row r="4742" spans="1:1" x14ac:dyDescent="0.25">
      <c r="A4742" s="8">
        <v>1.1992186999996192E-2</v>
      </c>
    </row>
    <row r="4743" spans="1:1" x14ac:dyDescent="0.25">
      <c r="A4743" s="8">
        <v>2.2679688000003806E-2</v>
      </c>
    </row>
    <row r="4744" spans="1:1" x14ac:dyDescent="0.25">
      <c r="A4744" s="8">
        <v>1.7109375E-2</v>
      </c>
    </row>
    <row r="4745" spans="1:1" x14ac:dyDescent="0.25">
      <c r="A4745" s="8">
        <v>2.1062500000000001E-2</v>
      </c>
    </row>
    <row r="4746" spans="1:1" x14ac:dyDescent="0.25">
      <c r="A4746" s="8">
        <v>2.4484374999999999E-2</v>
      </c>
    </row>
    <row r="4747" spans="1:1" x14ac:dyDescent="0.25">
      <c r="A4747" s="8">
        <v>9.3124999999999996E-3</v>
      </c>
    </row>
    <row r="4748" spans="1:1" x14ac:dyDescent="0.25">
      <c r="A4748" s="8">
        <v>2.0710938000003808E-2</v>
      </c>
    </row>
    <row r="4749" spans="1:1" x14ac:dyDescent="0.25">
      <c r="A4749" s="8">
        <v>1.3578125E-2</v>
      </c>
    </row>
    <row r="4750" spans="1:1" x14ac:dyDescent="0.25">
      <c r="A4750" s="8">
        <v>2.4210936999996192E-2</v>
      </c>
    </row>
    <row r="4751" spans="1:1" x14ac:dyDescent="0.25">
      <c r="A4751" s="8">
        <v>1.1664063000003807E-2</v>
      </c>
    </row>
    <row r="4752" spans="1:1" x14ac:dyDescent="0.25">
      <c r="A4752" s="8">
        <v>1.171875E-2</v>
      </c>
    </row>
    <row r="4753" spans="1:1" x14ac:dyDescent="0.25">
      <c r="A4753" s="8">
        <v>2.4109374999999999E-2</v>
      </c>
    </row>
    <row r="4754" spans="1:1" x14ac:dyDescent="0.25">
      <c r="A4754" s="8">
        <v>3.0343749999999999E-2</v>
      </c>
    </row>
    <row r="4755" spans="1:1" x14ac:dyDescent="0.25">
      <c r="A4755" s="8">
        <v>1.5007811999996193E-2</v>
      </c>
    </row>
    <row r="4756" spans="1:1" x14ac:dyDescent="0.25">
      <c r="A4756" s="8">
        <v>1.9328125000000002E-2</v>
      </c>
    </row>
    <row r="4757" spans="1:1" x14ac:dyDescent="0.25">
      <c r="A4757" s="8">
        <v>8.9054686999996191E-2</v>
      </c>
    </row>
    <row r="4758" spans="1:1" x14ac:dyDescent="0.25">
      <c r="A4758" s="8">
        <v>7.3828130000038071E-3</v>
      </c>
    </row>
    <row r="4759" spans="1:1" x14ac:dyDescent="0.25">
      <c r="A4759" s="8">
        <v>1.21875E-2</v>
      </c>
    </row>
    <row r="4760" spans="1:1" x14ac:dyDescent="0.25">
      <c r="A4760" s="8">
        <v>2.8007813000003809E-2</v>
      </c>
    </row>
    <row r="4761" spans="1:1" x14ac:dyDescent="0.25">
      <c r="A4761" s="8">
        <v>1.0960936999996193E-2</v>
      </c>
    </row>
    <row r="4762" spans="1:1" x14ac:dyDescent="0.25">
      <c r="A4762" s="8">
        <v>6.4359374999999996E-2</v>
      </c>
    </row>
    <row r="4763" spans="1:1" x14ac:dyDescent="0.25">
      <c r="A4763" s="8">
        <v>1.4382813000003807E-2</v>
      </c>
    </row>
    <row r="4764" spans="1:1" x14ac:dyDescent="0.25">
      <c r="A4764" s="8">
        <v>1.4390625000000001E-2</v>
      </c>
    </row>
    <row r="4765" spans="1:1" x14ac:dyDescent="0.25">
      <c r="A4765" s="8">
        <v>1.1617186999996193E-2</v>
      </c>
    </row>
    <row r="4766" spans="1:1" x14ac:dyDescent="0.25">
      <c r="A4766" s="8">
        <v>1.5390625E-2</v>
      </c>
    </row>
    <row r="4767" spans="1:1" x14ac:dyDescent="0.25">
      <c r="A4767" s="8">
        <v>1.346875E-2</v>
      </c>
    </row>
    <row r="4768" spans="1:1" x14ac:dyDescent="0.25">
      <c r="A4768" s="8">
        <v>1.4414063000003807E-2</v>
      </c>
    </row>
    <row r="4769" spans="1:1" x14ac:dyDescent="0.25">
      <c r="A4769" s="8">
        <v>7.3906249999999996E-3</v>
      </c>
    </row>
    <row r="4770" spans="1:1" x14ac:dyDescent="0.25">
      <c r="A4770" s="8">
        <v>4.7945313000003806E-2</v>
      </c>
    </row>
    <row r="4771" spans="1:1" x14ac:dyDescent="0.25">
      <c r="A4771" s="8">
        <v>1.2398436999996192E-2</v>
      </c>
    </row>
    <row r="4772" spans="1:1" x14ac:dyDescent="0.25">
      <c r="A4772" s="8">
        <v>1.6898436999996193E-2</v>
      </c>
    </row>
    <row r="4773" spans="1:1" x14ac:dyDescent="0.25">
      <c r="A4773" s="8">
        <v>2.3007813000003808E-2</v>
      </c>
    </row>
    <row r="4774" spans="1:1" x14ac:dyDescent="0.25">
      <c r="A4774" s="8">
        <v>1.3921875E-2</v>
      </c>
    </row>
    <row r="4775" spans="1:1" x14ac:dyDescent="0.25">
      <c r="A4775" s="8">
        <v>1.5203125E-2</v>
      </c>
    </row>
    <row r="4776" spans="1:1" x14ac:dyDescent="0.25">
      <c r="A4776" s="8">
        <v>1.5148436999996193E-2</v>
      </c>
    </row>
    <row r="4777" spans="1:1" x14ac:dyDescent="0.25">
      <c r="A4777" s="8">
        <v>7.7499999999999999E-3</v>
      </c>
    </row>
    <row r="4778" spans="1:1" x14ac:dyDescent="0.25">
      <c r="A4778" s="8">
        <v>1.4515625000000001E-2</v>
      </c>
    </row>
    <row r="4779" spans="1:1" x14ac:dyDescent="0.25">
      <c r="A4779" s="8">
        <v>2.1359375E-2</v>
      </c>
    </row>
    <row r="4780" spans="1:1" x14ac:dyDescent="0.25">
      <c r="A4780" s="8">
        <v>1.11875E-2</v>
      </c>
    </row>
    <row r="4781" spans="1:1" x14ac:dyDescent="0.25">
      <c r="A4781" s="8">
        <v>1.8671875000000001E-2</v>
      </c>
    </row>
    <row r="4782" spans="1:1" x14ac:dyDescent="0.25">
      <c r="A4782" s="8">
        <v>2.3125E-2</v>
      </c>
    </row>
    <row r="4783" spans="1:1" x14ac:dyDescent="0.25">
      <c r="A4783" s="8">
        <v>1.3515625E-2</v>
      </c>
    </row>
    <row r="4784" spans="1:1" x14ac:dyDescent="0.25">
      <c r="A4784" s="8">
        <v>1.0656250000000001E-2</v>
      </c>
    </row>
    <row r="4785" spans="1:1" x14ac:dyDescent="0.25">
      <c r="A4785" s="8">
        <v>1.159375E-2</v>
      </c>
    </row>
    <row r="4786" spans="1:1" x14ac:dyDescent="0.25">
      <c r="A4786" s="8">
        <v>1.8124999999999999E-2</v>
      </c>
    </row>
    <row r="4787" spans="1:1" x14ac:dyDescent="0.25">
      <c r="A4787" s="8">
        <v>2.0203124999999999E-2</v>
      </c>
    </row>
    <row r="4788" spans="1:1" x14ac:dyDescent="0.25">
      <c r="A4788" s="8">
        <v>3.0281249999999999E-2</v>
      </c>
    </row>
    <row r="4789" spans="1:1" x14ac:dyDescent="0.25">
      <c r="A4789" s="8">
        <v>8.9531249999999993E-3</v>
      </c>
    </row>
    <row r="4790" spans="1:1" x14ac:dyDescent="0.25">
      <c r="A4790" s="8">
        <v>2.0203124999999999E-2</v>
      </c>
    </row>
    <row r="4791" spans="1:1" x14ac:dyDescent="0.25">
      <c r="A4791" s="8">
        <v>2.9398436999999829E-2</v>
      </c>
    </row>
    <row r="4792" spans="1:1" x14ac:dyDescent="0.25">
      <c r="A4792" s="8">
        <v>1.5359375E-2</v>
      </c>
    </row>
    <row r="4793" spans="1:1" x14ac:dyDescent="0.25">
      <c r="A4793" s="8">
        <v>2.0671874999999999E-2</v>
      </c>
    </row>
    <row r="4794" spans="1:1" x14ac:dyDescent="0.25">
      <c r="A4794" s="8">
        <v>2.0103514999998878E-2</v>
      </c>
    </row>
    <row r="4795" spans="1:1" x14ac:dyDescent="0.25">
      <c r="A4795" s="8">
        <v>1.6662109999997482E-2</v>
      </c>
    </row>
    <row r="4796" spans="1:1" x14ac:dyDescent="0.25">
      <c r="A4796" s="8">
        <v>2.0203124999999999E-2</v>
      </c>
    </row>
    <row r="4797" spans="1:1" x14ac:dyDescent="0.25">
      <c r="A4797" s="8">
        <v>1.5097656000005372E-2</v>
      </c>
    </row>
    <row r="4798" spans="1:1" x14ac:dyDescent="0.25">
      <c r="A4798" s="8">
        <v>1.2144530999998097E-2</v>
      </c>
    </row>
    <row r="4799" spans="1:1" x14ac:dyDescent="0.25">
      <c r="A4799" s="8">
        <v>1.666406200000347E-2</v>
      </c>
    </row>
    <row r="4800" spans="1:1" x14ac:dyDescent="0.25">
      <c r="A4800" s="8">
        <v>1.7187500000000001E-2</v>
      </c>
    </row>
    <row r="4801" spans="1:1" x14ac:dyDescent="0.25">
      <c r="A4801" s="8">
        <v>2.6386718000001565E-2</v>
      </c>
    </row>
    <row r="4802" spans="1:1" x14ac:dyDescent="0.25">
      <c r="A4802" s="8">
        <v>1.6621093999994629E-2</v>
      </c>
    </row>
    <row r="4803" spans="1:1" x14ac:dyDescent="0.25">
      <c r="A4803" s="8">
        <v>1.8136719000001904E-2</v>
      </c>
    </row>
    <row r="4804" spans="1:1" x14ac:dyDescent="0.25">
      <c r="A4804" s="8">
        <v>1.6257813000003809E-2</v>
      </c>
    </row>
    <row r="4805" spans="1:1" x14ac:dyDescent="0.25">
      <c r="A4805" s="8">
        <v>1.8011719000001904E-2</v>
      </c>
    </row>
    <row r="4806" spans="1:1" x14ac:dyDescent="0.25">
      <c r="A4806" s="8">
        <v>1.4605469000001904E-2</v>
      </c>
    </row>
    <row r="4807" spans="1:1" x14ac:dyDescent="0.25">
      <c r="A4807" s="8">
        <v>0.102515625</v>
      </c>
    </row>
    <row r="4808" spans="1:1" x14ac:dyDescent="0.25">
      <c r="A4808" s="8">
        <v>1.7828125E-2</v>
      </c>
    </row>
    <row r="4809" spans="1:1" x14ac:dyDescent="0.25">
      <c r="A4809" s="8">
        <v>1.5808593000001564E-2</v>
      </c>
    </row>
    <row r="4810" spans="1:1" x14ac:dyDescent="0.25">
      <c r="A4810" s="8">
        <v>2.0242188000003807E-2</v>
      </c>
    </row>
    <row r="4811" spans="1:1" x14ac:dyDescent="0.25">
      <c r="A4811" s="8">
        <v>1.7882811999996192E-2</v>
      </c>
    </row>
    <row r="4812" spans="1:1" x14ac:dyDescent="0.25">
      <c r="A4812" s="8">
        <v>1.18125E-2</v>
      </c>
    </row>
    <row r="4813" spans="1:1" x14ac:dyDescent="0.25">
      <c r="A4813" s="8">
        <v>1.14375E-2</v>
      </c>
    </row>
    <row r="4814" spans="1:1" x14ac:dyDescent="0.25">
      <c r="A4814" s="8">
        <v>1.7742186999996194E-2</v>
      </c>
    </row>
    <row r="4815" spans="1:1" x14ac:dyDescent="0.25">
      <c r="A4815" s="8">
        <v>2.9203125E-2</v>
      </c>
    </row>
    <row r="4816" spans="1:1" x14ac:dyDescent="0.25">
      <c r="A4816" s="8">
        <v>1.984375E-2</v>
      </c>
    </row>
    <row r="4817" spans="1:1" x14ac:dyDescent="0.25">
      <c r="A4817" s="8">
        <v>8.3203119999961921E-3</v>
      </c>
    </row>
    <row r="4818" spans="1:1" x14ac:dyDescent="0.25">
      <c r="A4818" s="8">
        <v>2.0218750000000001E-2</v>
      </c>
    </row>
    <row r="4819" spans="1:1" x14ac:dyDescent="0.25">
      <c r="A4819" s="8">
        <v>1.6585936999996193E-2</v>
      </c>
    </row>
    <row r="4820" spans="1:1" x14ac:dyDescent="0.25">
      <c r="A4820" s="8">
        <v>2.0554688000003807E-2</v>
      </c>
    </row>
    <row r="4821" spans="1:1" x14ac:dyDescent="0.25">
      <c r="A4821" s="8">
        <v>9.9218750000000001E-3</v>
      </c>
    </row>
    <row r="4822" spans="1:1" x14ac:dyDescent="0.25">
      <c r="A4822" s="8">
        <v>1.6531250000000001E-2</v>
      </c>
    </row>
    <row r="4823" spans="1:1" x14ac:dyDescent="0.25">
      <c r="A4823" s="8">
        <v>1.525E-2</v>
      </c>
    </row>
    <row r="4824" spans="1:1" x14ac:dyDescent="0.25">
      <c r="A4824" s="8">
        <v>1.1273438000003808E-2</v>
      </c>
    </row>
    <row r="4825" spans="1:1" x14ac:dyDescent="0.25">
      <c r="A4825" s="8">
        <v>1.7484375E-2</v>
      </c>
    </row>
    <row r="4826" spans="1:1" x14ac:dyDescent="0.25">
      <c r="A4826" s="8">
        <v>1.8156249999999999E-2</v>
      </c>
    </row>
    <row r="4827" spans="1:1" x14ac:dyDescent="0.25">
      <c r="A4827" s="8">
        <v>1.6835938000003808E-2</v>
      </c>
    </row>
    <row r="4828" spans="1:1" x14ac:dyDescent="0.25">
      <c r="A4828" s="8">
        <v>7.7890630000038074E-3</v>
      </c>
    </row>
    <row r="4829" spans="1:1" x14ac:dyDescent="0.25">
      <c r="A4829" s="8">
        <v>7.9765619999961936E-3</v>
      </c>
    </row>
    <row r="4830" spans="1:1" x14ac:dyDescent="0.25">
      <c r="A4830" s="8">
        <v>9.4765630000038081E-3</v>
      </c>
    </row>
    <row r="4831" spans="1:1" x14ac:dyDescent="0.25">
      <c r="A4831" s="8">
        <v>1.3617188000003807E-2</v>
      </c>
    </row>
    <row r="4832" spans="1:1" x14ac:dyDescent="0.25">
      <c r="A4832" s="8">
        <v>2.3296875000000002E-2</v>
      </c>
    </row>
    <row r="4833" spans="1:1" x14ac:dyDescent="0.25">
      <c r="A4833" s="8">
        <v>1.5023438000003808E-2</v>
      </c>
    </row>
    <row r="4834" spans="1:1" x14ac:dyDescent="0.25">
      <c r="A4834" s="8">
        <v>1.7539063000003807E-2</v>
      </c>
    </row>
    <row r="4835" spans="1:1" x14ac:dyDescent="0.25">
      <c r="A4835" s="8">
        <v>1.1117186999996193E-2</v>
      </c>
    </row>
    <row r="4836" spans="1:1" x14ac:dyDescent="0.25">
      <c r="A4836" s="8">
        <v>1.6765624999999999E-2</v>
      </c>
    </row>
    <row r="4837" spans="1:1" x14ac:dyDescent="0.25">
      <c r="A4837" s="8">
        <v>1.6414061999996194E-2</v>
      </c>
    </row>
    <row r="4838" spans="1:1" x14ac:dyDescent="0.25">
      <c r="A4838" s="8">
        <v>4.922656300000381E-2</v>
      </c>
    </row>
    <row r="4839" spans="1:1" x14ac:dyDescent="0.25">
      <c r="A4839" s="8">
        <v>9.6640619999961933E-3</v>
      </c>
    </row>
    <row r="4840" spans="1:1" x14ac:dyDescent="0.25">
      <c r="A4840" s="8">
        <v>9.3359380000038079E-3</v>
      </c>
    </row>
    <row r="4841" spans="1:1" x14ac:dyDescent="0.25">
      <c r="A4841" s="8">
        <v>1.3484375E-2</v>
      </c>
    </row>
    <row r="4842" spans="1:1" x14ac:dyDescent="0.25">
      <c r="A4842" s="8">
        <v>2.1570311999996192E-2</v>
      </c>
    </row>
    <row r="4843" spans="1:1" x14ac:dyDescent="0.25">
      <c r="A4843" s="8">
        <v>1.8320313000003807E-2</v>
      </c>
    </row>
    <row r="4844" spans="1:1" x14ac:dyDescent="0.25">
      <c r="A4844" s="8">
        <v>1.8898438000003806E-2</v>
      </c>
    </row>
    <row r="4845" spans="1:1" x14ac:dyDescent="0.25">
      <c r="A4845" s="8">
        <v>1.559375E-2</v>
      </c>
    </row>
    <row r="4846" spans="1:1" x14ac:dyDescent="0.25">
      <c r="A4846" s="8">
        <v>0.108046875</v>
      </c>
    </row>
    <row r="4847" spans="1:1" x14ac:dyDescent="0.25">
      <c r="A4847" s="8">
        <v>1.8351563000003807E-2</v>
      </c>
    </row>
    <row r="4848" spans="1:1" x14ac:dyDescent="0.25">
      <c r="A4848" s="8">
        <v>2.1023436999996193E-2</v>
      </c>
    </row>
    <row r="4849" spans="1:1" x14ac:dyDescent="0.25">
      <c r="A4849" s="8">
        <v>1.7828125E-2</v>
      </c>
    </row>
    <row r="4850" spans="1:1" x14ac:dyDescent="0.25">
      <c r="A4850" s="8">
        <v>2.1453125E-2</v>
      </c>
    </row>
    <row r="4851" spans="1:1" x14ac:dyDescent="0.25">
      <c r="A4851" s="8">
        <v>1.1609375E-2</v>
      </c>
    </row>
    <row r="4852" spans="1:1" x14ac:dyDescent="0.25">
      <c r="A4852" s="8">
        <v>2.1015625E-2</v>
      </c>
    </row>
    <row r="4853" spans="1:1" x14ac:dyDescent="0.25">
      <c r="A4853" s="8">
        <v>2.0109374999999999E-2</v>
      </c>
    </row>
    <row r="4854" spans="1:1" x14ac:dyDescent="0.25">
      <c r="A4854" s="8">
        <v>1.9625E-2</v>
      </c>
    </row>
    <row r="4855" spans="1:1" x14ac:dyDescent="0.25">
      <c r="A4855" s="8">
        <v>1.353125E-2</v>
      </c>
    </row>
    <row r="4856" spans="1:1" x14ac:dyDescent="0.25">
      <c r="A4856" s="8">
        <v>8.6562500000000007E-3</v>
      </c>
    </row>
    <row r="4857" spans="1:1" x14ac:dyDescent="0.25">
      <c r="A4857" s="8">
        <v>2.0875000000000001E-2</v>
      </c>
    </row>
    <row r="4858" spans="1:1" x14ac:dyDescent="0.25">
      <c r="A4858" s="8">
        <v>2.0015624999999999E-2</v>
      </c>
    </row>
    <row r="4859" spans="1:1" x14ac:dyDescent="0.25">
      <c r="A4859" s="8">
        <v>1.6890624999999999E-2</v>
      </c>
    </row>
    <row r="4860" spans="1:1" x14ac:dyDescent="0.25">
      <c r="A4860" s="8">
        <v>2.0484374999999999E-2</v>
      </c>
    </row>
    <row r="4861" spans="1:1" x14ac:dyDescent="0.25">
      <c r="A4861" s="8">
        <v>9.6578125000000001E-2</v>
      </c>
    </row>
    <row r="4862" spans="1:1" x14ac:dyDescent="0.25">
      <c r="A4862" s="8">
        <v>2.7296875000000002E-2</v>
      </c>
    </row>
    <row r="4863" spans="1:1" x14ac:dyDescent="0.25">
      <c r="A4863" s="8">
        <v>1.9703124999999998E-2</v>
      </c>
    </row>
    <row r="4864" spans="1:1" x14ac:dyDescent="0.25">
      <c r="A4864" s="8">
        <v>1.5625E-2</v>
      </c>
    </row>
    <row r="4865" spans="1:1" x14ac:dyDescent="0.25">
      <c r="A4865" s="8">
        <v>2.1499999999999998E-2</v>
      </c>
    </row>
    <row r="4866" spans="1:1" x14ac:dyDescent="0.25">
      <c r="A4866" s="8">
        <v>2.1187500000000001E-2</v>
      </c>
    </row>
    <row r="4867" spans="1:1" x14ac:dyDescent="0.25">
      <c r="A4867" s="8">
        <v>2.4419922000000951E-2</v>
      </c>
    </row>
    <row r="4868" spans="1:1" x14ac:dyDescent="0.25">
      <c r="A4868" s="8">
        <v>2.9832030999998097E-2</v>
      </c>
    </row>
    <row r="4869" spans="1:1" x14ac:dyDescent="0.25">
      <c r="A4869" s="8">
        <v>1.9572265000002517E-2</v>
      </c>
    </row>
    <row r="4870" spans="1:1" x14ac:dyDescent="0.25">
      <c r="A4870" s="8">
        <v>1.5628906999998436E-2</v>
      </c>
    </row>
    <row r="4871" spans="1:1" x14ac:dyDescent="0.25">
      <c r="A4871" s="8">
        <v>2.0246093999998264E-2</v>
      </c>
    </row>
    <row r="4872" spans="1:1" x14ac:dyDescent="0.25">
      <c r="A4872" s="8">
        <v>1.861718699999983E-2</v>
      </c>
    </row>
    <row r="4873" spans="1:1" x14ac:dyDescent="0.25">
      <c r="A4873" s="8">
        <v>1.0636718000001565E-2</v>
      </c>
    </row>
    <row r="4874" spans="1:1" x14ac:dyDescent="0.25">
      <c r="A4874" s="8">
        <v>1.3316405999998096E-2</v>
      </c>
    </row>
    <row r="4875" spans="1:1" x14ac:dyDescent="0.25">
      <c r="A4875" s="8">
        <v>1.31875E-2</v>
      </c>
    </row>
    <row r="4876" spans="1:1" x14ac:dyDescent="0.25">
      <c r="A4876" s="8">
        <v>1.3578125E-2</v>
      </c>
    </row>
    <row r="4877" spans="1:1" x14ac:dyDescent="0.25">
      <c r="A4877" s="8">
        <v>7.1093750000000002E-3</v>
      </c>
    </row>
    <row r="4878" spans="1:1" x14ac:dyDescent="0.25">
      <c r="A4878" s="8">
        <v>2.4855468999994627E-2</v>
      </c>
    </row>
    <row r="4879" spans="1:1" x14ac:dyDescent="0.25">
      <c r="A4879" s="8">
        <v>1.6972655999998098E-2</v>
      </c>
    </row>
    <row r="4880" spans="1:1" x14ac:dyDescent="0.25">
      <c r="A4880" s="8">
        <v>2.5464843999994626E-2</v>
      </c>
    </row>
    <row r="4881" spans="1:1" x14ac:dyDescent="0.25">
      <c r="A4881" s="8">
        <v>1.0644530999998096E-2</v>
      </c>
    </row>
    <row r="4882" spans="1:1" x14ac:dyDescent="0.25">
      <c r="A4882" s="8">
        <v>1.9925781999998435E-2</v>
      </c>
    </row>
    <row r="4883" spans="1:1" x14ac:dyDescent="0.25">
      <c r="A4883" s="8">
        <v>1.1085938000003808E-2</v>
      </c>
    </row>
    <row r="4884" spans="1:1" x14ac:dyDescent="0.25">
      <c r="A4884" s="8">
        <v>1.0214843999994628E-2</v>
      </c>
    </row>
    <row r="4885" spans="1:1" x14ac:dyDescent="0.25">
      <c r="A4885" s="8">
        <v>1.4296875000000001E-2</v>
      </c>
    </row>
    <row r="4886" spans="1:1" x14ac:dyDescent="0.25">
      <c r="A4886" s="8">
        <v>1.4769531000005373E-2</v>
      </c>
    </row>
    <row r="4887" spans="1:1" x14ac:dyDescent="0.25">
      <c r="A4887" s="8">
        <v>1.5753905999998097E-2</v>
      </c>
    </row>
    <row r="4888" spans="1:1" x14ac:dyDescent="0.25">
      <c r="A4888" s="8">
        <v>1.6824218000001567E-2</v>
      </c>
    </row>
    <row r="4889" spans="1:1" x14ac:dyDescent="0.25">
      <c r="A4889" s="8">
        <v>1.6781250000000001E-2</v>
      </c>
    </row>
    <row r="4890" spans="1:1" x14ac:dyDescent="0.25">
      <c r="A4890" s="8">
        <v>1.6867186999996193E-2</v>
      </c>
    </row>
    <row r="4891" spans="1:1" x14ac:dyDescent="0.25">
      <c r="A4891" s="8">
        <v>8.2578119999961921E-3</v>
      </c>
    </row>
    <row r="4892" spans="1:1" x14ac:dyDescent="0.25">
      <c r="A4892" s="8">
        <v>1.4468750000000001E-2</v>
      </c>
    </row>
    <row r="4893" spans="1:1" x14ac:dyDescent="0.25">
      <c r="A4893" s="8">
        <v>3.2023436999996192E-2</v>
      </c>
    </row>
    <row r="4894" spans="1:1" x14ac:dyDescent="0.25">
      <c r="A4894" s="8">
        <v>1.9789063000003809E-2</v>
      </c>
    </row>
    <row r="4895" spans="1:1" x14ac:dyDescent="0.25">
      <c r="A4895" s="8">
        <v>2.2445311999996193E-2</v>
      </c>
    </row>
    <row r="4896" spans="1:1" x14ac:dyDescent="0.25">
      <c r="A4896" s="8">
        <v>1.3257811999996193E-2</v>
      </c>
    </row>
    <row r="4897" spans="1:1" x14ac:dyDescent="0.25">
      <c r="A4897" s="8">
        <v>1.5539061999996193E-2</v>
      </c>
    </row>
    <row r="4898" spans="1:1" x14ac:dyDescent="0.25">
      <c r="A4898" s="8">
        <v>1.3164061999996193E-2</v>
      </c>
    </row>
    <row r="4899" spans="1:1" x14ac:dyDescent="0.25">
      <c r="A4899" s="8">
        <v>1.9335936999996192E-2</v>
      </c>
    </row>
    <row r="4900" spans="1:1" x14ac:dyDescent="0.25">
      <c r="A4900" s="8">
        <v>1.3921875E-2</v>
      </c>
    </row>
    <row r="4901" spans="1:1" x14ac:dyDescent="0.25">
      <c r="A4901" s="8">
        <v>6.0312500000000002E-3</v>
      </c>
    </row>
    <row r="4902" spans="1:1" x14ac:dyDescent="0.25">
      <c r="A4902" s="8">
        <v>2.0203124999999999E-2</v>
      </c>
    </row>
    <row r="4903" spans="1:1" x14ac:dyDescent="0.25">
      <c r="A4903" s="8">
        <v>1.7296875E-2</v>
      </c>
    </row>
    <row r="4904" spans="1:1" x14ac:dyDescent="0.25">
      <c r="A4904" s="8">
        <v>1.6796874999999999E-2</v>
      </c>
    </row>
    <row r="4905" spans="1:1" x14ac:dyDescent="0.25">
      <c r="A4905" s="8">
        <v>1.9492188000003807E-2</v>
      </c>
    </row>
    <row r="4906" spans="1:1" x14ac:dyDescent="0.25">
      <c r="A4906" s="8">
        <v>1.0937499999999999E-2</v>
      </c>
    </row>
    <row r="4907" spans="1:1" x14ac:dyDescent="0.25">
      <c r="A4907" s="8">
        <v>2.5648436999996194E-2</v>
      </c>
    </row>
    <row r="4908" spans="1:1" x14ac:dyDescent="0.25">
      <c r="A4908" s="8">
        <v>1.375E-2</v>
      </c>
    </row>
    <row r="4909" spans="1:1" x14ac:dyDescent="0.25">
      <c r="A4909" s="8">
        <v>2.4625000000000001E-2</v>
      </c>
    </row>
    <row r="4910" spans="1:1" x14ac:dyDescent="0.25">
      <c r="A4910" s="8">
        <v>2.5343750000000002E-2</v>
      </c>
    </row>
    <row r="4911" spans="1:1" x14ac:dyDescent="0.25">
      <c r="A4911" s="8">
        <v>1.9710938000003807E-2</v>
      </c>
    </row>
    <row r="4912" spans="1:1" x14ac:dyDescent="0.25">
      <c r="A4912" s="8">
        <v>1.9828124999999999E-2</v>
      </c>
    </row>
    <row r="4913" spans="1:1" x14ac:dyDescent="0.25">
      <c r="A4913" s="8">
        <v>2.0414061999996194E-2</v>
      </c>
    </row>
    <row r="4914" spans="1:1" x14ac:dyDescent="0.25">
      <c r="A4914" s="8">
        <v>5.4281250000000003E-2</v>
      </c>
    </row>
    <row r="4915" spans="1:1" x14ac:dyDescent="0.25">
      <c r="A4915" s="8">
        <v>2.2726563000003808E-2</v>
      </c>
    </row>
    <row r="4916" spans="1:1" x14ac:dyDescent="0.25">
      <c r="A4916" s="8">
        <v>8.0546869999961919E-3</v>
      </c>
    </row>
    <row r="4917" spans="1:1" x14ac:dyDescent="0.25">
      <c r="A4917" s="8">
        <v>8.5156250000000006E-3</v>
      </c>
    </row>
    <row r="4918" spans="1:1" x14ac:dyDescent="0.25">
      <c r="A4918" s="8">
        <v>1.0765624999999999E-2</v>
      </c>
    </row>
    <row r="4919" spans="1:1" x14ac:dyDescent="0.25">
      <c r="A4919" s="8">
        <v>1.2398436999996192E-2</v>
      </c>
    </row>
    <row r="4920" spans="1:1" x14ac:dyDescent="0.25">
      <c r="A4920" s="8">
        <v>1.3429688000003808E-2</v>
      </c>
    </row>
    <row r="4921" spans="1:1" x14ac:dyDescent="0.25">
      <c r="A4921" s="8">
        <v>2.0109374999999999E-2</v>
      </c>
    </row>
    <row r="4922" spans="1:1" x14ac:dyDescent="0.25">
      <c r="A4922" s="8">
        <v>1.54375E-2</v>
      </c>
    </row>
    <row r="4923" spans="1:1" x14ac:dyDescent="0.25">
      <c r="A4923" s="8">
        <v>1.8398438000003806E-2</v>
      </c>
    </row>
    <row r="4924" spans="1:1" x14ac:dyDescent="0.25">
      <c r="A4924" s="8">
        <v>1.5578125E-2</v>
      </c>
    </row>
    <row r="4925" spans="1:1" x14ac:dyDescent="0.25">
      <c r="A4925" s="8">
        <v>8.0937500000000002E-3</v>
      </c>
    </row>
    <row r="4926" spans="1:1" x14ac:dyDescent="0.25">
      <c r="A4926" s="8">
        <v>1.3484375E-2</v>
      </c>
    </row>
    <row r="4927" spans="1:1" x14ac:dyDescent="0.25">
      <c r="A4927" s="8">
        <v>9.78125E-3</v>
      </c>
    </row>
    <row r="4928" spans="1:1" x14ac:dyDescent="0.25">
      <c r="A4928" s="8">
        <v>3.8046875000000001E-2</v>
      </c>
    </row>
    <row r="4929" spans="1:1" x14ac:dyDescent="0.25">
      <c r="A4929" s="8">
        <v>2.2765625000000001E-2</v>
      </c>
    </row>
    <row r="4930" spans="1:1" x14ac:dyDescent="0.25">
      <c r="A4930" s="8">
        <v>1.3765625E-2</v>
      </c>
    </row>
    <row r="4931" spans="1:1" x14ac:dyDescent="0.25">
      <c r="A4931" s="8">
        <v>7.3281249999999996E-3</v>
      </c>
    </row>
    <row r="4932" spans="1:1" x14ac:dyDescent="0.25">
      <c r="A4932" s="8">
        <v>1.9828124999999999E-2</v>
      </c>
    </row>
    <row r="4933" spans="1:1" x14ac:dyDescent="0.25">
      <c r="A4933" s="8">
        <v>1.03125E-2</v>
      </c>
    </row>
    <row r="4934" spans="1:1" x14ac:dyDescent="0.25">
      <c r="A4934" s="8">
        <v>2.0296874999999999E-2</v>
      </c>
    </row>
    <row r="4935" spans="1:1" x14ac:dyDescent="0.25">
      <c r="A4935" s="8">
        <v>1.3031249999999999E-2</v>
      </c>
    </row>
    <row r="4936" spans="1:1" x14ac:dyDescent="0.25">
      <c r="A4936" s="8">
        <v>3.2687500000000001E-2</v>
      </c>
    </row>
    <row r="4937" spans="1:1" x14ac:dyDescent="0.25">
      <c r="A4937" s="8">
        <v>1.4250000000000001E-2</v>
      </c>
    </row>
    <row r="4938" spans="1:1" x14ac:dyDescent="0.25">
      <c r="A4938" s="8">
        <v>1.0437500000000001E-2</v>
      </c>
    </row>
    <row r="4939" spans="1:1" x14ac:dyDescent="0.25">
      <c r="A4939" s="8">
        <v>2.0218750000000001E-2</v>
      </c>
    </row>
    <row r="4940" spans="1:1" x14ac:dyDescent="0.25">
      <c r="A4940" s="8">
        <v>7.2187500000000003E-3</v>
      </c>
    </row>
    <row r="4941" spans="1:1" x14ac:dyDescent="0.25">
      <c r="A4941" s="8">
        <v>7.5156249999999997E-3</v>
      </c>
    </row>
    <row r="4942" spans="1:1" x14ac:dyDescent="0.25">
      <c r="A4942" s="8">
        <v>1.2078125E-2</v>
      </c>
    </row>
    <row r="4943" spans="1:1" x14ac:dyDescent="0.25">
      <c r="A4943" s="8">
        <v>1.4265625000000001E-2</v>
      </c>
    </row>
    <row r="4944" spans="1:1" x14ac:dyDescent="0.25">
      <c r="A4944" s="8">
        <v>2.1015625E-2</v>
      </c>
    </row>
    <row r="4945" spans="1:1" x14ac:dyDescent="0.25">
      <c r="A4945" s="8">
        <v>7.2187500000000003E-3</v>
      </c>
    </row>
    <row r="4946" spans="1:1" x14ac:dyDescent="0.25">
      <c r="A4946" s="8">
        <v>1.1765625E-2</v>
      </c>
    </row>
    <row r="4947" spans="1:1" x14ac:dyDescent="0.25">
      <c r="A4947" s="8">
        <v>1.4468750000000001E-2</v>
      </c>
    </row>
    <row r="4948" spans="1:1" x14ac:dyDescent="0.25">
      <c r="A4948" s="8">
        <v>1.6015624999999999E-2</v>
      </c>
    </row>
    <row r="4949" spans="1:1" x14ac:dyDescent="0.25">
      <c r="A4949" s="8">
        <v>7.7246099999974827E-3</v>
      </c>
    </row>
    <row r="4950" spans="1:1" x14ac:dyDescent="0.25">
      <c r="A4950" s="8">
        <v>1.3804686999999831E-2</v>
      </c>
    </row>
    <row r="4951" spans="1:1" x14ac:dyDescent="0.25">
      <c r="A4951" s="8">
        <v>9.0292969999973133E-3</v>
      </c>
    </row>
    <row r="4952" spans="1:1" x14ac:dyDescent="0.25">
      <c r="A4952" s="8">
        <v>7.2267577999999041E-2</v>
      </c>
    </row>
    <row r="4953" spans="1:1" x14ac:dyDescent="0.25">
      <c r="A4953" s="8">
        <v>2.678125E-2</v>
      </c>
    </row>
    <row r="4954" spans="1:1" x14ac:dyDescent="0.25">
      <c r="A4954" s="8">
        <v>1.5378906000005372E-2</v>
      </c>
    </row>
    <row r="4955" spans="1:1" x14ac:dyDescent="0.25">
      <c r="A4955" s="8">
        <v>1.6886718000001567E-2</v>
      </c>
    </row>
    <row r="4956" spans="1:1" x14ac:dyDescent="0.25">
      <c r="A4956" s="8">
        <v>1.1996093000001566E-2</v>
      </c>
    </row>
    <row r="4957" spans="1:1" x14ac:dyDescent="0.25">
      <c r="A4957" s="8">
        <v>2.1820312999996531E-2</v>
      </c>
    </row>
    <row r="4958" spans="1:1" x14ac:dyDescent="0.25">
      <c r="A4958" s="8">
        <v>2.0972655999998098E-2</v>
      </c>
    </row>
    <row r="4959" spans="1:1" x14ac:dyDescent="0.25">
      <c r="A4959" s="8">
        <v>1.780468799999653E-2</v>
      </c>
    </row>
    <row r="4960" spans="1:1" x14ac:dyDescent="0.25">
      <c r="A4960" s="8">
        <v>1.0636719000001904E-2</v>
      </c>
    </row>
    <row r="4961" spans="1:1" x14ac:dyDescent="0.25">
      <c r="A4961" s="8">
        <v>1.7417968000001564E-2</v>
      </c>
    </row>
    <row r="4962" spans="1:1" x14ac:dyDescent="0.25">
      <c r="A4962" s="8">
        <v>1.2808594000001904E-2</v>
      </c>
    </row>
    <row r="4963" spans="1:1" x14ac:dyDescent="0.25">
      <c r="A4963" s="8">
        <v>1.4144531999998435E-2</v>
      </c>
    </row>
    <row r="4964" spans="1:1" x14ac:dyDescent="0.25">
      <c r="A4964" s="8">
        <v>1.6546874999999999E-2</v>
      </c>
    </row>
    <row r="4965" spans="1:1" x14ac:dyDescent="0.25">
      <c r="A4965" s="8">
        <v>1.1785156000005372E-2</v>
      </c>
    </row>
    <row r="4966" spans="1:1" x14ac:dyDescent="0.25">
      <c r="A4966" s="8">
        <v>0.12929687500000001</v>
      </c>
    </row>
    <row r="4967" spans="1:1" x14ac:dyDescent="0.25">
      <c r="A4967" s="8">
        <v>1.3976563000003807E-2</v>
      </c>
    </row>
    <row r="4968" spans="1:1" x14ac:dyDescent="0.25">
      <c r="A4968" s="8">
        <v>1.7226561999996191E-2</v>
      </c>
    </row>
    <row r="4969" spans="1:1" x14ac:dyDescent="0.25">
      <c r="A4969" s="8">
        <v>1.7359375E-2</v>
      </c>
    </row>
    <row r="4970" spans="1:1" x14ac:dyDescent="0.25">
      <c r="A4970" s="8">
        <v>2.0304688000003807E-2</v>
      </c>
    </row>
    <row r="4971" spans="1:1" x14ac:dyDescent="0.25">
      <c r="A4971" s="8">
        <v>3.0539063000003808E-2</v>
      </c>
    </row>
    <row r="4972" spans="1:1" x14ac:dyDescent="0.25">
      <c r="A4972" s="8">
        <v>2.2632813000003808E-2</v>
      </c>
    </row>
    <row r="4973" spans="1:1" x14ac:dyDescent="0.25">
      <c r="A4973" s="8">
        <v>2.1140625E-2</v>
      </c>
    </row>
    <row r="4974" spans="1:1" x14ac:dyDescent="0.25">
      <c r="A4974" s="8">
        <v>2.1882811999996192E-2</v>
      </c>
    </row>
    <row r="4975" spans="1:1" x14ac:dyDescent="0.25">
      <c r="A4975" s="8">
        <v>1.7796875E-2</v>
      </c>
    </row>
    <row r="4976" spans="1:1" x14ac:dyDescent="0.25">
      <c r="A4976" s="8">
        <v>1.8085938000003809E-2</v>
      </c>
    </row>
    <row r="4977" spans="1:1" x14ac:dyDescent="0.25">
      <c r="A4977" s="8">
        <v>2.0781250000000001E-2</v>
      </c>
    </row>
    <row r="4978" spans="1:1" x14ac:dyDescent="0.25">
      <c r="A4978" s="8">
        <v>2.4390624999999999E-2</v>
      </c>
    </row>
    <row r="4979" spans="1:1" x14ac:dyDescent="0.25">
      <c r="A4979" s="8">
        <v>0.142875</v>
      </c>
    </row>
    <row r="4980" spans="1:1" x14ac:dyDescent="0.25">
      <c r="A4980" s="8">
        <v>1.0867188000003808E-2</v>
      </c>
    </row>
    <row r="4981" spans="1:1" x14ac:dyDescent="0.25">
      <c r="A4981" s="8">
        <v>1.7828125E-2</v>
      </c>
    </row>
    <row r="4982" spans="1:1" x14ac:dyDescent="0.25">
      <c r="A4982" s="8">
        <v>1.1007813000003808E-2</v>
      </c>
    </row>
    <row r="4983" spans="1:1" x14ac:dyDescent="0.25">
      <c r="A4983" s="8">
        <v>1.1570313000003806E-2</v>
      </c>
    </row>
    <row r="4984" spans="1:1" x14ac:dyDescent="0.25">
      <c r="A4984" s="8">
        <v>1.2703124999999999E-2</v>
      </c>
    </row>
    <row r="4985" spans="1:1" x14ac:dyDescent="0.25">
      <c r="A4985" s="8">
        <v>9.0312499999999993E-3</v>
      </c>
    </row>
    <row r="4986" spans="1:1" x14ac:dyDescent="0.25">
      <c r="A4986" s="8">
        <v>1.7617186999996193E-2</v>
      </c>
    </row>
    <row r="4987" spans="1:1" x14ac:dyDescent="0.25">
      <c r="A4987" s="8">
        <v>2.1601561999996192E-2</v>
      </c>
    </row>
    <row r="4988" spans="1:1" x14ac:dyDescent="0.25">
      <c r="A4988" s="8">
        <v>1.1953125E-2</v>
      </c>
    </row>
    <row r="4989" spans="1:1" x14ac:dyDescent="0.25">
      <c r="A4989" s="8">
        <v>1.1609375E-2</v>
      </c>
    </row>
    <row r="4990" spans="1:1" x14ac:dyDescent="0.25">
      <c r="A4990" s="8">
        <v>1.9828124999999999E-2</v>
      </c>
    </row>
    <row r="4991" spans="1:1" x14ac:dyDescent="0.25">
      <c r="A4991" s="8">
        <v>2.2976563000003808E-2</v>
      </c>
    </row>
    <row r="4992" spans="1:1" x14ac:dyDescent="0.25">
      <c r="A4992" s="8">
        <v>1.4710938000003808E-2</v>
      </c>
    </row>
    <row r="4993" spans="1:1" x14ac:dyDescent="0.25">
      <c r="A4993" s="8">
        <v>3.2445313000003806E-2</v>
      </c>
    </row>
    <row r="4994" spans="1:1" x14ac:dyDescent="0.25">
      <c r="A4994" s="8">
        <v>9.8906250000000001E-3</v>
      </c>
    </row>
    <row r="4995" spans="1:1" x14ac:dyDescent="0.25">
      <c r="A4995" s="8">
        <v>1.2859374999999999E-2</v>
      </c>
    </row>
    <row r="4996" spans="1:1" x14ac:dyDescent="0.25">
      <c r="A4996" s="8">
        <v>1.0828124999999999E-2</v>
      </c>
    </row>
    <row r="4997" spans="1:1" x14ac:dyDescent="0.25">
      <c r="A4997" s="8">
        <v>1.4945313000003808E-2</v>
      </c>
    </row>
    <row r="4998" spans="1:1" x14ac:dyDescent="0.25">
      <c r="A4998" s="8">
        <v>2.4500000000000001E-2</v>
      </c>
    </row>
    <row r="4999" spans="1:1" x14ac:dyDescent="0.25">
      <c r="A4999" s="8">
        <v>3.1718749999999997E-2</v>
      </c>
    </row>
    <row r="5000" spans="1:1" x14ac:dyDescent="0.25">
      <c r="A5000" s="8">
        <v>2.3828124999999999E-2</v>
      </c>
    </row>
    <row r="5001" spans="1:1" x14ac:dyDescent="0.25">
      <c r="A5001" s="8">
        <v>1.9140625000000001E-2</v>
      </c>
    </row>
    <row r="5002" spans="1:1" x14ac:dyDescent="0.25">
      <c r="A5002" s="8">
        <v>7.828125E-3</v>
      </c>
    </row>
    <row r="5003" spans="1:1" x14ac:dyDescent="0.25">
      <c r="A5003" s="8">
        <v>2.0593750000000001E-2</v>
      </c>
    </row>
    <row r="5004" spans="1:1" x14ac:dyDescent="0.25">
      <c r="A5004" s="8">
        <v>1.0843749999999999E-2</v>
      </c>
    </row>
    <row r="5005" spans="1:1" x14ac:dyDescent="0.25">
      <c r="A5005" s="8">
        <v>2.1749999999999999E-2</v>
      </c>
    </row>
    <row r="5006" spans="1:1" x14ac:dyDescent="0.25">
      <c r="A5006" s="8">
        <v>2.6234375000000001E-2</v>
      </c>
    </row>
    <row r="5007" spans="1:1" x14ac:dyDescent="0.25">
      <c r="A5007" s="8">
        <v>1.6671874999999999E-2</v>
      </c>
    </row>
    <row r="5008" spans="1:1" x14ac:dyDescent="0.25">
      <c r="A5008" s="8">
        <v>3.14375E-2</v>
      </c>
    </row>
    <row r="5009" spans="1:1" x14ac:dyDescent="0.25">
      <c r="A5009" s="8">
        <v>2.1187500000000001E-2</v>
      </c>
    </row>
    <row r="5010" spans="1:1" x14ac:dyDescent="0.25">
      <c r="A5010" s="8">
        <v>1.971875E-2</v>
      </c>
    </row>
    <row r="5011" spans="1:1" x14ac:dyDescent="0.25">
      <c r="A5011" s="8">
        <v>1.6843750000000001E-2</v>
      </c>
    </row>
    <row r="5012" spans="1:1" x14ac:dyDescent="0.25">
      <c r="A5012" s="8">
        <v>1.4468750000000001E-2</v>
      </c>
    </row>
    <row r="5013" spans="1:1" x14ac:dyDescent="0.25">
      <c r="A5013" s="8">
        <v>7.9160159999992173E-3</v>
      </c>
    </row>
    <row r="5014" spans="1:1" x14ac:dyDescent="0.25">
      <c r="A5014" s="8">
        <v>1.1117187000003468E-2</v>
      </c>
    </row>
    <row r="5015" spans="1:1" x14ac:dyDescent="0.25">
      <c r="A5015" s="8">
        <v>8.3339843999998262E-2</v>
      </c>
    </row>
    <row r="5016" spans="1:1" x14ac:dyDescent="0.25">
      <c r="A5016" s="8">
        <v>1.0488281000001735E-2</v>
      </c>
    </row>
    <row r="5017" spans="1:1" x14ac:dyDescent="0.25">
      <c r="A5017" s="8">
        <v>2.6566406000001735E-2</v>
      </c>
    </row>
    <row r="5018" spans="1:1" x14ac:dyDescent="0.25">
      <c r="A5018" s="8">
        <v>2.3630860000001121E-2</v>
      </c>
    </row>
    <row r="5019" spans="1:1" x14ac:dyDescent="0.25">
      <c r="A5019" s="8">
        <v>2.0306640000002516E-2</v>
      </c>
    </row>
    <row r="5020" spans="1:1" x14ac:dyDescent="0.25">
      <c r="A5020" s="8">
        <v>2.1999999999999999E-2</v>
      </c>
    </row>
    <row r="5021" spans="1:1" x14ac:dyDescent="0.25">
      <c r="A5021" s="8">
        <v>1.6507813000003806E-2</v>
      </c>
    </row>
    <row r="5022" spans="1:1" x14ac:dyDescent="0.25">
      <c r="A5022" s="8">
        <v>3.024218799999653E-2</v>
      </c>
    </row>
    <row r="5023" spans="1:1" x14ac:dyDescent="0.25">
      <c r="A5023" s="8">
        <v>2.2656249999999999E-2</v>
      </c>
    </row>
    <row r="5024" spans="1:1" x14ac:dyDescent="0.25">
      <c r="A5024" s="8">
        <v>1.4316405999998096E-2</v>
      </c>
    </row>
    <row r="5025" spans="1:1" x14ac:dyDescent="0.25">
      <c r="A5025" s="8">
        <v>7.6484380000038073E-3</v>
      </c>
    </row>
    <row r="5026" spans="1:1" x14ac:dyDescent="0.25">
      <c r="A5026" s="8">
        <v>1.7554687000003469E-2</v>
      </c>
    </row>
    <row r="5027" spans="1:1" x14ac:dyDescent="0.25">
      <c r="A5027" s="8">
        <v>7.7148439999946278E-3</v>
      </c>
    </row>
    <row r="5028" spans="1:1" x14ac:dyDescent="0.25">
      <c r="A5028" s="8">
        <v>2.3546874999999998E-2</v>
      </c>
    </row>
    <row r="5029" spans="1:1" x14ac:dyDescent="0.25">
      <c r="A5029" s="8">
        <v>0.10765625</v>
      </c>
    </row>
    <row r="5030" spans="1:1" x14ac:dyDescent="0.25">
      <c r="A5030" s="8">
        <v>2.328125E-2</v>
      </c>
    </row>
    <row r="5031" spans="1:1" x14ac:dyDescent="0.25">
      <c r="A5031" s="8">
        <v>1.2289063000003807E-2</v>
      </c>
    </row>
    <row r="5032" spans="1:1" x14ac:dyDescent="0.25">
      <c r="A5032" s="8">
        <v>1.8757812999996532E-2</v>
      </c>
    </row>
    <row r="5033" spans="1:1" x14ac:dyDescent="0.25">
      <c r="A5033" s="8">
        <v>9.8164059999980968E-3</v>
      </c>
    </row>
    <row r="5034" spans="1:1" x14ac:dyDescent="0.25">
      <c r="A5034" s="8">
        <v>1.6867187999996532E-2</v>
      </c>
    </row>
    <row r="5035" spans="1:1" x14ac:dyDescent="0.25">
      <c r="A5035" s="8">
        <v>1.2785155999998096E-2</v>
      </c>
    </row>
    <row r="5036" spans="1:1" x14ac:dyDescent="0.25">
      <c r="A5036" s="8">
        <v>2.4046874999999999E-2</v>
      </c>
    </row>
    <row r="5037" spans="1:1" x14ac:dyDescent="0.25">
      <c r="A5037" s="8">
        <v>2.4210936999996192E-2</v>
      </c>
    </row>
    <row r="5038" spans="1:1" x14ac:dyDescent="0.25">
      <c r="A5038" s="8">
        <v>2.2218749999999999E-2</v>
      </c>
    </row>
    <row r="5039" spans="1:1" x14ac:dyDescent="0.25">
      <c r="A5039" s="8">
        <v>1.1164063000003808E-2</v>
      </c>
    </row>
    <row r="5040" spans="1:1" x14ac:dyDescent="0.25">
      <c r="A5040" s="8">
        <v>1.4515625000000001E-2</v>
      </c>
    </row>
    <row r="5041" spans="1:1" x14ac:dyDescent="0.25">
      <c r="A5041" s="8">
        <v>2.1007813000003806E-2</v>
      </c>
    </row>
    <row r="5042" spans="1:1" x14ac:dyDescent="0.25">
      <c r="A5042" s="8">
        <v>1.0968749999999999E-2</v>
      </c>
    </row>
    <row r="5043" spans="1:1" x14ac:dyDescent="0.25">
      <c r="A5043" s="8">
        <v>2.7351561999996193E-2</v>
      </c>
    </row>
    <row r="5044" spans="1:1" x14ac:dyDescent="0.25">
      <c r="A5044" s="8">
        <v>1.1851561999996194E-2</v>
      </c>
    </row>
    <row r="5045" spans="1:1" x14ac:dyDescent="0.25">
      <c r="A5045" s="8">
        <v>9.0703119999961928E-3</v>
      </c>
    </row>
    <row r="5046" spans="1:1" x14ac:dyDescent="0.25">
      <c r="A5046" s="8">
        <v>4.4453125000000003E-2</v>
      </c>
    </row>
    <row r="5047" spans="1:1" x14ac:dyDescent="0.25">
      <c r="A5047" s="8">
        <v>1.7218750000000001E-2</v>
      </c>
    </row>
    <row r="5048" spans="1:1" x14ac:dyDescent="0.25">
      <c r="A5048" s="8">
        <v>0.10746093699999619</v>
      </c>
    </row>
    <row r="5049" spans="1:1" x14ac:dyDescent="0.25">
      <c r="A5049" s="8">
        <v>1.1484375E-2</v>
      </c>
    </row>
    <row r="5050" spans="1:1" x14ac:dyDescent="0.25">
      <c r="A5050" s="8">
        <v>1.2273438000003807E-2</v>
      </c>
    </row>
    <row r="5051" spans="1:1" x14ac:dyDescent="0.25">
      <c r="A5051" s="8">
        <v>1.8515625000000001E-2</v>
      </c>
    </row>
    <row r="5052" spans="1:1" x14ac:dyDescent="0.25">
      <c r="A5052" s="8">
        <v>1.5125E-2</v>
      </c>
    </row>
    <row r="5053" spans="1:1" x14ac:dyDescent="0.25">
      <c r="A5053" s="8">
        <v>1.2421875000000001E-2</v>
      </c>
    </row>
    <row r="5054" spans="1:1" x14ac:dyDescent="0.25">
      <c r="A5054" s="8">
        <v>1.4609375000000001E-2</v>
      </c>
    </row>
    <row r="5055" spans="1:1" x14ac:dyDescent="0.25">
      <c r="A5055" s="8">
        <v>2.7734374999999999E-2</v>
      </c>
    </row>
    <row r="5056" spans="1:1" x14ac:dyDescent="0.25">
      <c r="A5056" s="8">
        <v>2.2882811999996193E-2</v>
      </c>
    </row>
    <row r="5057" spans="1:1" x14ac:dyDescent="0.25">
      <c r="A5057" s="8">
        <v>7.5546869999961932E-3</v>
      </c>
    </row>
    <row r="5058" spans="1:1" x14ac:dyDescent="0.25">
      <c r="A5058" s="8">
        <v>1.4304686999996192E-2</v>
      </c>
    </row>
    <row r="5059" spans="1:1" x14ac:dyDescent="0.25">
      <c r="A5059" s="8">
        <v>1.340625E-2</v>
      </c>
    </row>
    <row r="5060" spans="1:1" x14ac:dyDescent="0.25">
      <c r="A5060" s="8">
        <v>1.4273438000003807E-2</v>
      </c>
    </row>
    <row r="5061" spans="1:1" x14ac:dyDescent="0.25">
      <c r="A5061" s="8">
        <v>2.1828125E-2</v>
      </c>
    </row>
    <row r="5062" spans="1:1" x14ac:dyDescent="0.25">
      <c r="A5062" s="8">
        <v>1.4984374999999999E-2</v>
      </c>
    </row>
    <row r="5063" spans="1:1" x14ac:dyDescent="0.25">
      <c r="A5063" s="8">
        <v>1.115625E-2</v>
      </c>
    </row>
    <row r="5064" spans="1:1" x14ac:dyDescent="0.25">
      <c r="A5064" s="8">
        <v>2.4812500000000001E-2</v>
      </c>
    </row>
    <row r="5065" spans="1:1" x14ac:dyDescent="0.25">
      <c r="A5065" s="8">
        <v>8.7187500000000008E-3</v>
      </c>
    </row>
    <row r="5066" spans="1:1" x14ac:dyDescent="0.25">
      <c r="A5066" s="8">
        <v>1.559375E-2</v>
      </c>
    </row>
    <row r="5067" spans="1:1" x14ac:dyDescent="0.25">
      <c r="A5067" s="8">
        <v>1.125E-2</v>
      </c>
    </row>
    <row r="5068" spans="1:1" x14ac:dyDescent="0.25">
      <c r="A5068" s="8">
        <v>2.0750000000000001E-2</v>
      </c>
    </row>
    <row r="5069" spans="1:1" x14ac:dyDescent="0.25">
      <c r="A5069" s="8">
        <v>1.36875E-2</v>
      </c>
    </row>
    <row r="5070" spans="1:1" x14ac:dyDescent="0.25">
      <c r="A5070" s="8">
        <v>1.1234375E-2</v>
      </c>
    </row>
    <row r="5071" spans="1:1" x14ac:dyDescent="0.25">
      <c r="A5071" s="8">
        <v>1.8828125000000001E-2</v>
      </c>
    </row>
    <row r="5072" spans="1:1" x14ac:dyDescent="0.25">
      <c r="A5072" s="8">
        <v>7.6562499999999999E-3</v>
      </c>
    </row>
    <row r="5073" spans="1:1" x14ac:dyDescent="0.25">
      <c r="A5073" s="8">
        <v>1.13125E-2</v>
      </c>
    </row>
    <row r="5074" spans="1:1" x14ac:dyDescent="0.25">
      <c r="A5074" s="8">
        <v>1.7500000000000002E-2</v>
      </c>
    </row>
    <row r="5075" spans="1:1" x14ac:dyDescent="0.25">
      <c r="A5075" s="8">
        <v>1.7062500000000001E-2</v>
      </c>
    </row>
    <row r="5076" spans="1:1" x14ac:dyDescent="0.25">
      <c r="A5076" s="8">
        <v>0.13057812499999999</v>
      </c>
    </row>
    <row r="5077" spans="1:1" x14ac:dyDescent="0.25">
      <c r="A5077" s="8">
        <v>2.0718750000000001E-2</v>
      </c>
    </row>
    <row r="5078" spans="1:1" x14ac:dyDescent="0.25">
      <c r="A5078" s="8">
        <v>1.4468750000000001E-2</v>
      </c>
    </row>
    <row r="5079" spans="1:1" x14ac:dyDescent="0.25">
      <c r="A5079" s="8">
        <v>0.125</v>
      </c>
    </row>
    <row r="5080" spans="1:1" x14ac:dyDescent="0.25">
      <c r="A5080" s="8">
        <v>7.3281249999999996E-3</v>
      </c>
    </row>
    <row r="5081" spans="1:1" x14ac:dyDescent="0.25">
      <c r="A5081" s="8">
        <v>1.6812500000000001E-2</v>
      </c>
    </row>
    <row r="5082" spans="1:1" x14ac:dyDescent="0.25">
      <c r="A5082" s="8">
        <v>1.0812499999999999E-2</v>
      </c>
    </row>
    <row r="5083" spans="1:1" x14ac:dyDescent="0.25">
      <c r="A5083" s="8">
        <v>2.0593750000000001E-2</v>
      </c>
    </row>
    <row r="5084" spans="1:1" x14ac:dyDescent="0.25">
      <c r="A5084" s="8">
        <v>1.2687500000000001E-2</v>
      </c>
    </row>
    <row r="5085" spans="1:1" x14ac:dyDescent="0.25">
      <c r="A5085" s="8">
        <v>1.3359375E-2</v>
      </c>
    </row>
    <row r="5086" spans="1:1" x14ac:dyDescent="0.25">
      <c r="A5086" s="8">
        <v>1.7078125E-2</v>
      </c>
    </row>
    <row r="5087" spans="1:1" x14ac:dyDescent="0.25">
      <c r="A5087" s="8">
        <v>1.6390624999999999E-2</v>
      </c>
    </row>
    <row r="5088" spans="1:1" x14ac:dyDescent="0.25">
      <c r="A5088" s="8">
        <v>1.3625E-2</v>
      </c>
    </row>
    <row r="5089" spans="1:1" x14ac:dyDescent="0.25">
      <c r="A5089" s="8">
        <v>2.3078125000000001E-2</v>
      </c>
    </row>
    <row r="5090" spans="1:1" x14ac:dyDescent="0.25">
      <c r="A5090" s="8">
        <v>3.490625E-2</v>
      </c>
    </row>
    <row r="5091" spans="1:1" x14ac:dyDescent="0.25">
      <c r="A5091" s="8">
        <v>1.1349609000000782E-2</v>
      </c>
    </row>
    <row r="5092" spans="1:1" x14ac:dyDescent="0.25">
      <c r="A5092" s="8">
        <v>1.9705077999999047E-2</v>
      </c>
    </row>
    <row r="5093" spans="1:1" x14ac:dyDescent="0.25">
      <c r="A5093" s="8">
        <v>8.1347649999988798E-3</v>
      </c>
    </row>
    <row r="5094" spans="1:1" x14ac:dyDescent="0.25">
      <c r="A5094" s="8">
        <v>2.2705077999999049E-2</v>
      </c>
    </row>
    <row r="5095" spans="1:1" x14ac:dyDescent="0.25">
      <c r="A5095" s="8">
        <v>1.1132811999996193E-2</v>
      </c>
    </row>
    <row r="5096" spans="1:1" x14ac:dyDescent="0.25">
      <c r="A5096" s="8">
        <v>1.13125E-2</v>
      </c>
    </row>
    <row r="5097" spans="1:1" x14ac:dyDescent="0.25">
      <c r="A5097" s="8">
        <v>1.7042969000001903E-2</v>
      </c>
    </row>
    <row r="5098" spans="1:1" x14ac:dyDescent="0.25">
      <c r="A5098" s="8">
        <v>1.7781249999999998E-2</v>
      </c>
    </row>
    <row r="5099" spans="1:1" x14ac:dyDescent="0.25">
      <c r="A5099" s="8">
        <v>1.4199218000001564E-2</v>
      </c>
    </row>
    <row r="5100" spans="1:1" x14ac:dyDescent="0.25">
      <c r="A5100" s="8">
        <v>1.2324219000001904E-2</v>
      </c>
    </row>
    <row r="5101" spans="1:1" x14ac:dyDescent="0.25">
      <c r="A5101" s="8">
        <v>1.7410155999998095E-2</v>
      </c>
    </row>
    <row r="5102" spans="1:1" x14ac:dyDescent="0.25">
      <c r="A5102" s="8">
        <v>9.4609370000034686E-3</v>
      </c>
    </row>
    <row r="5103" spans="1:1" x14ac:dyDescent="0.25">
      <c r="A5103" s="8">
        <v>2.0316405999998097E-2</v>
      </c>
    </row>
    <row r="5104" spans="1:1" x14ac:dyDescent="0.25">
      <c r="A5104" s="8">
        <v>3.0421875000000001E-2</v>
      </c>
    </row>
    <row r="5105" spans="1:1" x14ac:dyDescent="0.25">
      <c r="A5105" s="8">
        <v>1.4656249999999999E-2</v>
      </c>
    </row>
    <row r="5106" spans="1:1" x14ac:dyDescent="0.25">
      <c r="A5106" s="8">
        <v>1.0003905999998097E-2</v>
      </c>
    </row>
    <row r="5107" spans="1:1" x14ac:dyDescent="0.25">
      <c r="A5107" s="8">
        <v>1.3996093000001566E-2</v>
      </c>
    </row>
    <row r="5108" spans="1:1" x14ac:dyDescent="0.25">
      <c r="A5108" s="8">
        <v>2.2742188000003806E-2</v>
      </c>
    </row>
    <row r="5109" spans="1:1" x14ac:dyDescent="0.25">
      <c r="A5109" s="8">
        <v>1.9304688000003806E-2</v>
      </c>
    </row>
    <row r="5110" spans="1:1" x14ac:dyDescent="0.25">
      <c r="A5110" s="8">
        <v>1.3484375E-2</v>
      </c>
    </row>
    <row r="5111" spans="1:1" x14ac:dyDescent="0.25">
      <c r="A5111" s="8">
        <v>7.2812500000000004E-3</v>
      </c>
    </row>
    <row r="5112" spans="1:1" x14ac:dyDescent="0.25">
      <c r="A5112" s="8">
        <v>1.7531250000000002E-2</v>
      </c>
    </row>
    <row r="5113" spans="1:1" x14ac:dyDescent="0.25">
      <c r="A5113" s="8">
        <v>7.6093749999999998E-3</v>
      </c>
    </row>
    <row r="5114" spans="1:1" x14ac:dyDescent="0.25">
      <c r="A5114" s="8">
        <v>1.3859375E-2</v>
      </c>
    </row>
    <row r="5115" spans="1:1" x14ac:dyDescent="0.25">
      <c r="A5115" s="8">
        <v>2.4562500000000001E-2</v>
      </c>
    </row>
    <row r="5116" spans="1:1" x14ac:dyDescent="0.25">
      <c r="A5116" s="8">
        <v>1.9890624999999999E-2</v>
      </c>
    </row>
    <row r="5117" spans="1:1" x14ac:dyDescent="0.25">
      <c r="A5117" s="8">
        <v>2.6289063000003807E-2</v>
      </c>
    </row>
    <row r="5118" spans="1:1" x14ac:dyDescent="0.25">
      <c r="A5118" s="8">
        <v>2.0179688000003807E-2</v>
      </c>
    </row>
    <row r="5119" spans="1:1" x14ac:dyDescent="0.25">
      <c r="A5119" s="8">
        <v>2.5578125E-2</v>
      </c>
    </row>
    <row r="5120" spans="1:1" x14ac:dyDescent="0.25">
      <c r="A5120" s="8">
        <v>1.4562500000000001E-2</v>
      </c>
    </row>
    <row r="5121" spans="1:1" x14ac:dyDescent="0.25">
      <c r="A5121" s="8">
        <v>1.1007811999996193E-2</v>
      </c>
    </row>
    <row r="5122" spans="1:1" x14ac:dyDescent="0.25">
      <c r="A5122" s="8">
        <v>7.8203130000038066E-3</v>
      </c>
    </row>
    <row r="5123" spans="1:1" x14ac:dyDescent="0.25">
      <c r="A5123" s="8">
        <v>1.4296875000000001E-2</v>
      </c>
    </row>
    <row r="5124" spans="1:1" x14ac:dyDescent="0.25">
      <c r="A5124" s="8">
        <v>1.91875E-2</v>
      </c>
    </row>
    <row r="5125" spans="1:1" x14ac:dyDescent="0.25">
      <c r="A5125" s="8">
        <v>1.7281250000000001E-2</v>
      </c>
    </row>
    <row r="5126" spans="1:1" x14ac:dyDescent="0.25">
      <c r="A5126" s="8">
        <v>2.4507813000003806E-2</v>
      </c>
    </row>
    <row r="5127" spans="1:1" x14ac:dyDescent="0.25">
      <c r="A5127" s="8">
        <v>1.1132813000003808E-2</v>
      </c>
    </row>
    <row r="5128" spans="1:1" x14ac:dyDescent="0.25">
      <c r="A5128" s="8">
        <v>2.2789061999996193E-2</v>
      </c>
    </row>
    <row r="5129" spans="1:1" x14ac:dyDescent="0.25">
      <c r="A5129" s="8">
        <v>2.7242186999996192E-2</v>
      </c>
    </row>
    <row r="5130" spans="1:1" x14ac:dyDescent="0.25">
      <c r="A5130" s="8">
        <v>1.3523438000003806E-2</v>
      </c>
    </row>
    <row r="5131" spans="1:1" x14ac:dyDescent="0.25">
      <c r="A5131" s="8">
        <v>1.8281249999999999E-2</v>
      </c>
    </row>
    <row r="5132" spans="1:1" x14ac:dyDescent="0.25">
      <c r="A5132" s="8">
        <v>1.9257811999996193E-2</v>
      </c>
    </row>
    <row r="5133" spans="1:1" x14ac:dyDescent="0.25">
      <c r="A5133" s="8">
        <v>3.2851561999996191E-2</v>
      </c>
    </row>
    <row r="5134" spans="1:1" x14ac:dyDescent="0.25">
      <c r="A5134" s="8">
        <v>1.7609375E-2</v>
      </c>
    </row>
    <row r="5135" spans="1:1" x14ac:dyDescent="0.25">
      <c r="A5135" s="8">
        <v>1.3679686999996193E-2</v>
      </c>
    </row>
    <row r="5136" spans="1:1" x14ac:dyDescent="0.25">
      <c r="A5136" s="8">
        <v>1.1117186999996193E-2</v>
      </c>
    </row>
    <row r="5137" spans="1:1" x14ac:dyDescent="0.25">
      <c r="A5137" s="8">
        <v>7.6093749999999998E-3</v>
      </c>
    </row>
    <row r="5138" spans="1:1" x14ac:dyDescent="0.25">
      <c r="A5138" s="8">
        <v>2.30625E-2</v>
      </c>
    </row>
    <row r="5139" spans="1:1" x14ac:dyDescent="0.25">
      <c r="A5139" s="8">
        <v>8.1015630000038068E-3</v>
      </c>
    </row>
    <row r="5140" spans="1:1" x14ac:dyDescent="0.25">
      <c r="A5140" s="8">
        <v>2.3015625000000001E-2</v>
      </c>
    </row>
    <row r="5141" spans="1:1" x14ac:dyDescent="0.25">
      <c r="A5141" s="8">
        <v>2.0562500000000001E-2</v>
      </c>
    </row>
    <row r="5142" spans="1:1" x14ac:dyDescent="0.25">
      <c r="A5142" s="8">
        <v>7.7265630000038074E-3</v>
      </c>
    </row>
    <row r="5143" spans="1:1" x14ac:dyDescent="0.25">
      <c r="A5143" s="8">
        <v>1.0125E-2</v>
      </c>
    </row>
    <row r="5144" spans="1:1" x14ac:dyDescent="0.25">
      <c r="A5144" s="8">
        <v>1.6218750000000001E-2</v>
      </c>
    </row>
    <row r="5145" spans="1:1" x14ac:dyDescent="0.25">
      <c r="A5145" s="8">
        <v>2.5335936999996193E-2</v>
      </c>
    </row>
    <row r="5146" spans="1:1" x14ac:dyDescent="0.25">
      <c r="A5146" s="8">
        <v>1.3984375E-2</v>
      </c>
    </row>
    <row r="5147" spans="1:1" x14ac:dyDescent="0.25">
      <c r="A5147" s="8">
        <v>9.1874999999999995E-3</v>
      </c>
    </row>
    <row r="5148" spans="1:1" x14ac:dyDescent="0.25">
      <c r="A5148" s="8">
        <v>1.7343750000000002E-2</v>
      </c>
    </row>
    <row r="5149" spans="1:1" x14ac:dyDescent="0.25">
      <c r="A5149" s="8">
        <v>1.1140624999999999E-2</v>
      </c>
    </row>
    <row r="5150" spans="1:1" x14ac:dyDescent="0.25">
      <c r="A5150" s="8">
        <v>2.8703124999999999E-2</v>
      </c>
    </row>
    <row r="5151" spans="1:1" x14ac:dyDescent="0.25">
      <c r="A5151" s="8">
        <v>2.8062500000000001E-2</v>
      </c>
    </row>
    <row r="5152" spans="1:1" x14ac:dyDescent="0.25">
      <c r="A5152" s="8">
        <v>1.146875E-2</v>
      </c>
    </row>
    <row r="5153" spans="1:1" x14ac:dyDescent="0.25">
      <c r="A5153" s="8">
        <v>1.6781250000000001E-2</v>
      </c>
    </row>
    <row r="5154" spans="1:1" x14ac:dyDescent="0.25">
      <c r="A5154" s="8">
        <v>7.5624999999999998E-3</v>
      </c>
    </row>
    <row r="5155" spans="1:1" x14ac:dyDescent="0.25">
      <c r="A5155" s="8">
        <v>7.765625E-3</v>
      </c>
    </row>
    <row r="5156" spans="1:1" x14ac:dyDescent="0.25">
      <c r="A5156" s="8">
        <v>1.0781249999999999E-2</v>
      </c>
    </row>
    <row r="5157" spans="1:1" x14ac:dyDescent="0.25">
      <c r="A5157" s="8">
        <v>1.7953125E-2</v>
      </c>
    </row>
    <row r="5158" spans="1:1" x14ac:dyDescent="0.25">
      <c r="A5158" s="8">
        <v>1.2390625000000001E-2</v>
      </c>
    </row>
    <row r="5159" spans="1:1" x14ac:dyDescent="0.25">
      <c r="A5159" s="8">
        <v>1.2234375E-2</v>
      </c>
    </row>
    <row r="5160" spans="1:1" x14ac:dyDescent="0.25">
      <c r="A5160" s="8">
        <v>1.0765624999999999E-2</v>
      </c>
    </row>
    <row r="5161" spans="1:1" x14ac:dyDescent="0.25">
      <c r="A5161" s="8">
        <v>1.396875E-2</v>
      </c>
    </row>
    <row r="5162" spans="1:1" x14ac:dyDescent="0.25">
      <c r="A5162" s="8">
        <v>2.3359375000000002E-2</v>
      </c>
    </row>
    <row r="5163" spans="1:1" x14ac:dyDescent="0.25">
      <c r="A5163" s="8">
        <v>1.6843750000000001E-2</v>
      </c>
    </row>
    <row r="5164" spans="1:1" x14ac:dyDescent="0.25">
      <c r="A5164" s="8">
        <v>2.1718749999999998E-2</v>
      </c>
    </row>
    <row r="5165" spans="1:1" x14ac:dyDescent="0.25">
      <c r="A5165" s="8">
        <v>1.415625E-2</v>
      </c>
    </row>
    <row r="5166" spans="1:1" x14ac:dyDescent="0.25">
      <c r="A5166" s="8">
        <v>1.5953124999999999E-2</v>
      </c>
    </row>
    <row r="5167" spans="1:1" x14ac:dyDescent="0.25">
      <c r="A5167" s="8">
        <v>1.6921874999999999E-2</v>
      </c>
    </row>
    <row r="5168" spans="1:1" x14ac:dyDescent="0.25">
      <c r="A5168" s="8">
        <v>1.8937499999999999E-2</v>
      </c>
    </row>
    <row r="5169" spans="1:1" x14ac:dyDescent="0.25">
      <c r="A5169" s="8">
        <v>7.1621090000007822E-3</v>
      </c>
    </row>
    <row r="5170" spans="1:1" x14ac:dyDescent="0.25">
      <c r="A5170" s="8">
        <v>8.0156250000000002E-3</v>
      </c>
    </row>
    <row r="5171" spans="1:1" x14ac:dyDescent="0.25">
      <c r="A5171" s="8">
        <v>2.1384765000002515E-2</v>
      </c>
    </row>
    <row r="5172" spans="1:1" x14ac:dyDescent="0.25">
      <c r="A5172" s="8">
        <v>1.1964843000001566E-2</v>
      </c>
    </row>
    <row r="5173" spans="1:1" x14ac:dyDescent="0.25">
      <c r="A5173" s="8">
        <v>2.0234374999999999E-2</v>
      </c>
    </row>
    <row r="5174" spans="1:1" x14ac:dyDescent="0.25">
      <c r="A5174" s="8">
        <v>1.1023436999996193E-2</v>
      </c>
    </row>
    <row r="5175" spans="1:1" x14ac:dyDescent="0.25">
      <c r="A5175" s="8">
        <v>3.7039062999996535E-2</v>
      </c>
    </row>
    <row r="5176" spans="1:1" x14ac:dyDescent="0.25">
      <c r="A5176" s="8">
        <v>2.7121094000001903E-2</v>
      </c>
    </row>
    <row r="5177" spans="1:1" x14ac:dyDescent="0.25">
      <c r="A5177" s="8">
        <v>1.6460936999996192E-2</v>
      </c>
    </row>
    <row r="5178" spans="1:1" x14ac:dyDescent="0.25">
      <c r="A5178" s="8">
        <v>1.3929688000003807E-2</v>
      </c>
    </row>
    <row r="5179" spans="1:1" x14ac:dyDescent="0.25">
      <c r="A5179" s="8">
        <v>9.0273430000015649E-3</v>
      </c>
    </row>
    <row r="5180" spans="1:1" x14ac:dyDescent="0.25">
      <c r="A5180" s="8">
        <v>2.8125000000000001E-2</v>
      </c>
    </row>
    <row r="5181" spans="1:1" x14ac:dyDescent="0.25">
      <c r="A5181" s="8">
        <v>1.8656249999999999E-2</v>
      </c>
    </row>
    <row r="5182" spans="1:1" x14ac:dyDescent="0.25">
      <c r="A5182" s="8">
        <v>1.3070313000003808E-2</v>
      </c>
    </row>
    <row r="5183" spans="1:1" x14ac:dyDescent="0.25">
      <c r="A5183" s="8">
        <v>2.0945311999996191E-2</v>
      </c>
    </row>
    <row r="5184" spans="1:1" x14ac:dyDescent="0.25">
      <c r="A5184" s="8">
        <v>2.0039063000003809E-2</v>
      </c>
    </row>
    <row r="5185" spans="1:1" x14ac:dyDescent="0.25">
      <c r="A5185" s="8">
        <v>2.5843749999999999E-2</v>
      </c>
    </row>
    <row r="5186" spans="1:1" x14ac:dyDescent="0.25">
      <c r="A5186" s="8">
        <v>3.2734375000000003E-2</v>
      </c>
    </row>
    <row r="5187" spans="1:1" x14ac:dyDescent="0.25">
      <c r="A5187" s="8">
        <v>1.1445311999996193E-2</v>
      </c>
    </row>
    <row r="5188" spans="1:1" x14ac:dyDescent="0.25">
      <c r="A5188" s="8">
        <v>1.1210938000003808E-2</v>
      </c>
    </row>
    <row r="5189" spans="1:1" x14ac:dyDescent="0.25">
      <c r="A5189" s="8">
        <v>2.2867188000003806E-2</v>
      </c>
    </row>
    <row r="5190" spans="1:1" x14ac:dyDescent="0.25">
      <c r="A5190" s="8">
        <v>1.3765625E-2</v>
      </c>
    </row>
    <row r="5191" spans="1:1" x14ac:dyDescent="0.25">
      <c r="A5191" s="8">
        <v>1.9210936999996191E-2</v>
      </c>
    </row>
    <row r="5192" spans="1:1" x14ac:dyDescent="0.25">
      <c r="A5192" s="8">
        <v>1.5101563000003808E-2</v>
      </c>
    </row>
    <row r="5193" spans="1:1" x14ac:dyDescent="0.25">
      <c r="A5193" s="8">
        <v>1.2320311999996192E-2</v>
      </c>
    </row>
    <row r="5194" spans="1:1" x14ac:dyDescent="0.25">
      <c r="A5194" s="8">
        <v>7.1015619999961928E-3</v>
      </c>
    </row>
    <row r="5195" spans="1:1" x14ac:dyDescent="0.25">
      <c r="A5195" s="8">
        <v>2.7382813000003808E-2</v>
      </c>
    </row>
    <row r="5196" spans="1:1" x14ac:dyDescent="0.25">
      <c r="A5196" s="8">
        <v>2.1679688000003808E-2</v>
      </c>
    </row>
    <row r="5197" spans="1:1" x14ac:dyDescent="0.25">
      <c r="A5197" s="8">
        <v>1.2992188000003808E-2</v>
      </c>
    </row>
    <row r="5198" spans="1:1" x14ac:dyDescent="0.25">
      <c r="A5198" s="8">
        <v>9.2781249999999996E-2</v>
      </c>
    </row>
    <row r="5199" spans="1:1" x14ac:dyDescent="0.25">
      <c r="A5199" s="8">
        <v>7.8125E-3</v>
      </c>
    </row>
    <row r="5200" spans="1:1" x14ac:dyDescent="0.25">
      <c r="A5200" s="8">
        <v>1.7640625E-2</v>
      </c>
    </row>
    <row r="5201" spans="1:1" x14ac:dyDescent="0.25">
      <c r="A5201" s="8">
        <v>2.2820313000003808E-2</v>
      </c>
    </row>
    <row r="5202" spans="1:1" x14ac:dyDescent="0.25">
      <c r="A5202" s="8">
        <v>1.6914061999996191E-2</v>
      </c>
    </row>
    <row r="5203" spans="1:1" x14ac:dyDescent="0.25">
      <c r="A5203" s="8">
        <v>1.2085938000003807E-2</v>
      </c>
    </row>
    <row r="5204" spans="1:1" x14ac:dyDescent="0.25">
      <c r="A5204" s="8">
        <v>8.9062499999999992E-3</v>
      </c>
    </row>
    <row r="5205" spans="1:1" x14ac:dyDescent="0.25">
      <c r="A5205" s="8">
        <v>2.1031250000000001E-2</v>
      </c>
    </row>
    <row r="5206" spans="1:1" x14ac:dyDescent="0.25">
      <c r="A5206" s="8">
        <v>2.6640625000000001E-2</v>
      </c>
    </row>
    <row r="5207" spans="1:1" x14ac:dyDescent="0.25">
      <c r="A5207" s="8">
        <v>1.94375E-2</v>
      </c>
    </row>
    <row r="5208" spans="1:1" x14ac:dyDescent="0.25">
      <c r="A5208" s="8">
        <v>7.9218750000000001E-3</v>
      </c>
    </row>
    <row r="5209" spans="1:1" x14ac:dyDescent="0.25">
      <c r="A5209" s="8">
        <v>7.1875000000000003E-3</v>
      </c>
    </row>
    <row r="5210" spans="1:1" x14ac:dyDescent="0.25">
      <c r="A5210" s="8">
        <v>1.1226563000003808E-2</v>
      </c>
    </row>
    <row r="5211" spans="1:1" x14ac:dyDescent="0.25">
      <c r="A5211" s="8">
        <v>0.11599218699999619</v>
      </c>
    </row>
    <row r="5212" spans="1:1" x14ac:dyDescent="0.25">
      <c r="A5212" s="8">
        <v>1.3203125E-2</v>
      </c>
    </row>
    <row r="5213" spans="1:1" x14ac:dyDescent="0.25">
      <c r="A5213" s="8">
        <v>2.2632811999996193E-2</v>
      </c>
    </row>
    <row r="5214" spans="1:1" x14ac:dyDescent="0.25">
      <c r="A5214" s="8">
        <v>9.8046880000038066E-3</v>
      </c>
    </row>
    <row r="5215" spans="1:1" x14ac:dyDescent="0.25">
      <c r="A5215" s="8">
        <v>2.8570311999996191E-2</v>
      </c>
    </row>
    <row r="5216" spans="1:1" x14ac:dyDescent="0.25">
      <c r="A5216" s="8">
        <v>1.4250000000000001E-2</v>
      </c>
    </row>
    <row r="5217" spans="1:1" x14ac:dyDescent="0.25">
      <c r="A5217" s="8">
        <v>9.9765619999961936E-3</v>
      </c>
    </row>
    <row r="5218" spans="1:1" x14ac:dyDescent="0.25">
      <c r="A5218" s="8">
        <v>1.3007811999996193E-2</v>
      </c>
    </row>
    <row r="5219" spans="1:1" x14ac:dyDescent="0.25">
      <c r="A5219" s="8">
        <v>1.6132811999996194E-2</v>
      </c>
    </row>
    <row r="5220" spans="1:1" x14ac:dyDescent="0.25">
      <c r="A5220" s="8">
        <v>1.8671875000000001E-2</v>
      </c>
    </row>
    <row r="5221" spans="1:1" x14ac:dyDescent="0.25">
      <c r="A5221" s="8">
        <v>0.10613281300000381</v>
      </c>
    </row>
    <row r="5222" spans="1:1" x14ac:dyDescent="0.25">
      <c r="A5222" s="8">
        <v>1.334375E-2</v>
      </c>
    </row>
    <row r="5223" spans="1:1" x14ac:dyDescent="0.25">
      <c r="A5223" s="8">
        <v>1.0453125000000001E-2</v>
      </c>
    </row>
    <row r="5224" spans="1:1" x14ac:dyDescent="0.25">
      <c r="A5224" s="8">
        <v>2.4937500000000001E-2</v>
      </c>
    </row>
    <row r="5225" spans="1:1" x14ac:dyDescent="0.25">
      <c r="A5225" s="8">
        <v>2.4078124999999999E-2</v>
      </c>
    </row>
    <row r="5226" spans="1:1" x14ac:dyDescent="0.25">
      <c r="A5226" s="8">
        <v>7.5156249999999997E-3</v>
      </c>
    </row>
    <row r="5227" spans="1:1" x14ac:dyDescent="0.25">
      <c r="A5227" s="8">
        <v>1.6781250000000001E-2</v>
      </c>
    </row>
    <row r="5228" spans="1:1" x14ac:dyDescent="0.25">
      <c r="A5228" s="8">
        <v>4.9468749999999999E-2</v>
      </c>
    </row>
    <row r="5229" spans="1:1" x14ac:dyDescent="0.25">
      <c r="A5229" s="8">
        <v>1.5578125E-2</v>
      </c>
    </row>
    <row r="5230" spans="1:1" x14ac:dyDescent="0.25">
      <c r="A5230" s="8">
        <v>2.4875000000000001E-2</v>
      </c>
    </row>
    <row r="5231" spans="1:1" x14ac:dyDescent="0.25">
      <c r="A5231" s="8">
        <v>1.553125E-2</v>
      </c>
    </row>
    <row r="5232" spans="1:1" x14ac:dyDescent="0.25">
      <c r="A5232" s="8">
        <v>2.5375000000000002E-2</v>
      </c>
    </row>
    <row r="5233" spans="1:1" x14ac:dyDescent="0.25">
      <c r="A5233" s="8">
        <v>2.4093750000000001E-2</v>
      </c>
    </row>
    <row r="5234" spans="1:1" x14ac:dyDescent="0.25">
      <c r="A5234" s="8">
        <v>2.325E-2</v>
      </c>
    </row>
    <row r="5235" spans="1:1" x14ac:dyDescent="0.25">
      <c r="A5235" s="8">
        <v>1.1046874999999999E-2</v>
      </c>
    </row>
    <row r="5236" spans="1:1" x14ac:dyDescent="0.25">
      <c r="A5236" s="8">
        <v>1.7890625E-2</v>
      </c>
    </row>
    <row r="5237" spans="1:1" x14ac:dyDescent="0.25">
      <c r="A5237" s="8">
        <v>1.7656249999999998E-2</v>
      </c>
    </row>
    <row r="5238" spans="1:1" x14ac:dyDescent="0.25">
      <c r="A5238" s="8">
        <v>1.7609375E-2</v>
      </c>
    </row>
    <row r="5239" spans="1:1" x14ac:dyDescent="0.25">
      <c r="A5239" s="8">
        <v>3.4931640999999215E-2</v>
      </c>
    </row>
    <row r="5240" spans="1:1" x14ac:dyDescent="0.25">
      <c r="A5240" s="8">
        <v>7.7636720000009516E-3</v>
      </c>
    </row>
    <row r="5241" spans="1:1" x14ac:dyDescent="0.25">
      <c r="A5241" s="8">
        <v>7.828125E-3</v>
      </c>
    </row>
    <row r="5242" spans="1:1" x14ac:dyDescent="0.25">
      <c r="A5242" s="8">
        <v>1.4982421999997313E-2</v>
      </c>
    </row>
    <row r="5243" spans="1:1" x14ac:dyDescent="0.25">
      <c r="A5243" s="8">
        <v>1.6878906999998434E-2</v>
      </c>
    </row>
    <row r="5244" spans="1:1" x14ac:dyDescent="0.25">
      <c r="A5244" s="8">
        <v>1.7898437000003469E-2</v>
      </c>
    </row>
    <row r="5245" spans="1:1" x14ac:dyDescent="0.25">
      <c r="A5245" s="8">
        <v>1.9710936999996192E-2</v>
      </c>
    </row>
    <row r="5246" spans="1:1" x14ac:dyDescent="0.25">
      <c r="A5246" s="8">
        <v>2.0984375E-2</v>
      </c>
    </row>
    <row r="5247" spans="1:1" x14ac:dyDescent="0.25">
      <c r="A5247" s="8">
        <v>2.2996093999994627E-2</v>
      </c>
    </row>
    <row r="5248" spans="1:1" x14ac:dyDescent="0.25">
      <c r="A5248" s="8">
        <v>2.1406250000000002E-2</v>
      </c>
    </row>
    <row r="5249" spans="1:1" x14ac:dyDescent="0.25">
      <c r="A5249" s="8">
        <v>1.8906249999999999E-2</v>
      </c>
    </row>
    <row r="5250" spans="1:1" x14ac:dyDescent="0.25">
      <c r="A5250" s="8">
        <v>1.5453125E-2</v>
      </c>
    </row>
    <row r="5251" spans="1:1" x14ac:dyDescent="0.25">
      <c r="A5251" s="8">
        <v>2.5441405999998095E-2</v>
      </c>
    </row>
    <row r="5252" spans="1:1" x14ac:dyDescent="0.25">
      <c r="A5252" s="8">
        <v>1.1710937999996531E-2</v>
      </c>
    </row>
    <row r="5253" spans="1:1" x14ac:dyDescent="0.25">
      <c r="A5253" s="8">
        <v>2.5054687999996533E-2</v>
      </c>
    </row>
    <row r="5254" spans="1:1" x14ac:dyDescent="0.25">
      <c r="A5254" s="8">
        <v>1.1144530999998096E-2</v>
      </c>
    </row>
    <row r="5255" spans="1:1" x14ac:dyDescent="0.25">
      <c r="A5255" s="8">
        <v>2.4371094000001904E-2</v>
      </c>
    </row>
    <row r="5256" spans="1:1" x14ac:dyDescent="0.25">
      <c r="A5256" s="8">
        <v>1.6738280999998096E-2</v>
      </c>
    </row>
    <row r="5257" spans="1:1" x14ac:dyDescent="0.25">
      <c r="A5257" s="8">
        <v>1.1210937000003468E-2</v>
      </c>
    </row>
    <row r="5258" spans="1:1" x14ac:dyDescent="0.25">
      <c r="A5258" s="8">
        <v>1.6953124999999999E-2</v>
      </c>
    </row>
    <row r="5259" spans="1:1" x14ac:dyDescent="0.25">
      <c r="A5259" s="8">
        <v>1.9613280999998095E-2</v>
      </c>
    </row>
    <row r="5260" spans="1:1" x14ac:dyDescent="0.25">
      <c r="A5260" s="8">
        <v>1.3878905999998097E-2</v>
      </c>
    </row>
    <row r="5261" spans="1:1" x14ac:dyDescent="0.25">
      <c r="A5261" s="8">
        <v>1.0296875E-2</v>
      </c>
    </row>
    <row r="5262" spans="1:1" x14ac:dyDescent="0.25">
      <c r="A5262" s="8">
        <v>1.6210936999996192E-2</v>
      </c>
    </row>
    <row r="5263" spans="1:1" x14ac:dyDescent="0.25">
      <c r="A5263" s="8">
        <v>9.7890619999961934E-3</v>
      </c>
    </row>
    <row r="5264" spans="1:1" x14ac:dyDescent="0.25">
      <c r="A5264" s="8">
        <v>2.3117186999996191E-2</v>
      </c>
    </row>
    <row r="5265" spans="1:1" x14ac:dyDescent="0.25">
      <c r="A5265" s="8">
        <v>9.2499999999999995E-3</v>
      </c>
    </row>
    <row r="5266" spans="1:1" x14ac:dyDescent="0.25">
      <c r="A5266" s="8">
        <v>1.4250000000000001E-2</v>
      </c>
    </row>
    <row r="5267" spans="1:1" x14ac:dyDescent="0.25">
      <c r="A5267" s="8">
        <v>1.38125E-2</v>
      </c>
    </row>
    <row r="5268" spans="1:1" x14ac:dyDescent="0.25">
      <c r="A5268" s="8">
        <v>1.1421875E-2</v>
      </c>
    </row>
    <row r="5269" spans="1:1" x14ac:dyDescent="0.25">
      <c r="A5269" s="8">
        <v>1.8593749999999999E-2</v>
      </c>
    </row>
    <row r="5270" spans="1:1" x14ac:dyDescent="0.25">
      <c r="A5270" s="8">
        <v>1.1023438000003808E-2</v>
      </c>
    </row>
    <row r="5271" spans="1:1" x14ac:dyDescent="0.25">
      <c r="A5271" s="8">
        <v>2.0250000000000001E-2</v>
      </c>
    </row>
    <row r="5272" spans="1:1" x14ac:dyDescent="0.25">
      <c r="A5272" s="8">
        <v>1.7085936999996193E-2</v>
      </c>
    </row>
    <row r="5273" spans="1:1" x14ac:dyDescent="0.25">
      <c r="A5273" s="8">
        <v>1.5515625E-2</v>
      </c>
    </row>
    <row r="5274" spans="1:1" x14ac:dyDescent="0.25">
      <c r="A5274" s="8">
        <v>1.1101561999996193E-2</v>
      </c>
    </row>
    <row r="5275" spans="1:1" x14ac:dyDescent="0.25">
      <c r="A5275" s="8">
        <v>7.6640619999961924E-3</v>
      </c>
    </row>
    <row r="5276" spans="1:1" x14ac:dyDescent="0.25">
      <c r="A5276" s="8">
        <v>1.3234375E-2</v>
      </c>
    </row>
    <row r="5277" spans="1:1" x14ac:dyDescent="0.25">
      <c r="A5277" s="8">
        <v>3.1140625000000002E-2</v>
      </c>
    </row>
    <row r="5278" spans="1:1" x14ac:dyDescent="0.25">
      <c r="A5278" s="8">
        <v>1.1148436999996193E-2</v>
      </c>
    </row>
    <row r="5279" spans="1:1" x14ac:dyDescent="0.25">
      <c r="A5279" s="8">
        <v>1.9210936999996191E-2</v>
      </c>
    </row>
    <row r="5280" spans="1:1" x14ac:dyDescent="0.25">
      <c r="A5280" s="8">
        <v>9.8125E-3</v>
      </c>
    </row>
    <row r="5281" spans="1:1" x14ac:dyDescent="0.25">
      <c r="A5281" s="8">
        <v>7.9765619999961936E-3</v>
      </c>
    </row>
    <row r="5282" spans="1:1" x14ac:dyDescent="0.25">
      <c r="A5282" s="8">
        <v>5.9507811999996191E-2</v>
      </c>
    </row>
    <row r="5283" spans="1:1" x14ac:dyDescent="0.25">
      <c r="A5283" s="8">
        <v>1.5328125E-2</v>
      </c>
    </row>
    <row r="5284" spans="1:1" x14ac:dyDescent="0.25">
      <c r="A5284" s="8">
        <v>1.35E-2</v>
      </c>
    </row>
    <row r="5285" spans="1:1" x14ac:dyDescent="0.25">
      <c r="A5285" s="8">
        <v>1.153125E-2</v>
      </c>
    </row>
    <row r="5286" spans="1:1" x14ac:dyDescent="0.25">
      <c r="A5286" s="8">
        <v>1.7593749999999998E-2</v>
      </c>
    </row>
    <row r="5287" spans="1:1" x14ac:dyDescent="0.25">
      <c r="A5287" s="8">
        <v>1.4906249999999999E-2</v>
      </c>
    </row>
    <row r="5288" spans="1:1" x14ac:dyDescent="0.25">
      <c r="A5288" s="8">
        <v>1.5445311999996193E-2</v>
      </c>
    </row>
    <row r="5289" spans="1:1" x14ac:dyDescent="0.25">
      <c r="A5289" s="8">
        <v>1.2851561999996193E-2</v>
      </c>
    </row>
    <row r="5290" spans="1:1" x14ac:dyDescent="0.25">
      <c r="A5290" s="8">
        <v>9.5468749999999998E-3</v>
      </c>
    </row>
    <row r="5291" spans="1:1" x14ac:dyDescent="0.25">
      <c r="A5291" s="8">
        <v>1.415625E-2</v>
      </c>
    </row>
    <row r="5292" spans="1:1" x14ac:dyDescent="0.25">
      <c r="A5292" s="8">
        <v>2.5851563000003807E-2</v>
      </c>
    </row>
    <row r="5293" spans="1:1" x14ac:dyDescent="0.25">
      <c r="A5293" s="8">
        <v>2.2914061999996193E-2</v>
      </c>
    </row>
    <row r="5294" spans="1:1" x14ac:dyDescent="0.25">
      <c r="A5294" s="8">
        <v>1.4312500000000001E-2</v>
      </c>
    </row>
    <row r="5295" spans="1:1" x14ac:dyDescent="0.25">
      <c r="A5295" s="8">
        <v>7.78125E-3</v>
      </c>
    </row>
    <row r="5296" spans="1:1" x14ac:dyDescent="0.25">
      <c r="A5296" s="8">
        <v>3.109375E-2</v>
      </c>
    </row>
    <row r="5297" spans="1:1" x14ac:dyDescent="0.25">
      <c r="A5297" s="8">
        <v>2.375E-2</v>
      </c>
    </row>
    <row r="5298" spans="1:1" x14ac:dyDescent="0.25">
      <c r="A5298" s="8">
        <v>2.3367186999996192E-2</v>
      </c>
    </row>
    <row r="5299" spans="1:1" x14ac:dyDescent="0.25">
      <c r="A5299" s="8">
        <v>1.7749999999999998E-2</v>
      </c>
    </row>
    <row r="5300" spans="1:1" x14ac:dyDescent="0.25">
      <c r="A5300" s="8">
        <v>1.5421875E-2</v>
      </c>
    </row>
    <row r="5301" spans="1:1" x14ac:dyDescent="0.25">
      <c r="A5301" s="8">
        <v>1.5671874999999998E-2</v>
      </c>
    </row>
    <row r="5302" spans="1:1" x14ac:dyDescent="0.25">
      <c r="A5302" s="8">
        <v>1.140625E-2</v>
      </c>
    </row>
    <row r="5303" spans="1:1" x14ac:dyDescent="0.25">
      <c r="A5303" s="8">
        <v>1.509375E-2</v>
      </c>
    </row>
    <row r="5304" spans="1:1" x14ac:dyDescent="0.25">
      <c r="A5304" s="8">
        <v>1.6515624999999999E-2</v>
      </c>
    </row>
    <row r="5305" spans="1:1" x14ac:dyDescent="0.25">
      <c r="A5305" s="8">
        <v>1.4078125E-2</v>
      </c>
    </row>
    <row r="5306" spans="1:1" x14ac:dyDescent="0.25">
      <c r="A5306" s="8">
        <v>1.8234375000000001E-2</v>
      </c>
    </row>
    <row r="5307" spans="1:1" x14ac:dyDescent="0.25">
      <c r="A5307" s="8">
        <v>1.7046875E-2</v>
      </c>
    </row>
    <row r="5308" spans="1:1" x14ac:dyDescent="0.25">
      <c r="A5308" s="8">
        <v>2.0531250000000001E-2</v>
      </c>
    </row>
    <row r="5309" spans="1:1" x14ac:dyDescent="0.25">
      <c r="A5309" s="8">
        <v>1.1062499999999999E-2</v>
      </c>
    </row>
    <row r="5310" spans="1:1" x14ac:dyDescent="0.25">
      <c r="A5310" s="8">
        <v>1.4406250000000001E-2</v>
      </c>
    </row>
    <row r="5311" spans="1:1" x14ac:dyDescent="0.25">
      <c r="A5311" s="8">
        <v>2.2328125000000001E-2</v>
      </c>
    </row>
    <row r="5312" spans="1:1" x14ac:dyDescent="0.25">
      <c r="A5312" s="8">
        <v>1.6812500000000001E-2</v>
      </c>
    </row>
    <row r="5313" spans="1:1" x14ac:dyDescent="0.25">
      <c r="A5313" s="8">
        <v>1.2749999999999999E-2</v>
      </c>
    </row>
    <row r="5314" spans="1:1" x14ac:dyDescent="0.25">
      <c r="A5314" s="8">
        <v>1.7234375E-2</v>
      </c>
    </row>
    <row r="5315" spans="1:1" x14ac:dyDescent="0.25">
      <c r="A5315" s="8">
        <v>2.0312500000000001E-2</v>
      </c>
    </row>
    <row r="5316" spans="1:1" x14ac:dyDescent="0.25">
      <c r="A5316" s="8">
        <v>1.571875E-2</v>
      </c>
    </row>
    <row r="5317" spans="1:1" x14ac:dyDescent="0.25">
      <c r="A5317" s="8">
        <v>1.4109375E-2</v>
      </c>
    </row>
    <row r="5318" spans="1:1" x14ac:dyDescent="0.25">
      <c r="A5318" s="8">
        <v>1.1140624999999999E-2</v>
      </c>
    </row>
    <row r="5319" spans="1:1" x14ac:dyDescent="0.25">
      <c r="A5319" s="8">
        <v>1.0874999999999999E-2</v>
      </c>
    </row>
    <row r="5320" spans="1:1" x14ac:dyDescent="0.25">
      <c r="A5320" s="8">
        <v>1.1353515999999217E-2</v>
      </c>
    </row>
    <row r="5321" spans="1:1" x14ac:dyDescent="0.25">
      <c r="A5321" s="8">
        <v>7.6894539999993869E-3</v>
      </c>
    </row>
    <row r="5322" spans="1:1" x14ac:dyDescent="0.25">
      <c r="A5322" s="8">
        <v>3.8080077999999046E-2</v>
      </c>
    </row>
    <row r="5323" spans="1:1" x14ac:dyDescent="0.25">
      <c r="A5323" s="8">
        <v>7.8300780000026861E-3</v>
      </c>
    </row>
    <row r="5324" spans="1:1" x14ac:dyDescent="0.25">
      <c r="A5324" s="8">
        <v>1.2253906999998435E-2</v>
      </c>
    </row>
    <row r="5325" spans="1:1" x14ac:dyDescent="0.25">
      <c r="A5325" s="8">
        <v>1.2671875000000001E-2</v>
      </c>
    </row>
    <row r="5326" spans="1:1" x14ac:dyDescent="0.25">
      <c r="A5326" s="8">
        <v>9.1874999999999995E-3</v>
      </c>
    </row>
    <row r="5327" spans="1:1" x14ac:dyDescent="0.25">
      <c r="A5327" s="8">
        <v>1.2175780999998097E-2</v>
      </c>
    </row>
    <row r="5328" spans="1:1" x14ac:dyDescent="0.25">
      <c r="A5328" s="8">
        <v>1.9722656999998436E-2</v>
      </c>
    </row>
    <row r="5329" spans="1:1" x14ac:dyDescent="0.25">
      <c r="A5329" s="8">
        <v>1.2980468999994627E-2</v>
      </c>
    </row>
    <row r="5330" spans="1:1" x14ac:dyDescent="0.25">
      <c r="A5330" s="8">
        <v>2.3328125000000002E-2</v>
      </c>
    </row>
    <row r="5331" spans="1:1" x14ac:dyDescent="0.25">
      <c r="A5331" s="8">
        <v>9.0820309999980961E-3</v>
      </c>
    </row>
    <row r="5332" spans="1:1" x14ac:dyDescent="0.25">
      <c r="A5332" s="8">
        <v>2.7695311999996194E-2</v>
      </c>
    </row>
    <row r="5333" spans="1:1" x14ac:dyDescent="0.25">
      <c r="A5333" s="8">
        <v>1.8011718999994628E-2</v>
      </c>
    </row>
    <row r="5334" spans="1:1" x14ac:dyDescent="0.25">
      <c r="A5334" s="8">
        <v>3.3789062999996532E-2</v>
      </c>
    </row>
    <row r="5335" spans="1:1" x14ac:dyDescent="0.25">
      <c r="A5335" s="8">
        <v>1.5070311999996193E-2</v>
      </c>
    </row>
    <row r="5336" spans="1:1" x14ac:dyDescent="0.25">
      <c r="A5336" s="8">
        <v>2.8175781999998435E-2</v>
      </c>
    </row>
    <row r="5337" spans="1:1" x14ac:dyDescent="0.25">
      <c r="A5337" s="8">
        <v>1.1613280999998097E-2</v>
      </c>
    </row>
    <row r="5338" spans="1:1" x14ac:dyDescent="0.25">
      <c r="A5338" s="8">
        <v>7.6406249999999998E-3</v>
      </c>
    </row>
    <row r="5339" spans="1:1" x14ac:dyDescent="0.25">
      <c r="A5339" s="8">
        <v>9.0039069999984355E-3</v>
      </c>
    </row>
    <row r="5340" spans="1:1" x14ac:dyDescent="0.25">
      <c r="A5340" s="8">
        <v>4.3968750000000001E-2</v>
      </c>
    </row>
    <row r="5341" spans="1:1" x14ac:dyDescent="0.25">
      <c r="A5341" s="8">
        <v>1.7187500000000001E-2</v>
      </c>
    </row>
    <row r="5342" spans="1:1" x14ac:dyDescent="0.25">
      <c r="A5342" s="8">
        <v>7.9687500000000001E-3</v>
      </c>
    </row>
    <row r="5343" spans="1:1" x14ac:dyDescent="0.25">
      <c r="A5343" s="8">
        <v>3.0054688000003806E-2</v>
      </c>
    </row>
    <row r="5344" spans="1:1" x14ac:dyDescent="0.25">
      <c r="A5344" s="8">
        <v>2.6374999999999999E-2</v>
      </c>
    </row>
    <row r="5345" spans="1:1" x14ac:dyDescent="0.25">
      <c r="A5345" s="8">
        <v>7.6484380000038073E-3</v>
      </c>
    </row>
    <row r="5346" spans="1:1" x14ac:dyDescent="0.25">
      <c r="A5346" s="8">
        <v>2.4968750000000001E-2</v>
      </c>
    </row>
    <row r="5347" spans="1:1" x14ac:dyDescent="0.25">
      <c r="A5347" s="8">
        <v>1.1421875E-2</v>
      </c>
    </row>
    <row r="5348" spans="1:1" x14ac:dyDescent="0.25">
      <c r="A5348" s="8">
        <v>2.0859374999999999E-2</v>
      </c>
    </row>
    <row r="5349" spans="1:1" x14ac:dyDescent="0.25">
      <c r="A5349" s="8">
        <v>2.0148438000003807E-2</v>
      </c>
    </row>
    <row r="5350" spans="1:1" x14ac:dyDescent="0.25">
      <c r="A5350" s="8">
        <v>1.3492186999996193E-2</v>
      </c>
    </row>
    <row r="5351" spans="1:1" x14ac:dyDescent="0.25">
      <c r="A5351" s="8">
        <v>1.9320313000003808E-2</v>
      </c>
    </row>
    <row r="5352" spans="1:1" x14ac:dyDescent="0.25">
      <c r="A5352" s="8">
        <v>1.0851561999996193E-2</v>
      </c>
    </row>
    <row r="5353" spans="1:1" x14ac:dyDescent="0.25">
      <c r="A5353" s="8">
        <v>2.2656249999999999E-2</v>
      </c>
    </row>
    <row r="5354" spans="1:1" x14ac:dyDescent="0.25">
      <c r="A5354" s="8">
        <v>1.8953125000000001E-2</v>
      </c>
    </row>
    <row r="5355" spans="1:1" x14ac:dyDescent="0.25">
      <c r="A5355" s="8">
        <v>4.6101561999996196E-2</v>
      </c>
    </row>
    <row r="5356" spans="1:1" x14ac:dyDescent="0.25">
      <c r="A5356" s="8">
        <v>9.6484369999961933E-3</v>
      </c>
    </row>
    <row r="5357" spans="1:1" x14ac:dyDescent="0.25">
      <c r="A5357" s="8">
        <v>2.1328125E-2</v>
      </c>
    </row>
    <row r="5358" spans="1:1" x14ac:dyDescent="0.25">
      <c r="A5358" s="8">
        <v>1.3664061999996193E-2</v>
      </c>
    </row>
    <row r="5359" spans="1:1" x14ac:dyDescent="0.25">
      <c r="A5359" s="8">
        <v>1.565625E-2</v>
      </c>
    </row>
    <row r="5360" spans="1:1" x14ac:dyDescent="0.25">
      <c r="A5360" s="8">
        <v>1.6484374999999999E-2</v>
      </c>
    </row>
    <row r="5361" spans="1:1" x14ac:dyDescent="0.25">
      <c r="A5361" s="8">
        <v>2.3414061999996193E-2</v>
      </c>
    </row>
    <row r="5362" spans="1:1" x14ac:dyDescent="0.25">
      <c r="A5362" s="8">
        <v>2.0531250000000001E-2</v>
      </c>
    </row>
    <row r="5363" spans="1:1" x14ac:dyDescent="0.25">
      <c r="A5363" s="8">
        <v>1.3945313000003807E-2</v>
      </c>
    </row>
    <row r="5364" spans="1:1" x14ac:dyDescent="0.25">
      <c r="A5364" s="8">
        <v>1.7757811999996192E-2</v>
      </c>
    </row>
    <row r="5365" spans="1:1" x14ac:dyDescent="0.25">
      <c r="A5365" s="8">
        <v>3.3195311999996195E-2</v>
      </c>
    </row>
    <row r="5366" spans="1:1" x14ac:dyDescent="0.25">
      <c r="A5366" s="8">
        <v>1.8726561999996193E-2</v>
      </c>
    </row>
    <row r="5367" spans="1:1" x14ac:dyDescent="0.25">
      <c r="A5367" s="8">
        <v>1.8179686999996194E-2</v>
      </c>
    </row>
    <row r="5368" spans="1:1" x14ac:dyDescent="0.25">
      <c r="A5368" s="8">
        <v>2.328125E-2</v>
      </c>
    </row>
    <row r="5369" spans="1:1" x14ac:dyDescent="0.25">
      <c r="A5369" s="8">
        <v>7.8750000000000001E-3</v>
      </c>
    </row>
    <row r="5370" spans="1:1" x14ac:dyDescent="0.25">
      <c r="A5370" s="8">
        <v>1.0203125E-2</v>
      </c>
    </row>
    <row r="5371" spans="1:1" x14ac:dyDescent="0.25">
      <c r="A5371" s="8">
        <v>1.325E-2</v>
      </c>
    </row>
    <row r="5372" spans="1:1" x14ac:dyDescent="0.25">
      <c r="A5372" s="8">
        <v>1.8906249999999999E-2</v>
      </c>
    </row>
    <row r="5373" spans="1:1" x14ac:dyDescent="0.25">
      <c r="A5373" s="8">
        <v>2.4359374999999999E-2</v>
      </c>
    </row>
    <row r="5374" spans="1:1" x14ac:dyDescent="0.25">
      <c r="A5374" s="8">
        <v>1.4250000000000001E-2</v>
      </c>
    </row>
    <row r="5375" spans="1:1" x14ac:dyDescent="0.25">
      <c r="A5375" s="8">
        <v>2.4421874999999999E-2</v>
      </c>
    </row>
    <row r="5376" spans="1:1" x14ac:dyDescent="0.25">
      <c r="A5376" s="8">
        <v>1.0390625000000001E-2</v>
      </c>
    </row>
    <row r="5377" spans="1:1" x14ac:dyDescent="0.25">
      <c r="A5377" s="8">
        <v>1.3062499999999999E-2</v>
      </c>
    </row>
    <row r="5378" spans="1:1" x14ac:dyDescent="0.25">
      <c r="A5378" s="8">
        <v>1.4531250000000001E-2</v>
      </c>
    </row>
    <row r="5379" spans="1:1" x14ac:dyDescent="0.25">
      <c r="A5379" s="8">
        <v>1.1031249999999999E-2</v>
      </c>
    </row>
    <row r="5380" spans="1:1" x14ac:dyDescent="0.25">
      <c r="A5380" s="8">
        <v>1.9671874999999998E-2</v>
      </c>
    </row>
    <row r="5381" spans="1:1" x14ac:dyDescent="0.25">
      <c r="A5381" s="8">
        <v>7.5624999999999998E-3</v>
      </c>
    </row>
    <row r="5382" spans="1:1" x14ac:dyDescent="0.25">
      <c r="A5382" s="8">
        <v>9.1562499999999995E-3</v>
      </c>
    </row>
    <row r="5383" spans="1:1" x14ac:dyDescent="0.25">
      <c r="A5383" s="8">
        <v>1.7031250000000001E-2</v>
      </c>
    </row>
    <row r="5384" spans="1:1" x14ac:dyDescent="0.25">
      <c r="A5384" s="8">
        <v>2.2093749999999999E-2</v>
      </c>
    </row>
    <row r="5385" spans="1:1" x14ac:dyDescent="0.25">
      <c r="A5385" s="8">
        <v>2.2281249999999999E-2</v>
      </c>
    </row>
    <row r="5386" spans="1:1" x14ac:dyDescent="0.25">
      <c r="A5386" s="8">
        <v>7.84375E-3</v>
      </c>
    </row>
    <row r="5387" spans="1:1" x14ac:dyDescent="0.25">
      <c r="A5387" s="8">
        <v>1.0999999999999999E-2</v>
      </c>
    </row>
    <row r="5388" spans="1:1" x14ac:dyDescent="0.25">
      <c r="A5388" s="8">
        <v>2.2687499999999999E-2</v>
      </c>
    </row>
    <row r="5389" spans="1:1" x14ac:dyDescent="0.25">
      <c r="A5389" s="8">
        <v>5.9937499999999998E-2</v>
      </c>
    </row>
    <row r="5390" spans="1:1" x14ac:dyDescent="0.25">
      <c r="A5390" s="8">
        <v>2.5375000000000002E-2</v>
      </c>
    </row>
    <row r="5391" spans="1:1" x14ac:dyDescent="0.25">
      <c r="A5391" s="8">
        <v>1.7765625E-2</v>
      </c>
    </row>
    <row r="5392" spans="1:1" x14ac:dyDescent="0.25">
      <c r="A5392" s="8">
        <v>1.4796874999999999E-2</v>
      </c>
    </row>
    <row r="5393" spans="1:1" x14ac:dyDescent="0.25">
      <c r="A5393" s="8">
        <v>2.1156250000000001E-2</v>
      </c>
    </row>
    <row r="5394" spans="1:1" x14ac:dyDescent="0.25">
      <c r="A5394" s="8">
        <v>1.7312500000000001E-2</v>
      </c>
    </row>
    <row r="5395" spans="1:1" x14ac:dyDescent="0.25">
      <c r="A5395" s="8">
        <v>1.4843749999999999E-2</v>
      </c>
    </row>
    <row r="5396" spans="1:1" x14ac:dyDescent="0.25">
      <c r="A5396" s="8">
        <v>2.4875000000000001E-2</v>
      </c>
    </row>
    <row r="5397" spans="1:1" x14ac:dyDescent="0.25">
      <c r="A5397" s="8">
        <v>1.6921874999999999E-2</v>
      </c>
    </row>
    <row r="5398" spans="1:1" x14ac:dyDescent="0.25">
      <c r="A5398" s="8">
        <v>1.4843749999999999E-2</v>
      </c>
    </row>
    <row r="5399" spans="1:1" x14ac:dyDescent="0.25">
      <c r="A5399" s="8">
        <v>2.1468750000000002E-2</v>
      </c>
    </row>
    <row r="5400" spans="1:1" x14ac:dyDescent="0.25">
      <c r="A5400" s="8">
        <v>2.8421874999999999E-2</v>
      </c>
    </row>
    <row r="5401" spans="1:1" x14ac:dyDescent="0.25">
      <c r="A5401" s="8">
        <v>1.8587890999999218E-2</v>
      </c>
    </row>
    <row r="5402" spans="1:1" x14ac:dyDescent="0.25">
      <c r="A5402" s="8">
        <v>1.9271485000001122E-2</v>
      </c>
    </row>
    <row r="5403" spans="1:1" x14ac:dyDescent="0.25">
      <c r="A5403" s="8">
        <v>1.9632811999999829E-2</v>
      </c>
    </row>
    <row r="5404" spans="1:1" x14ac:dyDescent="0.25">
      <c r="A5404" s="8">
        <v>7.7441409999992172E-3</v>
      </c>
    </row>
    <row r="5405" spans="1:1" x14ac:dyDescent="0.25">
      <c r="A5405" s="8">
        <v>1.7210938000000169E-2</v>
      </c>
    </row>
    <row r="5406" spans="1:1" x14ac:dyDescent="0.25">
      <c r="A5406" s="8">
        <v>2.6605468999994629E-2</v>
      </c>
    </row>
    <row r="5407" spans="1:1" x14ac:dyDescent="0.25">
      <c r="A5407" s="8">
        <v>1.9132811999996193E-2</v>
      </c>
    </row>
    <row r="5408" spans="1:1" x14ac:dyDescent="0.25">
      <c r="A5408" s="8">
        <v>1.7984375E-2</v>
      </c>
    </row>
    <row r="5409" spans="1:1" x14ac:dyDescent="0.25">
      <c r="A5409" s="8">
        <v>2.5125000000000001E-2</v>
      </c>
    </row>
    <row r="5410" spans="1:1" x14ac:dyDescent="0.25">
      <c r="A5410" s="8">
        <v>1.3832031999998435E-2</v>
      </c>
    </row>
    <row r="5411" spans="1:1" x14ac:dyDescent="0.25">
      <c r="A5411" s="8">
        <v>1.7835936999996194E-2</v>
      </c>
    </row>
    <row r="5412" spans="1:1" x14ac:dyDescent="0.25">
      <c r="A5412" s="8">
        <v>1.4343750000000001E-2</v>
      </c>
    </row>
    <row r="5413" spans="1:1" x14ac:dyDescent="0.25">
      <c r="A5413" s="8">
        <v>2.0347656000005373E-2</v>
      </c>
    </row>
    <row r="5414" spans="1:1" x14ac:dyDescent="0.25">
      <c r="A5414" s="8">
        <v>1.1347656000005372E-2</v>
      </c>
    </row>
    <row r="5415" spans="1:1" x14ac:dyDescent="0.25">
      <c r="A5415" s="8">
        <v>7.8828119999961935E-3</v>
      </c>
    </row>
    <row r="5416" spans="1:1" x14ac:dyDescent="0.25">
      <c r="A5416" s="8">
        <v>1.203125E-2</v>
      </c>
    </row>
    <row r="5417" spans="1:1" x14ac:dyDescent="0.25">
      <c r="A5417" s="8">
        <v>1.5539063000003807E-2</v>
      </c>
    </row>
    <row r="5418" spans="1:1" x14ac:dyDescent="0.25">
      <c r="A5418" s="8">
        <v>1.7382811999996192E-2</v>
      </c>
    </row>
    <row r="5419" spans="1:1" x14ac:dyDescent="0.25">
      <c r="A5419" s="8">
        <v>2.6562499999999999E-2</v>
      </c>
    </row>
    <row r="5420" spans="1:1" x14ac:dyDescent="0.25">
      <c r="A5420" s="8">
        <v>2.003125E-2</v>
      </c>
    </row>
    <row r="5421" spans="1:1" x14ac:dyDescent="0.25">
      <c r="A5421" s="8">
        <v>1.5140625E-2</v>
      </c>
    </row>
    <row r="5422" spans="1:1" x14ac:dyDescent="0.25">
      <c r="A5422" s="8">
        <v>7.6093749999999998E-3</v>
      </c>
    </row>
    <row r="5423" spans="1:1" x14ac:dyDescent="0.25">
      <c r="A5423" s="8">
        <v>2.6343749999999999E-2</v>
      </c>
    </row>
    <row r="5424" spans="1:1" x14ac:dyDescent="0.25">
      <c r="A5424" s="8">
        <v>2.5046875E-2</v>
      </c>
    </row>
    <row r="5425" spans="1:1" x14ac:dyDescent="0.25">
      <c r="A5425" s="8">
        <v>2.3296875000000002E-2</v>
      </c>
    </row>
    <row r="5426" spans="1:1" x14ac:dyDescent="0.25">
      <c r="A5426" s="8">
        <v>1.1726563000003807E-2</v>
      </c>
    </row>
    <row r="5427" spans="1:1" x14ac:dyDescent="0.25">
      <c r="A5427" s="8">
        <v>1.7164061999996191E-2</v>
      </c>
    </row>
    <row r="5428" spans="1:1" x14ac:dyDescent="0.25">
      <c r="A5428" s="8">
        <v>2.0945311999996191E-2</v>
      </c>
    </row>
    <row r="5429" spans="1:1" x14ac:dyDescent="0.25">
      <c r="A5429" s="8">
        <v>1.1609375E-2</v>
      </c>
    </row>
    <row r="5430" spans="1:1" x14ac:dyDescent="0.25">
      <c r="A5430" s="8">
        <v>8.3984380000038071E-3</v>
      </c>
    </row>
    <row r="5431" spans="1:1" x14ac:dyDescent="0.25">
      <c r="A5431" s="8">
        <v>1.184375E-2</v>
      </c>
    </row>
    <row r="5432" spans="1:1" x14ac:dyDescent="0.25">
      <c r="A5432" s="8">
        <v>1.7390625E-2</v>
      </c>
    </row>
    <row r="5433" spans="1:1" x14ac:dyDescent="0.25">
      <c r="A5433" s="8">
        <v>1.1632811999996193E-2</v>
      </c>
    </row>
    <row r="5434" spans="1:1" x14ac:dyDescent="0.25">
      <c r="A5434" s="8">
        <v>1.0023438000003807E-2</v>
      </c>
    </row>
    <row r="5435" spans="1:1" x14ac:dyDescent="0.25">
      <c r="A5435" s="8">
        <v>1.7335938000003808E-2</v>
      </c>
    </row>
    <row r="5436" spans="1:1" x14ac:dyDescent="0.25">
      <c r="A5436" s="8">
        <v>1.9078125000000001E-2</v>
      </c>
    </row>
    <row r="5437" spans="1:1" x14ac:dyDescent="0.25">
      <c r="A5437" s="8">
        <v>1.0703125000000001E-2</v>
      </c>
    </row>
    <row r="5438" spans="1:1" x14ac:dyDescent="0.25">
      <c r="A5438" s="8">
        <v>2.0234374999999999E-2</v>
      </c>
    </row>
    <row r="5439" spans="1:1" x14ac:dyDescent="0.25">
      <c r="A5439" s="8">
        <v>2.0679686999996193E-2</v>
      </c>
    </row>
    <row r="5440" spans="1:1" x14ac:dyDescent="0.25">
      <c r="A5440" s="8">
        <v>1.4054686999996192E-2</v>
      </c>
    </row>
    <row r="5441" spans="1:1" x14ac:dyDescent="0.25">
      <c r="A5441" s="8">
        <v>1.7140625E-2</v>
      </c>
    </row>
    <row r="5442" spans="1:1" x14ac:dyDescent="0.25">
      <c r="A5442" s="8">
        <v>1.2265625E-2</v>
      </c>
    </row>
    <row r="5443" spans="1:1" x14ac:dyDescent="0.25">
      <c r="A5443" s="8">
        <v>2.678125E-2</v>
      </c>
    </row>
    <row r="5444" spans="1:1" x14ac:dyDescent="0.25">
      <c r="A5444" s="8">
        <v>1.7539061999996192E-2</v>
      </c>
    </row>
    <row r="5445" spans="1:1" x14ac:dyDescent="0.25">
      <c r="A5445" s="8">
        <v>2.2101561999996192E-2</v>
      </c>
    </row>
    <row r="5446" spans="1:1" x14ac:dyDescent="0.25">
      <c r="A5446" s="8">
        <v>1.7164061999996191E-2</v>
      </c>
    </row>
    <row r="5447" spans="1:1" x14ac:dyDescent="0.25">
      <c r="A5447" s="8">
        <v>2.6148436999996194E-2</v>
      </c>
    </row>
    <row r="5448" spans="1:1" x14ac:dyDescent="0.25">
      <c r="A5448" s="8">
        <v>9.289061999996193E-3</v>
      </c>
    </row>
    <row r="5449" spans="1:1" x14ac:dyDescent="0.25">
      <c r="A5449" s="8">
        <v>2.1125000000000001E-2</v>
      </c>
    </row>
    <row r="5450" spans="1:1" x14ac:dyDescent="0.25">
      <c r="A5450" s="8">
        <v>2.1312500000000002E-2</v>
      </c>
    </row>
    <row r="5451" spans="1:1" x14ac:dyDescent="0.25">
      <c r="A5451" s="8">
        <v>2.4187500000000001E-2</v>
      </c>
    </row>
    <row r="5452" spans="1:1" x14ac:dyDescent="0.25">
      <c r="A5452" s="8">
        <v>2.1062500000000001E-2</v>
      </c>
    </row>
    <row r="5453" spans="1:1" x14ac:dyDescent="0.25">
      <c r="A5453" s="8">
        <v>2.1140625E-2</v>
      </c>
    </row>
    <row r="5454" spans="1:1" x14ac:dyDescent="0.25">
      <c r="A5454" s="8">
        <v>1.8390625000000001E-2</v>
      </c>
    </row>
    <row r="5455" spans="1:1" x14ac:dyDescent="0.25">
      <c r="A5455" s="8">
        <v>1.2671875000000001E-2</v>
      </c>
    </row>
    <row r="5456" spans="1:1" x14ac:dyDescent="0.25">
      <c r="A5456" s="8">
        <v>2.1828125E-2</v>
      </c>
    </row>
    <row r="5457" spans="1:1" x14ac:dyDescent="0.25">
      <c r="A5457" s="8">
        <v>2.009375E-2</v>
      </c>
    </row>
    <row r="5458" spans="1:1" x14ac:dyDescent="0.25">
      <c r="A5458" s="8">
        <v>1.5671874999999998E-2</v>
      </c>
    </row>
    <row r="5459" spans="1:1" x14ac:dyDescent="0.25">
      <c r="A5459" s="8">
        <v>1.6703124999999999E-2</v>
      </c>
    </row>
    <row r="5460" spans="1:1" x14ac:dyDescent="0.25">
      <c r="A5460" s="8">
        <v>1.403125E-2</v>
      </c>
    </row>
    <row r="5461" spans="1:1" x14ac:dyDescent="0.25">
      <c r="A5461" s="8">
        <v>2.1859375E-2</v>
      </c>
    </row>
    <row r="5462" spans="1:1" x14ac:dyDescent="0.25">
      <c r="A5462" s="8">
        <v>2.4296874999999999E-2</v>
      </c>
    </row>
    <row r="5463" spans="1:1" x14ac:dyDescent="0.25">
      <c r="A5463" s="8">
        <v>1.5328125E-2</v>
      </c>
    </row>
    <row r="5464" spans="1:1" x14ac:dyDescent="0.25">
      <c r="A5464" s="8">
        <v>1.9587890999999219E-2</v>
      </c>
    </row>
    <row r="5465" spans="1:1" x14ac:dyDescent="0.25">
      <c r="A5465" s="8">
        <v>1.4162109000000783E-2</v>
      </c>
    </row>
    <row r="5466" spans="1:1" x14ac:dyDescent="0.25">
      <c r="A5466" s="8">
        <v>1.728320299999905E-2</v>
      </c>
    </row>
    <row r="5467" spans="1:1" x14ac:dyDescent="0.25">
      <c r="A5467" s="8">
        <v>1.6875000000000001E-2</v>
      </c>
    </row>
    <row r="5468" spans="1:1" x14ac:dyDescent="0.25">
      <c r="A5468" s="8">
        <v>2.7839843000001564E-2</v>
      </c>
    </row>
    <row r="5469" spans="1:1" x14ac:dyDescent="0.25">
      <c r="A5469" s="8">
        <v>1.9511718000001566E-2</v>
      </c>
    </row>
    <row r="5470" spans="1:1" x14ac:dyDescent="0.25">
      <c r="A5470" s="8">
        <v>2.1878906999998435E-2</v>
      </c>
    </row>
    <row r="5471" spans="1:1" x14ac:dyDescent="0.25">
      <c r="A5471" s="8">
        <v>1.6574219000001902E-2</v>
      </c>
    </row>
    <row r="5472" spans="1:1" x14ac:dyDescent="0.25">
      <c r="A5472" s="8">
        <v>7.2421869999961929E-3</v>
      </c>
    </row>
    <row r="5473" spans="1:1" x14ac:dyDescent="0.25">
      <c r="A5473" s="8">
        <v>1.4507812999996532E-2</v>
      </c>
    </row>
    <row r="5474" spans="1:1" x14ac:dyDescent="0.25">
      <c r="A5474" s="8">
        <v>1.289843799999653E-2</v>
      </c>
    </row>
    <row r="5475" spans="1:1" x14ac:dyDescent="0.25">
      <c r="A5475" s="8">
        <v>2.7605468000001566E-2</v>
      </c>
    </row>
    <row r="5476" spans="1:1" x14ac:dyDescent="0.25">
      <c r="A5476" s="8">
        <v>2.0253906999998433E-2</v>
      </c>
    </row>
    <row r="5477" spans="1:1" x14ac:dyDescent="0.25">
      <c r="A5477" s="8">
        <v>1.1027344000001904E-2</v>
      </c>
    </row>
    <row r="5478" spans="1:1" x14ac:dyDescent="0.25">
      <c r="A5478" s="8">
        <v>2.0933594000001905E-2</v>
      </c>
    </row>
    <row r="5479" spans="1:1" x14ac:dyDescent="0.25">
      <c r="A5479" s="8">
        <v>1.7265625E-2</v>
      </c>
    </row>
    <row r="5480" spans="1:1" x14ac:dyDescent="0.25">
      <c r="A5480" s="8">
        <v>1.3332031000005372E-2</v>
      </c>
    </row>
    <row r="5481" spans="1:1" x14ac:dyDescent="0.25">
      <c r="A5481" s="8">
        <v>8.5625000000000007E-3</v>
      </c>
    </row>
    <row r="5482" spans="1:1" x14ac:dyDescent="0.25">
      <c r="A5482" s="8">
        <v>1.8671875000000001E-2</v>
      </c>
    </row>
    <row r="5483" spans="1:1" x14ac:dyDescent="0.25">
      <c r="A5483" s="8">
        <v>7.3007810000053725E-3</v>
      </c>
    </row>
    <row r="5484" spans="1:1" x14ac:dyDescent="0.25">
      <c r="A5484" s="8">
        <v>1.6691406000005373E-2</v>
      </c>
    </row>
    <row r="5485" spans="1:1" x14ac:dyDescent="0.25">
      <c r="A5485" s="8">
        <v>2.7441405999998097E-2</v>
      </c>
    </row>
    <row r="5486" spans="1:1" x14ac:dyDescent="0.25">
      <c r="A5486" s="8">
        <v>1.2316405999998097E-2</v>
      </c>
    </row>
    <row r="5487" spans="1:1" x14ac:dyDescent="0.25">
      <c r="A5487" s="8">
        <v>1.7250000000000001E-2</v>
      </c>
    </row>
    <row r="5488" spans="1:1" x14ac:dyDescent="0.25">
      <c r="A5488" s="8">
        <v>1.9046875000000001E-2</v>
      </c>
    </row>
    <row r="5489" spans="1:1" x14ac:dyDescent="0.25">
      <c r="A5489" s="8">
        <v>2.0484374999999999E-2</v>
      </c>
    </row>
    <row r="5490" spans="1:1" x14ac:dyDescent="0.25">
      <c r="A5490" s="8">
        <v>2.5468749999999998E-2</v>
      </c>
    </row>
    <row r="5491" spans="1:1" x14ac:dyDescent="0.25">
      <c r="A5491" s="8">
        <v>2.5304688000003808E-2</v>
      </c>
    </row>
    <row r="5492" spans="1:1" x14ac:dyDescent="0.25">
      <c r="A5492" s="8">
        <v>7.0781250000000002E-3</v>
      </c>
    </row>
    <row r="5493" spans="1:1" x14ac:dyDescent="0.25">
      <c r="A5493" s="8">
        <v>1.0999999999999999E-2</v>
      </c>
    </row>
    <row r="5494" spans="1:1" x14ac:dyDescent="0.25">
      <c r="A5494" s="8">
        <v>1.4617188000003807E-2</v>
      </c>
    </row>
    <row r="5495" spans="1:1" x14ac:dyDescent="0.25">
      <c r="A5495" s="8">
        <v>2.3320311999996193E-2</v>
      </c>
    </row>
    <row r="5496" spans="1:1" x14ac:dyDescent="0.25">
      <c r="A5496" s="8">
        <v>1.3414061999996193E-2</v>
      </c>
    </row>
    <row r="5497" spans="1:1" x14ac:dyDescent="0.25">
      <c r="A5497" s="8">
        <v>1.0585938000003807E-2</v>
      </c>
    </row>
    <row r="5498" spans="1:1" x14ac:dyDescent="0.25">
      <c r="A5498" s="8">
        <v>2.2734375000000001E-2</v>
      </c>
    </row>
    <row r="5499" spans="1:1" x14ac:dyDescent="0.25">
      <c r="A5499" s="8">
        <v>9.9453130000038067E-3</v>
      </c>
    </row>
    <row r="5500" spans="1:1" x14ac:dyDescent="0.25">
      <c r="A5500" s="8">
        <v>1.1578125E-2</v>
      </c>
    </row>
    <row r="5501" spans="1:1" x14ac:dyDescent="0.25">
      <c r="A5501" s="8">
        <v>1.0656250000000001E-2</v>
      </c>
    </row>
    <row r="5502" spans="1:1" x14ac:dyDescent="0.25">
      <c r="A5502" s="8">
        <v>2.3390625000000002E-2</v>
      </c>
    </row>
    <row r="5503" spans="1:1" x14ac:dyDescent="0.25">
      <c r="A5503" s="8">
        <v>7.7265630000038074E-3</v>
      </c>
    </row>
    <row r="5504" spans="1:1" x14ac:dyDescent="0.25">
      <c r="A5504" s="8">
        <v>1.7859375E-2</v>
      </c>
    </row>
    <row r="5505" spans="1:1" x14ac:dyDescent="0.25">
      <c r="A5505" s="8">
        <v>1.8164061999996192E-2</v>
      </c>
    </row>
    <row r="5506" spans="1:1" x14ac:dyDescent="0.25">
      <c r="A5506" s="8">
        <v>1.5679686999996192E-2</v>
      </c>
    </row>
    <row r="5507" spans="1:1" x14ac:dyDescent="0.25">
      <c r="A5507" s="8">
        <v>2.3414061999996193E-2</v>
      </c>
    </row>
    <row r="5508" spans="1:1" x14ac:dyDescent="0.25">
      <c r="A5508" s="8">
        <v>1.0554688000003807E-2</v>
      </c>
    </row>
    <row r="5509" spans="1:1" x14ac:dyDescent="0.25">
      <c r="A5509" s="8">
        <v>2.7757813000003809E-2</v>
      </c>
    </row>
    <row r="5510" spans="1:1" x14ac:dyDescent="0.25">
      <c r="A5510" s="8">
        <v>2.2640625000000001E-2</v>
      </c>
    </row>
    <row r="5511" spans="1:1" x14ac:dyDescent="0.25">
      <c r="A5511" s="8">
        <v>2.1609375E-2</v>
      </c>
    </row>
    <row r="5512" spans="1:1" x14ac:dyDescent="0.25">
      <c r="A5512" s="8">
        <v>1.4E-2</v>
      </c>
    </row>
    <row r="5513" spans="1:1" x14ac:dyDescent="0.25">
      <c r="A5513" s="8">
        <v>1.1554686999996193E-2</v>
      </c>
    </row>
    <row r="5514" spans="1:1" x14ac:dyDescent="0.25">
      <c r="A5514" s="8">
        <v>1.521875E-2</v>
      </c>
    </row>
    <row r="5515" spans="1:1" x14ac:dyDescent="0.25">
      <c r="A5515" s="8">
        <v>5.0546874999999998E-2</v>
      </c>
    </row>
    <row r="5516" spans="1:1" x14ac:dyDescent="0.25">
      <c r="A5516" s="8">
        <v>1.2999999999999999E-2</v>
      </c>
    </row>
    <row r="5517" spans="1:1" x14ac:dyDescent="0.25">
      <c r="A5517" s="8">
        <v>1.6210936999996192E-2</v>
      </c>
    </row>
    <row r="5518" spans="1:1" x14ac:dyDescent="0.25">
      <c r="A5518" s="8">
        <v>1.9523438000003807E-2</v>
      </c>
    </row>
    <row r="5519" spans="1:1" x14ac:dyDescent="0.25">
      <c r="A5519" s="8">
        <v>8.7968749999999991E-3</v>
      </c>
    </row>
    <row r="5520" spans="1:1" x14ac:dyDescent="0.25">
      <c r="A5520" s="8">
        <v>2.0171874999999999E-2</v>
      </c>
    </row>
    <row r="5521" spans="1:1" x14ac:dyDescent="0.25">
      <c r="A5521" s="8">
        <v>1.4781249999999999E-2</v>
      </c>
    </row>
    <row r="5522" spans="1:1" x14ac:dyDescent="0.25">
      <c r="A5522" s="8">
        <v>1.6679686999996193E-2</v>
      </c>
    </row>
    <row r="5523" spans="1:1" x14ac:dyDescent="0.25">
      <c r="A5523" s="8">
        <v>1.6039061999996194E-2</v>
      </c>
    </row>
    <row r="5524" spans="1:1" x14ac:dyDescent="0.25">
      <c r="A5524" s="8">
        <v>1.0703125000000001E-2</v>
      </c>
    </row>
    <row r="5525" spans="1:1" x14ac:dyDescent="0.25">
      <c r="A5525" s="8">
        <v>1.0523438000003807E-2</v>
      </c>
    </row>
    <row r="5526" spans="1:1" x14ac:dyDescent="0.25">
      <c r="A5526" s="8">
        <v>2.5406249999999998E-2</v>
      </c>
    </row>
    <row r="5527" spans="1:1" x14ac:dyDescent="0.25">
      <c r="A5527" s="8">
        <v>1.3296875E-2</v>
      </c>
    </row>
    <row r="5528" spans="1:1" x14ac:dyDescent="0.25">
      <c r="A5528" s="8">
        <v>1.340625E-2</v>
      </c>
    </row>
    <row r="5529" spans="1:1" x14ac:dyDescent="0.25">
      <c r="A5529" s="8">
        <v>8.0734374999999997E-2</v>
      </c>
    </row>
    <row r="5530" spans="1:1" x14ac:dyDescent="0.25">
      <c r="A5530" s="8">
        <v>9.6406249999999999E-3</v>
      </c>
    </row>
    <row r="5531" spans="1:1" x14ac:dyDescent="0.25">
      <c r="A5531" s="8">
        <v>1.8203125000000001E-2</v>
      </c>
    </row>
    <row r="5532" spans="1:1" x14ac:dyDescent="0.25">
      <c r="A5532" s="8">
        <v>2.2984375000000001E-2</v>
      </c>
    </row>
    <row r="5533" spans="1:1" x14ac:dyDescent="0.25">
      <c r="A5533" s="8">
        <v>1.5140625E-2</v>
      </c>
    </row>
    <row r="5534" spans="1:1" x14ac:dyDescent="0.25">
      <c r="A5534" s="8">
        <v>4.8093749999999998E-2</v>
      </c>
    </row>
    <row r="5535" spans="1:1" x14ac:dyDescent="0.25">
      <c r="A5535" s="8">
        <v>2.30625E-2</v>
      </c>
    </row>
    <row r="5536" spans="1:1" x14ac:dyDescent="0.25">
      <c r="A5536" s="8">
        <v>1.7375000000000002E-2</v>
      </c>
    </row>
    <row r="5537" spans="1:1" x14ac:dyDescent="0.25">
      <c r="A5537" s="8">
        <v>1.209375E-2</v>
      </c>
    </row>
    <row r="5538" spans="1:1" x14ac:dyDescent="0.25">
      <c r="A5538" s="8">
        <v>1.3765625E-2</v>
      </c>
    </row>
    <row r="5539" spans="1:1" x14ac:dyDescent="0.25">
      <c r="A5539" s="8">
        <v>1.01875E-2</v>
      </c>
    </row>
    <row r="5540" spans="1:1" x14ac:dyDescent="0.25">
      <c r="A5540" s="8">
        <v>8.8484375000000004E-2</v>
      </c>
    </row>
    <row r="5541" spans="1:1" x14ac:dyDescent="0.25">
      <c r="A5541" s="8">
        <v>2.1218750000000001E-2</v>
      </c>
    </row>
    <row r="5542" spans="1:1" x14ac:dyDescent="0.25">
      <c r="A5542" s="8">
        <v>1.0625000000000001E-2</v>
      </c>
    </row>
    <row r="5543" spans="1:1" x14ac:dyDescent="0.25">
      <c r="A5543" s="8">
        <v>1.9558593999998267E-2</v>
      </c>
    </row>
    <row r="5544" spans="1:1" x14ac:dyDescent="0.25">
      <c r="A5544" s="8">
        <v>2.0564453000002685E-2</v>
      </c>
    </row>
    <row r="5545" spans="1:1" x14ac:dyDescent="0.25">
      <c r="A5545" s="8">
        <v>2.7419922000000953E-2</v>
      </c>
    </row>
    <row r="5546" spans="1:1" x14ac:dyDescent="0.25">
      <c r="A5546" s="8">
        <v>1.4792968999994627E-2</v>
      </c>
    </row>
    <row r="5547" spans="1:1" x14ac:dyDescent="0.25">
      <c r="A5547" s="8">
        <v>2.3953124999999999E-2</v>
      </c>
    </row>
    <row r="5548" spans="1:1" x14ac:dyDescent="0.25">
      <c r="A5548" s="8">
        <v>7.6132809999980965E-3</v>
      </c>
    </row>
    <row r="5549" spans="1:1" x14ac:dyDescent="0.25">
      <c r="A5549" s="8">
        <v>1.4210937999996532E-2</v>
      </c>
    </row>
    <row r="5550" spans="1:1" x14ac:dyDescent="0.25">
      <c r="A5550" s="8">
        <v>1.1265625E-2</v>
      </c>
    </row>
    <row r="5551" spans="1:1" x14ac:dyDescent="0.25">
      <c r="A5551" s="8">
        <v>1.7246093000001565E-2</v>
      </c>
    </row>
    <row r="5552" spans="1:1" x14ac:dyDescent="0.25">
      <c r="A5552" s="8">
        <v>1.9523436999996192E-2</v>
      </c>
    </row>
    <row r="5553" spans="1:1" x14ac:dyDescent="0.25">
      <c r="A5553" s="8">
        <v>1.3351562000003469E-2</v>
      </c>
    </row>
    <row r="5554" spans="1:1" x14ac:dyDescent="0.25">
      <c r="A5554" s="8">
        <v>1.9859374999999999E-2</v>
      </c>
    </row>
    <row r="5555" spans="1:1" x14ac:dyDescent="0.25">
      <c r="A5555" s="8">
        <v>8.9414060000053731E-3</v>
      </c>
    </row>
    <row r="5556" spans="1:1" x14ac:dyDescent="0.25">
      <c r="A5556" s="8">
        <v>1.9550781999998434E-2</v>
      </c>
    </row>
    <row r="5557" spans="1:1" x14ac:dyDescent="0.25">
      <c r="A5557" s="8">
        <v>2.4484374999999999E-2</v>
      </c>
    </row>
    <row r="5558" spans="1:1" x14ac:dyDescent="0.25">
      <c r="A5558" s="8">
        <v>2.0871094000001904E-2</v>
      </c>
    </row>
    <row r="5559" spans="1:1" x14ac:dyDescent="0.25">
      <c r="A5559" s="8">
        <v>1.4203125E-2</v>
      </c>
    </row>
    <row r="5560" spans="1:1" x14ac:dyDescent="0.25">
      <c r="A5560" s="8">
        <v>2.0371094000001904E-2</v>
      </c>
    </row>
    <row r="5561" spans="1:1" x14ac:dyDescent="0.25">
      <c r="A5561" s="8">
        <v>1.7636718999994628E-2</v>
      </c>
    </row>
    <row r="5562" spans="1:1" x14ac:dyDescent="0.25">
      <c r="A5562" s="8">
        <v>2.1367188000003808E-2</v>
      </c>
    </row>
    <row r="5563" spans="1:1" x14ac:dyDescent="0.25">
      <c r="A5563" s="8">
        <v>7.6523430000015654E-3</v>
      </c>
    </row>
    <row r="5564" spans="1:1" x14ac:dyDescent="0.25">
      <c r="A5564" s="8">
        <v>1.98125E-2</v>
      </c>
    </row>
    <row r="5565" spans="1:1" x14ac:dyDescent="0.25">
      <c r="A5565" s="8">
        <v>2.0929687999996532E-2</v>
      </c>
    </row>
    <row r="5566" spans="1:1" x14ac:dyDescent="0.25">
      <c r="A5566" s="8">
        <v>1.1507812000003469E-2</v>
      </c>
    </row>
    <row r="5567" spans="1:1" x14ac:dyDescent="0.25">
      <c r="A5567" s="8">
        <v>1.184375E-2</v>
      </c>
    </row>
    <row r="5568" spans="1:1" x14ac:dyDescent="0.25">
      <c r="A5568" s="8">
        <v>1.1609375E-2</v>
      </c>
    </row>
    <row r="5569" spans="1:1" x14ac:dyDescent="0.25">
      <c r="A5569" s="8">
        <v>2.3070311999996193E-2</v>
      </c>
    </row>
    <row r="5570" spans="1:1" x14ac:dyDescent="0.25">
      <c r="A5570" s="8">
        <v>8.9609369999961927E-3</v>
      </c>
    </row>
    <row r="5571" spans="1:1" x14ac:dyDescent="0.25">
      <c r="A5571" s="8">
        <v>2.2812499999999999E-2</v>
      </c>
    </row>
    <row r="5572" spans="1:1" x14ac:dyDescent="0.25">
      <c r="A5572" s="8">
        <v>2.1968749999999999E-2</v>
      </c>
    </row>
    <row r="5573" spans="1:1" x14ac:dyDescent="0.25">
      <c r="A5573" s="8">
        <v>2.4453124999999999E-2</v>
      </c>
    </row>
    <row r="5574" spans="1:1" x14ac:dyDescent="0.25">
      <c r="A5574" s="8">
        <v>2.5375000000000002E-2</v>
      </c>
    </row>
    <row r="5575" spans="1:1" x14ac:dyDescent="0.25">
      <c r="A5575" s="8">
        <v>1.203125E-2</v>
      </c>
    </row>
    <row r="5576" spans="1:1" x14ac:dyDescent="0.25">
      <c r="A5576" s="8">
        <v>0.1425390630000038</v>
      </c>
    </row>
    <row r="5577" spans="1:1" x14ac:dyDescent="0.25">
      <c r="A5577" s="8">
        <v>9.320311999996193E-3</v>
      </c>
    </row>
    <row r="5578" spans="1:1" x14ac:dyDescent="0.25">
      <c r="A5578" s="8">
        <v>2.3335936999996192E-2</v>
      </c>
    </row>
    <row r="5579" spans="1:1" x14ac:dyDescent="0.25">
      <c r="A5579" s="8">
        <v>1.4375000000000001E-2</v>
      </c>
    </row>
    <row r="5580" spans="1:1" x14ac:dyDescent="0.25">
      <c r="A5580" s="8">
        <v>1.9140625000000001E-2</v>
      </c>
    </row>
    <row r="5581" spans="1:1" x14ac:dyDescent="0.25">
      <c r="A5581" s="8">
        <v>1.965625E-2</v>
      </c>
    </row>
    <row r="5582" spans="1:1" x14ac:dyDescent="0.25">
      <c r="A5582" s="8">
        <v>2.0500000000000001E-2</v>
      </c>
    </row>
    <row r="5583" spans="1:1" x14ac:dyDescent="0.25">
      <c r="A5583" s="8">
        <v>1.1617188000003806E-2</v>
      </c>
    </row>
    <row r="5584" spans="1:1" x14ac:dyDescent="0.25">
      <c r="A5584" s="8">
        <v>1.9695311999996194E-2</v>
      </c>
    </row>
    <row r="5585" spans="1:1" x14ac:dyDescent="0.25">
      <c r="A5585" s="8">
        <v>2.2749999999999999E-2</v>
      </c>
    </row>
    <row r="5586" spans="1:1" x14ac:dyDescent="0.25">
      <c r="A5586" s="8">
        <v>7.796875E-3</v>
      </c>
    </row>
    <row r="5587" spans="1:1" x14ac:dyDescent="0.25">
      <c r="A5587" s="8">
        <v>0.10532812499999999</v>
      </c>
    </row>
    <row r="5588" spans="1:1" x14ac:dyDescent="0.25">
      <c r="A5588" s="8">
        <v>3.0187499999999999E-2</v>
      </c>
    </row>
    <row r="5589" spans="1:1" x14ac:dyDescent="0.25">
      <c r="A5589" s="8">
        <v>1.13125E-2</v>
      </c>
    </row>
    <row r="5590" spans="1:1" x14ac:dyDescent="0.25">
      <c r="A5590" s="8">
        <v>1.7867188000003809E-2</v>
      </c>
    </row>
    <row r="5591" spans="1:1" x14ac:dyDescent="0.25">
      <c r="A5591" s="8">
        <v>1.7343750000000002E-2</v>
      </c>
    </row>
    <row r="5592" spans="1:1" x14ac:dyDescent="0.25">
      <c r="A5592" s="8">
        <v>1.5484375E-2</v>
      </c>
    </row>
    <row r="5593" spans="1:1" x14ac:dyDescent="0.25">
      <c r="A5593" s="8">
        <v>1.7578125E-2</v>
      </c>
    </row>
    <row r="5594" spans="1:1" x14ac:dyDescent="0.25">
      <c r="A5594" s="8">
        <v>2.7984374999999999E-2</v>
      </c>
    </row>
    <row r="5595" spans="1:1" x14ac:dyDescent="0.25">
      <c r="A5595" s="8">
        <v>1.0968749999999999E-2</v>
      </c>
    </row>
    <row r="5596" spans="1:1" x14ac:dyDescent="0.25">
      <c r="A5596" s="8">
        <v>9.9687500000000002E-3</v>
      </c>
    </row>
    <row r="5597" spans="1:1" x14ac:dyDescent="0.25">
      <c r="A5597" s="8">
        <v>2.0562500000000001E-2</v>
      </c>
    </row>
    <row r="5598" spans="1:1" x14ac:dyDescent="0.25">
      <c r="A5598" s="8">
        <v>1.1484375E-2</v>
      </c>
    </row>
    <row r="5599" spans="1:1" x14ac:dyDescent="0.25">
      <c r="A5599" s="8">
        <v>2.0750000000000001E-2</v>
      </c>
    </row>
    <row r="5600" spans="1:1" x14ac:dyDescent="0.25">
      <c r="A5600" s="8">
        <v>1.8765625000000001E-2</v>
      </c>
    </row>
    <row r="5601" spans="1:1" x14ac:dyDescent="0.25">
      <c r="A5601" s="8">
        <v>7.9062500000000001E-3</v>
      </c>
    </row>
    <row r="5602" spans="1:1" x14ac:dyDescent="0.25">
      <c r="A5602" s="8">
        <v>1.3484375E-2</v>
      </c>
    </row>
    <row r="5603" spans="1:1" x14ac:dyDescent="0.25">
      <c r="A5603" s="8">
        <v>1.203125E-2</v>
      </c>
    </row>
    <row r="5604" spans="1:1" x14ac:dyDescent="0.25">
      <c r="A5604" s="8">
        <v>1.4234375E-2</v>
      </c>
    </row>
    <row r="5605" spans="1:1" x14ac:dyDescent="0.25">
      <c r="A5605" s="8">
        <v>0.1265</v>
      </c>
    </row>
    <row r="5606" spans="1:1" x14ac:dyDescent="0.25">
      <c r="A5606" s="8">
        <v>1.2671875000000001E-2</v>
      </c>
    </row>
    <row r="5607" spans="1:1" x14ac:dyDescent="0.25">
      <c r="A5607" s="8">
        <v>2.4437500000000001E-2</v>
      </c>
    </row>
    <row r="5608" spans="1:1" x14ac:dyDescent="0.25">
      <c r="A5608" s="8">
        <v>9.0937499999999994E-3</v>
      </c>
    </row>
    <row r="5609" spans="1:1" x14ac:dyDescent="0.25">
      <c r="A5609" s="8">
        <v>1.1124999999999999E-2</v>
      </c>
    </row>
    <row r="5610" spans="1:1" x14ac:dyDescent="0.25">
      <c r="A5610" s="8">
        <v>1.2328125000000001E-2</v>
      </c>
    </row>
    <row r="5611" spans="1:1" x14ac:dyDescent="0.25">
      <c r="A5611" s="8">
        <v>1.7265625E-2</v>
      </c>
    </row>
    <row r="5612" spans="1:1" x14ac:dyDescent="0.25">
      <c r="A5612" s="8">
        <v>2.69375E-2</v>
      </c>
    </row>
    <row r="5613" spans="1:1" x14ac:dyDescent="0.25">
      <c r="A5613" s="8">
        <v>1.4984374999999999E-2</v>
      </c>
    </row>
    <row r="5614" spans="1:1" x14ac:dyDescent="0.25">
      <c r="A5614" s="8">
        <v>1.1015624999999999E-2</v>
      </c>
    </row>
    <row r="5615" spans="1:1" x14ac:dyDescent="0.25">
      <c r="A5615" s="8">
        <v>7.6562499999999999E-3</v>
      </c>
    </row>
    <row r="5616" spans="1:1" x14ac:dyDescent="0.25">
      <c r="A5616" s="8">
        <v>2.328125E-2</v>
      </c>
    </row>
    <row r="5617" spans="1:1" x14ac:dyDescent="0.25">
      <c r="A5617" s="8">
        <v>1.7359375E-2</v>
      </c>
    </row>
    <row r="5618" spans="1:1" x14ac:dyDescent="0.25">
      <c r="A5618" s="8">
        <v>2.0312500000000001E-2</v>
      </c>
    </row>
    <row r="5619" spans="1:1" x14ac:dyDescent="0.25">
      <c r="A5619" s="8">
        <v>1.3625E-2</v>
      </c>
    </row>
    <row r="5620" spans="1:1" x14ac:dyDescent="0.25">
      <c r="A5620" s="8">
        <v>2.1562499999999998E-2</v>
      </c>
    </row>
    <row r="5621" spans="1:1" x14ac:dyDescent="0.25">
      <c r="A5621" s="8">
        <v>1.8031249999999999E-2</v>
      </c>
    </row>
    <row r="5622" spans="1:1" x14ac:dyDescent="0.25">
      <c r="A5622" s="8">
        <v>2.6845702999999048E-2</v>
      </c>
    </row>
    <row r="5623" spans="1:1" x14ac:dyDescent="0.25">
      <c r="A5623" s="8">
        <v>0.13844335900000079</v>
      </c>
    </row>
    <row r="5624" spans="1:1" x14ac:dyDescent="0.25">
      <c r="A5624" s="8">
        <v>9.5312499999999998E-3</v>
      </c>
    </row>
    <row r="5625" spans="1:1" x14ac:dyDescent="0.25">
      <c r="A5625" s="8">
        <v>7.7324220000009516E-3</v>
      </c>
    </row>
    <row r="5626" spans="1:1" x14ac:dyDescent="0.25">
      <c r="A5626" s="8">
        <v>9.9824220000009518E-3</v>
      </c>
    </row>
    <row r="5627" spans="1:1" x14ac:dyDescent="0.25">
      <c r="A5627" s="8">
        <v>2.0875000000000001E-2</v>
      </c>
    </row>
    <row r="5628" spans="1:1" x14ac:dyDescent="0.25">
      <c r="A5628" s="8">
        <v>1.3802734000000783E-2</v>
      </c>
    </row>
    <row r="5629" spans="1:1" x14ac:dyDescent="0.25">
      <c r="A5629" s="8">
        <v>1.4392577999999049E-2</v>
      </c>
    </row>
    <row r="5630" spans="1:1" x14ac:dyDescent="0.25">
      <c r="A5630" s="8">
        <v>2.4863280999998096E-2</v>
      </c>
    </row>
    <row r="5631" spans="1:1" x14ac:dyDescent="0.25">
      <c r="A5631" s="8">
        <v>1.8644531999998434E-2</v>
      </c>
    </row>
    <row r="5632" spans="1:1" x14ac:dyDescent="0.25">
      <c r="A5632" s="8">
        <v>1.5566406000005372E-2</v>
      </c>
    </row>
    <row r="5633" spans="1:1" x14ac:dyDescent="0.25">
      <c r="A5633" s="8">
        <v>1.7164063000003806E-2</v>
      </c>
    </row>
    <row r="5634" spans="1:1" x14ac:dyDescent="0.25">
      <c r="A5634" s="8">
        <v>1.2199219000001904E-2</v>
      </c>
    </row>
    <row r="5635" spans="1:1" x14ac:dyDescent="0.25">
      <c r="A5635" s="8">
        <v>1.710156200000347E-2</v>
      </c>
    </row>
    <row r="5636" spans="1:1" x14ac:dyDescent="0.25">
      <c r="A5636" s="8">
        <v>1.953125E-2</v>
      </c>
    </row>
    <row r="5637" spans="1:1" x14ac:dyDescent="0.25">
      <c r="A5637" s="8">
        <v>1.7796875E-2</v>
      </c>
    </row>
    <row r="5638" spans="1:1" x14ac:dyDescent="0.25">
      <c r="A5638" s="8">
        <v>1.7906249999999999E-2</v>
      </c>
    </row>
    <row r="5639" spans="1:1" x14ac:dyDescent="0.25">
      <c r="A5639" s="8">
        <v>2.2558594000001903E-2</v>
      </c>
    </row>
    <row r="5640" spans="1:1" x14ac:dyDescent="0.25">
      <c r="A5640" s="8">
        <v>2.0339844000001904E-2</v>
      </c>
    </row>
    <row r="5641" spans="1:1" x14ac:dyDescent="0.25">
      <c r="A5641" s="8">
        <v>1.8421875000000001E-2</v>
      </c>
    </row>
    <row r="5642" spans="1:1" x14ac:dyDescent="0.25">
      <c r="A5642" s="8">
        <v>1.3636719000001903E-2</v>
      </c>
    </row>
    <row r="5643" spans="1:1" x14ac:dyDescent="0.25">
      <c r="A5643" s="8">
        <v>1.6898438000003808E-2</v>
      </c>
    </row>
    <row r="5644" spans="1:1" x14ac:dyDescent="0.25">
      <c r="A5644" s="8">
        <v>2.2273438000003806E-2</v>
      </c>
    </row>
    <row r="5645" spans="1:1" x14ac:dyDescent="0.25">
      <c r="A5645" s="8">
        <v>1.0328125E-2</v>
      </c>
    </row>
    <row r="5646" spans="1:1" x14ac:dyDescent="0.25">
      <c r="A5646" s="8">
        <v>8.9359375000000005E-2</v>
      </c>
    </row>
    <row r="5647" spans="1:1" x14ac:dyDescent="0.25">
      <c r="A5647" s="8">
        <v>2.0734374999999999E-2</v>
      </c>
    </row>
    <row r="5648" spans="1:1" x14ac:dyDescent="0.25">
      <c r="A5648" s="8">
        <v>2.0171874999999999E-2</v>
      </c>
    </row>
    <row r="5649" spans="1:1" x14ac:dyDescent="0.25">
      <c r="A5649" s="8">
        <v>1.4656249999999999E-2</v>
      </c>
    </row>
    <row r="5650" spans="1:1" x14ac:dyDescent="0.25">
      <c r="A5650" s="8">
        <v>1.1093749999999999E-2</v>
      </c>
    </row>
    <row r="5651" spans="1:1" x14ac:dyDescent="0.25">
      <c r="A5651" s="8">
        <v>2.5070313000003806E-2</v>
      </c>
    </row>
    <row r="5652" spans="1:1" x14ac:dyDescent="0.25">
      <c r="A5652" s="8">
        <v>1.7804688000003809E-2</v>
      </c>
    </row>
    <row r="5653" spans="1:1" x14ac:dyDescent="0.25">
      <c r="A5653" s="8">
        <v>1.8757811999996193E-2</v>
      </c>
    </row>
    <row r="5654" spans="1:1" x14ac:dyDescent="0.25">
      <c r="A5654" s="8">
        <v>1.184375E-2</v>
      </c>
    </row>
    <row r="5655" spans="1:1" x14ac:dyDescent="0.25">
      <c r="A5655" s="8">
        <v>1.7031250000000001E-2</v>
      </c>
    </row>
    <row r="5656" spans="1:1" x14ac:dyDescent="0.25">
      <c r="A5656" s="8">
        <v>2.29375E-2</v>
      </c>
    </row>
    <row r="5657" spans="1:1" x14ac:dyDescent="0.25">
      <c r="A5657" s="8">
        <v>9.8125E-3</v>
      </c>
    </row>
    <row r="5658" spans="1:1" x14ac:dyDescent="0.25">
      <c r="A5658" s="8">
        <v>2.0757813000003806E-2</v>
      </c>
    </row>
    <row r="5659" spans="1:1" x14ac:dyDescent="0.25">
      <c r="A5659" s="8">
        <v>2.0570311999996194E-2</v>
      </c>
    </row>
    <row r="5660" spans="1:1" x14ac:dyDescent="0.25">
      <c r="A5660" s="8">
        <v>1.4226563000003807E-2</v>
      </c>
    </row>
    <row r="5661" spans="1:1" x14ac:dyDescent="0.25">
      <c r="A5661" s="8">
        <v>1.5335938000003808E-2</v>
      </c>
    </row>
    <row r="5662" spans="1:1" x14ac:dyDescent="0.25">
      <c r="A5662" s="8">
        <v>1.0234375E-2</v>
      </c>
    </row>
    <row r="5663" spans="1:1" x14ac:dyDescent="0.25">
      <c r="A5663" s="8">
        <v>1.4351561999996192E-2</v>
      </c>
    </row>
    <row r="5664" spans="1:1" x14ac:dyDescent="0.25">
      <c r="A5664" s="8">
        <v>1.4929686999996193E-2</v>
      </c>
    </row>
    <row r="5665" spans="1:1" x14ac:dyDescent="0.25">
      <c r="A5665" s="8">
        <v>2.2453125000000001E-2</v>
      </c>
    </row>
    <row r="5666" spans="1:1" x14ac:dyDescent="0.25">
      <c r="A5666" s="8">
        <v>2.0304686999996192E-2</v>
      </c>
    </row>
    <row r="5667" spans="1:1" x14ac:dyDescent="0.25">
      <c r="A5667" s="8">
        <v>2.3E-2</v>
      </c>
    </row>
    <row r="5668" spans="1:1" x14ac:dyDescent="0.25">
      <c r="A5668" s="8">
        <v>1.1132813000003808E-2</v>
      </c>
    </row>
    <row r="5669" spans="1:1" x14ac:dyDescent="0.25">
      <c r="A5669" s="8">
        <v>1.2E-2</v>
      </c>
    </row>
    <row r="5670" spans="1:1" x14ac:dyDescent="0.25">
      <c r="A5670" s="8">
        <v>1.0625000000000001E-2</v>
      </c>
    </row>
    <row r="5671" spans="1:1" x14ac:dyDescent="0.25">
      <c r="A5671" s="8">
        <v>1.7789061999996192E-2</v>
      </c>
    </row>
    <row r="5672" spans="1:1" x14ac:dyDescent="0.25">
      <c r="A5672" s="8">
        <v>4.303125E-2</v>
      </c>
    </row>
    <row r="5673" spans="1:1" x14ac:dyDescent="0.25">
      <c r="A5673" s="8">
        <v>2.6374999999999999E-2</v>
      </c>
    </row>
    <row r="5674" spans="1:1" x14ac:dyDescent="0.25">
      <c r="A5674" s="8">
        <v>1.6789063000003806E-2</v>
      </c>
    </row>
    <row r="5675" spans="1:1" x14ac:dyDescent="0.25">
      <c r="A5675" s="8">
        <v>7.9531250000000001E-3</v>
      </c>
    </row>
    <row r="5676" spans="1:1" x14ac:dyDescent="0.25">
      <c r="A5676" s="8">
        <v>7.7109380000038074E-3</v>
      </c>
    </row>
    <row r="5677" spans="1:1" x14ac:dyDescent="0.25">
      <c r="A5677" s="8">
        <v>1.11875E-2</v>
      </c>
    </row>
    <row r="5678" spans="1:1" x14ac:dyDescent="0.25">
      <c r="A5678" s="8">
        <v>3.071875E-2</v>
      </c>
    </row>
    <row r="5679" spans="1:1" x14ac:dyDescent="0.25">
      <c r="A5679" s="8">
        <v>6.828125E-3</v>
      </c>
    </row>
    <row r="5680" spans="1:1" x14ac:dyDescent="0.25">
      <c r="A5680" s="8">
        <v>1.903125E-2</v>
      </c>
    </row>
    <row r="5681" spans="1:1" x14ac:dyDescent="0.25">
      <c r="A5681" s="8">
        <v>1.3875E-2</v>
      </c>
    </row>
    <row r="5682" spans="1:1" x14ac:dyDescent="0.25">
      <c r="A5682" s="8">
        <v>7.5156249999999997E-3</v>
      </c>
    </row>
    <row r="5683" spans="1:1" x14ac:dyDescent="0.25">
      <c r="A5683" s="8">
        <v>9.9062500000000001E-3</v>
      </c>
    </row>
    <row r="5684" spans="1:1" x14ac:dyDescent="0.25">
      <c r="A5684" s="8">
        <v>1.3875E-2</v>
      </c>
    </row>
    <row r="5685" spans="1:1" x14ac:dyDescent="0.25">
      <c r="A5685" s="8">
        <v>3.7499999999999999E-2</v>
      </c>
    </row>
    <row r="5686" spans="1:1" x14ac:dyDescent="0.25">
      <c r="A5686" s="8">
        <v>1.7406250000000002E-2</v>
      </c>
    </row>
    <row r="5687" spans="1:1" x14ac:dyDescent="0.25">
      <c r="A5687" s="8">
        <v>1.0734375000000001E-2</v>
      </c>
    </row>
    <row r="5688" spans="1:1" x14ac:dyDescent="0.25">
      <c r="A5688" s="8">
        <v>7.8125E-3</v>
      </c>
    </row>
    <row r="5689" spans="1:1" x14ac:dyDescent="0.25">
      <c r="A5689" s="8">
        <v>1.50625E-2</v>
      </c>
    </row>
    <row r="5690" spans="1:1" x14ac:dyDescent="0.25">
      <c r="A5690" s="8">
        <v>4.9703125000000001E-2</v>
      </c>
    </row>
    <row r="5691" spans="1:1" x14ac:dyDescent="0.25">
      <c r="A5691" s="8">
        <v>9.1718749999999995E-3</v>
      </c>
    </row>
    <row r="5692" spans="1:1" x14ac:dyDescent="0.25">
      <c r="A5692" s="8">
        <v>1.0968749999999999E-2</v>
      </c>
    </row>
    <row r="5693" spans="1:1" x14ac:dyDescent="0.25">
      <c r="A5693" s="8">
        <v>0.11654687499999999</v>
      </c>
    </row>
    <row r="5694" spans="1:1" x14ac:dyDescent="0.25">
      <c r="A5694" s="8">
        <v>1.4765624999999999E-2</v>
      </c>
    </row>
    <row r="5695" spans="1:1" x14ac:dyDescent="0.25">
      <c r="A5695" s="8">
        <v>1.3552734000000783E-2</v>
      </c>
    </row>
    <row r="5696" spans="1:1" x14ac:dyDescent="0.25">
      <c r="A5696" s="8">
        <v>2.3912109999997481E-2</v>
      </c>
    </row>
    <row r="5697" spans="1:1" x14ac:dyDescent="0.25">
      <c r="A5697" s="8">
        <v>1.6812500000000001E-2</v>
      </c>
    </row>
    <row r="5698" spans="1:1" x14ac:dyDescent="0.25">
      <c r="A5698" s="8">
        <v>7.9941400000025174E-3</v>
      </c>
    </row>
    <row r="5699" spans="1:1" x14ac:dyDescent="0.25">
      <c r="A5699" s="8">
        <v>2.6355468999994629E-2</v>
      </c>
    </row>
    <row r="5700" spans="1:1" x14ac:dyDescent="0.25">
      <c r="A5700" s="8">
        <v>1.9140625000000001E-2</v>
      </c>
    </row>
    <row r="5701" spans="1:1" x14ac:dyDescent="0.25">
      <c r="A5701" s="8">
        <v>1.7660156999998435E-2</v>
      </c>
    </row>
    <row r="5702" spans="1:1" x14ac:dyDescent="0.25">
      <c r="A5702" s="8">
        <v>2.0371094000001904E-2</v>
      </c>
    </row>
    <row r="5703" spans="1:1" x14ac:dyDescent="0.25">
      <c r="A5703" s="8">
        <v>1.8863280999998098E-2</v>
      </c>
    </row>
    <row r="5704" spans="1:1" x14ac:dyDescent="0.25">
      <c r="A5704" s="8">
        <v>1.3082031000005372E-2</v>
      </c>
    </row>
    <row r="5705" spans="1:1" x14ac:dyDescent="0.25">
      <c r="A5705" s="8">
        <v>1.3535155999998097E-2</v>
      </c>
    </row>
    <row r="5706" spans="1:1" x14ac:dyDescent="0.25">
      <c r="A5706" s="8">
        <v>1.1554686999996193E-2</v>
      </c>
    </row>
    <row r="5707" spans="1:1" x14ac:dyDescent="0.25">
      <c r="A5707" s="8">
        <v>1.4117188000003807E-2</v>
      </c>
    </row>
    <row r="5708" spans="1:1" x14ac:dyDescent="0.25">
      <c r="A5708" s="8">
        <v>5.0914063000003805E-2</v>
      </c>
    </row>
    <row r="5709" spans="1:1" x14ac:dyDescent="0.25">
      <c r="A5709" s="8">
        <v>8.3203120000034693E-3</v>
      </c>
    </row>
    <row r="5710" spans="1:1" x14ac:dyDescent="0.25">
      <c r="A5710" s="8">
        <v>1.1304688000003808E-2</v>
      </c>
    </row>
    <row r="5711" spans="1:1" x14ac:dyDescent="0.25">
      <c r="A5711" s="8">
        <v>1.3992187000003469E-2</v>
      </c>
    </row>
    <row r="5712" spans="1:1" x14ac:dyDescent="0.25">
      <c r="A5712" s="8">
        <v>7.5351559999980965E-3</v>
      </c>
    </row>
    <row r="5713" spans="1:1" x14ac:dyDescent="0.25">
      <c r="A5713" s="8">
        <v>2.0843750000000001E-2</v>
      </c>
    </row>
    <row r="5714" spans="1:1" x14ac:dyDescent="0.25">
      <c r="A5714" s="8">
        <v>1.3714844000001903E-2</v>
      </c>
    </row>
    <row r="5715" spans="1:1" x14ac:dyDescent="0.25">
      <c r="A5715" s="8">
        <v>2.050781200000347E-2</v>
      </c>
    </row>
    <row r="5716" spans="1:1" x14ac:dyDescent="0.25">
      <c r="A5716" s="8">
        <v>1.8062499999999999E-2</v>
      </c>
    </row>
    <row r="5717" spans="1:1" x14ac:dyDescent="0.25">
      <c r="A5717" s="8">
        <v>3.8519531000005373E-2</v>
      </c>
    </row>
    <row r="5718" spans="1:1" x14ac:dyDescent="0.25">
      <c r="A5718" s="8">
        <v>1.9289063000003808E-2</v>
      </c>
    </row>
    <row r="5719" spans="1:1" x14ac:dyDescent="0.25">
      <c r="A5719" s="8">
        <v>2.3390625000000002E-2</v>
      </c>
    </row>
    <row r="5720" spans="1:1" x14ac:dyDescent="0.25">
      <c r="A5720" s="8">
        <v>1.7734375E-2</v>
      </c>
    </row>
    <row r="5721" spans="1:1" x14ac:dyDescent="0.25">
      <c r="A5721" s="8">
        <v>1.003125E-2</v>
      </c>
    </row>
    <row r="5722" spans="1:1" x14ac:dyDescent="0.25">
      <c r="A5722" s="8">
        <v>1.7093750000000001E-2</v>
      </c>
    </row>
    <row r="5723" spans="1:1" x14ac:dyDescent="0.25">
      <c r="A5723" s="8">
        <v>1.0999999999999999E-2</v>
      </c>
    </row>
    <row r="5724" spans="1:1" x14ac:dyDescent="0.25">
      <c r="A5724" s="8">
        <v>7.765625E-3</v>
      </c>
    </row>
    <row r="5725" spans="1:1" x14ac:dyDescent="0.25">
      <c r="A5725" s="8">
        <v>2.2546875000000001E-2</v>
      </c>
    </row>
    <row r="5726" spans="1:1" x14ac:dyDescent="0.25">
      <c r="A5726" s="8">
        <v>1.4210936999996192E-2</v>
      </c>
    </row>
    <row r="5727" spans="1:1" x14ac:dyDescent="0.25">
      <c r="A5727" s="8">
        <v>1.4539061999996192E-2</v>
      </c>
    </row>
    <row r="5728" spans="1:1" x14ac:dyDescent="0.25">
      <c r="A5728" s="8">
        <v>2.0406250000000001E-2</v>
      </c>
    </row>
    <row r="5729" spans="1:1" x14ac:dyDescent="0.25">
      <c r="A5729" s="8">
        <v>1.6984374999999999E-2</v>
      </c>
    </row>
    <row r="5730" spans="1:1" x14ac:dyDescent="0.25">
      <c r="A5730" s="8">
        <v>1.1695311999996193E-2</v>
      </c>
    </row>
    <row r="5731" spans="1:1" x14ac:dyDescent="0.25">
      <c r="A5731" s="8">
        <v>9.9375000000000002E-3</v>
      </c>
    </row>
    <row r="5732" spans="1:1" x14ac:dyDescent="0.25">
      <c r="A5732" s="8">
        <v>1.7250000000000001E-2</v>
      </c>
    </row>
    <row r="5733" spans="1:1" x14ac:dyDescent="0.25">
      <c r="A5733" s="8">
        <v>1.5921874999999999E-2</v>
      </c>
    </row>
    <row r="5734" spans="1:1" x14ac:dyDescent="0.25">
      <c r="A5734" s="8">
        <v>2.4812500000000001E-2</v>
      </c>
    </row>
    <row r="5735" spans="1:1" x14ac:dyDescent="0.25">
      <c r="A5735" s="8">
        <v>1.353125E-2</v>
      </c>
    </row>
    <row r="5736" spans="1:1" x14ac:dyDescent="0.25">
      <c r="A5736" s="8">
        <v>1.321875E-2</v>
      </c>
    </row>
    <row r="5737" spans="1:1" x14ac:dyDescent="0.25">
      <c r="A5737" s="8">
        <v>1.1867188000003807E-2</v>
      </c>
    </row>
    <row r="5738" spans="1:1" x14ac:dyDescent="0.25">
      <c r="A5738" s="8">
        <v>2.0289063000003806E-2</v>
      </c>
    </row>
    <row r="5739" spans="1:1" x14ac:dyDescent="0.25">
      <c r="A5739" s="8">
        <v>4.3695313000003809E-2</v>
      </c>
    </row>
    <row r="5740" spans="1:1" x14ac:dyDescent="0.25">
      <c r="A5740" s="8">
        <v>2.3046875000000001E-2</v>
      </c>
    </row>
    <row r="5741" spans="1:1" x14ac:dyDescent="0.25">
      <c r="A5741" s="8">
        <v>1.0789061999996193E-2</v>
      </c>
    </row>
    <row r="5742" spans="1:1" x14ac:dyDescent="0.25">
      <c r="A5742" s="8">
        <v>7.5078130000038072E-3</v>
      </c>
    </row>
    <row r="5743" spans="1:1" x14ac:dyDescent="0.25">
      <c r="A5743" s="8">
        <v>1.0304686999996192E-2</v>
      </c>
    </row>
    <row r="5744" spans="1:1" x14ac:dyDescent="0.25">
      <c r="A5744" s="8">
        <v>2.4328124999999999E-2</v>
      </c>
    </row>
    <row r="5745" spans="1:1" x14ac:dyDescent="0.25">
      <c r="A5745" s="8">
        <v>1.3390625E-2</v>
      </c>
    </row>
    <row r="5746" spans="1:1" x14ac:dyDescent="0.25">
      <c r="A5746" s="8">
        <v>2.5109375E-2</v>
      </c>
    </row>
    <row r="5747" spans="1:1" x14ac:dyDescent="0.25">
      <c r="A5747" s="8">
        <v>1.5765624999999998E-2</v>
      </c>
    </row>
    <row r="5748" spans="1:1" x14ac:dyDescent="0.25">
      <c r="A5748" s="8">
        <v>7.7578119999961925E-3</v>
      </c>
    </row>
    <row r="5749" spans="1:1" x14ac:dyDescent="0.25">
      <c r="A5749" s="8">
        <v>0.10358593699999619</v>
      </c>
    </row>
    <row r="5750" spans="1:1" x14ac:dyDescent="0.25">
      <c r="A5750" s="8">
        <v>1.1523438000003806E-2</v>
      </c>
    </row>
    <row r="5751" spans="1:1" x14ac:dyDescent="0.25">
      <c r="A5751" s="8">
        <v>1.6468750000000001E-2</v>
      </c>
    </row>
    <row r="5752" spans="1:1" x14ac:dyDescent="0.25">
      <c r="A5752" s="8">
        <v>1.7070311999996191E-2</v>
      </c>
    </row>
    <row r="5753" spans="1:1" x14ac:dyDescent="0.25">
      <c r="A5753" s="8">
        <v>1.5992186999996192E-2</v>
      </c>
    </row>
    <row r="5754" spans="1:1" x14ac:dyDescent="0.25">
      <c r="A5754" s="8">
        <v>2.5757813000003807E-2</v>
      </c>
    </row>
    <row r="5755" spans="1:1" x14ac:dyDescent="0.25">
      <c r="A5755" s="8">
        <v>2.1437500000000002E-2</v>
      </c>
    </row>
    <row r="5756" spans="1:1" x14ac:dyDescent="0.25">
      <c r="A5756" s="8">
        <v>2.2140625000000001E-2</v>
      </c>
    </row>
    <row r="5757" spans="1:1" x14ac:dyDescent="0.25">
      <c r="A5757" s="8">
        <v>7.6562499999999999E-3</v>
      </c>
    </row>
    <row r="5758" spans="1:1" x14ac:dyDescent="0.25">
      <c r="A5758" s="8">
        <v>1.196875E-2</v>
      </c>
    </row>
    <row r="5759" spans="1:1" x14ac:dyDescent="0.25">
      <c r="A5759" s="8">
        <v>1.0484375000000001E-2</v>
      </c>
    </row>
    <row r="5760" spans="1:1" x14ac:dyDescent="0.25">
      <c r="A5760" s="8">
        <v>1.0578125000000001E-2</v>
      </c>
    </row>
    <row r="5761" spans="1:1" x14ac:dyDescent="0.25">
      <c r="A5761" s="8">
        <v>2.9078125E-2</v>
      </c>
    </row>
    <row r="5762" spans="1:1" x14ac:dyDescent="0.25">
      <c r="A5762" s="8">
        <v>1.5453125E-2</v>
      </c>
    </row>
    <row r="5763" spans="1:1" x14ac:dyDescent="0.25">
      <c r="A5763" s="8">
        <v>1.8218749999999999E-2</v>
      </c>
    </row>
    <row r="5764" spans="1:1" x14ac:dyDescent="0.25">
      <c r="A5764" s="8">
        <v>2.0500000000000001E-2</v>
      </c>
    </row>
    <row r="5765" spans="1:1" x14ac:dyDescent="0.25">
      <c r="A5765" s="8">
        <v>2.0578124999999999E-2</v>
      </c>
    </row>
    <row r="5766" spans="1:1" x14ac:dyDescent="0.25">
      <c r="A5766" s="8">
        <v>8.3125000000000004E-3</v>
      </c>
    </row>
    <row r="5767" spans="1:1" x14ac:dyDescent="0.25">
      <c r="A5767" s="8">
        <v>2.1437500000000002E-2</v>
      </c>
    </row>
    <row r="5768" spans="1:1" x14ac:dyDescent="0.25">
      <c r="A5768" s="8">
        <v>1.8453125000000001E-2</v>
      </c>
    </row>
    <row r="5769" spans="1:1" x14ac:dyDescent="0.25">
      <c r="A5769" s="8">
        <v>2.2437499999999999E-2</v>
      </c>
    </row>
    <row r="5770" spans="1:1" x14ac:dyDescent="0.25">
      <c r="A5770" s="8">
        <v>1.5484375E-2</v>
      </c>
    </row>
    <row r="5771" spans="1:1" x14ac:dyDescent="0.25">
      <c r="A5771" s="8">
        <v>1.7375000000000002E-2</v>
      </c>
    </row>
    <row r="5772" spans="1:1" x14ac:dyDescent="0.25">
      <c r="A5772" s="8">
        <v>1.6865234000000784E-2</v>
      </c>
    </row>
    <row r="5773" spans="1:1" x14ac:dyDescent="0.25">
      <c r="A5773" s="8">
        <v>1.6384765999999218E-2</v>
      </c>
    </row>
    <row r="5774" spans="1:1" x14ac:dyDescent="0.25">
      <c r="A5774" s="8">
        <v>1.4548827999999047E-2</v>
      </c>
    </row>
    <row r="5775" spans="1:1" x14ac:dyDescent="0.25">
      <c r="A5775" s="8">
        <v>7.1757810000017347E-3</v>
      </c>
    </row>
    <row r="5776" spans="1:1" x14ac:dyDescent="0.25">
      <c r="A5776" s="8">
        <v>1.5929686999999831E-2</v>
      </c>
    </row>
    <row r="5777" spans="1:1" x14ac:dyDescent="0.25">
      <c r="A5777" s="8">
        <v>1.7447265000002515E-2</v>
      </c>
    </row>
    <row r="5778" spans="1:1" x14ac:dyDescent="0.25">
      <c r="A5778" s="8">
        <v>2.3435546999997312E-2</v>
      </c>
    </row>
    <row r="5779" spans="1:1" x14ac:dyDescent="0.25">
      <c r="A5779" s="8">
        <v>1.988281299999653E-2</v>
      </c>
    </row>
    <row r="5780" spans="1:1" x14ac:dyDescent="0.25">
      <c r="A5780" s="8">
        <v>1.6871094000001904E-2</v>
      </c>
    </row>
    <row r="5781" spans="1:1" x14ac:dyDescent="0.25">
      <c r="A5781" s="8">
        <v>2.9050780999998096E-2</v>
      </c>
    </row>
    <row r="5782" spans="1:1" x14ac:dyDescent="0.25">
      <c r="A5782" s="8">
        <v>1.3554687999996531E-2</v>
      </c>
    </row>
    <row r="5783" spans="1:1" x14ac:dyDescent="0.25">
      <c r="A5783" s="8">
        <v>1.6867186999996193E-2</v>
      </c>
    </row>
    <row r="5784" spans="1:1" x14ac:dyDescent="0.25">
      <c r="A5784" s="8">
        <v>2.0664061999996194E-2</v>
      </c>
    </row>
    <row r="5785" spans="1:1" x14ac:dyDescent="0.25">
      <c r="A5785" s="8">
        <v>1.0957031000005373E-2</v>
      </c>
    </row>
    <row r="5786" spans="1:1" x14ac:dyDescent="0.25">
      <c r="A5786" s="8">
        <v>1.3847655999998097E-2</v>
      </c>
    </row>
    <row r="5787" spans="1:1" x14ac:dyDescent="0.25">
      <c r="A5787" s="8">
        <v>9.6992190000019032E-3</v>
      </c>
    </row>
    <row r="5788" spans="1:1" x14ac:dyDescent="0.25">
      <c r="A5788" s="8">
        <v>2.3636718999994626E-2</v>
      </c>
    </row>
    <row r="5789" spans="1:1" x14ac:dyDescent="0.25">
      <c r="A5789" s="8">
        <v>2.3621093999994628E-2</v>
      </c>
    </row>
    <row r="5790" spans="1:1" x14ac:dyDescent="0.25">
      <c r="A5790" s="8">
        <v>1.1359375E-2</v>
      </c>
    </row>
    <row r="5791" spans="1:1" x14ac:dyDescent="0.25">
      <c r="A5791" s="8">
        <v>1.6597655999998098E-2</v>
      </c>
    </row>
    <row r="5792" spans="1:1" x14ac:dyDescent="0.25">
      <c r="A5792" s="8">
        <v>1.384375E-2</v>
      </c>
    </row>
    <row r="5793" spans="1:1" x14ac:dyDescent="0.25">
      <c r="A5793" s="8">
        <v>7.5968750000000002E-2</v>
      </c>
    </row>
    <row r="5794" spans="1:1" x14ac:dyDescent="0.25">
      <c r="A5794" s="8">
        <v>1.7039062999996531E-2</v>
      </c>
    </row>
    <row r="5795" spans="1:1" x14ac:dyDescent="0.25">
      <c r="A5795" s="8">
        <v>1.6664063000003806E-2</v>
      </c>
    </row>
    <row r="5796" spans="1:1" x14ac:dyDescent="0.25">
      <c r="A5796" s="8">
        <v>8.4335940000019038E-3</v>
      </c>
    </row>
    <row r="5797" spans="1:1" x14ac:dyDescent="0.25">
      <c r="A5797" s="8">
        <v>1.5394530999998097E-2</v>
      </c>
    </row>
    <row r="5798" spans="1:1" x14ac:dyDescent="0.25">
      <c r="A5798" s="8">
        <v>1.3347655999998096E-2</v>
      </c>
    </row>
    <row r="5799" spans="1:1" x14ac:dyDescent="0.25">
      <c r="A5799" s="8">
        <v>5.7949218999994626E-2</v>
      </c>
    </row>
    <row r="5800" spans="1:1" x14ac:dyDescent="0.25">
      <c r="A5800" s="8">
        <v>2.3554688000003807E-2</v>
      </c>
    </row>
    <row r="5801" spans="1:1" x14ac:dyDescent="0.25">
      <c r="A5801" s="8">
        <v>1.6546874999999999E-2</v>
      </c>
    </row>
    <row r="5802" spans="1:1" x14ac:dyDescent="0.25">
      <c r="A5802" s="8">
        <v>1.1210936999996193E-2</v>
      </c>
    </row>
    <row r="5803" spans="1:1" x14ac:dyDescent="0.25">
      <c r="A5803" s="8">
        <v>7.4257809999980964E-3</v>
      </c>
    </row>
    <row r="5804" spans="1:1" x14ac:dyDescent="0.25">
      <c r="A5804" s="8">
        <v>1.2792968999994627E-2</v>
      </c>
    </row>
    <row r="5805" spans="1:1" x14ac:dyDescent="0.25">
      <c r="A5805" s="8">
        <v>1.2898436999996193E-2</v>
      </c>
    </row>
    <row r="5806" spans="1:1" x14ac:dyDescent="0.25">
      <c r="A5806" s="8">
        <v>1.0578125000000001E-2</v>
      </c>
    </row>
    <row r="5807" spans="1:1" x14ac:dyDescent="0.25">
      <c r="A5807" s="8">
        <v>8.8124999999999992E-3</v>
      </c>
    </row>
    <row r="5808" spans="1:1" x14ac:dyDescent="0.25">
      <c r="A5808" s="8">
        <v>1.0054688000003807E-2</v>
      </c>
    </row>
    <row r="5809" spans="1:1" x14ac:dyDescent="0.25">
      <c r="A5809" s="8">
        <v>1.5804688000003807E-2</v>
      </c>
    </row>
    <row r="5810" spans="1:1" x14ac:dyDescent="0.25">
      <c r="A5810" s="8">
        <v>1.321875E-2</v>
      </c>
    </row>
    <row r="5811" spans="1:1" x14ac:dyDescent="0.25">
      <c r="A5811" s="8">
        <v>1.0851561999996193E-2</v>
      </c>
    </row>
    <row r="5812" spans="1:1" x14ac:dyDescent="0.25">
      <c r="A5812" s="8">
        <v>1.3359375E-2</v>
      </c>
    </row>
    <row r="5813" spans="1:1" x14ac:dyDescent="0.25">
      <c r="A5813" s="8">
        <v>9.1796875E-2</v>
      </c>
    </row>
    <row r="5814" spans="1:1" x14ac:dyDescent="0.25">
      <c r="A5814" s="8">
        <v>1.7828125E-2</v>
      </c>
    </row>
    <row r="5815" spans="1:1" x14ac:dyDescent="0.25">
      <c r="A5815" s="8">
        <v>1.3289063000003808E-2</v>
      </c>
    </row>
    <row r="5816" spans="1:1" x14ac:dyDescent="0.25">
      <c r="A5816" s="8">
        <v>1.0679688000003807E-2</v>
      </c>
    </row>
    <row r="5817" spans="1:1" x14ac:dyDescent="0.25">
      <c r="A5817" s="8">
        <v>2.5499999999999998E-2</v>
      </c>
    </row>
    <row r="5818" spans="1:1" x14ac:dyDescent="0.25">
      <c r="A5818" s="8">
        <v>2.3453124999999998E-2</v>
      </c>
    </row>
    <row r="5819" spans="1:1" x14ac:dyDescent="0.25">
      <c r="A5819" s="8">
        <v>1.0843749999999999E-2</v>
      </c>
    </row>
    <row r="5820" spans="1:1" x14ac:dyDescent="0.25">
      <c r="A5820" s="8">
        <v>8.1250000000000003E-3</v>
      </c>
    </row>
    <row r="5821" spans="1:1" x14ac:dyDescent="0.25">
      <c r="A5821" s="8">
        <v>1.2749999999999999E-2</v>
      </c>
    </row>
    <row r="5822" spans="1:1" x14ac:dyDescent="0.25">
      <c r="A5822" s="8">
        <v>1.4960936999996193E-2</v>
      </c>
    </row>
    <row r="5823" spans="1:1" x14ac:dyDescent="0.25">
      <c r="A5823" s="8">
        <v>1.6945313000003806E-2</v>
      </c>
    </row>
    <row r="5824" spans="1:1" x14ac:dyDescent="0.25">
      <c r="A5824" s="8">
        <v>1.9398436999996192E-2</v>
      </c>
    </row>
    <row r="5825" spans="1:1" x14ac:dyDescent="0.25">
      <c r="A5825" s="8">
        <v>2.2765625000000001E-2</v>
      </c>
    </row>
    <row r="5826" spans="1:1" x14ac:dyDescent="0.25">
      <c r="A5826" s="8">
        <v>1.3132811999996193E-2</v>
      </c>
    </row>
    <row r="5827" spans="1:1" x14ac:dyDescent="0.25">
      <c r="A5827" s="8">
        <v>7.2500000000000004E-3</v>
      </c>
    </row>
    <row r="5828" spans="1:1" x14ac:dyDescent="0.25">
      <c r="A5828" s="8">
        <v>1.3539061999996193E-2</v>
      </c>
    </row>
    <row r="5829" spans="1:1" x14ac:dyDescent="0.25">
      <c r="A5829" s="8">
        <v>2.4304688000003807E-2</v>
      </c>
    </row>
    <row r="5830" spans="1:1" x14ac:dyDescent="0.25">
      <c r="A5830" s="8">
        <v>2.1046875E-2</v>
      </c>
    </row>
    <row r="5831" spans="1:1" x14ac:dyDescent="0.25">
      <c r="A5831" s="8">
        <v>1.6960938000003808E-2</v>
      </c>
    </row>
    <row r="5832" spans="1:1" x14ac:dyDescent="0.25">
      <c r="A5832" s="8">
        <v>1.5101561999996193E-2</v>
      </c>
    </row>
    <row r="5833" spans="1:1" x14ac:dyDescent="0.25">
      <c r="A5833" s="8">
        <v>1.4343750000000001E-2</v>
      </c>
    </row>
    <row r="5834" spans="1:1" x14ac:dyDescent="0.25">
      <c r="A5834" s="8">
        <v>7.4531249999999997E-3</v>
      </c>
    </row>
    <row r="5835" spans="1:1" x14ac:dyDescent="0.25">
      <c r="A5835" s="8">
        <v>1.6531250000000001E-2</v>
      </c>
    </row>
    <row r="5836" spans="1:1" x14ac:dyDescent="0.25">
      <c r="A5836" s="8">
        <v>1.0781249999999999E-2</v>
      </c>
    </row>
    <row r="5837" spans="1:1" x14ac:dyDescent="0.25">
      <c r="A5837" s="8">
        <v>1.2234375E-2</v>
      </c>
    </row>
    <row r="5838" spans="1:1" x14ac:dyDescent="0.25">
      <c r="A5838" s="8">
        <v>7.3281249999999996E-3</v>
      </c>
    </row>
    <row r="5839" spans="1:1" x14ac:dyDescent="0.25">
      <c r="A5839" s="8">
        <v>2.396875E-2</v>
      </c>
    </row>
    <row r="5840" spans="1:1" x14ac:dyDescent="0.25">
      <c r="A5840" s="8">
        <v>1.165625E-2</v>
      </c>
    </row>
    <row r="5841" spans="1:1" x14ac:dyDescent="0.25">
      <c r="A5841" s="8">
        <v>1.9234375000000001E-2</v>
      </c>
    </row>
    <row r="5842" spans="1:1" x14ac:dyDescent="0.25">
      <c r="A5842" s="8">
        <v>2.3296875000000002E-2</v>
      </c>
    </row>
    <row r="5843" spans="1:1" x14ac:dyDescent="0.25">
      <c r="A5843" s="8">
        <v>8.2812500000000004E-3</v>
      </c>
    </row>
    <row r="5844" spans="1:1" x14ac:dyDescent="0.25">
      <c r="A5844" s="8">
        <v>1.8640625000000001E-2</v>
      </c>
    </row>
    <row r="5845" spans="1:1" x14ac:dyDescent="0.25">
      <c r="A5845" s="8">
        <v>1.9015625000000001E-2</v>
      </c>
    </row>
    <row r="5846" spans="1:1" x14ac:dyDescent="0.25">
      <c r="A5846" s="8">
        <v>1.8593749999999999E-2</v>
      </c>
    </row>
    <row r="5847" spans="1:1" x14ac:dyDescent="0.25">
      <c r="A5847" s="8">
        <v>2.1000000000000001E-2</v>
      </c>
    </row>
    <row r="5848" spans="1:1" x14ac:dyDescent="0.25">
      <c r="A5848" s="8">
        <v>1.0921874999999999E-2</v>
      </c>
    </row>
    <row r="5849" spans="1:1" x14ac:dyDescent="0.25">
      <c r="A5849" s="8">
        <v>7.1406250000000003E-3</v>
      </c>
    </row>
    <row r="5850" spans="1:1" x14ac:dyDescent="0.25">
      <c r="A5850" s="8">
        <v>1.2843749999999999E-2</v>
      </c>
    </row>
    <row r="5851" spans="1:1" x14ac:dyDescent="0.25">
      <c r="A5851" s="8">
        <v>1.0796874999999999E-2</v>
      </c>
    </row>
    <row r="5852" spans="1:1" x14ac:dyDescent="0.25">
      <c r="A5852" s="8">
        <v>1.015625E-2</v>
      </c>
    </row>
    <row r="5853" spans="1:1" x14ac:dyDescent="0.25">
      <c r="A5853" s="8">
        <v>1.1216797000000951E-2</v>
      </c>
    </row>
    <row r="5854" spans="1:1" x14ac:dyDescent="0.25">
      <c r="A5854" s="8">
        <v>1.4359375000000001E-2</v>
      </c>
    </row>
    <row r="5855" spans="1:1" x14ac:dyDescent="0.25">
      <c r="A5855" s="8">
        <v>1.9449218999998266E-2</v>
      </c>
    </row>
    <row r="5856" spans="1:1" x14ac:dyDescent="0.25">
      <c r="A5856" s="8">
        <v>1.1226563000000168E-2</v>
      </c>
    </row>
    <row r="5857" spans="1:1" x14ac:dyDescent="0.25">
      <c r="A5857" s="8">
        <v>9.6445310000017343E-3</v>
      </c>
    </row>
    <row r="5858" spans="1:1" x14ac:dyDescent="0.25">
      <c r="A5858" s="8">
        <v>1.1152343000001565E-2</v>
      </c>
    </row>
    <row r="5859" spans="1:1" x14ac:dyDescent="0.25">
      <c r="A5859" s="8">
        <v>2.4281250000000001E-2</v>
      </c>
    </row>
    <row r="5860" spans="1:1" x14ac:dyDescent="0.25">
      <c r="A5860" s="8">
        <v>1.8757812999996532E-2</v>
      </c>
    </row>
    <row r="5861" spans="1:1" x14ac:dyDescent="0.25">
      <c r="A5861" s="8">
        <v>1.2675781999998435E-2</v>
      </c>
    </row>
    <row r="5862" spans="1:1" x14ac:dyDescent="0.25">
      <c r="A5862" s="8">
        <v>2.4539063000003806E-2</v>
      </c>
    </row>
    <row r="5863" spans="1:1" x14ac:dyDescent="0.25">
      <c r="A5863" s="8">
        <v>9.3355468000001565E-2</v>
      </c>
    </row>
    <row r="5864" spans="1:1" x14ac:dyDescent="0.25">
      <c r="A5864" s="8">
        <v>8.5937500000000007E-3</v>
      </c>
    </row>
    <row r="5865" spans="1:1" x14ac:dyDescent="0.25">
      <c r="A5865" s="8">
        <v>2.5371094000001905E-2</v>
      </c>
    </row>
    <row r="5866" spans="1:1" x14ac:dyDescent="0.25">
      <c r="A5866" s="8">
        <v>1.7941406999998435E-2</v>
      </c>
    </row>
    <row r="5867" spans="1:1" x14ac:dyDescent="0.25">
      <c r="A5867" s="8">
        <v>3.8460937999996531E-2</v>
      </c>
    </row>
    <row r="5868" spans="1:1" x14ac:dyDescent="0.25">
      <c r="A5868" s="8">
        <v>1.1886719000001903E-2</v>
      </c>
    </row>
    <row r="5869" spans="1:1" x14ac:dyDescent="0.25">
      <c r="A5869" s="8">
        <v>2.2738281000005373E-2</v>
      </c>
    </row>
    <row r="5870" spans="1:1" x14ac:dyDescent="0.25">
      <c r="A5870" s="8">
        <v>2.309375E-2</v>
      </c>
    </row>
    <row r="5871" spans="1:1" x14ac:dyDescent="0.25">
      <c r="A5871" s="8">
        <v>7.8242190000019033E-3</v>
      </c>
    </row>
    <row r="5872" spans="1:1" x14ac:dyDescent="0.25">
      <c r="A5872" s="8">
        <v>1.7468750000000002E-2</v>
      </c>
    </row>
    <row r="5873" spans="1:1" x14ac:dyDescent="0.25">
      <c r="A5873" s="8">
        <v>1.3664062999996531E-2</v>
      </c>
    </row>
    <row r="5874" spans="1:1" x14ac:dyDescent="0.25">
      <c r="A5874" s="8">
        <v>1.1179688000003808E-2</v>
      </c>
    </row>
    <row r="5875" spans="1:1" x14ac:dyDescent="0.25">
      <c r="A5875" s="8">
        <v>7.917968999994628E-3</v>
      </c>
    </row>
    <row r="5876" spans="1:1" x14ac:dyDescent="0.25">
      <c r="A5876" s="8">
        <v>2.9781249999999999E-2</v>
      </c>
    </row>
    <row r="5877" spans="1:1" x14ac:dyDescent="0.25">
      <c r="A5877" s="8">
        <v>1.6250000000000001E-2</v>
      </c>
    </row>
    <row r="5878" spans="1:1" x14ac:dyDescent="0.25">
      <c r="A5878" s="8">
        <v>1.4203125E-2</v>
      </c>
    </row>
    <row r="5879" spans="1:1" x14ac:dyDescent="0.25">
      <c r="A5879" s="8">
        <v>9.1718749999999995E-3</v>
      </c>
    </row>
    <row r="5880" spans="1:1" x14ac:dyDescent="0.25">
      <c r="A5880" s="8">
        <v>2.2101563000003807E-2</v>
      </c>
    </row>
    <row r="5881" spans="1:1" x14ac:dyDescent="0.25">
      <c r="A5881" s="8">
        <v>1.8742188000003806E-2</v>
      </c>
    </row>
    <row r="5882" spans="1:1" x14ac:dyDescent="0.25">
      <c r="A5882" s="8">
        <v>4.1453125E-2</v>
      </c>
    </row>
    <row r="5883" spans="1:1" x14ac:dyDescent="0.25">
      <c r="A5883" s="8">
        <v>2.325E-2</v>
      </c>
    </row>
    <row r="5884" spans="1:1" x14ac:dyDescent="0.25">
      <c r="A5884" s="8">
        <v>1.559375E-2</v>
      </c>
    </row>
    <row r="5885" spans="1:1" x14ac:dyDescent="0.25">
      <c r="A5885" s="8">
        <v>1.7812499999999998E-2</v>
      </c>
    </row>
    <row r="5886" spans="1:1" x14ac:dyDescent="0.25">
      <c r="A5886" s="8">
        <v>1.121875E-2</v>
      </c>
    </row>
    <row r="5887" spans="1:1" x14ac:dyDescent="0.25">
      <c r="A5887" s="8">
        <v>1.3851563000003807E-2</v>
      </c>
    </row>
    <row r="5888" spans="1:1" x14ac:dyDescent="0.25">
      <c r="A5888" s="8">
        <v>1.1148436999996193E-2</v>
      </c>
    </row>
    <row r="5889" spans="1:1" x14ac:dyDescent="0.25">
      <c r="A5889" s="8">
        <v>1.4999999999999999E-2</v>
      </c>
    </row>
    <row r="5890" spans="1:1" x14ac:dyDescent="0.25">
      <c r="A5890" s="8">
        <v>2.1234375E-2</v>
      </c>
    </row>
    <row r="5891" spans="1:1" x14ac:dyDescent="0.25">
      <c r="A5891" s="8">
        <v>1.13125E-2</v>
      </c>
    </row>
    <row r="5892" spans="1:1" x14ac:dyDescent="0.25">
      <c r="A5892" s="8">
        <v>1.4812499999999999E-2</v>
      </c>
    </row>
    <row r="5893" spans="1:1" x14ac:dyDescent="0.25">
      <c r="A5893" s="8">
        <v>1.115625E-2</v>
      </c>
    </row>
    <row r="5894" spans="1:1" x14ac:dyDescent="0.25">
      <c r="A5894" s="8">
        <v>1.1062499999999999E-2</v>
      </c>
    </row>
    <row r="5895" spans="1:1" x14ac:dyDescent="0.25">
      <c r="A5895" s="8">
        <v>2.2984375000000001E-2</v>
      </c>
    </row>
    <row r="5896" spans="1:1" x14ac:dyDescent="0.25">
      <c r="A5896" s="8">
        <v>2.6539061999996193E-2</v>
      </c>
    </row>
    <row r="5897" spans="1:1" x14ac:dyDescent="0.25">
      <c r="A5897" s="8">
        <v>1.1195313000003808E-2</v>
      </c>
    </row>
    <row r="5898" spans="1:1" x14ac:dyDescent="0.25">
      <c r="A5898" s="8">
        <v>7.8648438000003804E-2</v>
      </c>
    </row>
    <row r="5899" spans="1:1" x14ac:dyDescent="0.25">
      <c r="A5899" s="8">
        <v>2.9414061999996192E-2</v>
      </c>
    </row>
    <row r="5900" spans="1:1" x14ac:dyDescent="0.25">
      <c r="A5900" s="8">
        <v>1.9234375000000001E-2</v>
      </c>
    </row>
    <row r="5901" spans="1:1" x14ac:dyDescent="0.25">
      <c r="A5901" s="8">
        <v>1.3695311999996193E-2</v>
      </c>
    </row>
    <row r="5902" spans="1:1" x14ac:dyDescent="0.25">
      <c r="A5902" s="8">
        <v>2.0476563000003806E-2</v>
      </c>
    </row>
    <row r="5903" spans="1:1" x14ac:dyDescent="0.25">
      <c r="A5903" s="8">
        <v>1.1945313000003807E-2</v>
      </c>
    </row>
    <row r="5904" spans="1:1" x14ac:dyDescent="0.25">
      <c r="A5904" s="8">
        <v>2.7992186999996192E-2</v>
      </c>
    </row>
    <row r="5905" spans="1:1" x14ac:dyDescent="0.25">
      <c r="A5905" s="8">
        <v>1.2953124999999999E-2</v>
      </c>
    </row>
    <row r="5906" spans="1:1" x14ac:dyDescent="0.25">
      <c r="A5906" s="8">
        <v>1.5132813000003808E-2</v>
      </c>
    </row>
    <row r="5907" spans="1:1" x14ac:dyDescent="0.25">
      <c r="A5907" s="8">
        <v>0.1164609380000038</v>
      </c>
    </row>
    <row r="5908" spans="1:1" x14ac:dyDescent="0.25">
      <c r="A5908" s="8">
        <v>1.4250000000000001E-2</v>
      </c>
    </row>
    <row r="5909" spans="1:1" x14ac:dyDescent="0.25">
      <c r="A5909" s="8">
        <v>7.7343749999999999E-3</v>
      </c>
    </row>
    <row r="5910" spans="1:1" x14ac:dyDescent="0.25">
      <c r="A5910" s="8">
        <v>2.7398438000003807E-2</v>
      </c>
    </row>
    <row r="5911" spans="1:1" x14ac:dyDescent="0.25">
      <c r="A5911" s="8">
        <v>2.0906250000000001E-2</v>
      </c>
    </row>
    <row r="5912" spans="1:1" x14ac:dyDescent="0.25">
      <c r="A5912" s="8">
        <v>1.9875E-2</v>
      </c>
    </row>
    <row r="5913" spans="1:1" x14ac:dyDescent="0.25">
      <c r="A5913" s="8">
        <v>1.4625000000000001E-2</v>
      </c>
    </row>
    <row r="5914" spans="1:1" x14ac:dyDescent="0.25">
      <c r="A5914" s="8">
        <v>7.7468750000000003E-2</v>
      </c>
    </row>
    <row r="5915" spans="1:1" x14ac:dyDescent="0.25">
      <c r="A5915" s="8">
        <v>2.1343750000000002E-2</v>
      </c>
    </row>
    <row r="5916" spans="1:1" x14ac:dyDescent="0.25">
      <c r="A5916" s="8">
        <v>8.4531250000000006E-3</v>
      </c>
    </row>
    <row r="5917" spans="1:1" x14ac:dyDescent="0.25">
      <c r="A5917" s="8">
        <v>2.1968749999999999E-2</v>
      </c>
    </row>
    <row r="5918" spans="1:1" x14ac:dyDescent="0.25">
      <c r="A5918" s="8">
        <v>1.7265625E-2</v>
      </c>
    </row>
    <row r="5919" spans="1:1" x14ac:dyDescent="0.25">
      <c r="A5919" s="8">
        <v>2.1125000000000001E-2</v>
      </c>
    </row>
    <row r="5920" spans="1:1" x14ac:dyDescent="0.25">
      <c r="A5920" s="8">
        <v>2.1015625E-2</v>
      </c>
    </row>
    <row r="5921" spans="1:1" x14ac:dyDescent="0.25">
      <c r="A5921" s="8">
        <v>1.378125E-2</v>
      </c>
    </row>
    <row r="5922" spans="1:1" x14ac:dyDescent="0.25">
      <c r="A5922" s="8">
        <v>8.8906249999999992E-3</v>
      </c>
    </row>
    <row r="5923" spans="1:1" x14ac:dyDescent="0.25">
      <c r="A5923" s="8">
        <v>1.2687500000000001E-2</v>
      </c>
    </row>
    <row r="5924" spans="1:1" x14ac:dyDescent="0.25">
      <c r="A5924" s="8">
        <v>2.0562500000000001E-2</v>
      </c>
    </row>
    <row r="5925" spans="1:1" x14ac:dyDescent="0.25">
      <c r="A5925" s="8">
        <v>1.7234375E-2</v>
      </c>
    </row>
    <row r="5926" spans="1:1" x14ac:dyDescent="0.25">
      <c r="A5926" s="8">
        <v>5.1999999999999998E-2</v>
      </c>
    </row>
    <row r="5927" spans="1:1" x14ac:dyDescent="0.25">
      <c r="A5927" s="8">
        <v>9.8437500000000001E-3</v>
      </c>
    </row>
    <row r="5928" spans="1:1" x14ac:dyDescent="0.25">
      <c r="A5928" s="8">
        <v>9.0359375000000006E-2</v>
      </c>
    </row>
    <row r="5929" spans="1:1" x14ac:dyDescent="0.25">
      <c r="A5929" s="8">
        <v>1.4453125000000001E-2</v>
      </c>
    </row>
    <row r="5930" spans="1:1" x14ac:dyDescent="0.25">
      <c r="A5930" s="8">
        <v>1.1390625E-2</v>
      </c>
    </row>
    <row r="5931" spans="1:1" x14ac:dyDescent="0.25">
      <c r="A5931" s="8">
        <v>1.6390624999999999E-2</v>
      </c>
    </row>
    <row r="5932" spans="1:1" x14ac:dyDescent="0.25">
      <c r="A5932" s="8">
        <v>7.2734375000000004E-2</v>
      </c>
    </row>
    <row r="5933" spans="1:1" x14ac:dyDescent="0.25">
      <c r="A5933" s="8">
        <v>1.0765624999999999E-2</v>
      </c>
    </row>
    <row r="5934" spans="1:1" x14ac:dyDescent="0.25">
      <c r="A5934" s="8">
        <v>2.2802734000000782E-2</v>
      </c>
    </row>
    <row r="5935" spans="1:1" x14ac:dyDescent="0.25">
      <c r="A5935" s="8">
        <v>1.9271484000000783E-2</v>
      </c>
    </row>
    <row r="5936" spans="1:1" x14ac:dyDescent="0.25">
      <c r="A5936" s="8">
        <v>2.0554688000000168E-2</v>
      </c>
    </row>
    <row r="5937" spans="1:1" x14ac:dyDescent="0.25">
      <c r="A5937" s="8">
        <v>1.1589843000001565E-2</v>
      </c>
    </row>
    <row r="5938" spans="1:1" x14ac:dyDescent="0.25">
      <c r="A5938" s="8">
        <v>1.5621093999998266E-2</v>
      </c>
    </row>
    <row r="5939" spans="1:1" x14ac:dyDescent="0.25">
      <c r="A5939" s="8">
        <v>2.4646484999997484E-2</v>
      </c>
    </row>
    <row r="5940" spans="1:1" x14ac:dyDescent="0.25">
      <c r="A5940" s="8">
        <v>1.1837890999999217E-2</v>
      </c>
    </row>
    <row r="5941" spans="1:1" x14ac:dyDescent="0.25">
      <c r="A5941" s="8">
        <v>9.1210939999946273E-3</v>
      </c>
    </row>
    <row r="5942" spans="1:1" x14ac:dyDescent="0.25">
      <c r="A5942" s="8">
        <v>1.0839844000001904E-2</v>
      </c>
    </row>
    <row r="5943" spans="1:1" x14ac:dyDescent="0.25">
      <c r="A5943" s="8">
        <v>8.8359380000038075E-3</v>
      </c>
    </row>
    <row r="5944" spans="1:1" x14ac:dyDescent="0.25">
      <c r="A5944" s="8">
        <v>2.5851561999996192E-2</v>
      </c>
    </row>
    <row r="5945" spans="1:1" x14ac:dyDescent="0.25">
      <c r="A5945" s="8">
        <v>1.6871093000001565E-2</v>
      </c>
    </row>
    <row r="5946" spans="1:1" x14ac:dyDescent="0.25">
      <c r="A5946" s="8">
        <v>2.5156250000000002E-2</v>
      </c>
    </row>
    <row r="5947" spans="1:1" x14ac:dyDescent="0.25">
      <c r="A5947" s="8">
        <v>2.0953125E-2</v>
      </c>
    </row>
    <row r="5948" spans="1:1" x14ac:dyDescent="0.25">
      <c r="A5948" s="8">
        <v>9.539062999996531E-3</v>
      </c>
    </row>
    <row r="5949" spans="1:1" x14ac:dyDescent="0.25">
      <c r="A5949" s="8">
        <v>1.1664063000003807E-2</v>
      </c>
    </row>
    <row r="5950" spans="1:1" x14ac:dyDescent="0.25">
      <c r="A5950" s="8">
        <v>5.6117186999996189E-2</v>
      </c>
    </row>
    <row r="5951" spans="1:1" x14ac:dyDescent="0.25">
      <c r="A5951" s="8">
        <v>1.8359375000000001E-2</v>
      </c>
    </row>
    <row r="5952" spans="1:1" x14ac:dyDescent="0.25">
      <c r="A5952" s="8">
        <v>1.4476563000003807E-2</v>
      </c>
    </row>
    <row r="5953" spans="1:1" x14ac:dyDescent="0.25">
      <c r="A5953" s="8">
        <v>6.1359375000000001E-2</v>
      </c>
    </row>
    <row r="5954" spans="1:1" x14ac:dyDescent="0.25">
      <c r="A5954" s="8">
        <v>7.7031249999999999E-3</v>
      </c>
    </row>
    <row r="5955" spans="1:1" x14ac:dyDescent="0.25">
      <c r="A5955" s="8">
        <v>1.6757811999996194E-2</v>
      </c>
    </row>
    <row r="5956" spans="1:1" x14ac:dyDescent="0.25">
      <c r="A5956" s="8">
        <v>1.1101563000003808E-2</v>
      </c>
    </row>
    <row r="5957" spans="1:1" x14ac:dyDescent="0.25">
      <c r="A5957" s="8">
        <v>1.4929686999996193E-2</v>
      </c>
    </row>
    <row r="5958" spans="1:1" x14ac:dyDescent="0.25">
      <c r="A5958" s="8">
        <v>1.1062499999999999E-2</v>
      </c>
    </row>
    <row r="5959" spans="1:1" x14ac:dyDescent="0.25">
      <c r="A5959" s="8">
        <v>7.6718749999999999E-3</v>
      </c>
    </row>
    <row r="5960" spans="1:1" x14ac:dyDescent="0.25">
      <c r="A5960" s="8">
        <v>1.1710936999996193E-2</v>
      </c>
    </row>
    <row r="5961" spans="1:1" x14ac:dyDescent="0.25">
      <c r="A5961" s="8">
        <v>2.1117188000003808E-2</v>
      </c>
    </row>
    <row r="5962" spans="1:1" x14ac:dyDescent="0.25">
      <c r="A5962" s="8">
        <v>1.6843750000000001E-2</v>
      </c>
    </row>
    <row r="5963" spans="1:1" x14ac:dyDescent="0.25">
      <c r="A5963" s="8">
        <v>2.0117186999996192E-2</v>
      </c>
    </row>
    <row r="5964" spans="1:1" x14ac:dyDescent="0.25">
      <c r="A5964" s="8">
        <v>2.2234375000000001E-2</v>
      </c>
    </row>
    <row r="5965" spans="1:1" x14ac:dyDescent="0.25">
      <c r="A5965" s="8">
        <v>9.8203130000038066E-3</v>
      </c>
    </row>
    <row r="5966" spans="1:1" x14ac:dyDescent="0.25">
      <c r="A5966" s="8">
        <v>3.9679686999996196E-2</v>
      </c>
    </row>
    <row r="5967" spans="1:1" x14ac:dyDescent="0.25">
      <c r="A5967" s="8">
        <v>1.7851563000003807E-2</v>
      </c>
    </row>
    <row r="5968" spans="1:1" x14ac:dyDescent="0.25">
      <c r="A5968" s="8">
        <v>2.8468750000000001E-2</v>
      </c>
    </row>
    <row r="5969" spans="1:1" x14ac:dyDescent="0.25">
      <c r="A5969" s="8">
        <v>2.3148436999996191E-2</v>
      </c>
    </row>
    <row r="5970" spans="1:1" x14ac:dyDescent="0.25">
      <c r="A5970" s="8">
        <v>1.0992188000003808E-2</v>
      </c>
    </row>
    <row r="5971" spans="1:1" x14ac:dyDescent="0.25">
      <c r="A5971" s="8">
        <v>1.4437500000000001E-2</v>
      </c>
    </row>
    <row r="5972" spans="1:1" x14ac:dyDescent="0.25">
      <c r="A5972" s="8">
        <v>1.8242188000003809E-2</v>
      </c>
    </row>
    <row r="5973" spans="1:1" x14ac:dyDescent="0.25">
      <c r="A5973" s="8">
        <v>1.8078125E-2</v>
      </c>
    </row>
    <row r="5974" spans="1:1" x14ac:dyDescent="0.25">
      <c r="A5974" s="8">
        <v>2.303125E-2</v>
      </c>
    </row>
    <row r="5975" spans="1:1" x14ac:dyDescent="0.25">
      <c r="A5975" s="8">
        <v>2.4765624999999999E-2</v>
      </c>
    </row>
    <row r="5976" spans="1:1" x14ac:dyDescent="0.25">
      <c r="A5976" s="8">
        <v>1.3640625E-2</v>
      </c>
    </row>
    <row r="5977" spans="1:1" x14ac:dyDescent="0.25">
      <c r="A5977" s="8">
        <v>1.20625E-2</v>
      </c>
    </row>
    <row r="5978" spans="1:1" x14ac:dyDescent="0.25">
      <c r="A5978" s="8">
        <v>1.4531250000000001E-2</v>
      </c>
    </row>
    <row r="5979" spans="1:1" x14ac:dyDescent="0.25">
      <c r="A5979" s="8">
        <v>5.7843749999999999E-2</v>
      </c>
    </row>
    <row r="5980" spans="1:1" x14ac:dyDescent="0.25">
      <c r="A5980" s="8">
        <v>2.4828125E-2</v>
      </c>
    </row>
    <row r="5981" spans="1:1" x14ac:dyDescent="0.25">
      <c r="A5981" s="8">
        <v>1.4749999999999999E-2</v>
      </c>
    </row>
    <row r="5982" spans="1:1" x14ac:dyDescent="0.25">
      <c r="A5982" s="8">
        <v>1.2828124999999999E-2</v>
      </c>
    </row>
    <row r="5983" spans="1:1" x14ac:dyDescent="0.25">
      <c r="A5983" s="8">
        <v>1.7187500000000001E-2</v>
      </c>
    </row>
    <row r="5984" spans="1:1" x14ac:dyDescent="0.25">
      <c r="A5984" s="8">
        <v>1.1124999999999999E-2</v>
      </c>
    </row>
    <row r="5985" spans="1:1" x14ac:dyDescent="0.25">
      <c r="A5985" s="8">
        <v>2.0515624999999999E-2</v>
      </c>
    </row>
    <row r="5986" spans="1:1" x14ac:dyDescent="0.25">
      <c r="A5986" s="8">
        <v>2.1296875E-2</v>
      </c>
    </row>
    <row r="5987" spans="1:1" x14ac:dyDescent="0.25">
      <c r="A5987" s="8">
        <v>1.01875E-2</v>
      </c>
    </row>
    <row r="5988" spans="1:1" x14ac:dyDescent="0.25">
      <c r="A5988" s="8">
        <v>2.0593750000000001E-2</v>
      </c>
    </row>
    <row r="5989" spans="1:1" x14ac:dyDescent="0.25">
      <c r="A5989" s="8">
        <v>1.1234375E-2</v>
      </c>
    </row>
    <row r="5990" spans="1:1" x14ac:dyDescent="0.25">
      <c r="A5990" s="8">
        <v>1.4E-2</v>
      </c>
    </row>
    <row r="5991" spans="1:1" x14ac:dyDescent="0.25">
      <c r="A5991" s="8">
        <v>8.1718750000000003E-3</v>
      </c>
    </row>
    <row r="5992" spans="1:1" x14ac:dyDescent="0.25">
      <c r="A5992" s="8">
        <v>1.334375E-2</v>
      </c>
    </row>
    <row r="5993" spans="1:1" x14ac:dyDescent="0.25">
      <c r="A5993" s="8">
        <v>8.2500000000000004E-3</v>
      </c>
    </row>
    <row r="5994" spans="1:1" x14ac:dyDescent="0.25">
      <c r="A5994" s="8">
        <v>1.9494140999999219E-2</v>
      </c>
    </row>
    <row r="5995" spans="1:1" x14ac:dyDescent="0.25">
      <c r="A5995" s="8">
        <v>2.0558594000001904E-2</v>
      </c>
    </row>
    <row r="5996" spans="1:1" x14ac:dyDescent="0.25">
      <c r="A5996" s="8">
        <v>9.5058590000007825E-3</v>
      </c>
    </row>
    <row r="5997" spans="1:1" x14ac:dyDescent="0.25">
      <c r="A5997" s="8">
        <v>2.371875E-2</v>
      </c>
    </row>
    <row r="5998" spans="1:1" x14ac:dyDescent="0.25">
      <c r="A5998" s="8">
        <v>1.1298828000002686E-2</v>
      </c>
    </row>
    <row r="5999" spans="1:1" x14ac:dyDescent="0.25">
      <c r="A5999" s="8">
        <v>1.3550781000001734E-2</v>
      </c>
    </row>
    <row r="6000" spans="1:1" x14ac:dyDescent="0.25">
      <c r="A6000" s="8">
        <v>2.5968749999999999E-2</v>
      </c>
    </row>
    <row r="6001" spans="1:1" x14ac:dyDescent="0.25">
      <c r="A6001" s="8">
        <v>2.4328124999999999E-2</v>
      </c>
    </row>
    <row r="6002" spans="1:1" x14ac:dyDescent="0.25">
      <c r="A6002" s="8">
        <v>2.3777343999994628E-2</v>
      </c>
    </row>
    <row r="6003" spans="1:1" x14ac:dyDescent="0.25">
      <c r="A6003" s="8">
        <v>1.1152344000001903E-2</v>
      </c>
    </row>
    <row r="6004" spans="1:1" x14ac:dyDescent="0.25">
      <c r="A6004" s="8">
        <v>1.2957030999998096E-2</v>
      </c>
    </row>
    <row r="6005" spans="1:1" x14ac:dyDescent="0.25">
      <c r="A6005" s="8">
        <v>1.8300780999998097E-2</v>
      </c>
    </row>
    <row r="6006" spans="1:1" x14ac:dyDescent="0.25">
      <c r="A6006" s="8">
        <v>8.7187500000000008E-3</v>
      </c>
    </row>
    <row r="6007" spans="1:1" x14ac:dyDescent="0.25">
      <c r="A6007" s="8">
        <v>1.1320312000003468E-2</v>
      </c>
    </row>
    <row r="6008" spans="1:1" x14ac:dyDescent="0.25">
      <c r="A6008" s="8">
        <v>2.1152343000001565E-2</v>
      </c>
    </row>
    <row r="6009" spans="1:1" x14ac:dyDescent="0.25">
      <c r="A6009" s="8">
        <v>2.6039061999996192E-2</v>
      </c>
    </row>
    <row r="6010" spans="1:1" x14ac:dyDescent="0.25">
      <c r="A6010" s="8">
        <v>2.0796874999999999E-2</v>
      </c>
    </row>
    <row r="6011" spans="1:1" x14ac:dyDescent="0.25">
      <c r="A6011" s="8">
        <v>1.6984374999999999E-2</v>
      </c>
    </row>
    <row r="6012" spans="1:1" x14ac:dyDescent="0.25">
      <c r="A6012" s="8">
        <v>1.9789063000003809E-2</v>
      </c>
    </row>
    <row r="6013" spans="1:1" x14ac:dyDescent="0.25">
      <c r="A6013" s="8">
        <v>2.4433593999994629E-2</v>
      </c>
    </row>
    <row r="6014" spans="1:1" x14ac:dyDescent="0.25">
      <c r="A6014" s="8">
        <v>3.1167969000001905E-2</v>
      </c>
    </row>
    <row r="6015" spans="1:1" x14ac:dyDescent="0.25">
      <c r="A6015" s="8">
        <v>5.2855468000001564E-2</v>
      </c>
    </row>
    <row r="6016" spans="1:1" x14ac:dyDescent="0.25">
      <c r="A6016" s="8">
        <v>2.2546875000000001E-2</v>
      </c>
    </row>
    <row r="6017" spans="1:1" x14ac:dyDescent="0.25">
      <c r="A6017" s="8">
        <v>8.5976560000053728E-3</v>
      </c>
    </row>
    <row r="6018" spans="1:1" x14ac:dyDescent="0.25">
      <c r="A6018" s="8">
        <v>2.3863280999998095E-2</v>
      </c>
    </row>
    <row r="6019" spans="1:1" x14ac:dyDescent="0.25">
      <c r="A6019" s="8">
        <v>1.7906249999999999E-2</v>
      </c>
    </row>
    <row r="6020" spans="1:1" x14ac:dyDescent="0.25">
      <c r="A6020" s="8">
        <v>7.7578129999965311E-3</v>
      </c>
    </row>
    <row r="6021" spans="1:1" x14ac:dyDescent="0.25">
      <c r="A6021" s="8">
        <v>0.10413281299999654</v>
      </c>
    </row>
    <row r="6022" spans="1:1" x14ac:dyDescent="0.25">
      <c r="A6022" s="8">
        <v>9.0039060000053732E-3</v>
      </c>
    </row>
    <row r="6023" spans="1:1" x14ac:dyDescent="0.25">
      <c r="A6023" s="8">
        <v>9.933593999994628E-3</v>
      </c>
    </row>
    <row r="6024" spans="1:1" x14ac:dyDescent="0.25">
      <c r="A6024" s="8">
        <v>1.7277344000001905E-2</v>
      </c>
    </row>
    <row r="6025" spans="1:1" x14ac:dyDescent="0.25">
      <c r="A6025" s="8">
        <v>2.3742186999996192E-2</v>
      </c>
    </row>
    <row r="6026" spans="1:1" x14ac:dyDescent="0.25">
      <c r="A6026" s="8">
        <v>1.5726561999996194E-2</v>
      </c>
    </row>
    <row r="6027" spans="1:1" x14ac:dyDescent="0.25">
      <c r="A6027" s="8">
        <v>2.9812499999999999E-2</v>
      </c>
    </row>
    <row r="6028" spans="1:1" x14ac:dyDescent="0.25">
      <c r="A6028" s="8">
        <v>2.0937500000000001E-2</v>
      </c>
    </row>
    <row r="6029" spans="1:1" x14ac:dyDescent="0.25">
      <c r="A6029" s="8">
        <v>2.0171874999999999E-2</v>
      </c>
    </row>
    <row r="6030" spans="1:1" x14ac:dyDescent="0.25">
      <c r="A6030" s="8">
        <v>2.2398436999996194E-2</v>
      </c>
    </row>
    <row r="6031" spans="1:1" x14ac:dyDescent="0.25">
      <c r="A6031" s="8">
        <v>1.2492188000003807E-2</v>
      </c>
    </row>
    <row r="6032" spans="1:1" x14ac:dyDescent="0.25">
      <c r="A6032" s="8">
        <v>1.4546875000000001E-2</v>
      </c>
    </row>
    <row r="6033" spans="1:1" x14ac:dyDescent="0.25">
      <c r="A6033" s="8">
        <v>1.7226563000003806E-2</v>
      </c>
    </row>
    <row r="6034" spans="1:1" x14ac:dyDescent="0.25">
      <c r="A6034" s="8">
        <v>2.4609374999999999E-2</v>
      </c>
    </row>
    <row r="6035" spans="1:1" x14ac:dyDescent="0.25">
      <c r="A6035" s="8">
        <v>9.4374999999999997E-3</v>
      </c>
    </row>
    <row r="6036" spans="1:1" x14ac:dyDescent="0.25">
      <c r="A6036" s="8">
        <v>1.3929688000003807E-2</v>
      </c>
    </row>
    <row r="6037" spans="1:1" x14ac:dyDescent="0.25">
      <c r="A6037" s="8">
        <v>9.5546869999961932E-3</v>
      </c>
    </row>
    <row r="6038" spans="1:1" x14ac:dyDescent="0.25">
      <c r="A6038" s="8">
        <v>1.421875E-2</v>
      </c>
    </row>
    <row r="6039" spans="1:1" x14ac:dyDescent="0.25">
      <c r="A6039" s="8">
        <v>2.1156250000000001E-2</v>
      </c>
    </row>
    <row r="6040" spans="1:1" x14ac:dyDescent="0.25">
      <c r="A6040" s="8">
        <v>1.9734374999999998E-2</v>
      </c>
    </row>
    <row r="6041" spans="1:1" x14ac:dyDescent="0.25">
      <c r="A6041" s="8">
        <v>8.7500000000000008E-3</v>
      </c>
    </row>
    <row r="6042" spans="1:1" x14ac:dyDescent="0.25">
      <c r="A6042" s="8">
        <v>2.76875E-2</v>
      </c>
    </row>
    <row r="6043" spans="1:1" x14ac:dyDescent="0.25">
      <c r="A6043" s="8">
        <v>1.6921874999999999E-2</v>
      </c>
    </row>
    <row r="6044" spans="1:1" x14ac:dyDescent="0.25">
      <c r="A6044" s="8">
        <v>7.6562499999999999E-3</v>
      </c>
    </row>
    <row r="6045" spans="1:1" x14ac:dyDescent="0.25">
      <c r="A6045" s="8">
        <v>1.2945313000003808E-2</v>
      </c>
    </row>
    <row r="6046" spans="1:1" x14ac:dyDescent="0.25">
      <c r="A6046" s="8">
        <v>1.3914061999996192E-2</v>
      </c>
    </row>
    <row r="6047" spans="1:1" x14ac:dyDescent="0.25">
      <c r="A6047" s="8">
        <v>1.9515625000000002E-2</v>
      </c>
    </row>
    <row r="6048" spans="1:1" x14ac:dyDescent="0.25">
      <c r="A6048" s="8">
        <v>3.7171875E-2</v>
      </c>
    </row>
    <row r="6049" spans="1:1" x14ac:dyDescent="0.25">
      <c r="A6049" s="8">
        <v>3.0203125000000001E-2</v>
      </c>
    </row>
    <row r="6050" spans="1:1" x14ac:dyDescent="0.25">
      <c r="A6050" s="8">
        <v>1.1195311999996193E-2</v>
      </c>
    </row>
    <row r="6051" spans="1:1" x14ac:dyDescent="0.25">
      <c r="A6051" s="8">
        <v>3.0273438000003806E-2</v>
      </c>
    </row>
    <row r="6052" spans="1:1" x14ac:dyDescent="0.25">
      <c r="A6052" s="8">
        <v>1.5625E-2</v>
      </c>
    </row>
    <row r="6053" spans="1:1" x14ac:dyDescent="0.25">
      <c r="A6053" s="8">
        <v>2.8710936999996193E-2</v>
      </c>
    </row>
    <row r="6054" spans="1:1" x14ac:dyDescent="0.25">
      <c r="A6054" s="8">
        <v>1.39375E-2</v>
      </c>
    </row>
    <row r="6055" spans="1:1" x14ac:dyDescent="0.25">
      <c r="A6055" s="8">
        <v>2.9984375000000001E-2</v>
      </c>
    </row>
    <row r="6056" spans="1:1" x14ac:dyDescent="0.25">
      <c r="A6056" s="8">
        <v>1.5796874999999998E-2</v>
      </c>
    </row>
    <row r="6057" spans="1:1" x14ac:dyDescent="0.25">
      <c r="A6057" s="8">
        <v>1.55625E-2</v>
      </c>
    </row>
    <row r="6058" spans="1:1" x14ac:dyDescent="0.25">
      <c r="A6058" s="8">
        <v>7.8906250000000001E-3</v>
      </c>
    </row>
    <row r="6059" spans="1:1" x14ac:dyDescent="0.25">
      <c r="A6059" s="8">
        <v>3.1796875000000002E-2</v>
      </c>
    </row>
    <row r="6060" spans="1:1" x14ac:dyDescent="0.25">
      <c r="A6060" s="8">
        <v>2.0187500000000001E-2</v>
      </c>
    </row>
    <row r="6061" spans="1:1" x14ac:dyDescent="0.25">
      <c r="A6061" s="8">
        <v>2.0343750000000001E-2</v>
      </c>
    </row>
    <row r="6062" spans="1:1" x14ac:dyDescent="0.25">
      <c r="A6062" s="8">
        <v>1.0953124999999999E-2</v>
      </c>
    </row>
    <row r="6063" spans="1:1" x14ac:dyDescent="0.25">
      <c r="A6063" s="8">
        <v>1.7437500000000002E-2</v>
      </c>
    </row>
    <row r="6064" spans="1:1" x14ac:dyDescent="0.25">
      <c r="A6064" s="8">
        <v>2.0046874999999999E-2</v>
      </c>
    </row>
    <row r="6065" spans="1:1" x14ac:dyDescent="0.25">
      <c r="A6065" s="8">
        <v>1.7203125E-2</v>
      </c>
    </row>
    <row r="6066" spans="1:1" x14ac:dyDescent="0.25">
      <c r="A6066" s="8">
        <v>7.6406249999999998E-3</v>
      </c>
    </row>
    <row r="6067" spans="1:1" x14ac:dyDescent="0.25">
      <c r="A6067" s="8">
        <v>1.3890625E-2</v>
      </c>
    </row>
    <row r="6068" spans="1:1" x14ac:dyDescent="0.25">
      <c r="A6068" s="8">
        <v>2.3046875000000001E-2</v>
      </c>
    </row>
    <row r="6069" spans="1:1" x14ac:dyDescent="0.25">
      <c r="A6069" s="8">
        <v>2.2328125000000001E-2</v>
      </c>
    </row>
    <row r="6070" spans="1:1" x14ac:dyDescent="0.25">
      <c r="A6070" s="8">
        <v>1.3296875E-2</v>
      </c>
    </row>
    <row r="6071" spans="1:1" x14ac:dyDescent="0.25">
      <c r="A6071" s="8">
        <v>8.9218749999999993E-3</v>
      </c>
    </row>
    <row r="6072" spans="1:1" x14ac:dyDescent="0.25">
      <c r="A6072" s="8">
        <v>1.8863281999998434E-2</v>
      </c>
    </row>
    <row r="6073" spans="1:1" x14ac:dyDescent="0.25">
      <c r="A6073" s="8">
        <v>2.3232422000000953E-2</v>
      </c>
    </row>
    <row r="6074" spans="1:1" x14ac:dyDescent="0.25">
      <c r="A6074" s="8">
        <v>2.7230469000001905E-2</v>
      </c>
    </row>
    <row r="6075" spans="1:1" x14ac:dyDescent="0.25">
      <c r="A6075" s="8">
        <v>7.3554680000015651E-3</v>
      </c>
    </row>
    <row r="6076" spans="1:1" x14ac:dyDescent="0.25">
      <c r="A6076" s="8">
        <v>2.2957030999998098E-2</v>
      </c>
    </row>
    <row r="6077" spans="1:1" x14ac:dyDescent="0.25">
      <c r="A6077" s="8">
        <v>2.8417968000001567E-2</v>
      </c>
    </row>
    <row r="6078" spans="1:1" x14ac:dyDescent="0.25">
      <c r="A6078" s="8">
        <v>1.6800780999998096E-2</v>
      </c>
    </row>
    <row r="6079" spans="1:1" x14ac:dyDescent="0.25">
      <c r="A6079" s="8">
        <v>2.1292969000001903E-2</v>
      </c>
    </row>
    <row r="6080" spans="1:1" x14ac:dyDescent="0.25">
      <c r="A6080" s="8">
        <v>2.3410156000005372E-2</v>
      </c>
    </row>
    <row r="6081" spans="1:1" x14ac:dyDescent="0.25">
      <c r="A6081" s="8">
        <v>2.4816406999998434E-2</v>
      </c>
    </row>
    <row r="6082" spans="1:1" x14ac:dyDescent="0.25">
      <c r="A6082" s="8">
        <v>2.5214843999994626E-2</v>
      </c>
    </row>
    <row r="6083" spans="1:1" x14ac:dyDescent="0.25">
      <c r="A6083" s="8">
        <v>1.7066406999998434E-2</v>
      </c>
    </row>
    <row r="6084" spans="1:1" x14ac:dyDescent="0.25">
      <c r="A6084" s="8">
        <v>1.5148436999996193E-2</v>
      </c>
    </row>
    <row r="6085" spans="1:1" x14ac:dyDescent="0.25">
      <c r="A6085" s="8">
        <v>2.1871094000001902E-2</v>
      </c>
    </row>
    <row r="6086" spans="1:1" x14ac:dyDescent="0.25">
      <c r="A6086" s="8">
        <v>1.9398437999996531E-2</v>
      </c>
    </row>
    <row r="6087" spans="1:1" x14ac:dyDescent="0.25">
      <c r="A6087" s="8">
        <v>1.9730469000001905E-2</v>
      </c>
    </row>
    <row r="6088" spans="1:1" x14ac:dyDescent="0.25">
      <c r="A6088" s="8">
        <v>1.3210936999996193E-2</v>
      </c>
    </row>
    <row r="6089" spans="1:1" x14ac:dyDescent="0.25">
      <c r="A6089" s="8">
        <v>5.3320313000003811E-2</v>
      </c>
    </row>
    <row r="6090" spans="1:1" x14ac:dyDescent="0.25">
      <c r="A6090" s="8">
        <v>6.2511719000001909E-2</v>
      </c>
    </row>
    <row r="6091" spans="1:1" x14ac:dyDescent="0.25">
      <c r="A6091" s="8">
        <v>1.7195311999996191E-2</v>
      </c>
    </row>
    <row r="6092" spans="1:1" x14ac:dyDescent="0.25">
      <c r="A6092" s="8">
        <v>1.5242188000003808E-2</v>
      </c>
    </row>
    <row r="6093" spans="1:1" x14ac:dyDescent="0.25">
      <c r="A6093" s="8">
        <v>8.1250000000000003E-3</v>
      </c>
    </row>
    <row r="6094" spans="1:1" x14ac:dyDescent="0.25">
      <c r="A6094" s="8">
        <v>1.0117188000003807E-2</v>
      </c>
    </row>
    <row r="6095" spans="1:1" x14ac:dyDescent="0.25">
      <c r="A6095" s="8">
        <v>6.0187499999999998E-2</v>
      </c>
    </row>
    <row r="6096" spans="1:1" x14ac:dyDescent="0.25">
      <c r="A6096" s="8">
        <v>1.2648436999996193E-2</v>
      </c>
    </row>
    <row r="6097" spans="1:1" x14ac:dyDescent="0.25">
      <c r="A6097" s="8">
        <v>1.7445313000003806E-2</v>
      </c>
    </row>
    <row r="6098" spans="1:1" x14ac:dyDescent="0.25">
      <c r="A6098" s="8">
        <v>1.6296874999999999E-2</v>
      </c>
    </row>
    <row r="6099" spans="1:1" x14ac:dyDescent="0.25">
      <c r="A6099" s="8">
        <v>3.9843749999999997E-2</v>
      </c>
    </row>
    <row r="6100" spans="1:1" x14ac:dyDescent="0.25">
      <c r="A6100" s="8">
        <v>2.009375E-2</v>
      </c>
    </row>
    <row r="6101" spans="1:1" x14ac:dyDescent="0.25">
      <c r="A6101" s="8">
        <v>2.5273438000003808E-2</v>
      </c>
    </row>
    <row r="6102" spans="1:1" x14ac:dyDescent="0.25">
      <c r="A6102" s="8">
        <v>1.2593750000000001E-2</v>
      </c>
    </row>
    <row r="6103" spans="1:1" x14ac:dyDescent="0.25">
      <c r="A6103" s="8">
        <v>1.3367186999996193E-2</v>
      </c>
    </row>
    <row r="6104" spans="1:1" x14ac:dyDescent="0.25">
      <c r="A6104" s="8">
        <v>1.9984374999999999E-2</v>
      </c>
    </row>
    <row r="6105" spans="1:1" x14ac:dyDescent="0.25">
      <c r="A6105" s="8">
        <v>1.3335936999996193E-2</v>
      </c>
    </row>
    <row r="6106" spans="1:1" x14ac:dyDescent="0.25">
      <c r="A6106" s="8">
        <v>1.5632811999996193E-2</v>
      </c>
    </row>
    <row r="6107" spans="1:1" x14ac:dyDescent="0.25">
      <c r="A6107" s="8">
        <v>2.9945313000003807E-2</v>
      </c>
    </row>
    <row r="6108" spans="1:1" x14ac:dyDescent="0.25">
      <c r="A6108" s="8">
        <v>9.2499999999999995E-3</v>
      </c>
    </row>
    <row r="6109" spans="1:1" x14ac:dyDescent="0.25">
      <c r="A6109" s="8">
        <v>1.9773436999996192E-2</v>
      </c>
    </row>
    <row r="6110" spans="1:1" x14ac:dyDescent="0.25">
      <c r="A6110" s="8">
        <v>2.3617188000003807E-2</v>
      </c>
    </row>
    <row r="6111" spans="1:1" x14ac:dyDescent="0.25">
      <c r="A6111" s="8">
        <v>2.6953125000000001E-2</v>
      </c>
    </row>
    <row r="6112" spans="1:1" x14ac:dyDescent="0.25">
      <c r="A6112" s="8">
        <v>1.3757813000003807E-2</v>
      </c>
    </row>
    <row r="6113" spans="1:1" x14ac:dyDescent="0.25">
      <c r="A6113" s="8">
        <v>1.0843749999999999E-2</v>
      </c>
    </row>
    <row r="6114" spans="1:1" x14ac:dyDescent="0.25">
      <c r="A6114" s="8">
        <v>1.35625E-2</v>
      </c>
    </row>
    <row r="6115" spans="1:1" x14ac:dyDescent="0.25">
      <c r="A6115" s="8">
        <v>2.1906249999999999E-2</v>
      </c>
    </row>
    <row r="6116" spans="1:1" x14ac:dyDescent="0.25">
      <c r="A6116" s="8">
        <v>1.003125E-2</v>
      </c>
    </row>
    <row r="6117" spans="1:1" x14ac:dyDescent="0.25">
      <c r="A6117" s="8">
        <v>1.6273436999996192E-2</v>
      </c>
    </row>
    <row r="6118" spans="1:1" x14ac:dyDescent="0.25">
      <c r="A6118" s="8">
        <v>1.7109375E-2</v>
      </c>
    </row>
    <row r="6119" spans="1:1" x14ac:dyDescent="0.25">
      <c r="A6119" s="8">
        <v>1.565625E-2</v>
      </c>
    </row>
    <row r="6120" spans="1:1" x14ac:dyDescent="0.25">
      <c r="A6120" s="8">
        <v>1.315625E-2</v>
      </c>
    </row>
    <row r="6121" spans="1:1" x14ac:dyDescent="0.25">
      <c r="A6121" s="8">
        <v>9.2656249999999996E-3</v>
      </c>
    </row>
    <row r="6122" spans="1:1" x14ac:dyDescent="0.25">
      <c r="A6122" s="8">
        <v>2.0546874999999999E-2</v>
      </c>
    </row>
    <row r="6123" spans="1:1" x14ac:dyDescent="0.25">
      <c r="A6123" s="8">
        <v>1.965625E-2</v>
      </c>
    </row>
    <row r="6124" spans="1:1" x14ac:dyDescent="0.25">
      <c r="A6124" s="8">
        <v>1.0140625E-2</v>
      </c>
    </row>
    <row r="6125" spans="1:1" x14ac:dyDescent="0.25">
      <c r="A6125" s="8">
        <v>1.0656250000000001E-2</v>
      </c>
    </row>
    <row r="6126" spans="1:1" x14ac:dyDescent="0.25">
      <c r="A6126" s="8">
        <v>2.1546875E-2</v>
      </c>
    </row>
    <row r="6127" spans="1:1" x14ac:dyDescent="0.25">
      <c r="A6127" s="8">
        <v>8.7500000000000008E-3</v>
      </c>
    </row>
    <row r="6128" spans="1:1" x14ac:dyDescent="0.25">
      <c r="A6128" s="8">
        <v>3.0031249999999999E-2</v>
      </c>
    </row>
    <row r="6129" spans="1:1" x14ac:dyDescent="0.25">
      <c r="A6129" s="8">
        <v>8.2343750000000004E-3</v>
      </c>
    </row>
    <row r="6130" spans="1:1" x14ac:dyDescent="0.25">
      <c r="A6130" s="8">
        <v>1.115625E-2</v>
      </c>
    </row>
    <row r="6131" spans="1:1" x14ac:dyDescent="0.25">
      <c r="A6131" s="8">
        <v>2.370117200000095E-2</v>
      </c>
    </row>
    <row r="6132" spans="1:1" x14ac:dyDescent="0.25">
      <c r="A6132" s="8">
        <v>1.8396484999997482E-2</v>
      </c>
    </row>
    <row r="6133" spans="1:1" x14ac:dyDescent="0.25">
      <c r="A6133" s="8">
        <v>0.14213671800000158</v>
      </c>
    </row>
    <row r="6134" spans="1:1" x14ac:dyDescent="0.25">
      <c r="A6134" s="8">
        <v>1.6974609999997482E-2</v>
      </c>
    </row>
    <row r="6135" spans="1:1" x14ac:dyDescent="0.25">
      <c r="A6135" s="8">
        <v>7.8632810000053722E-3</v>
      </c>
    </row>
    <row r="6136" spans="1:1" x14ac:dyDescent="0.25">
      <c r="A6136" s="8">
        <v>1.7292969000001903E-2</v>
      </c>
    </row>
    <row r="6137" spans="1:1" x14ac:dyDescent="0.25">
      <c r="A6137" s="8">
        <v>1.7136719000001903E-2</v>
      </c>
    </row>
    <row r="6138" spans="1:1" x14ac:dyDescent="0.25">
      <c r="A6138" s="8">
        <v>1.732031200000347E-2</v>
      </c>
    </row>
    <row r="6139" spans="1:1" x14ac:dyDescent="0.25">
      <c r="A6139" s="8">
        <v>1.5078125E-2</v>
      </c>
    </row>
    <row r="6140" spans="1:1" x14ac:dyDescent="0.25">
      <c r="A6140" s="8">
        <v>2.0457031000005371E-2</v>
      </c>
    </row>
    <row r="6141" spans="1:1" x14ac:dyDescent="0.25">
      <c r="A6141" s="8">
        <v>3.966406199999619E-2</v>
      </c>
    </row>
    <row r="6142" spans="1:1" x14ac:dyDescent="0.25">
      <c r="A6142" s="8">
        <v>1.1628905999998097E-2</v>
      </c>
    </row>
    <row r="6143" spans="1:1" x14ac:dyDescent="0.25">
      <c r="A6143" s="8">
        <v>1.1054688000003808E-2</v>
      </c>
    </row>
    <row r="6144" spans="1:1" x14ac:dyDescent="0.25">
      <c r="A6144" s="8">
        <v>1.7503906000005374E-2</v>
      </c>
    </row>
    <row r="6145" spans="1:1" x14ac:dyDescent="0.25">
      <c r="A6145" s="8">
        <v>1.3957031999998435E-2</v>
      </c>
    </row>
    <row r="6146" spans="1:1" x14ac:dyDescent="0.25">
      <c r="A6146" s="8">
        <v>1.7097655999998098E-2</v>
      </c>
    </row>
    <row r="6147" spans="1:1" x14ac:dyDescent="0.25">
      <c r="A6147" s="8">
        <v>6.5996093999994634E-2</v>
      </c>
    </row>
    <row r="6148" spans="1:1" x14ac:dyDescent="0.25">
      <c r="A6148" s="8">
        <v>9.0390619999961928E-3</v>
      </c>
    </row>
    <row r="6149" spans="1:1" x14ac:dyDescent="0.25">
      <c r="A6149" s="8">
        <v>1.9808593000001564E-2</v>
      </c>
    </row>
    <row r="6150" spans="1:1" x14ac:dyDescent="0.25">
      <c r="A6150" s="8">
        <v>1.5160155999998096E-2</v>
      </c>
    </row>
    <row r="6151" spans="1:1" x14ac:dyDescent="0.25">
      <c r="A6151" s="8">
        <v>2.4015624999999999E-2</v>
      </c>
    </row>
    <row r="6152" spans="1:1" x14ac:dyDescent="0.25">
      <c r="A6152" s="8">
        <v>1.8003905999998095E-2</v>
      </c>
    </row>
    <row r="6153" spans="1:1" x14ac:dyDescent="0.25">
      <c r="A6153" s="8">
        <v>1.13125E-2</v>
      </c>
    </row>
    <row r="6154" spans="1:1" x14ac:dyDescent="0.25">
      <c r="A6154" s="8">
        <v>2.0472655999998098E-2</v>
      </c>
    </row>
    <row r="6155" spans="1:1" x14ac:dyDescent="0.25">
      <c r="A6155" s="8">
        <v>7.5937499999999998E-3</v>
      </c>
    </row>
    <row r="6156" spans="1:1" x14ac:dyDescent="0.25">
      <c r="A6156" s="8">
        <v>2.0242188000003807E-2</v>
      </c>
    </row>
    <row r="6157" spans="1:1" x14ac:dyDescent="0.25">
      <c r="A6157" s="8">
        <v>1.9515625000000002E-2</v>
      </c>
    </row>
    <row r="6158" spans="1:1" x14ac:dyDescent="0.25">
      <c r="A6158" s="8">
        <v>2.35E-2</v>
      </c>
    </row>
    <row r="6159" spans="1:1" x14ac:dyDescent="0.25">
      <c r="A6159" s="8">
        <v>2.1164063000003806E-2</v>
      </c>
    </row>
    <row r="6160" spans="1:1" x14ac:dyDescent="0.25">
      <c r="A6160" s="8">
        <v>2.6617188000003806E-2</v>
      </c>
    </row>
    <row r="6161" spans="1:1" x14ac:dyDescent="0.25">
      <c r="A6161" s="8">
        <v>8.4296869999961922E-3</v>
      </c>
    </row>
    <row r="6162" spans="1:1" x14ac:dyDescent="0.25">
      <c r="A6162" s="8">
        <v>1.4984374999999999E-2</v>
      </c>
    </row>
    <row r="6163" spans="1:1" x14ac:dyDescent="0.25">
      <c r="A6163" s="8">
        <v>7.4453119999961931E-3</v>
      </c>
    </row>
    <row r="6164" spans="1:1" x14ac:dyDescent="0.25">
      <c r="A6164" s="8">
        <v>1.7835936999996194E-2</v>
      </c>
    </row>
    <row r="6165" spans="1:1" x14ac:dyDescent="0.25">
      <c r="A6165" s="8">
        <v>1.7296875E-2</v>
      </c>
    </row>
    <row r="6166" spans="1:1" x14ac:dyDescent="0.25">
      <c r="A6166" s="8">
        <v>7.8906250000000001E-3</v>
      </c>
    </row>
    <row r="6167" spans="1:1" x14ac:dyDescent="0.25">
      <c r="A6167" s="8">
        <v>1.4015625E-2</v>
      </c>
    </row>
    <row r="6168" spans="1:1" x14ac:dyDescent="0.25">
      <c r="A6168" s="8">
        <v>2.0578124999999999E-2</v>
      </c>
    </row>
    <row r="6169" spans="1:1" x14ac:dyDescent="0.25">
      <c r="A6169" s="8">
        <v>2.1859375E-2</v>
      </c>
    </row>
    <row r="6170" spans="1:1" x14ac:dyDescent="0.25">
      <c r="A6170" s="8">
        <v>1.3851561999996194E-2</v>
      </c>
    </row>
    <row r="6171" spans="1:1" x14ac:dyDescent="0.25">
      <c r="A6171" s="8">
        <v>8.5703119999961924E-3</v>
      </c>
    </row>
    <row r="6172" spans="1:1" x14ac:dyDescent="0.25">
      <c r="A6172" s="8">
        <v>8.304688000003807E-3</v>
      </c>
    </row>
    <row r="6173" spans="1:1" x14ac:dyDescent="0.25">
      <c r="A6173" s="8">
        <v>2.8312500000000001E-2</v>
      </c>
    </row>
    <row r="6174" spans="1:1" x14ac:dyDescent="0.25">
      <c r="A6174" s="8">
        <v>1.7304688000003808E-2</v>
      </c>
    </row>
    <row r="6175" spans="1:1" x14ac:dyDescent="0.25">
      <c r="A6175" s="8">
        <v>2.3679688000003807E-2</v>
      </c>
    </row>
    <row r="6176" spans="1:1" x14ac:dyDescent="0.25">
      <c r="A6176" s="8">
        <v>1.4273438000003807E-2</v>
      </c>
    </row>
    <row r="6177" spans="1:1" x14ac:dyDescent="0.25">
      <c r="A6177" s="8">
        <v>1.1765625E-2</v>
      </c>
    </row>
    <row r="6178" spans="1:1" x14ac:dyDescent="0.25">
      <c r="A6178" s="8">
        <v>1.6453124999999999E-2</v>
      </c>
    </row>
    <row r="6179" spans="1:1" x14ac:dyDescent="0.25">
      <c r="A6179" s="8">
        <v>1.8351561999996192E-2</v>
      </c>
    </row>
    <row r="6180" spans="1:1" x14ac:dyDescent="0.25">
      <c r="A6180" s="8">
        <v>7.796875E-3</v>
      </c>
    </row>
    <row r="6181" spans="1:1" x14ac:dyDescent="0.25">
      <c r="A6181" s="8">
        <v>1.1703125E-2</v>
      </c>
    </row>
    <row r="6182" spans="1:1" x14ac:dyDescent="0.25">
      <c r="A6182" s="8">
        <v>0.1319609380000038</v>
      </c>
    </row>
    <row r="6183" spans="1:1" x14ac:dyDescent="0.25">
      <c r="A6183" s="8">
        <v>1.1765625E-2</v>
      </c>
    </row>
    <row r="6184" spans="1:1" x14ac:dyDescent="0.25">
      <c r="A6184" s="8">
        <v>2.3210936999996191E-2</v>
      </c>
    </row>
    <row r="6185" spans="1:1" x14ac:dyDescent="0.25">
      <c r="A6185" s="8">
        <v>1.3203125E-2</v>
      </c>
    </row>
    <row r="6186" spans="1:1" x14ac:dyDescent="0.25">
      <c r="A6186" s="8">
        <v>1.7242188000003808E-2</v>
      </c>
    </row>
    <row r="6187" spans="1:1" x14ac:dyDescent="0.25">
      <c r="A6187" s="8">
        <v>1.4140625E-2</v>
      </c>
    </row>
    <row r="6188" spans="1:1" x14ac:dyDescent="0.25">
      <c r="A6188" s="8">
        <v>1.3476563000003806E-2</v>
      </c>
    </row>
    <row r="6189" spans="1:1" x14ac:dyDescent="0.25">
      <c r="A6189" s="8">
        <v>1.6359374999999999E-2</v>
      </c>
    </row>
    <row r="6190" spans="1:1" x14ac:dyDescent="0.25">
      <c r="A6190" s="8">
        <v>2.0171874999999999E-2</v>
      </c>
    </row>
    <row r="6191" spans="1:1" x14ac:dyDescent="0.25">
      <c r="A6191" s="8">
        <v>1.7515625E-2</v>
      </c>
    </row>
    <row r="6192" spans="1:1" x14ac:dyDescent="0.25">
      <c r="A6192" s="8">
        <v>7.6874999999999999E-3</v>
      </c>
    </row>
    <row r="6193" spans="1:1" x14ac:dyDescent="0.25">
      <c r="A6193" s="8">
        <v>1.3875E-2</v>
      </c>
    </row>
    <row r="6194" spans="1:1" x14ac:dyDescent="0.25">
      <c r="A6194" s="8">
        <v>7.5937499999999998E-3</v>
      </c>
    </row>
    <row r="6195" spans="1:1" x14ac:dyDescent="0.25">
      <c r="A6195" s="8">
        <v>1.3546875E-2</v>
      </c>
    </row>
    <row r="6196" spans="1:1" x14ac:dyDescent="0.25">
      <c r="A6196" s="8">
        <v>1.4328125000000001E-2</v>
      </c>
    </row>
    <row r="6197" spans="1:1" x14ac:dyDescent="0.25">
      <c r="A6197" s="8">
        <v>1.4890624999999999E-2</v>
      </c>
    </row>
    <row r="6198" spans="1:1" x14ac:dyDescent="0.25">
      <c r="A6198" s="8">
        <v>2.3234375000000002E-2</v>
      </c>
    </row>
    <row r="6199" spans="1:1" x14ac:dyDescent="0.25">
      <c r="A6199" s="8">
        <v>1.9460936999999831E-2</v>
      </c>
    </row>
    <row r="6200" spans="1:1" x14ac:dyDescent="0.25">
      <c r="A6200" s="8">
        <v>1.2687500000000001E-2</v>
      </c>
    </row>
    <row r="6201" spans="1:1" x14ac:dyDescent="0.25">
      <c r="A6201" s="8">
        <v>7.3335936999999837E-2</v>
      </c>
    </row>
    <row r="6202" spans="1:1" x14ac:dyDescent="0.25">
      <c r="A6202" s="8">
        <v>2.3359375000000002E-2</v>
      </c>
    </row>
    <row r="6203" spans="1:1" x14ac:dyDescent="0.25">
      <c r="A6203" s="8">
        <v>2.5488281000001733E-2</v>
      </c>
    </row>
    <row r="6204" spans="1:1" x14ac:dyDescent="0.25">
      <c r="A6204" s="8">
        <v>7.9433590000007829E-3</v>
      </c>
    </row>
    <row r="6205" spans="1:1" x14ac:dyDescent="0.25">
      <c r="A6205" s="8">
        <v>1.3955077999999049E-2</v>
      </c>
    </row>
    <row r="6206" spans="1:1" x14ac:dyDescent="0.25">
      <c r="A6206" s="8">
        <v>7.7695319999984353E-3</v>
      </c>
    </row>
    <row r="6207" spans="1:1" x14ac:dyDescent="0.25">
      <c r="A6207" s="8">
        <v>8.3164059999980972E-3</v>
      </c>
    </row>
    <row r="6208" spans="1:1" x14ac:dyDescent="0.25">
      <c r="A6208" s="8">
        <v>1.0917969000001904E-2</v>
      </c>
    </row>
    <row r="6209" spans="1:1" x14ac:dyDescent="0.25">
      <c r="A6209" s="8">
        <v>2.1531249999999998E-2</v>
      </c>
    </row>
    <row r="6210" spans="1:1" x14ac:dyDescent="0.25">
      <c r="A6210" s="8">
        <v>2.1765625E-2</v>
      </c>
    </row>
    <row r="6211" spans="1:1" x14ac:dyDescent="0.25">
      <c r="A6211" s="8">
        <v>1.1632811999996193E-2</v>
      </c>
    </row>
    <row r="6212" spans="1:1" x14ac:dyDescent="0.25">
      <c r="A6212" s="8">
        <v>1.9917969000001902E-2</v>
      </c>
    </row>
    <row r="6213" spans="1:1" x14ac:dyDescent="0.25">
      <c r="A6213" s="8">
        <v>1.5308593999994628E-2</v>
      </c>
    </row>
    <row r="6214" spans="1:1" x14ac:dyDescent="0.25">
      <c r="A6214" s="8">
        <v>8.4074219000001907E-2</v>
      </c>
    </row>
    <row r="6215" spans="1:1" x14ac:dyDescent="0.25">
      <c r="A6215" s="8">
        <v>2.1207031000005372E-2</v>
      </c>
    </row>
    <row r="6216" spans="1:1" x14ac:dyDescent="0.25">
      <c r="A6216" s="8">
        <v>3.1800780999998099E-2</v>
      </c>
    </row>
    <row r="6217" spans="1:1" x14ac:dyDescent="0.25">
      <c r="A6217" s="8">
        <v>7.8085940000019033E-3</v>
      </c>
    </row>
    <row r="6218" spans="1:1" x14ac:dyDescent="0.25">
      <c r="A6218" s="8">
        <v>1.1339843999994628E-2</v>
      </c>
    </row>
    <row r="6219" spans="1:1" x14ac:dyDescent="0.25">
      <c r="A6219" s="8">
        <v>1.6636719000001902E-2</v>
      </c>
    </row>
    <row r="6220" spans="1:1" x14ac:dyDescent="0.25">
      <c r="A6220" s="8">
        <v>1.3851561999996194E-2</v>
      </c>
    </row>
    <row r="6221" spans="1:1" x14ac:dyDescent="0.25">
      <c r="A6221" s="8">
        <v>8.7683594000001905E-2</v>
      </c>
    </row>
    <row r="6222" spans="1:1" x14ac:dyDescent="0.25">
      <c r="A6222" s="8">
        <v>1.9738280999998095E-2</v>
      </c>
    </row>
    <row r="6223" spans="1:1" x14ac:dyDescent="0.25">
      <c r="A6223" s="8">
        <v>7.78125E-3</v>
      </c>
    </row>
    <row r="6224" spans="1:1" x14ac:dyDescent="0.25">
      <c r="A6224" s="8">
        <v>2.0953125E-2</v>
      </c>
    </row>
    <row r="6225" spans="1:1" x14ac:dyDescent="0.25">
      <c r="A6225" s="8">
        <v>1.01875E-2</v>
      </c>
    </row>
    <row r="6226" spans="1:1" x14ac:dyDescent="0.25">
      <c r="A6226" s="8">
        <v>1.1351563000003808E-2</v>
      </c>
    </row>
    <row r="6227" spans="1:1" x14ac:dyDescent="0.25">
      <c r="A6227" s="8">
        <v>1.0820311999996193E-2</v>
      </c>
    </row>
    <row r="6228" spans="1:1" x14ac:dyDescent="0.25">
      <c r="A6228" s="8">
        <v>2.2359375000000001E-2</v>
      </c>
    </row>
    <row r="6229" spans="1:1" x14ac:dyDescent="0.25">
      <c r="A6229" s="8">
        <v>1.7210936999996193E-2</v>
      </c>
    </row>
    <row r="6230" spans="1:1" x14ac:dyDescent="0.25">
      <c r="A6230" s="8">
        <v>1.4789063000003808E-2</v>
      </c>
    </row>
    <row r="6231" spans="1:1" x14ac:dyDescent="0.25">
      <c r="A6231" s="8">
        <v>2.1234375E-2</v>
      </c>
    </row>
    <row r="6232" spans="1:1" x14ac:dyDescent="0.25">
      <c r="A6232" s="8">
        <v>2.6101561999996192E-2</v>
      </c>
    </row>
    <row r="6233" spans="1:1" x14ac:dyDescent="0.25">
      <c r="A6233" s="8">
        <v>1.1617186999996193E-2</v>
      </c>
    </row>
    <row r="6234" spans="1:1" x14ac:dyDescent="0.25">
      <c r="A6234" s="8">
        <v>9.3437499999999996E-3</v>
      </c>
    </row>
    <row r="6235" spans="1:1" x14ac:dyDescent="0.25">
      <c r="A6235" s="8">
        <v>8.3515619999961922E-3</v>
      </c>
    </row>
    <row r="6236" spans="1:1" x14ac:dyDescent="0.25">
      <c r="A6236" s="8">
        <v>1.9875E-2</v>
      </c>
    </row>
    <row r="6237" spans="1:1" x14ac:dyDescent="0.25">
      <c r="A6237" s="8">
        <v>2.6687499999999999E-2</v>
      </c>
    </row>
    <row r="6238" spans="1:1" x14ac:dyDescent="0.25">
      <c r="A6238" s="8">
        <v>1.6203124999999999E-2</v>
      </c>
    </row>
    <row r="6239" spans="1:1" x14ac:dyDescent="0.25">
      <c r="A6239" s="8">
        <v>1.7570313000003807E-2</v>
      </c>
    </row>
    <row r="6240" spans="1:1" x14ac:dyDescent="0.25">
      <c r="A6240" s="8">
        <v>1.9117186999996191E-2</v>
      </c>
    </row>
    <row r="6241" spans="1:1" x14ac:dyDescent="0.25">
      <c r="A6241" s="8">
        <v>1.13125E-2</v>
      </c>
    </row>
    <row r="6242" spans="1:1" x14ac:dyDescent="0.25">
      <c r="A6242" s="8">
        <v>1.1460936999996193E-2</v>
      </c>
    </row>
    <row r="6243" spans="1:1" x14ac:dyDescent="0.25">
      <c r="A6243" s="8">
        <v>1.7453125E-2</v>
      </c>
    </row>
    <row r="6244" spans="1:1" x14ac:dyDescent="0.25">
      <c r="A6244" s="8">
        <v>0.1316171880000038</v>
      </c>
    </row>
    <row r="6245" spans="1:1" x14ac:dyDescent="0.25">
      <c r="A6245" s="8">
        <v>2.0687500000000001E-2</v>
      </c>
    </row>
    <row r="6246" spans="1:1" x14ac:dyDescent="0.25">
      <c r="A6246" s="8">
        <v>1.4539063000003807E-2</v>
      </c>
    </row>
    <row r="6247" spans="1:1" x14ac:dyDescent="0.25">
      <c r="A6247" s="8">
        <v>2.9648436999996194E-2</v>
      </c>
    </row>
    <row r="6248" spans="1:1" x14ac:dyDescent="0.25">
      <c r="A6248" s="8">
        <v>1.4867186999996193E-2</v>
      </c>
    </row>
    <row r="6249" spans="1:1" x14ac:dyDescent="0.25">
      <c r="A6249" s="8">
        <v>2.328125E-2</v>
      </c>
    </row>
    <row r="6250" spans="1:1" x14ac:dyDescent="0.25">
      <c r="A6250" s="8">
        <v>2.2851561999996193E-2</v>
      </c>
    </row>
    <row r="6251" spans="1:1" x14ac:dyDescent="0.25">
      <c r="A6251" s="8">
        <v>1.4585936999996192E-2</v>
      </c>
    </row>
    <row r="6252" spans="1:1" x14ac:dyDescent="0.25">
      <c r="A6252" s="8">
        <v>7.7187499999999999E-3</v>
      </c>
    </row>
    <row r="6253" spans="1:1" x14ac:dyDescent="0.25">
      <c r="A6253" s="8">
        <v>0.10935937499999999</v>
      </c>
    </row>
    <row r="6254" spans="1:1" x14ac:dyDescent="0.25">
      <c r="A6254" s="8">
        <v>7.4531249999999997E-3</v>
      </c>
    </row>
    <row r="6255" spans="1:1" x14ac:dyDescent="0.25">
      <c r="A6255" s="8">
        <v>2.5109375E-2</v>
      </c>
    </row>
    <row r="6256" spans="1:1" x14ac:dyDescent="0.25">
      <c r="A6256" s="8">
        <v>1.9765624999999998E-2</v>
      </c>
    </row>
    <row r="6257" spans="1:1" x14ac:dyDescent="0.25">
      <c r="A6257" s="8">
        <v>1.4437500000000001E-2</v>
      </c>
    </row>
    <row r="6258" spans="1:1" x14ac:dyDescent="0.25">
      <c r="A6258" s="8">
        <v>2.1062500000000001E-2</v>
      </c>
    </row>
    <row r="6259" spans="1:1" x14ac:dyDescent="0.25">
      <c r="A6259" s="8">
        <v>1.91875E-2</v>
      </c>
    </row>
    <row r="6260" spans="1:1" x14ac:dyDescent="0.25">
      <c r="A6260" s="8">
        <v>1.128125E-2</v>
      </c>
    </row>
    <row r="6261" spans="1:1" x14ac:dyDescent="0.25">
      <c r="A6261" s="8">
        <v>1.365625E-2</v>
      </c>
    </row>
    <row r="6262" spans="1:1" x14ac:dyDescent="0.25">
      <c r="A6262" s="8">
        <v>2.1859375E-2</v>
      </c>
    </row>
    <row r="6263" spans="1:1" x14ac:dyDescent="0.25">
      <c r="A6263" s="8">
        <v>1.4E-2</v>
      </c>
    </row>
    <row r="6264" spans="1:1" x14ac:dyDescent="0.25">
      <c r="A6264" s="8">
        <v>2.8109374999999999E-2</v>
      </c>
    </row>
    <row r="6265" spans="1:1" x14ac:dyDescent="0.25">
      <c r="A6265" s="8">
        <v>1.7734375E-2</v>
      </c>
    </row>
    <row r="6266" spans="1:1" x14ac:dyDescent="0.25">
      <c r="A6266" s="8">
        <v>2.746875E-2</v>
      </c>
    </row>
    <row r="6267" spans="1:1" x14ac:dyDescent="0.25">
      <c r="A6267" s="8">
        <v>2.0375000000000001E-2</v>
      </c>
    </row>
    <row r="6268" spans="1:1" x14ac:dyDescent="0.25">
      <c r="A6268" s="8">
        <v>1.7749999999999998E-2</v>
      </c>
    </row>
    <row r="6269" spans="1:1" x14ac:dyDescent="0.25">
      <c r="A6269" s="8">
        <v>1.8537109999997484E-2</v>
      </c>
    </row>
    <row r="6270" spans="1:1" x14ac:dyDescent="0.25">
      <c r="A6270" s="8">
        <v>2.2251952999999047E-2</v>
      </c>
    </row>
    <row r="6271" spans="1:1" x14ac:dyDescent="0.25">
      <c r="A6271" s="8">
        <v>2.1519531999998436E-2</v>
      </c>
    </row>
    <row r="6272" spans="1:1" x14ac:dyDescent="0.25">
      <c r="A6272" s="8">
        <v>1.6535155999998098E-2</v>
      </c>
    </row>
    <row r="6273" spans="1:1" x14ac:dyDescent="0.25">
      <c r="A6273" s="8">
        <v>1.1287109000000782E-2</v>
      </c>
    </row>
    <row r="6274" spans="1:1" x14ac:dyDescent="0.25">
      <c r="A6274" s="8">
        <v>2.0035155999998097E-2</v>
      </c>
    </row>
    <row r="6275" spans="1:1" x14ac:dyDescent="0.25">
      <c r="A6275" s="8">
        <v>1.9484375000000002E-2</v>
      </c>
    </row>
    <row r="6276" spans="1:1" x14ac:dyDescent="0.25">
      <c r="A6276" s="8">
        <v>1.9984374999999999E-2</v>
      </c>
    </row>
    <row r="6277" spans="1:1" x14ac:dyDescent="0.25">
      <c r="A6277" s="8">
        <v>1.41875E-2</v>
      </c>
    </row>
    <row r="6278" spans="1:1" x14ac:dyDescent="0.25">
      <c r="A6278" s="8">
        <v>2.1039063000003806E-2</v>
      </c>
    </row>
    <row r="6279" spans="1:1" x14ac:dyDescent="0.25">
      <c r="A6279" s="8">
        <v>2.4046874999999999E-2</v>
      </c>
    </row>
    <row r="6280" spans="1:1" x14ac:dyDescent="0.25">
      <c r="A6280" s="8">
        <v>1.0460936999996192E-2</v>
      </c>
    </row>
    <row r="6281" spans="1:1" x14ac:dyDescent="0.25">
      <c r="A6281" s="8">
        <v>2.7230469000001905E-2</v>
      </c>
    </row>
    <row r="6282" spans="1:1" x14ac:dyDescent="0.25">
      <c r="A6282" s="8">
        <v>1.2070312000003469E-2</v>
      </c>
    </row>
    <row r="6283" spans="1:1" x14ac:dyDescent="0.25">
      <c r="A6283" s="8">
        <v>2.063281200000347E-2</v>
      </c>
    </row>
    <row r="6284" spans="1:1" x14ac:dyDescent="0.25">
      <c r="A6284" s="8">
        <v>1.4679688000003807E-2</v>
      </c>
    </row>
    <row r="6285" spans="1:1" x14ac:dyDescent="0.25">
      <c r="A6285" s="8">
        <v>9.2128906000005367E-2</v>
      </c>
    </row>
    <row r="6286" spans="1:1" x14ac:dyDescent="0.25">
      <c r="A6286" s="8">
        <v>7.5195319999984351E-3</v>
      </c>
    </row>
    <row r="6287" spans="1:1" x14ac:dyDescent="0.25">
      <c r="A6287" s="8">
        <v>7.8671880000038066E-3</v>
      </c>
    </row>
    <row r="6288" spans="1:1" x14ac:dyDescent="0.25">
      <c r="A6288" s="8">
        <v>2.0804687000003468E-2</v>
      </c>
    </row>
    <row r="6289" spans="1:1" x14ac:dyDescent="0.25">
      <c r="A6289" s="8">
        <v>1.3164063000003808E-2</v>
      </c>
    </row>
    <row r="6290" spans="1:1" x14ac:dyDescent="0.25">
      <c r="A6290" s="8">
        <v>8.0156250000000002E-3</v>
      </c>
    </row>
    <row r="6291" spans="1:1" x14ac:dyDescent="0.25">
      <c r="A6291" s="8">
        <v>9.2421869999961929E-3</v>
      </c>
    </row>
    <row r="6292" spans="1:1" x14ac:dyDescent="0.25">
      <c r="A6292" s="8">
        <v>1.3710937000003469E-2</v>
      </c>
    </row>
    <row r="6293" spans="1:1" x14ac:dyDescent="0.25">
      <c r="A6293" s="8">
        <v>1.7554686999996193E-2</v>
      </c>
    </row>
    <row r="6294" spans="1:1" x14ac:dyDescent="0.25">
      <c r="A6294" s="8">
        <v>1.7242186999996193E-2</v>
      </c>
    </row>
    <row r="6295" spans="1:1" x14ac:dyDescent="0.25">
      <c r="A6295" s="8">
        <v>2.0132813000003809E-2</v>
      </c>
    </row>
    <row r="6296" spans="1:1" x14ac:dyDescent="0.25">
      <c r="A6296" s="8">
        <v>1.1296875E-2</v>
      </c>
    </row>
    <row r="6297" spans="1:1" x14ac:dyDescent="0.25">
      <c r="A6297" s="8">
        <v>8.1109374999999997E-2</v>
      </c>
    </row>
    <row r="6298" spans="1:1" x14ac:dyDescent="0.25">
      <c r="A6298" s="8">
        <v>1.1984375E-2</v>
      </c>
    </row>
    <row r="6299" spans="1:1" x14ac:dyDescent="0.25">
      <c r="A6299" s="8">
        <v>1.5023438000003808E-2</v>
      </c>
    </row>
    <row r="6300" spans="1:1" x14ac:dyDescent="0.25">
      <c r="A6300" s="8">
        <v>2.2640625000000001E-2</v>
      </c>
    </row>
    <row r="6301" spans="1:1" x14ac:dyDescent="0.25">
      <c r="A6301" s="8">
        <v>2.2359375000000001E-2</v>
      </c>
    </row>
    <row r="6302" spans="1:1" x14ac:dyDescent="0.25">
      <c r="A6302" s="8">
        <v>1.1062499999999999E-2</v>
      </c>
    </row>
    <row r="6303" spans="1:1" x14ac:dyDescent="0.25">
      <c r="A6303" s="8">
        <v>1.8453125000000001E-2</v>
      </c>
    </row>
    <row r="6304" spans="1:1" x14ac:dyDescent="0.25">
      <c r="A6304" s="8">
        <v>1.7476561999996192E-2</v>
      </c>
    </row>
    <row r="6305" spans="1:1" x14ac:dyDescent="0.25">
      <c r="A6305" s="8">
        <v>1.0812499999999999E-2</v>
      </c>
    </row>
    <row r="6306" spans="1:1" x14ac:dyDescent="0.25">
      <c r="A6306" s="8">
        <v>2.7132813000003808E-2</v>
      </c>
    </row>
    <row r="6307" spans="1:1" x14ac:dyDescent="0.25">
      <c r="A6307" s="8">
        <v>1.7937499999999999E-2</v>
      </c>
    </row>
    <row r="6308" spans="1:1" x14ac:dyDescent="0.25">
      <c r="A6308" s="8">
        <v>1.7601561999996192E-2</v>
      </c>
    </row>
    <row r="6309" spans="1:1" x14ac:dyDescent="0.25">
      <c r="A6309" s="8">
        <v>2.1304686999996193E-2</v>
      </c>
    </row>
    <row r="6310" spans="1:1" x14ac:dyDescent="0.25">
      <c r="A6310" s="8">
        <v>1.5242188000003808E-2</v>
      </c>
    </row>
    <row r="6311" spans="1:1" x14ac:dyDescent="0.25">
      <c r="A6311" s="8">
        <v>8.6171869999961924E-3</v>
      </c>
    </row>
    <row r="6312" spans="1:1" x14ac:dyDescent="0.25">
      <c r="A6312" s="8">
        <v>1.4992186999996193E-2</v>
      </c>
    </row>
    <row r="6313" spans="1:1" x14ac:dyDescent="0.25">
      <c r="A6313" s="8">
        <v>8.8984369999961926E-3</v>
      </c>
    </row>
    <row r="6314" spans="1:1" x14ac:dyDescent="0.25">
      <c r="A6314" s="8">
        <v>1.896875E-2</v>
      </c>
    </row>
    <row r="6315" spans="1:1" x14ac:dyDescent="0.25">
      <c r="A6315" s="8">
        <v>2.7601561999996194E-2</v>
      </c>
    </row>
    <row r="6316" spans="1:1" x14ac:dyDescent="0.25">
      <c r="A6316" s="8">
        <v>2.2335936999996194E-2</v>
      </c>
    </row>
    <row r="6317" spans="1:1" x14ac:dyDescent="0.25">
      <c r="A6317" s="8">
        <v>2.2468749999999999E-2</v>
      </c>
    </row>
    <row r="6318" spans="1:1" x14ac:dyDescent="0.25">
      <c r="A6318" s="8">
        <v>1.4929688000003808E-2</v>
      </c>
    </row>
    <row r="6319" spans="1:1" x14ac:dyDescent="0.25">
      <c r="A6319" s="8">
        <v>2.7523436999996192E-2</v>
      </c>
    </row>
    <row r="6320" spans="1:1" x14ac:dyDescent="0.25">
      <c r="A6320" s="8">
        <v>0.13668749999999999</v>
      </c>
    </row>
    <row r="6321" spans="1:1" x14ac:dyDescent="0.25">
      <c r="A6321" s="8">
        <v>2.1117188000003808E-2</v>
      </c>
    </row>
    <row r="6322" spans="1:1" x14ac:dyDescent="0.25">
      <c r="A6322" s="8">
        <v>2.2648438000003806E-2</v>
      </c>
    </row>
    <row r="6323" spans="1:1" x14ac:dyDescent="0.25">
      <c r="A6323" s="8">
        <v>2.0531250000000001E-2</v>
      </c>
    </row>
    <row r="6324" spans="1:1" x14ac:dyDescent="0.25">
      <c r="A6324" s="8">
        <v>9.1406249999999994E-3</v>
      </c>
    </row>
    <row r="6325" spans="1:1" x14ac:dyDescent="0.25">
      <c r="A6325" s="8">
        <v>1.8624999999999999E-2</v>
      </c>
    </row>
    <row r="6326" spans="1:1" x14ac:dyDescent="0.25">
      <c r="A6326" s="8">
        <v>1.4203125E-2</v>
      </c>
    </row>
    <row r="6327" spans="1:1" x14ac:dyDescent="0.25">
      <c r="A6327" s="8">
        <v>2.1968749999999999E-2</v>
      </c>
    </row>
    <row r="6328" spans="1:1" x14ac:dyDescent="0.25">
      <c r="A6328" s="8">
        <v>1.7749999999999998E-2</v>
      </c>
    </row>
    <row r="6329" spans="1:1" x14ac:dyDescent="0.25">
      <c r="A6329" s="8">
        <v>3.1484375000000002E-2</v>
      </c>
    </row>
    <row r="6330" spans="1:1" x14ac:dyDescent="0.25">
      <c r="A6330" s="8">
        <v>1.5125E-2</v>
      </c>
    </row>
    <row r="6331" spans="1:1" x14ac:dyDescent="0.25">
      <c r="A6331" s="8">
        <v>2.1015625E-2</v>
      </c>
    </row>
    <row r="6332" spans="1:1" x14ac:dyDescent="0.25">
      <c r="A6332" s="8">
        <v>2.0109374999999999E-2</v>
      </c>
    </row>
    <row r="6333" spans="1:1" x14ac:dyDescent="0.25">
      <c r="A6333" s="8">
        <v>1.4718749999999999E-2</v>
      </c>
    </row>
    <row r="6334" spans="1:1" x14ac:dyDescent="0.25">
      <c r="A6334" s="8">
        <v>2.5093750000000001E-2</v>
      </c>
    </row>
    <row r="6335" spans="1:1" x14ac:dyDescent="0.25">
      <c r="A6335" s="8">
        <v>1.340625E-2</v>
      </c>
    </row>
    <row r="6336" spans="1:1" x14ac:dyDescent="0.25">
      <c r="A6336" s="8">
        <v>2.0171874999999999E-2</v>
      </c>
    </row>
    <row r="6337" spans="1:1" x14ac:dyDescent="0.25">
      <c r="A6337" s="8">
        <v>1.3890625E-2</v>
      </c>
    </row>
    <row r="6338" spans="1:1" x14ac:dyDescent="0.25">
      <c r="A6338" s="8">
        <v>1.6111327999999047E-2</v>
      </c>
    </row>
    <row r="6339" spans="1:1" x14ac:dyDescent="0.25">
      <c r="A6339" s="8">
        <v>1.2494140000002516E-2</v>
      </c>
    </row>
    <row r="6340" spans="1:1" x14ac:dyDescent="0.25">
      <c r="A6340" s="8">
        <v>2.2021484000000782E-2</v>
      </c>
    </row>
    <row r="6341" spans="1:1" x14ac:dyDescent="0.25">
      <c r="A6341" s="8">
        <v>1.4566405999998096E-2</v>
      </c>
    </row>
    <row r="6342" spans="1:1" x14ac:dyDescent="0.25">
      <c r="A6342" s="8">
        <v>8.636719000001904E-3</v>
      </c>
    </row>
    <row r="6343" spans="1:1" x14ac:dyDescent="0.25">
      <c r="A6343" s="8">
        <v>1.7078125E-2</v>
      </c>
    </row>
    <row r="6344" spans="1:1" x14ac:dyDescent="0.25">
      <c r="A6344" s="8">
        <v>1.4281250000000001E-2</v>
      </c>
    </row>
    <row r="6345" spans="1:1" x14ac:dyDescent="0.25">
      <c r="A6345" s="8">
        <v>4.8160155999998094E-2</v>
      </c>
    </row>
    <row r="6346" spans="1:1" x14ac:dyDescent="0.25">
      <c r="A6346" s="8">
        <v>2.0816406000005373E-2</v>
      </c>
    </row>
    <row r="6347" spans="1:1" x14ac:dyDescent="0.25">
      <c r="A6347" s="8">
        <v>1.7289062999996531E-2</v>
      </c>
    </row>
    <row r="6348" spans="1:1" x14ac:dyDescent="0.25">
      <c r="A6348" s="8">
        <v>2.1437500000000002E-2</v>
      </c>
    </row>
    <row r="6349" spans="1:1" x14ac:dyDescent="0.25">
      <c r="A6349" s="8">
        <v>3.0113281999998433E-2</v>
      </c>
    </row>
    <row r="6350" spans="1:1" x14ac:dyDescent="0.25">
      <c r="A6350" s="8">
        <v>2.0484374999999999E-2</v>
      </c>
    </row>
    <row r="6351" spans="1:1" x14ac:dyDescent="0.25">
      <c r="A6351" s="8">
        <v>2.6160156999998435E-2</v>
      </c>
    </row>
    <row r="6352" spans="1:1" x14ac:dyDescent="0.25">
      <c r="A6352" s="8">
        <v>1.0515625000000001E-2</v>
      </c>
    </row>
    <row r="6353" spans="1:1" x14ac:dyDescent="0.25">
      <c r="A6353" s="8">
        <v>2.0847656999998434E-2</v>
      </c>
    </row>
    <row r="6354" spans="1:1" x14ac:dyDescent="0.25">
      <c r="A6354" s="8">
        <v>1.6722656000005373E-2</v>
      </c>
    </row>
    <row r="6355" spans="1:1" x14ac:dyDescent="0.25">
      <c r="A6355" s="8">
        <v>1.0863281000005373E-2</v>
      </c>
    </row>
    <row r="6356" spans="1:1" x14ac:dyDescent="0.25">
      <c r="A6356" s="8">
        <v>1.7382813000003806E-2</v>
      </c>
    </row>
    <row r="6357" spans="1:1" x14ac:dyDescent="0.25">
      <c r="A6357" s="8">
        <v>7.2617180000015651E-3</v>
      </c>
    </row>
    <row r="6358" spans="1:1" x14ac:dyDescent="0.25">
      <c r="A6358" s="8">
        <v>1.4550780999998096E-2</v>
      </c>
    </row>
    <row r="6359" spans="1:1" x14ac:dyDescent="0.25">
      <c r="A6359" s="8">
        <v>2.2742188000003806E-2</v>
      </c>
    </row>
    <row r="6360" spans="1:1" x14ac:dyDescent="0.25">
      <c r="A6360" s="8">
        <v>1.95625E-2</v>
      </c>
    </row>
    <row r="6361" spans="1:1" x14ac:dyDescent="0.25">
      <c r="A6361" s="8">
        <v>1.3117186999996193E-2</v>
      </c>
    </row>
    <row r="6362" spans="1:1" x14ac:dyDescent="0.25">
      <c r="A6362" s="8">
        <v>1.9953124999999999E-2</v>
      </c>
    </row>
    <row r="6363" spans="1:1" x14ac:dyDescent="0.25">
      <c r="A6363" s="8">
        <v>1.6859374999999999E-2</v>
      </c>
    </row>
    <row r="6364" spans="1:1" x14ac:dyDescent="0.25">
      <c r="A6364" s="8">
        <v>1.6882813000003806E-2</v>
      </c>
    </row>
    <row r="6365" spans="1:1" x14ac:dyDescent="0.25">
      <c r="A6365" s="8">
        <v>1.8914063000003808E-2</v>
      </c>
    </row>
    <row r="6366" spans="1:1" x14ac:dyDescent="0.25">
      <c r="A6366" s="8">
        <v>1.9515625000000002E-2</v>
      </c>
    </row>
    <row r="6367" spans="1:1" x14ac:dyDescent="0.25">
      <c r="A6367" s="8">
        <v>8.5234380000038072E-3</v>
      </c>
    </row>
    <row r="6368" spans="1:1" x14ac:dyDescent="0.25">
      <c r="A6368" s="8">
        <v>2.2304686999996194E-2</v>
      </c>
    </row>
    <row r="6369" spans="1:1" x14ac:dyDescent="0.25">
      <c r="A6369" s="8">
        <v>1.5882813000003809E-2</v>
      </c>
    </row>
    <row r="6370" spans="1:1" x14ac:dyDescent="0.25">
      <c r="A6370" s="8">
        <v>1.0039061999996192E-2</v>
      </c>
    </row>
    <row r="6371" spans="1:1" x14ac:dyDescent="0.25">
      <c r="A6371" s="8">
        <v>9.796875E-3</v>
      </c>
    </row>
    <row r="6372" spans="1:1" x14ac:dyDescent="0.25">
      <c r="A6372" s="8">
        <v>1.4132811999996192E-2</v>
      </c>
    </row>
    <row r="6373" spans="1:1" x14ac:dyDescent="0.25">
      <c r="A6373" s="8">
        <v>2.3140625000000001E-2</v>
      </c>
    </row>
    <row r="6374" spans="1:1" x14ac:dyDescent="0.25">
      <c r="A6374" s="8">
        <v>1.340625E-2</v>
      </c>
    </row>
    <row r="6375" spans="1:1" x14ac:dyDescent="0.25">
      <c r="A6375" s="8">
        <v>1.4335936999996192E-2</v>
      </c>
    </row>
    <row r="6376" spans="1:1" x14ac:dyDescent="0.25">
      <c r="A6376" s="8">
        <v>1.3164063000003808E-2</v>
      </c>
    </row>
    <row r="6377" spans="1:1" x14ac:dyDescent="0.25">
      <c r="A6377" s="8">
        <v>1.0289061999996192E-2</v>
      </c>
    </row>
    <row r="6378" spans="1:1" x14ac:dyDescent="0.25">
      <c r="A6378" s="8">
        <v>2.5499999999999998E-2</v>
      </c>
    </row>
    <row r="6379" spans="1:1" x14ac:dyDescent="0.25">
      <c r="A6379" s="8">
        <v>1.5289063000003808E-2</v>
      </c>
    </row>
    <row r="6380" spans="1:1" x14ac:dyDescent="0.25">
      <c r="A6380" s="8">
        <v>1.8234375000000001E-2</v>
      </c>
    </row>
    <row r="6381" spans="1:1" x14ac:dyDescent="0.25">
      <c r="A6381" s="8">
        <v>1.8054686999996194E-2</v>
      </c>
    </row>
    <row r="6382" spans="1:1" x14ac:dyDescent="0.25">
      <c r="A6382" s="8">
        <v>1.7226563000003806E-2</v>
      </c>
    </row>
    <row r="6383" spans="1:1" x14ac:dyDescent="0.25">
      <c r="A6383" s="8">
        <v>1.4210938000003807E-2</v>
      </c>
    </row>
    <row r="6384" spans="1:1" x14ac:dyDescent="0.25">
      <c r="A6384" s="8">
        <v>1.3578125E-2</v>
      </c>
    </row>
    <row r="6385" spans="1:1" x14ac:dyDescent="0.25">
      <c r="A6385" s="8">
        <v>2.2484375000000001E-2</v>
      </c>
    </row>
    <row r="6386" spans="1:1" x14ac:dyDescent="0.25">
      <c r="A6386" s="8">
        <v>7.3906249999999996E-3</v>
      </c>
    </row>
    <row r="6387" spans="1:1" x14ac:dyDescent="0.25">
      <c r="A6387" s="8">
        <v>1.1484375E-2</v>
      </c>
    </row>
    <row r="6388" spans="1:1" x14ac:dyDescent="0.25">
      <c r="A6388" s="8">
        <v>1.2125E-2</v>
      </c>
    </row>
    <row r="6389" spans="1:1" x14ac:dyDescent="0.25">
      <c r="A6389" s="8">
        <v>1.5015624999999999E-2</v>
      </c>
    </row>
    <row r="6390" spans="1:1" x14ac:dyDescent="0.25">
      <c r="A6390" s="8">
        <v>2.1718749999999998E-2</v>
      </c>
    </row>
    <row r="6391" spans="1:1" x14ac:dyDescent="0.25">
      <c r="A6391" s="8">
        <v>1.3578125E-2</v>
      </c>
    </row>
    <row r="6392" spans="1:1" x14ac:dyDescent="0.25">
      <c r="A6392" s="8">
        <v>2.2593749999999999E-2</v>
      </c>
    </row>
    <row r="6393" spans="1:1" x14ac:dyDescent="0.25">
      <c r="A6393" s="8">
        <v>1.396875E-2</v>
      </c>
    </row>
    <row r="6394" spans="1:1" x14ac:dyDescent="0.25">
      <c r="A6394" s="8">
        <v>2.0234374999999999E-2</v>
      </c>
    </row>
    <row r="6395" spans="1:1" x14ac:dyDescent="0.25">
      <c r="A6395" s="8">
        <v>1.3578125E-2</v>
      </c>
    </row>
    <row r="6396" spans="1:1" x14ac:dyDescent="0.25">
      <c r="A6396" s="8">
        <v>2.2390625000000001E-2</v>
      </c>
    </row>
    <row r="6397" spans="1:1" x14ac:dyDescent="0.25">
      <c r="A6397" s="8">
        <v>1.2906249999999999E-2</v>
      </c>
    </row>
    <row r="6398" spans="1:1" x14ac:dyDescent="0.25">
      <c r="A6398" s="8">
        <v>1.4296875000000001E-2</v>
      </c>
    </row>
    <row r="6399" spans="1:1" x14ac:dyDescent="0.25">
      <c r="A6399" s="8">
        <v>1.8312499999999999E-2</v>
      </c>
    </row>
    <row r="6400" spans="1:1" x14ac:dyDescent="0.25">
      <c r="A6400" s="8">
        <v>1.3375E-2</v>
      </c>
    </row>
    <row r="6401" spans="1:1" x14ac:dyDescent="0.25">
      <c r="A6401" s="8">
        <v>1.34375E-2</v>
      </c>
    </row>
    <row r="6402" spans="1:1" x14ac:dyDescent="0.25">
      <c r="A6402" s="8">
        <v>2.1423827999999048E-2</v>
      </c>
    </row>
    <row r="6403" spans="1:1" x14ac:dyDescent="0.25">
      <c r="A6403" s="8">
        <v>1.6916015999999218E-2</v>
      </c>
    </row>
    <row r="6404" spans="1:1" x14ac:dyDescent="0.25">
      <c r="A6404" s="8">
        <v>1.7138672000000951E-2</v>
      </c>
    </row>
    <row r="6405" spans="1:1" x14ac:dyDescent="0.25">
      <c r="A6405" s="8">
        <v>1.2527343000001565E-2</v>
      </c>
    </row>
    <row r="6406" spans="1:1" x14ac:dyDescent="0.25">
      <c r="A6406" s="8">
        <v>1.8089843000001566E-2</v>
      </c>
    </row>
    <row r="6407" spans="1:1" x14ac:dyDescent="0.25">
      <c r="A6407" s="8">
        <v>1.0839843999994627E-2</v>
      </c>
    </row>
    <row r="6408" spans="1:1" x14ac:dyDescent="0.25">
      <c r="A6408" s="8">
        <v>8.7226559999980958E-3</v>
      </c>
    </row>
    <row r="6409" spans="1:1" x14ac:dyDescent="0.25">
      <c r="A6409" s="8">
        <v>1.1003905999998096E-2</v>
      </c>
    </row>
    <row r="6410" spans="1:1" x14ac:dyDescent="0.25">
      <c r="A6410" s="8">
        <v>1.1058594000001904E-2</v>
      </c>
    </row>
    <row r="6411" spans="1:1" x14ac:dyDescent="0.25">
      <c r="A6411" s="8">
        <v>2.3574218999994626E-2</v>
      </c>
    </row>
    <row r="6412" spans="1:1" x14ac:dyDescent="0.25">
      <c r="A6412" s="8">
        <v>1.1472656000005372E-2</v>
      </c>
    </row>
    <row r="6413" spans="1:1" x14ac:dyDescent="0.25">
      <c r="A6413" s="8">
        <v>2.2960938000003806E-2</v>
      </c>
    </row>
    <row r="6414" spans="1:1" x14ac:dyDescent="0.25">
      <c r="A6414" s="8">
        <v>1.4503905999998096E-2</v>
      </c>
    </row>
    <row r="6415" spans="1:1" x14ac:dyDescent="0.25">
      <c r="A6415" s="8">
        <v>2.4218750000000001E-2</v>
      </c>
    </row>
    <row r="6416" spans="1:1" x14ac:dyDescent="0.25">
      <c r="A6416" s="8">
        <v>1.346875E-2</v>
      </c>
    </row>
    <row r="6417" spans="1:1" x14ac:dyDescent="0.25">
      <c r="A6417" s="8">
        <v>1.8308593000001566E-2</v>
      </c>
    </row>
    <row r="6418" spans="1:1" x14ac:dyDescent="0.25">
      <c r="A6418" s="8">
        <v>6.7421880000038074E-3</v>
      </c>
    </row>
    <row r="6419" spans="1:1" x14ac:dyDescent="0.25">
      <c r="A6419" s="8">
        <v>2.7148438000003806E-2</v>
      </c>
    </row>
    <row r="6420" spans="1:1" x14ac:dyDescent="0.25">
      <c r="A6420" s="8">
        <v>1.9703124999999998E-2</v>
      </c>
    </row>
    <row r="6421" spans="1:1" x14ac:dyDescent="0.25">
      <c r="A6421" s="8">
        <v>2.2328125000000001E-2</v>
      </c>
    </row>
    <row r="6422" spans="1:1" x14ac:dyDescent="0.25">
      <c r="A6422" s="8">
        <v>8.5312500000000006E-3</v>
      </c>
    </row>
    <row r="6423" spans="1:1" x14ac:dyDescent="0.25">
      <c r="A6423" s="8">
        <v>2.0312500000000001E-2</v>
      </c>
    </row>
    <row r="6424" spans="1:1" x14ac:dyDescent="0.25">
      <c r="A6424" s="8">
        <v>1.5765624999999998E-2</v>
      </c>
    </row>
    <row r="6425" spans="1:1" x14ac:dyDescent="0.25">
      <c r="A6425" s="8">
        <v>1.1890625E-2</v>
      </c>
    </row>
    <row r="6426" spans="1:1" x14ac:dyDescent="0.25">
      <c r="A6426" s="8">
        <v>1.4874999999999999E-2</v>
      </c>
    </row>
    <row r="6427" spans="1:1" x14ac:dyDescent="0.25">
      <c r="A6427" s="8">
        <v>7.9375000000000001E-3</v>
      </c>
    </row>
    <row r="6428" spans="1:1" x14ac:dyDescent="0.25">
      <c r="A6428" s="8">
        <v>1.2906249999999999E-2</v>
      </c>
    </row>
    <row r="6429" spans="1:1" x14ac:dyDescent="0.25">
      <c r="A6429" s="8">
        <v>2.1039061999996191E-2</v>
      </c>
    </row>
    <row r="6430" spans="1:1" x14ac:dyDescent="0.25">
      <c r="A6430" s="8">
        <v>1.7921875E-2</v>
      </c>
    </row>
    <row r="6431" spans="1:1" x14ac:dyDescent="0.25">
      <c r="A6431" s="8">
        <v>2.5070313000003806E-2</v>
      </c>
    </row>
    <row r="6432" spans="1:1" x14ac:dyDescent="0.25">
      <c r="A6432" s="8">
        <v>1.1289061999996193E-2</v>
      </c>
    </row>
    <row r="6433" spans="1:1" x14ac:dyDescent="0.25">
      <c r="A6433" s="8">
        <v>1.3273436999996193E-2</v>
      </c>
    </row>
    <row r="6434" spans="1:1" x14ac:dyDescent="0.25">
      <c r="A6434" s="8">
        <v>1.1078124999999999E-2</v>
      </c>
    </row>
    <row r="6435" spans="1:1" x14ac:dyDescent="0.25">
      <c r="A6435" s="8">
        <v>1.1507813000003806E-2</v>
      </c>
    </row>
    <row r="6436" spans="1:1" x14ac:dyDescent="0.25">
      <c r="A6436" s="8">
        <v>1.1539063000003806E-2</v>
      </c>
    </row>
    <row r="6437" spans="1:1" x14ac:dyDescent="0.25">
      <c r="A6437" s="8">
        <v>2.3101561999996193E-2</v>
      </c>
    </row>
    <row r="6438" spans="1:1" x14ac:dyDescent="0.25">
      <c r="A6438" s="8">
        <v>1.6960936999996193E-2</v>
      </c>
    </row>
    <row r="6439" spans="1:1" x14ac:dyDescent="0.25">
      <c r="A6439" s="8">
        <v>1.2195313000003807E-2</v>
      </c>
    </row>
    <row r="6440" spans="1:1" x14ac:dyDescent="0.25">
      <c r="A6440" s="8">
        <v>1.3710938000003807E-2</v>
      </c>
    </row>
    <row r="6441" spans="1:1" x14ac:dyDescent="0.25">
      <c r="A6441" s="8">
        <v>1.0890624999999999E-2</v>
      </c>
    </row>
    <row r="6442" spans="1:1" x14ac:dyDescent="0.25">
      <c r="A6442" s="8">
        <v>1.3679686999996193E-2</v>
      </c>
    </row>
    <row r="6443" spans="1:1" x14ac:dyDescent="0.25">
      <c r="A6443" s="8">
        <v>1.6812500000000001E-2</v>
      </c>
    </row>
    <row r="6444" spans="1:1" x14ac:dyDescent="0.25">
      <c r="A6444" s="8">
        <v>1.0359375000000001E-2</v>
      </c>
    </row>
    <row r="6445" spans="1:1" x14ac:dyDescent="0.25">
      <c r="A6445" s="8">
        <v>2.34375E-2</v>
      </c>
    </row>
    <row r="6446" spans="1:1" x14ac:dyDescent="0.25">
      <c r="A6446" s="8">
        <v>2.5898438000003809E-2</v>
      </c>
    </row>
    <row r="6447" spans="1:1" x14ac:dyDescent="0.25">
      <c r="A6447" s="8">
        <v>3.9703124999999999E-2</v>
      </c>
    </row>
    <row r="6448" spans="1:1" x14ac:dyDescent="0.25">
      <c r="A6448" s="8">
        <v>2.4578124999999999E-2</v>
      </c>
    </row>
    <row r="6449" spans="1:1" x14ac:dyDescent="0.25">
      <c r="A6449" s="8">
        <v>1.7984375E-2</v>
      </c>
    </row>
    <row r="6450" spans="1:1" x14ac:dyDescent="0.25">
      <c r="A6450" s="8">
        <v>1.121875E-2</v>
      </c>
    </row>
    <row r="6451" spans="1:1" x14ac:dyDescent="0.25">
      <c r="A6451" s="8">
        <v>2.0921875E-2</v>
      </c>
    </row>
    <row r="6452" spans="1:1" x14ac:dyDescent="0.25">
      <c r="A6452" s="8">
        <v>2.359375E-2</v>
      </c>
    </row>
    <row r="6453" spans="1:1" x14ac:dyDescent="0.25">
      <c r="A6453" s="8">
        <v>1.1328125E-2</v>
      </c>
    </row>
    <row r="6454" spans="1:1" x14ac:dyDescent="0.25">
      <c r="A6454" s="8">
        <v>2.0546874999999999E-2</v>
      </c>
    </row>
    <row r="6455" spans="1:1" x14ac:dyDescent="0.25">
      <c r="A6455" s="8">
        <v>2.5187500000000002E-2</v>
      </c>
    </row>
    <row r="6456" spans="1:1" x14ac:dyDescent="0.25">
      <c r="A6456" s="8">
        <v>8.7187500000000008E-3</v>
      </c>
    </row>
    <row r="6457" spans="1:1" x14ac:dyDescent="0.25">
      <c r="A6457" s="8">
        <v>2.1874999999999999E-2</v>
      </c>
    </row>
    <row r="6458" spans="1:1" x14ac:dyDescent="0.25">
      <c r="A6458" s="8">
        <v>1.7156250000000001E-2</v>
      </c>
    </row>
    <row r="6459" spans="1:1" x14ac:dyDescent="0.25">
      <c r="A6459" s="8">
        <v>2.31875E-2</v>
      </c>
    </row>
    <row r="6460" spans="1:1" x14ac:dyDescent="0.25">
      <c r="A6460" s="8">
        <v>1.8156249999999999E-2</v>
      </c>
    </row>
    <row r="6461" spans="1:1" x14ac:dyDescent="0.25">
      <c r="A6461" s="8">
        <v>7.9062500000000001E-3</v>
      </c>
    </row>
    <row r="6462" spans="1:1" x14ac:dyDescent="0.25">
      <c r="A6462" s="8">
        <v>3.404101500000252E-2</v>
      </c>
    </row>
    <row r="6463" spans="1:1" x14ac:dyDescent="0.25">
      <c r="A6463" s="8">
        <v>1.0900390999999218E-2</v>
      </c>
    </row>
    <row r="6464" spans="1:1" x14ac:dyDescent="0.25">
      <c r="A6464" s="8">
        <v>1.4607421999997313E-2</v>
      </c>
    </row>
    <row r="6465" spans="1:1" x14ac:dyDescent="0.25">
      <c r="A6465" s="8">
        <v>1.1162109999997482E-2</v>
      </c>
    </row>
    <row r="6466" spans="1:1" x14ac:dyDescent="0.25">
      <c r="A6466" s="8">
        <v>1.4048828000002686E-2</v>
      </c>
    </row>
    <row r="6467" spans="1:1" x14ac:dyDescent="0.25">
      <c r="A6467" s="8">
        <v>2.1724609000000783E-2</v>
      </c>
    </row>
    <row r="6468" spans="1:1" x14ac:dyDescent="0.25">
      <c r="A6468" s="8">
        <v>1.1964843000001566E-2</v>
      </c>
    </row>
    <row r="6469" spans="1:1" x14ac:dyDescent="0.25">
      <c r="A6469" s="8">
        <v>7.6640630000001696E-3</v>
      </c>
    </row>
    <row r="6470" spans="1:1" x14ac:dyDescent="0.25">
      <c r="A6470" s="8">
        <v>1.6738280999998096E-2</v>
      </c>
    </row>
    <row r="6471" spans="1:1" x14ac:dyDescent="0.25">
      <c r="A6471" s="8">
        <v>9.3789059999980964E-3</v>
      </c>
    </row>
    <row r="6472" spans="1:1" x14ac:dyDescent="0.25">
      <c r="A6472" s="8">
        <v>2.1238280999998096E-2</v>
      </c>
    </row>
    <row r="6473" spans="1:1" x14ac:dyDescent="0.25">
      <c r="A6473" s="8">
        <v>1.7347656000005374E-2</v>
      </c>
    </row>
    <row r="6474" spans="1:1" x14ac:dyDescent="0.25">
      <c r="A6474" s="8">
        <v>1.441406200000347E-2</v>
      </c>
    </row>
    <row r="6475" spans="1:1" x14ac:dyDescent="0.25">
      <c r="A6475" s="8">
        <v>1.9503906999998436E-2</v>
      </c>
    </row>
    <row r="6476" spans="1:1" x14ac:dyDescent="0.25">
      <c r="A6476" s="8">
        <v>2.2910156000005372E-2</v>
      </c>
    </row>
    <row r="6477" spans="1:1" x14ac:dyDescent="0.25">
      <c r="A6477" s="8">
        <v>1.1878906999998435E-2</v>
      </c>
    </row>
    <row r="6478" spans="1:1" x14ac:dyDescent="0.25">
      <c r="A6478" s="8">
        <v>1.1246093999994627E-2</v>
      </c>
    </row>
    <row r="6479" spans="1:1" x14ac:dyDescent="0.25">
      <c r="A6479" s="8">
        <v>1.2855468999994627E-2</v>
      </c>
    </row>
    <row r="6480" spans="1:1" x14ac:dyDescent="0.25">
      <c r="A6480" s="8">
        <v>1.7488280999998097E-2</v>
      </c>
    </row>
    <row r="6481" spans="1:1" x14ac:dyDescent="0.25">
      <c r="A6481" s="8">
        <v>7.6796869999961924E-3</v>
      </c>
    </row>
    <row r="6482" spans="1:1" x14ac:dyDescent="0.25">
      <c r="A6482" s="8">
        <v>2.4109374999999999E-2</v>
      </c>
    </row>
    <row r="6483" spans="1:1" x14ac:dyDescent="0.25">
      <c r="A6483" s="8">
        <v>2.2632812000003468E-2</v>
      </c>
    </row>
    <row r="6484" spans="1:1" x14ac:dyDescent="0.25">
      <c r="A6484" s="8">
        <v>1.9640624999999998E-2</v>
      </c>
    </row>
    <row r="6485" spans="1:1" x14ac:dyDescent="0.25">
      <c r="A6485" s="8">
        <v>5.9527344000001904E-2</v>
      </c>
    </row>
    <row r="6486" spans="1:1" x14ac:dyDescent="0.25">
      <c r="A6486" s="8">
        <v>1.3828125E-2</v>
      </c>
    </row>
    <row r="6487" spans="1:1" x14ac:dyDescent="0.25">
      <c r="A6487" s="8">
        <v>2.3269531999998434E-2</v>
      </c>
    </row>
    <row r="6488" spans="1:1" x14ac:dyDescent="0.25">
      <c r="A6488" s="8">
        <v>1.7515625E-2</v>
      </c>
    </row>
    <row r="6489" spans="1:1" x14ac:dyDescent="0.25">
      <c r="A6489" s="8">
        <v>2.0589844000001904E-2</v>
      </c>
    </row>
    <row r="6490" spans="1:1" x14ac:dyDescent="0.25">
      <c r="A6490" s="8">
        <v>1.1203125E-2</v>
      </c>
    </row>
    <row r="6491" spans="1:1" x14ac:dyDescent="0.25">
      <c r="A6491" s="8">
        <v>1.8996093000001567E-2</v>
      </c>
    </row>
    <row r="6492" spans="1:1" x14ac:dyDescent="0.25">
      <c r="A6492" s="8">
        <v>1.3875E-2</v>
      </c>
    </row>
    <row r="6493" spans="1:1" x14ac:dyDescent="0.25">
      <c r="A6493" s="8">
        <v>2.1843749999999999E-2</v>
      </c>
    </row>
    <row r="6494" spans="1:1" x14ac:dyDescent="0.25">
      <c r="A6494" s="8">
        <v>1.1523438000003806E-2</v>
      </c>
    </row>
    <row r="6495" spans="1:1" x14ac:dyDescent="0.25">
      <c r="A6495" s="8">
        <v>1.833593700000347E-2</v>
      </c>
    </row>
    <row r="6496" spans="1:1" x14ac:dyDescent="0.25">
      <c r="A6496" s="8">
        <v>2.5468749999999998E-2</v>
      </c>
    </row>
    <row r="6497" spans="1:1" x14ac:dyDescent="0.25">
      <c r="A6497" s="8">
        <v>1.1023438000003808E-2</v>
      </c>
    </row>
    <row r="6498" spans="1:1" x14ac:dyDescent="0.25">
      <c r="A6498" s="8">
        <v>1.0390625000000001E-2</v>
      </c>
    </row>
    <row r="6499" spans="1:1" x14ac:dyDescent="0.25">
      <c r="A6499" s="8">
        <v>1.8078125E-2</v>
      </c>
    </row>
    <row r="6500" spans="1:1" x14ac:dyDescent="0.25">
      <c r="A6500" s="8">
        <v>1.1945311999996194E-2</v>
      </c>
    </row>
    <row r="6501" spans="1:1" x14ac:dyDescent="0.25">
      <c r="A6501" s="8">
        <v>1.6742188000003808E-2</v>
      </c>
    </row>
    <row r="6502" spans="1:1" x14ac:dyDescent="0.25">
      <c r="A6502" s="8">
        <v>1.9960938000003807E-2</v>
      </c>
    </row>
    <row r="6503" spans="1:1" x14ac:dyDescent="0.25">
      <c r="A6503" s="8">
        <v>1.9890624999999999E-2</v>
      </c>
    </row>
    <row r="6504" spans="1:1" x14ac:dyDescent="0.25">
      <c r="A6504" s="8">
        <v>2.2218749999999999E-2</v>
      </c>
    </row>
    <row r="6505" spans="1:1" x14ac:dyDescent="0.25">
      <c r="A6505" s="8">
        <v>2.2890625000000001E-2</v>
      </c>
    </row>
    <row r="6506" spans="1:1" x14ac:dyDescent="0.25">
      <c r="A6506" s="8">
        <v>1.6945311999996191E-2</v>
      </c>
    </row>
    <row r="6507" spans="1:1" x14ac:dyDescent="0.25">
      <c r="A6507" s="8">
        <v>1.3804686999996194E-2</v>
      </c>
    </row>
    <row r="6508" spans="1:1" x14ac:dyDescent="0.25">
      <c r="A6508" s="8">
        <v>1.7437500000000002E-2</v>
      </c>
    </row>
    <row r="6509" spans="1:1" x14ac:dyDescent="0.25">
      <c r="A6509" s="8">
        <v>1.1203125E-2</v>
      </c>
    </row>
    <row r="6510" spans="1:1" x14ac:dyDescent="0.25">
      <c r="A6510" s="8">
        <v>8.1632811999996197E-2</v>
      </c>
    </row>
    <row r="6511" spans="1:1" x14ac:dyDescent="0.25">
      <c r="A6511" s="8">
        <v>1.9898438000003807E-2</v>
      </c>
    </row>
    <row r="6512" spans="1:1" x14ac:dyDescent="0.25">
      <c r="A6512" s="8">
        <v>1.0906249999999999E-2</v>
      </c>
    </row>
    <row r="6513" spans="1:1" x14ac:dyDescent="0.25">
      <c r="A6513" s="8">
        <v>1.1546875E-2</v>
      </c>
    </row>
    <row r="6514" spans="1:1" x14ac:dyDescent="0.25">
      <c r="A6514" s="8">
        <v>0.11567187499999999</v>
      </c>
    </row>
    <row r="6515" spans="1:1" x14ac:dyDescent="0.25">
      <c r="A6515" s="8">
        <v>2.9062500000000002E-2</v>
      </c>
    </row>
    <row r="6516" spans="1:1" x14ac:dyDescent="0.25">
      <c r="A6516" s="8">
        <v>2.2851561999996193E-2</v>
      </c>
    </row>
    <row r="6517" spans="1:1" x14ac:dyDescent="0.25">
      <c r="A6517" s="8">
        <v>2.1062500000000001E-2</v>
      </c>
    </row>
    <row r="6518" spans="1:1" x14ac:dyDescent="0.25">
      <c r="A6518" s="8">
        <v>2.0781250000000001E-2</v>
      </c>
    </row>
    <row r="6519" spans="1:1" x14ac:dyDescent="0.25">
      <c r="A6519" s="8">
        <v>2.0312500000000001E-2</v>
      </c>
    </row>
    <row r="6520" spans="1:1" x14ac:dyDescent="0.25">
      <c r="A6520" s="8">
        <v>2.2851561999996193E-2</v>
      </c>
    </row>
    <row r="6521" spans="1:1" x14ac:dyDescent="0.25">
      <c r="A6521" s="8">
        <v>1.0632811999996192E-2</v>
      </c>
    </row>
    <row r="6522" spans="1:1" x14ac:dyDescent="0.25">
      <c r="A6522" s="8">
        <v>1.8734375000000001E-2</v>
      </c>
    </row>
    <row r="6523" spans="1:1" x14ac:dyDescent="0.25">
      <c r="A6523" s="8">
        <v>2.4578124999999999E-2</v>
      </c>
    </row>
    <row r="6524" spans="1:1" x14ac:dyDescent="0.25">
      <c r="A6524" s="8">
        <v>1.6585936999996193E-2</v>
      </c>
    </row>
    <row r="6525" spans="1:1" x14ac:dyDescent="0.25">
      <c r="A6525" s="8">
        <v>1.6656250000000001E-2</v>
      </c>
    </row>
    <row r="6526" spans="1:1" x14ac:dyDescent="0.25">
      <c r="A6526" s="8">
        <v>1.2531250000000001E-2</v>
      </c>
    </row>
    <row r="6527" spans="1:1" x14ac:dyDescent="0.25">
      <c r="A6527" s="8">
        <v>2.9445311999996192E-2</v>
      </c>
    </row>
    <row r="6528" spans="1:1" x14ac:dyDescent="0.25">
      <c r="A6528" s="8">
        <v>1.3125E-2</v>
      </c>
    </row>
    <row r="6529" spans="1:1" x14ac:dyDescent="0.25">
      <c r="A6529" s="8">
        <v>1.13125E-2</v>
      </c>
    </row>
    <row r="6530" spans="1:1" x14ac:dyDescent="0.25">
      <c r="A6530" s="8">
        <v>3.1015625000000002E-2</v>
      </c>
    </row>
    <row r="6531" spans="1:1" x14ac:dyDescent="0.25">
      <c r="A6531" s="8">
        <v>2.4531250000000001E-2</v>
      </c>
    </row>
    <row r="6532" spans="1:1" x14ac:dyDescent="0.25">
      <c r="A6532" s="8">
        <v>2.0281250000000001E-2</v>
      </c>
    </row>
    <row r="6533" spans="1:1" x14ac:dyDescent="0.25">
      <c r="A6533" s="8">
        <v>2.8484374999999999E-2</v>
      </c>
    </row>
    <row r="6534" spans="1:1" x14ac:dyDescent="0.25">
      <c r="A6534" s="8">
        <v>2.0125000000000001E-2</v>
      </c>
    </row>
    <row r="6535" spans="1:1" x14ac:dyDescent="0.25">
      <c r="A6535" s="8">
        <v>2.3E-2</v>
      </c>
    </row>
    <row r="6536" spans="1:1" x14ac:dyDescent="0.25">
      <c r="A6536" s="8">
        <v>8.1406250000000003E-3</v>
      </c>
    </row>
    <row r="6537" spans="1:1" x14ac:dyDescent="0.25">
      <c r="A6537" s="8">
        <v>2.5859375E-2</v>
      </c>
    </row>
    <row r="6538" spans="1:1" x14ac:dyDescent="0.25">
      <c r="A6538" s="8">
        <v>1.2656250000000001E-2</v>
      </c>
    </row>
    <row r="6539" spans="1:1" x14ac:dyDescent="0.25">
      <c r="A6539" s="8">
        <v>1.396875E-2</v>
      </c>
    </row>
    <row r="6540" spans="1:1" x14ac:dyDescent="0.25">
      <c r="A6540" s="8">
        <v>2.4312500000000001E-2</v>
      </c>
    </row>
    <row r="6541" spans="1:1" x14ac:dyDescent="0.25">
      <c r="A6541" s="8">
        <v>2.1343750000000002E-2</v>
      </c>
    </row>
    <row r="6542" spans="1:1" x14ac:dyDescent="0.25">
      <c r="A6542" s="8">
        <v>2.68125E-2</v>
      </c>
    </row>
    <row r="6543" spans="1:1" x14ac:dyDescent="0.25">
      <c r="A6543" s="8">
        <v>8.2500000000000004E-3</v>
      </c>
    </row>
    <row r="6544" spans="1:1" x14ac:dyDescent="0.25">
      <c r="A6544" s="8">
        <v>1.4140625E-2</v>
      </c>
    </row>
    <row r="6545" spans="1:1" x14ac:dyDescent="0.25">
      <c r="A6545" s="8">
        <v>1.9890624999999999E-2</v>
      </c>
    </row>
    <row r="6546" spans="1:1" x14ac:dyDescent="0.25">
      <c r="A6546" s="8">
        <v>1.0859374999999999E-2</v>
      </c>
    </row>
    <row r="6547" spans="1:1" x14ac:dyDescent="0.25">
      <c r="A6547" s="8">
        <v>1.8124999999999999E-2</v>
      </c>
    </row>
    <row r="6548" spans="1:1" x14ac:dyDescent="0.25">
      <c r="A6548" s="8">
        <v>1.9921874999999999E-2</v>
      </c>
    </row>
    <row r="6549" spans="1:1" x14ac:dyDescent="0.25">
      <c r="A6549" s="8">
        <v>2.2656249999999999E-2</v>
      </c>
    </row>
    <row r="6550" spans="1:1" x14ac:dyDescent="0.25">
      <c r="A6550" s="8">
        <v>1.0828124999999999E-2</v>
      </c>
    </row>
    <row r="6551" spans="1:1" x14ac:dyDescent="0.25">
      <c r="A6551" s="8">
        <v>1.6984374999999999E-2</v>
      </c>
    </row>
    <row r="6552" spans="1:1" x14ac:dyDescent="0.25">
      <c r="A6552" s="8">
        <v>7.7343749999999999E-3</v>
      </c>
    </row>
    <row r="6553" spans="1:1" x14ac:dyDescent="0.25">
      <c r="A6553" s="8">
        <v>1.1296875E-2</v>
      </c>
    </row>
    <row r="6554" spans="1:1" x14ac:dyDescent="0.25">
      <c r="A6554" s="8">
        <v>9.4140630000001686E-3</v>
      </c>
    </row>
    <row r="6555" spans="1:1" x14ac:dyDescent="0.25">
      <c r="A6555" s="8">
        <v>1.4238281000001735E-2</v>
      </c>
    </row>
    <row r="6556" spans="1:1" x14ac:dyDescent="0.25">
      <c r="A6556" s="8">
        <v>3.3337890000002514E-2</v>
      </c>
    </row>
    <row r="6557" spans="1:1" x14ac:dyDescent="0.25">
      <c r="A6557" s="8">
        <v>1.1925781000001735E-2</v>
      </c>
    </row>
    <row r="6558" spans="1:1" x14ac:dyDescent="0.25">
      <c r="A6558" s="8">
        <v>9.9667969999973141E-3</v>
      </c>
    </row>
    <row r="6559" spans="1:1" x14ac:dyDescent="0.25">
      <c r="A6559" s="8">
        <v>2.0011719000001902E-2</v>
      </c>
    </row>
    <row r="6560" spans="1:1" x14ac:dyDescent="0.25">
      <c r="A6560" s="8">
        <v>2.4714844000001904E-2</v>
      </c>
    </row>
    <row r="6561" spans="1:1" x14ac:dyDescent="0.25">
      <c r="A6561" s="8">
        <v>1.0749999999999999E-2</v>
      </c>
    </row>
    <row r="6562" spans="1:1" x14ac:dyDescent="0.25">
      <c r="A6562" s="8">
        <v>7.6914059999980966E-3</v>
      </c>
    </row>
    <row r="6563" spans="1:1" x14ac:dyDescent="0.25">
      <c r="A6563" s="8">
        <v>2.5089843999994629E-2</v>
      </c>
    </row>
    <row r="6564" spans="1:1" x14ac:dyDescent="0.25">
      <c r="A6564" s="8">
        <v>1.9855468000001566E-2</v>
      </c>
    </row>
    <row r="6565" spans="1:1" x14ac:dyDescent="0.25">
      <c r="A6565" s="8">
        <v>2.0281250000000001E-2</v>
      </c>
    </row>
    <row r="6566" spans="1:1" x14ac:dyDescent="0.25">
      <c r="A6566" s="8">
        <v>7.7695309999980967E-3</v>
      </c>
    </row>
    <row r="6567" spans="1:1" x14ac:dyDescent="0.25">
      <c r="A6567" s="8">
        <v>1.0871094000001904E-2</v>
      </c>
    </row>
    <row r="6568" spans="1:1" x14ac:dyDescent="0.25">
      <c r="A6568" s="8">
        <v>1.315625E-2</v>
      </c>
    </row>
    <row r="6569" spans="1:1" x14ac:dyDescent="0.25">
      <c r="A6569" s="8">
        <v>1.8097655999998095E-2</v>
      </c>
    </row>
    <row r="6570" spans="1:1" x14ac:dyDescent="0.25">
      <c r="A6570" s="8">
        <v>2.0746094000001904E-2</v>
      </c>
    </row>
    <row r="6571" spans="1:1" x14ac:dyDescent="0.25">
      <c r="A6571" s="8">
        <v>1.6394530999998096E-2</v>
      </c>
    </row>
    <row r="6572" spans="1:1" x14ac:dyDescent="0.25">
      <c r="A6572" s="8">
        <v>1.3484375E-2</v>
      </c>
    </row>
    <row r="6573" spans="1:1" x14ac:dyDescent="0.25">
      <c r="A6573" s="8">
        <v>2.0500000000000001E-2</v>
      </c>
    </row>
    <row r="6574" spans="1:1" x14ac:dyDescent="0.25">
      <c r="A6574" s="8">
        <v>1.4527343999994627E-2</v>
      </c>
    </row>
    <row r="6575" spans="1:1" x14ac:dyDescent="0.25">
      <c r="A6575" s="8">
        <v>1.7433593999994626E-2</v>
      </c>
    </row>
    <row r="6576" spans="1:1" x14ac:dyDescent="0.25">
      <c r="A6576" s="8">
        <v>1.4488280999998096E-2</v>
      </c>
    </row>
    <row r="6577" spans="1:1" x14ac:dyDescent="0.25">
      <c r="A6577" s="8">
        <v>1.6964844000001904E-2</v>
      </c>
    </row>
    <row r="6578" spans="1:1" x14ac:dyDescent="0.25">
      <c r="A6578" s="8">
        <v>7.9062500000000001E-3</v>
      </c>
    </row>
    <row r="6579" spans="1:1" x14ac:dyDescent="0.25">
      <c r="A6579" s="8">
        <v>2.0546874999999999E-2</v>
      </c>
    </row>
    <row r="6580" spans="1:1" x14ac:dyDescent="0.25">
      <c r="A6580" s="8">
        <v>1.9882813000003809E-2</v>
      </c>
    </row>
    <row r="6581" spans="1:1" x14ac:dyDescent="0.25">
      <c r="A6581" s="8">
        <v>2.2414061999996193E-2</v>
      </c>
    </row>
    <row r="6582" spans="1:1" x14ac:dyDescent="0.25">
      <c r="A6582" s="8">
        <v>2.4265624999999999E-2</v>
      </c>
    </row>
    <row r="6583" spans="1:1" x14ac:dyDescent="0.25">
      <c r="A6583" s="8">
        <v>1.9992186999996192E-2</v>
      </c>
    </row>
    <row r="6584" spans="1:1" x14ac:dyDescent="0.25">
      <c r="A6584" s="8">
        <v>2.6734375000000001E-2</v>
      </c>
    </row>
    <row r="6585" spans="1:1" x14ac:dyDescent="0.25">
      <c r="A6585" s="8">
        <v>3.1632811999996194E-2</v>
      </c>
    </row>
    <row r="6586" spans="1:1" x14ac:dyDescent="0.25">
      <c r="A6586" s="8">
        <v>1.003125E-2</v>
      </c>
    </row>
    <row r="6587" spans="1:1" x14ac:dyDescent="0.25">
      <c r="A6587" s="8">
        <v>2.0554688000003807E-2</v>
      </c>
    </row>
    <row r="6588" spans="1:1" x14ac:dyDescent="0.25">
      <c r="A6588" s="8">
        <v>1.1124999999999999E-2</v>
      </c>
    </row>
    <row r="6589" spans="1:1" x14ac:dyDescent="0.25">
      <c r="A6589" s="8">
        <v>9.1406249999999994E-3</v>
      </c>
    </row>
    <row r="6590" spans="1:1" x14ac:dyDescent="0.25">
      <c r="A6590" s="8">
        <v>3.0054686999996194E-2</v>
      </c>
    </row>
    <row r="6591" spans="1:1" x14ac:dyDescent="0.25">
      <c r="A6591" s="8">
        <v>1.7187500000000001E-2</v>
      </c>
    </row>
    <row r="6592" spans="1:1" x14ac:dyDescent="0.25">
      <c r="A6592" s="8">
        <v>1.7789061999996192E-2</v>
      </c>
    </row>
    <row r="6593" spans="1:1" x14ac:dyDescent="0.25">
      <c r="A6593" s="8">
        <v>1.5476561999996193E-2</v>
      </c>
    </row>
    <row r="6594" spans="1:1" x14ac:dyDescent="0.25">
      <c r="A6594" s="8">
        <v>1.7203125E-2</v>
      </c>
    </row>
    <row r="6595" spans="1:1" x14ac:dyDescent="0.25">
      <c r="A6595" s="8">
        <v>2.3445313000003808E-2</v>
      </c>
    </row>
    <row r="6596" spans="1:1" x14ac:dyDescent="0.25">
      <c r="A6596" s="8">
        <v>2.1187500000000001E-2</v>
      </c>
    </row>
    <row r="6597" spans="1:1" x14ac:dyDescent="0.25">
      <c r="A6597" s="8">
        <v>1.9203125000000001E-2</v>
      </c>
    </row>
    <row r="6598" spans="1:1" x14ac:dyDescent="0.25">
      <c r="A6598" s="8">
        <v>1.4632813000003807E-2</v>
      </c>
    </row>
    <row r="6599" spans="1:1" x14ac:dyDescent="0.25">
      <c r="A6599" s="8">
        <v>2.4539061999996194E-2</v>
      </c>
    </row>
    <row r="6600" spans="1:1" x14ac:dyDescent="0.25">
      <c r="A6600" s="8">
        <v>7.5390619999961932E-3</v>
      </c>
    </row>
    <row r="6601" spans="1:1" x14ac:dyDescent="0.25">
      <c r="A6601" s="8">
        <v>0.12564062500000001</v>
      </c>
    </row>
    <row r="6602" spans="1:1" x14ac:dyDescent="0.25">
      <c r="A6602" s="8">
        <v>1.8648438000003806E-2</v>
      </c>
    </row>
    <row r="6603" spans="1:1" x14ac:dyDescent="0.25">
      <c r="A6603" s="8">
        <v>1.6171874999999999E-2</v>
      </c>
    </row>
    <row r="6604" spans="1:1" x14ac:dyDescent="0.25">
      <c r="A6604" s="8">
        <v>2.2453125000000001E-2</v>
      </c>
    </row>
    <row r="6605" spans="1:1" x14ac:dyDescent="0.25">
      <c r="A6605" s="8">
        <v>1.7062500000000001E-2</v>
      </c>
    </row>
    <row r="6606" spans="1:1" x14ac:dyDescent="0.25">
      <c r="A6606" s="8">
        <v>2.0250000000000001E-2</v>
      </c>
    </row>
    <row r="6607" spans="1:1" x14ac:dyDescent="0.25">
      <c r="A6607" s="8">
        <v>5.6296875000000003E-2</v>
      </c>
    </row>
    <row r="6608" spans="1:1" x14ac:dyDescent="0.25">
      <c r="A6608" s="8">
        <v>8.5781250000000007E-3</v>
      </c>
    </row>
    <row r="6609" spans="1:1" x14ac:dyDescent="0.25">
      <c r="A6609" s="8">
        <v>1.7390625E-2</v>
      </c>
    </row>
    <row r="6610" spans="1:1" x14ac:dyDescent="0.25">
      <c r="A6610" s="8">
        <v>1.8812499999999999E-2</v>
      </c>
    </row>
    <row r="6611" spans="1:1" x14ac:dyDescent="0.25">
      <c r="A6611" s="8">
        <v>1.3734375E-2</v>
      </c>
    </row>
    <row r="6612" spans="1:1" x14ac:dyDescent="0.25">
      <c r="A6612" s="8">
        <v>1.5765624999999998E-2</v>
      </c>
    </row>
    <row r="6613" spans="1:1" x14ac:dyDescent="0.25">
      <c r="A6613" s="8">
        <v>1.8031249999999999E-2</v>
      </c>
    </row>
    <row r="6614" spans="1:1" x14ac:dyDescent="0.25">
      <c r="A6614" s="8">
        <v>1.7562500000000002E-2</v>
      </c>
    </row>
    <row r="6615" spans="1:1" x14ac:dyDescent="0.25">
      <c r="A6615" s="8">
        <v>0.10349999999999999</v>
      </c>
    </row>
    <row r="6616" spans="1:1" x14ac:dyDescent="0.25">
      <c r="A6616" s="8">
        <v>1.7999999999999999E-2</v>
      </c>
    </row>
    <row r="6617" spans="1:1" x14ac:dyDescent="0.25">
      <c r="A6617" s="8">
        <v>2.1562499999999998E-2</v>
      </c>
    </row>
    <row r="6618" spans="1:1" x14ac:dyDescent="0.25">
      <c r="A6618" s="8">
        <v>2.1218750000000001E-2</v>
      </c>
    </row>
    <row r="6619" spans="1:1" x14ac:dyDescent="0.25">
      <c r="A6619" s="8">
        <v>8.7187500000000008E-3</v>
      </c>
    </row>
    <row r="6620" spans="1:1" x14ac:dyDescent="0.25">
      <c r="A6620" s="8">
        <v>2.1171875E-2</v>
      </c>
    </row>
    <row r="6621" spans="1:1" x14ac:dyDescent="0.25">
      <c r="A6621" s="8">
        <v>2.5171875E-2</v>
      </c>
    </row>
    <row r="6622" spans="1:1" x14ac:dyDescent="0.25">
      <c r="A6622" s="8">
        <v>2.4312500000000001E-2</v>
      </c>
    </row>
    <row r="6623" spans="1:1" x14ac:dyDescent="0.25">
      <c r="A6623" s="8">
        <v>1.1109374999999999E-2</v>
      </c>
    </row>
    <row r="6624" spans="1:1" x14ac:dyDescent="0.25">
      <c r="A6624" s="8">
        <v>1.2921874999999999E-2</v>
      </c>
    </row>
    <row r="6625" spans="1:1" x14ac:dyDescent="0.25">
      <c r="A6625" s="8">
        <v>1.3046874999999999E-2</v>
      </c>
    </row>
    <row r="6626" spans="1:1" x14ac:dyDescent="0.25">
      <c r="A6626" s="8">
        <v>3.1015625000000002E-2</v>
      </c>
    </row>
    <row r="6627" spans="1:1" x14ac:dyDescent="0.25">
      <c r="A6627" s="8">
        <v>1.5625E-2</v>
      </c>
    </row>
    <row r="6628" spans="1:1" x14ac:dyDescent="0.25">
      <c r="A6628" s="8">
        <v>1.6390624999999999E-2</v>
      </c>
    </row>
    <row r="6629" spans="1:1" x14ac:dyDescent="0.25">
      <c r="A6629" s="8">
        <v>7.7187499999999999E-3</v>
      </c>
    </row>
    <row r="6630" spans="1:1" x14ac:dyDescent="0.25">
      <c r="A6630" s="8">
        <v>7.4453120000034685E-3</v>
      </c>
    </row>
    <row r="6631" spans="1:1" x14ac:dyDescent="0.25">
      <c r="A6631" s="8">
        <v>1.8714843999998267E-2</v>
      </c>
    </row>
    <row r="6632" spans="1:1" x14ac:dyDescent="0.25">
      <c r="A6632" s="8">
        <v>2.630468800000017E-2</v>
      </c>
    </row>
    <row r="6633" spans="1:1" x14ac:dyDescent="0.25">
      <c r="A6633" s="8">
        <v>1.3554686999999831E-2</v>
      </c>
    </row>
    <row r="6634" spans="1:1" x14ac:dyDescent="0.25">
      <c r="A6634" s="8">
        <v>1.058593800000017E-2</v>
      </c>
    </row>
    <row r="6635" spans="1:1" x14ac:dyDescent="0.25">
      <c r="A6635" s="8">
        <v>0.12619335900000078</v>
      </c>
    </row>
    <row r="6636" spans="1:1" x14ac:dyDescent="0.25">
      <c r="A6636" s="8">
        <v>1.3226563000003808E-2</v>
      </c>
    </row>
    <row r="6637" spans="1:1" x14ac:dyDescent="0.25">
      <c r="A6637" s="8">
        <v>2.2179687000003469E-2</v>
      </c>
    </row>
    <row r="6638" spans="1:1" x14ac:dyDescent="0.25">
      <c r="A6638" s="8">
        <v>1.0277343999994628E-2</v>
      </c>
    </row>
    <row r="6639" spans="1:1" x14ac:dyDescent="0.25">
      <c r="A6639" s="8">
        <v>2.5417969000001903E-2</v>
      </c>
    </row>
    <row r="6640" spans="1:1" x14ac:dyDescent="0.25">
      <c r="A6640" s="8">
        <v>1.21875E-2</v>
      </c>
    </row>
    <row r="6641" spans="1:1" x14ac:dyDescent="0.25">
      <c r="A6641" s="8">
        <v>1.3460938000003806E-2</v>
      </c>
    </row>
    <row r="6642" spans="1:1" x14ac:dyDescent="0.25">
      <c r="A6642" s="8">
        <v>2.1523437999996533E-2</v>
      </c>
    </row>
    <row r="6643" spans="1:1" x14ac:dyDescent="0.25">
      <c r="A6643" s="8">
        <v>1.9902343000001564E-2</v>
      </c>
    </row>
    <row r="6644" spans="1:1" x14ac:dyDescent="0.25">
      <c r="A6644" s="8">
        <v>1.666406200000347E-2</v>
      </c>
    </row>
    <row r="6645" spans="1:1" x14ac:dyDescent="0.25">
      <c r="A6645" s="8">
        <v>2.3058593000001563E-2</v>
      </c>
    </row>
    <row r="6646" spans="1:1" x14ac:dyDescent="0.25">
      <c r="A6646" s="8">
        <v>7.3671879999965316E-3</v>
      </c>
    </row>
    <row r="6647" spans="1:1" x14ac:dyDescent="0.25">
      <c r="A6647" s="8">
        <v>1.8886718000001565E-2</v>
      </c>
    </row>
    <row r="6648" spans="1:1" x14ac:dyDescent="0.25">
      <c r="A6648" s="8">
        <v>2.1019530999998096E-2</v>
      </c>
    </row>
    <row r="6649" spans="1:1" x14ac:dyDescent="0.25">
      <c r="A6649" s="8">
        <v>2.30625E-2</v>
      </c>
    </row>
    <row r="6650" spans="1:1" x14ac:dyDescent="0.25">
      <c r="A6650" s="8">
        <v>1.7179686999996193E-2</v>
      </c>
    </row>
    <row r="6651" spans="1:1" x14ac:dyDescent="0.25">
      <c r="A6651" s="8">
        <v>8.3828119999961922E-3</v>
      </c>
    </row>
    <row r="6652" spans="1:1" x14ac:dyDescent="0.25">
      <c r="A6652" s="8">
        <v>2.6257811999996192E-2</v>
      </c>
    </row>
    <row r="6653" spans="1:1" x14ac:dyDescent="0.25">
      <c r="A6653" s="8">
        <v>9.6406249999999999E-3</v>
      </c>
    </row>
    <row r="6654" spans="1:1" x14ac:dyDescent="0.25">
      <c r="A6654" s="8">
        <v>2.6710936999996191E-2</v>
      </c>
    </row>
    <row r="6655" spans="1:1" x14ac:dyDescent="0.25">
      <c r="A6655" s="8">
        <v>7.2421880000038069E-3</v>
      </c>
    </row>
    <row r="6656" spans="1:1" x14ac:dyDescent="0.25">
      <c r="A6656" s="8">
        <v>7.1562500000000003E-3</v>
      </c>
    </row>
    <row r="6657" spans="1:1" x14ac:dyDescent="0.25">
      <c r="A6657" s="8">
        <v>1.2843749999999999E-2</v>
      </c>
    </row>
    <row r="6658" spans="1:1" x14ac:dyDescent="0.25">
      <c r="A6658" s="8">
        <v>7.9843750000000002E-3</v>
      </c>
    </row>
    <row r="6659" spans="1:1" x14ac:dyDescent="0.25">
      <c r="A6659" s="8">
        <v>8.1171869999961919E-3</v>
      </c>
    </row>
    <row r="6660" spans="1:1" x14ac:dyDescent="0.25">
      <c r="A6660" s="8">
        <v>1.9929688000003807E-2</v>
      </c>
    </row>
    <row r="6661" spans="1:1" x14ac:dyDescent="0.25">
      <c r="A6661" s="8">
        <v>1.8210936999996194E-2</v>
      </c>
    </row>
    <row r="6662" spans="1:1" x14ac:dyDescent="0.25">
      <c r="A6662" s="8">
        <v>1.9835936999996192E-2</v>
      </c>
    </row>
    <row r="6663" spans="1:1" x14ac:dyDescent="0.25">
      <c r="A6663" s="8">
        <v>1.4515625000000001E-2</v>
      </c>
    </row>
    <row r="6664" spans="1:1" x14ac:dyDescent="0.25">
      <c r="A6664" s="8">
        <v>1.0421875000000001E-2</v>
      </c>
    </row>
    <row r="6665" spans="1:1" x14ac:dyDescent="0.25">
      <c r="A6665" s="8">
        <v>1.328125E-2</v>
      </c>
    </row>
    <row r="6666" spans="1:1" x14ac:dyDescent="0.25">
      <c r="A6666" s="8">
        <v>9.9492188000003812E-2</v>
      </c>
    </row>
    <row r="6667" spans="1:1" x14ac:dyDescent="0.25">
      <c r="A6667" s="8">
        <v>1.3039063000003808E-2</v>
      </c>
    </row>
    <row r="6668" spans="1:1" x14ac:dyDescent="0.25">
      <c r="A6668" s="8">
        <v>1.0437500000000001E-2</v>
      </c>
    </row>
    <row r="6669" spans="1:1" x14ac:dyDescent="0.25">
      <c r="A6669" s="8">
        <v>1.9445313000003808E-2</v>
      </c>
    </row>
    <row r="6670" spans="1:1" x14ac:dyDescent="0.25">
      <c r="A6670" s="8">
        <v>2.3890624999999999E-2</v>
      </c>
    </row>
    <row r="6671" spans="1:1" x14ac:dyDescent="0.25">
      <c r="A6671" s="8">
        <v>1.6781250000000001E-2</v>
      </c>
    </row>
    <row r="6672" spans="1:1" x14ac:dyDescent="0.25">
      <c r="A6672" s="8">
        <v>3.335156300000381E-2</v>
      </c>
    </row>
    <row r="6673" spans="1:1" x14ac:dyDescent="0.25">
      <c r="A6673" s="8">
        <v>1.6562500000000001E-2</v>
      </c>
    </row>
    <row r="6674" spans="1:1" x14ac:dyDescent="0.25">
      <c r="A6674" s="8">
        <v>1.4289063000003807E-2</v>
      </c>
    </row>
    <row r="6675" spans="1:1" x14ac:dyDescent="0.25">
      <c r="A6675" s="8">
        <v>7.2500000000000004E-3</v>
      </c>
    </row>
    <row r="6676" spans="1:1" x14ac:dyDescent="0.25">
      <c r="A6676" s="8">
        <v>2.0921875E-2</v>
      </c>
    </row>
    <row r="6677" spans="1:1" x14ac:dyDescent="0.25">
      <c r="A6677" s="8">
        <v>7.6171869999961924E-3</v>
      </c>
    </row>
    <row r="6678" spans="1:1" x14ac:dyDescent="0.25">
      <c r="A6678" s="8">
        <v>2.7171875000000002E-2</v>
      </c>
    </row>
    <row r="6679" spans="1:1" x14ac:dyDescent="0.25">
      <c r="A6679" s="8">
        <v>2.0726563000003806E-2</v>
      </c>
    </row>
    <row r="6680" spans="1:1" x14ac:dyDescent="0.25">
      <c r="A6680" s="8">
        <v>2.2531249999999999E-2</v>
      </c>
    </row>
    <row r="6681" spans="1:1" x14ac:dyDescent="0.25">
      <c r="A6681" s="8">
        <v>1.61875E-2</v>
      </c>
    </row>
    <row r="6682" spans="1:1" x14ac:dyDescent="0.25">
      <c r="A6682" s="8">
        <v>1.5625E-2</v>
      </c>
    </row>
    <row r="6683" spans="1:1" x14ac:dyDescent="0.25">
      <c r="A6683" s="8">
        <v>1.8226561999996192E-2</v>
      </c>
    </row>
    <row r="6684" spans="1:1" x14ac:dyDescent="0.25">
      <c r="A6684" s="8">
        <v>1.328125E-2</v>
      </c>
    </row>
    <row r="6685" spans="1:1" x14ac:dyDescent="0.25">
      <c r="A6685" s="8">
        <v>7.2812500000000004E-3</v>
      </c>
    </row>
    <row r="6686" spans="1:1" x14ac:dyDescent="0.25">
      <c r="A6686" s="8">
        <v>1.7234375E-2</v>
      </c>
    </row>
    <row r="6687" spans="1:1" x14ac:dyDescent="0.25">
      <c r="A6687" s="8">
        <v>1.934375E-2</v>
      </c>
    </row>
    <row r="6688" spans="1:1" x14ac:dyDescent="0.25">
      <c r="A6688" s="8">
        <v>1.1625E-2</v>
      </c>
    </row>
    <row r="6689" spans="1:1" x14ac:dyDescent="0.25">
      <c r="A6689" s="8">
        <v>8.2968750000000004E-3</v>
      </c>
    </row>
    <row r="6690" spans="1:1" x14ac:dyDescent="0.25">
      <c r="A6690" s="8">
        <v>4.2703125000000001E-2</v>
      </c>
    </row>
    <row r="6691" spans="1:1" x14ac:dyDescent="0.25">
      <c r="A6691" s="8">
        <v>1.515625E-2</v>
      </c>
    </row>
    <row r="6692" spans="1:1" x14ac:dyDescent="0.25">
      <c r="A6692" s="8">
        <v>1.0968749999999999E-2</v>
      </c>
    </row>
    <row r="6693" spans="1:1" x14ac:dyDescent="0.25">
      <c r="A6693" s="8">
        <v>1.3578125E-2</v>
      </c>
    </row>
    <row r="6694" spans="1:1" x14ac:dyDescent="0.25">
      <c r="A6694" s="8">
        <v>1.6953124999999999E-2</v>
      </c>
    </row>
    <row r="6695" spans="1:1" x14ac:dyDescent="0.25">
      <c r="A6695" s="8">
        <v>7.4843749999999997E-3</v>
      </c>
    </row>
    <row r="6696" spans="1:1" x14ac:dyDescent="0.25">
      <c r="A6696" s="8">
        <v>7.4999999999999997E-3</v>
      </c>
    </row>
    <row r="6697" spans="1:1" x14ac:dyDescent="0.25">
      <c r="A6697" s="8">
        <v>7.3281249999999996E-3</v>
      </c>
    </row>
    <row r="6698" spans="1:1" x14ac:dyDescent="0.25">
      <c r="A6698" s="8">
        <v>1.1296875E-2</v>
      </c>
    </row>
    <row r="6699" spans="1:1" x14ac:dyDescent="0.25">
      <c r="A6699" s="8">
        <v>2.3171875000000001E-2</v>
      </c>
    </row>
    <row r="6700" spans="1:1" x14ac:dyDescent="0.25">
      <c r="A6700" s="8">
        <v>2.6531249999999999E-2</v>
      </c>
    </row>
    <row r="6701" spans="1:1" x14ac:dyDescent="0.25">
      <c r="A6701" s="8">
        <v>9.5156249999999998E-3</v>
      </c>
    </row>
    <row r="6702" spans="1:1" x14ac:dyDescent="0.25">
      <c r="A6702" s="8">
        <v>1.3484375E-2</v>
      </c>
    </row>
    <row r="6703" spans="1:1" x14ac:dyDescent="0.25">
      <c r="A6703" s="8">
        <v>1.7624999999999998E-2</v>
      </c>
    </row>
    <row r="6704" spans="1:1" x14ac:dyDescent="0.25">
      <c r="A6704" s="8">
        <v>1.41875E-2</v>
      </c>
    </row>
    <row r="6705" spans="1:1" x14ac:dyDescent="0.25">
      <c r="A6705" s="8">
        <v>1.1261718999998265E-2</v>
      </c>
    </row>
    <row r="6706" spans="1:1" x14ac:dyDescent="0.25">
      <c r="A6706" s="8">
        <v>1.808593699999983E-2</v>
      </c>
    </row>
    <row r="6707" spans="1:1" x14ac:dyDescent="0.25">
      <c r="A6707" s="8">
        <v>2.2933594000001903E-2</v>
      </c>
    </row>
    <row r="6708" spans="1:1" x14ac:dyDescent="0.25">
      <c r="A6708" s="8">
        <v>1.7332030999998096E-2</v>
      </c>
    </row>
    <row r="6709" spans="1:1" x14ac:dyDescent="0.25">
      <c r="A6709" s="8">
        <v>2.0640624999999999E-2</v>
      </c>
    </row>
    <row r="6710" spans="1:1" x14ac:dyDescent="0.25">
      <c r="A6710" s="8">
        <v>1.780468699999983E-2</v>
      </c>
    </row>
    <row r="6711" spans="1:1" x14ac:dyDescent="0.25">
      <c r="A6711" s="8">
        <v>2.2050780999998097E-2</v>
      </c>
    </row>
    <row r="6712" spans="1:1" x14ac:dyDescent="0.25">
      <c r="A6712" s="8">
        <v>1.3332030999998096E-2</v>
      </c>
    </row>
    <row r="6713" spans="1:1" x14ac:dyDescent="0.25">
      <c r="A6713" s="8">
        <v>7.78125E-3</v>
      </c>
    </row>
    <row r="6714" spans="1:1" x14ac:dyDescent="0.25">
      <c r="A6714" s="8">
        <v>1.1417969000001903E-2</v>
      </c>
    </row>
    <row r="6715" spans="1:1" x14ac:dyDescent="0.25">
      <c r="A6715" s="8">
        <v>1.9519531000005374E-2</v>
      </c>
    </row>
    <row r="6716" spans="1:1" x14ac:dyDescent="0.25">
      <c r="A6716" s="8">
        <v>2.1820312000003467E-2</v>
      </c>
    </row>
    <row r="6717" spans="1:1" x14ac:dyDescent="0.25">
      <c r="A6717" s="8">
        <v>1.5777344000001903E-2</v>
      </c>
    </row>
    <row r="6718" spans="1:1" x14ac:dyDescent="0.25">
      <c r="A6718" s="8">
        <v>7.9023440000019034E-3</v>
      </c>
    </row>
    <row r="6719" spans="1:1" x14ac:dyDescent="0.25">
      <c r="A6719" s="8">
        <v>1.7906249999999999E-2</v>
      </c>
    </row>
    <row r="6720" spans="1:1" x14ac:dyDescent="0.25">
      <c r="A6720" s="8">
        <v>1.3621094000001903E-2</v>
      </c>
    </row>
    <row r="6721" spans="1:1" x14ac:dyDescent="0.25">
      <c r="A6721" s="8">
        <v>2.1781249999999999E-2</v>
      </c>
    </row>
    <row r="6722" spans="1:1" x14ac:dyDescent="0.25">
      <c r="A6722" s="8">
        <v>2.4781250000000001E-2</v>
      </c>
    </row>
    <row r="6723" spans="1:1" x14ac:dyDescent="0.25">
      <c r="A6723" s="8">
        <v>2.3734374999999999E-2</v>
      </c>
    </row>
    <row r="6724" spans="1:1" x14ac:dyDescent="0.25">
      <c r="A6724" s="8">
        <v>2.0539061999996194E-2</v>
      </c>
    </row>
    <row r="6725" spans="1:1" x14ac:dyDescent="0.25">
      <c r="A6725" s="8">
        <v>3.4875000000000003E-2</v>
      </c>
    </row>
    <row r="6726" spans="1:1" x14ac:dyDescent="0.25">
      <c r="A6726" s="8">
        <v>2.1382813000003806E-2</v>
      </c>
    </row>
    <row r="6727" spans="1:1" x14ac:dyDescent="0.25">
      <c r="A6727" s="8">
        <v>1.6601561999996194E-2</v>
      </c>
    </row>
    <row r="6728" spans="1:1" x14ac:dyDescent="0.25">
      <c r="A6728" s="8">
        <v>1.9109375000000001E-2</v>
      </c>
    </row>
    <row r="6729" spans="1:1" x14ac:dyDescent="0.25">
      <c r="A6729" s="8">
        <v>2.2609375000000001E-2</v>
      </c>
    </row>
    <row r="6730" spans="1:1" x14ac:dyDescent="0.25">
      <c r="A6730" s="8">
        <v>2.365625E-2</v>
      </c>
    </row>
    <row r="6731" spans="1:1" x14ac:dyDescent="0.25">
      <c r="A6731" s="8">
        <v>1.1078124999999999E-2</v>
      </c>
    </row>
    <row r="6732" spans="1:1" x14ac:dyDescent="0.25">
      <c r="A6732" s="8">
        <v>2.4906250000000001E-2</v>
      </c>
    </row>
    <row r="6733" spans="1:1" x14ac:dyDescent="0.25">
      <c r="A6733" s="8">
        <v>7.7734380000038074E-3</v>
      </c>
    </row>
    <row r="6734" spans="1:1" x14ac:dyDescent="0.25">
      <c r="A6734" s="8">
        <v>2.7351563000003808E-2</v>
      </c>
    </row>
    <row r="6735" spans="1:1" x14ac:dyDescent="0.25">
      <c r="A6735" s="8">
        <v>7.8046869999961925E-3</v>
      </c>
    </row>
    <row r="6736" spans="1:1" x14ac:dyDescent="0.25">
      <c r="A6736" s="8">
        <v>9.7218750000000007E-2</v>
      </c>
    </row>
    <row r="6737" spans="1:1" x14ac:dyDescent="0.25">
      <c r="A6737" s="8">
        <v>7.9375000000000001E-3</v>
      </c>
    </row>
    <row r="6738" spans="1:1" x14ac:dyDescent="0.25">
      <c r="A6738" s="8">
        <v>2.1843749999999999E-2</v>
      </c>
    </row>
    <row r="6739" spans="1:1" x14ac:dyDescent="0.25">
      <c r="A6739" s="8">
        <v>2.4625000000000001E-2</v>
      </c>
    </row>
    <row r="6740" spans="1:1" x14ac:dyDescent="0.25">
      <c r="A6740" s="8">
        <v>1.4023436999996192E-2</v>
      </c>
    </row>
    <row r="6741" spans="1:1" x14ac:dyDescent="0.25">
      <c r="A6741" s="8">
        <v>2.4234374999999999E-2</v>
      </c>
    </row>
    <row r="6742" spans="1:1" x14ac:dyDescent="0.25">
      <c r="A6742" s="8">
        <v>7.7187499999999999E-3</v>
      </c>
    </row>
    <row r="6743" spans="1:1" x14ac:dyDescent="0.25">
      <c r="A6743" s="8">
        <v>7.4296880000038071E-3</v>
      </c>
    </row>
    <row r="6744" spans="1:1" x14ac:dyDescent="0.25">
      <c r="A6744" s="8">
        <v>1.11875E-2</v>
      </c>
    </row>
    <row r="6745" spans="1:1" x14ac:dyDescent="0.25">
      <c r="A6745" s="8">
        <v>2.1210936999996193E-2</v>
      </c>
    </row>
    <row r="6746" spans="1:1" x14ac:dyDescent="0.25">
      <c r="A6746" s="8">
        <v>1.7390625E-2</v>
      </c>
    </row>
    <row r="6747" spans="1:1" x14ac:dyDescent="0.25">
      <c r="A6747" s="8">
        <v>7.9843750000000002E-3</v>
      </c>
    </row>
    <row r="6748" spans="1:1" x14ac:dyDescent="0.25">
      <c r="A6748" s="8">
        <v>1.7257813000003806E-2</v>
      </c>
    </row>
    <row r="6749" spans="1:1" x14ac:dyDescent="0.25">
      <c r="A6749" s="8">
        <v>1.1726563000003807E-2</v>
      </c>
    </row>
    <row r="6750" spans="1:1" x14ac:dyDescent="0.25">
      <c r="A6750" s="8">
        <v>9.1562499999999995E-3</v>
      </c>
    </row>
    <row r="6751" spans="1:1" x14ac:dyDescent="0.25">
      <c r="A6751" s="8">
        <v>1.7765625E-2</v>
      </c>
    </row>
    <row r="6752" spans="1:1" x14ac:dyDescent="0.25">
      <c r="A6752" s="8">
        <v>1.6148438000003807E-2</v>
      </c>
    </row>
    <row r="6753" spans="1:1" x14ac:dyDescent="0.25">
      <c r="A6753" s="8">
        <v>1.9515625000000002E-2</v>
      </c>
    </row>
    <row r="6754" spans="1:1" x14ac:dyDescent="0.25">
      <c r="A6754" s="8">
        <v>2.2828125000000001E-2</v>
      </c>
    </row>
    <row r="6755" spans="1:1" x14ac:dyDescent="0.25">
      <c r="A6755" s="8">
        <v>7.8906250000000001E-3</v>
      </c>
    </row>
    <row r="6756" spans="1:1" x14ac:dyDescent="0.25">
      <c r="A6756" s="8">
        <v>2.2624999999999999E-2</v>
      </c>
    </row>
    <row r="6757" spans="1:1" x14ac:dyDescent="0.25">
      <c r="A6757" s="8">
        <v>1.1265625E-2</v>
      </c>
    </row>
    <row r="6758" spans="1:1" x14ac:dyDescent="0.25">
      <c r="A6758" s="8">
        <v>8.5000000000000006E-3</v>
      </c>
    </row>
    <row r="6759" spans="1:1" x14ac:dyDescent="0.25">
      <c r="A6759" s="8">
        <v>2.1453125E-2</v>
      </c>
    </row>
    <row r="6760" spans="1:1" x14ac:dyDescent="0.25">
      <c r="A6760" s="8">
        <v>2.1109375E-2</v>
      </c>
    </row>
    <row r="6761" spans="1:1" x14ac:dyDescent="0.25">
      <c r="A6761" s="8">
        <v>0.02</v>
      </c>
    </row>
    <row r="6762" spans="1:1" x14ac:dyDescent="0.25">
      <c r="A6762" s="8">
        <v>1.1859375E-2</v>
      </c>
    </row>
    <row r="6763" spans="1:1" x14ac:dyDescent="0.25">
      <c r="A6763" s="8">
        <v>2.0859374999999999E-2</v>
      </c>
    </row>
    <row r="6764" spans="1:1" x14ac:dyDescent="0.25">
      <c r="A6764" s="8">
        <v>2.328125E-2</v>
      </c>
    </row>
    <row r="6765" spans="1:1" x14ac:dyDescent="0.25">
      <c r="A6765" s="8">
        <v>1.6281250000000001E-2</v>
      </c>
    </row>
    <row r="6766" spans="1:1" x14ac:dyDescent="0.25">
      <c r="A6766" s="8">
        <v>1.4375000000000001E-2</v>
      </c>
    </row>
    <row r="6767" spans="1:1" x14ac:dyDescent="0.25">
      <c r="A6767" s="8">
        <v>1.15E-2</v>
      </c>
    </row>
    <row r="6768" spans="1:1" x14ac:dyDescent="0.25">
      <c r="A6768" s="8">
        <v>0.03</v>
      </c>
    </row>
    <row r="6769" spans="1:1" x14ac:dyDescent="0.25">
      <c r="A6769" s="8">
        <v>2.2265625000000001E-2</v>
      </c>
    </row>
    <row r="6770" spans="1:1" x14ac:dyDescent="0.25">
      <c r="A6770" s="8">
        <v>7.8031249999999996E-2</v>
      </c>
    </row>
    <row r="6771" spans="1:1" x14ac:dyDescent="0.25">
      <c r="A6771" s="8">
        <v>1.4203125E-2</v>
      </c>
    </row>
    <row r="6772" spans="1:1" x14ac:dyDescent="0.25">
      <c r="A6772" s="8">
        <v>1.371875E-2</v>
      </c>
    </row>
    <row r="6773" spans="1:1" x14ac:dyDescent="0.25">
      <c r="A6773" s="8">
        <v>1.3828125E-2</v>
      </c>
    </row>
    <row r="6774" spans="1:1" x14ac:dyDescent="0.25">
      <c r="A6774" s="8">
        <v>1.2796874999999999E-2</v>
      </c>
    </row>
    <row r="6775" spans="1:1" x14ac:dyDescent="0.25">
      <c r="A6775" s="8">
        <v>2.9812499999999999E-2</v>
      </c>
    </row>
    <row r="6776" spans="1:1" x14ac:dyDescent="0.25">
      <c r="A6776" s="8">
        <v>1.4437500000000001E-2</v>
      </c>
    </row>
    <row r="6777" spans="1:1" x14ac:dyDescent="0.25">
      <c r="A6777" s="8">
        <v>1.1332031000001734E-2</v>
      </c>
    </row>
    <row r="6778" spans="1:1" x14ac:dyDescent="0.25">
      <c r="A6778" s="8">
        <v>1.9568359000000781E-2</v>
      </c>
    </row>
    <row r="6779" spans="1:1" x14ac:dyDescent="0.25">
      <c r="A6779" s="8">
        <v>1.7277343999998265E-2</v>
      </c>
    </row>
    <row r="6780" spans="1:1" x14ac:dyDescent="0.25">
      <c r="A6780" s="8">
        <v>1.5517577999999048E-2</v>
      </c>
    </row>
    <row r="6781" spans="1:1" x14ac:dyDescent="0.25">
      <c r="A6781" s="8">
        <v>2.1025390999999217E-2</v>
      </c>
    </row>
    <row r="6782" spans="1:1" x14ac:dyDescent="0.25">
      <c r="A6782" s="8">
        <v>1.4326172000000952E-2</v>
      </c>
    </row>
    <row r="6783" spans="1:1" x14ac:dyDescent="0.25">
      <c r="A6783" s="8">
        <v>1.4568360000001121E-2</v>
      </c>
    </row>
    <row r="6784" spans="1:1" x14ac:dyDescent="0.25">
      <c r="A6784" s="8">
        <v>2.2945313000003808E-2</v>
      </c>
    </row>
    <row r="6785" spans="1:1" x14ac:dyDescent="0.25">
      <c r="A6785" s="8">
        <v>7.8476560000053722E-3</v>
      </c>
    </row>
    <row r="6786" spans="1:1" x14ac:dyDescent="0.25">
      <c r="A6786" s="8">
        <v>1.7699219000001903E-2</v>
      </c>
    </row>
    <row r="6787" spans="1:1" x14ac:dyDescent="0.25">
      <c r="A6787" s="8">
        <v>1.4253906999998435E-2</v>
      </c>
    </row>
    <row r="6788" spans="1:1" x14ac:dyDescent="0.25">
      <c r="A6788" s="8">
        <v>2.5128906000005374E-2</v>
      </c>
    </row>
    <row r="6789" spans="1:1" x14ac:dyDescent="0.25">
      <c r="A6789" s="8">
        <v>7.7539059999980967E-3</v>
      </c>
    </row>
    <row r="6790" spans="1:1" x14ac:dyDescent="0.25">
      <c r="A6790" s="8">
        <v>1.7039062999996531E-2</v>
      </c>
    </row>
    <row r="6791" spans="1:1" x14ac:dyDescent="0.25">
      <c r="A6791" s="8">
        <v>1.3699219000001903E-2</v>
      </c>
    </row>
    <row r="6792" spans="1:1" x14ac:dyDescent="0.25">
      <c r="A6792" s="8">
        <v>1.4691406000005373E-2</v>
      </c>
    </row>
    <row r="6793" spans="1:1" x14ac:dyDescent="0.25">
      <c r="A6793" s="8">
        <v>1.9601563000003808E-2</v>
      </c>
    </row>
    <row r="6794" spans="1:1" x14ac:dyDescent="0.25">
      <c r="A6794" s="8">
        <v>2.0835936999996193E-2</v>
      </c>
    </row>
    <row r="6795" spans="1:1" x14ac:dyDescent="0.25">
      <c r="A6795" s="8">
        <v>9.2421880000038079E-3</v>
      </c>
    </row>
    <row r="6796" spans="1:1" x14ac:dyDescent="0.25">
      <c r="A6796" s="8">
        <v>4.9167969000001907E-2</v>
      </c>
    </row>
    <row r="6797" spans="1:1" x14ac:dyDescent="0.25">
      <c r="A6797" s="8">
        <v>1.7203125E-2</v>
      </c>
    </row>
    <row r="6798" spans="1:1" x14ac:dyDescent="0.25">
      <c r="A6798" s="8">
        <v>2.7703124999999999E-2</v>
      </c>
    </row>
    <row r="6799" spans="1:1" x14ac:dyDescent="0.25">
      <c r="A6799" s="8">
        <v>1.7671875E-2</v>
      </c>
    </row>
    <row r="6800" spans="1:1" x14ac:dyDescent="0.25">
      <c r="A6800" s="8">
        <v>1.7335936999996193E-2</v>
      </c>
    </row>
    <row r="6801" spans="1:1" x14ac:dyDescent="0.25">
      <c r="A6801" s="8">
        <v>1.1046874999999999E-2</v>
      </c>
    </row>
    <row r="6802" spans="1:1" x14ac:dyDescent="0.25">
      <c r="A6802" s="8">
        <v>1.4140625E-2</v>
      </c>
    </row>
    <row r="6803" spans="1:1" x14ac:dyDescent="0.25">
      <c r="A6803" s="8">
        <v>1.7624999999999998E-2</v>
      </c>
    </row>
    <row r="6804" spans="1:1" x14ac:dyDescent="0.25">
      <c r="A6804" s="8">
        <v>3.1328124999999998E-2</v>
      </c>
    </row>
    <row r="6805" spans="1:1" x14ac:dyDescent="0.25">
      <c r="A6805" s="8">
        <v>2.6382813000003807E-2</v>
      </c>
    </row>
    <row r="6806" spans="1:1" x14ac:dyDescent="0.25">
      <c r="A6806" s="8">
        <v>1.4984374999999999E-2</v>
      </c>
    </row>
    <row r="6807" spans="1:1" x14ac:dyDescent="0.25">
      <c r="A6807" s="8">
        <v>1.8687499999999999E-2</v>
      </c>
    </row>
    <row r="6808" spans="1:1" x14ac:dyDescent="0.25">
      <c r="A6808" s="8">
        <v>2.5624999999999998E-2</v>
      </c>
    </row>
    <row r="6809" spans="1:1" x14ac:dyDescent="0.25">
      <c r="A6809" s="8">
        <v>1.5039061999996193E-2</v>
      </c>
    </row>
    <row r="6810" spans="1:1" x14ac:dyDescent="0.25">
      <c r="A6810" s="8">
        <v>1.1210938000003808E-2</v>
      </c>
    </row>
    <row r="6811" spans="1:1" x14ac:dyDescent="0.25">
      <c r="A6811" s="8">
        <v>1.1921875E-2</v>
      </c>
    </row>
    <row r="6812" spans="1:1" x14ac:dyDescent="0.25">
      <c r="A6812" s="8">
        <v>1.5210936999996193E-2</v>
      </c>
    </row>
    <row r="6813" spans="1:1" x14ac:dyDescent="0.25">
      <c r="A6813" s="8">
        <v>7.5546869999961932E-3</v>
      </c>
    </row>
    <row r="6814" spans="1:1" x14ac:dyDescent="0.25">
      <c r="A6814" s="8">
        <v>1.9695311999996194E-2</v>
      </c>
    </row>
    <row r="6815" spans="1:1" x14ac:dyDescent="0.25">
      <c r="A6815" s="8">
        <v>1.2476561999996192E-2</v>
      </c>
    </row>
    <row r="6816" spans="1:1" x14ac:dyDescent="0.25">
      <c r="A6816" s="8">
        <v>2.4492186999996193E-2</v>
      </c>
    </row>
    <row r="6817" spans="1:1" x14ac:dyDescent="0.25">
      <c r="A6817" s="8">
        <v>7.9062500000000001E-3</v>
      </c>
    </row>
    <row r="6818" spans="1:1" x14ac:dyDescent="0.25">
      <c r="A6818" s="8">
        <v>7.9218750000000001E-3</v>
      </c>
    </row>
    <row r="6819" spans="1:1" x14ac:dyDescent="0.25">
      <c r="A6819" s="8">
        <v>1.534375E-2</v>
      </c>
    </row>
    <row r="6820" spans="1:1" x14ac:dyDescent="0.25">
      <c r="A6820" s="8">
        <v>9.6640630000038065E-3</v>
      </c>
    </row>
    <row r="6821" spans="1:1" x14ac:dyDescent="0.25">
      <c r="A6821" s="8">
        <v>1.140625E-2</v>
      </c>
    </row>
    <row r="6822" spans="1:1" x14ac:dyDescent="0.25">
      <c r="A6822" s="8">
        <v>1.7210936999996193E-2</v>
      </c>
    </row>
    <row r="6823" spans="1:1" x14ac:dyDescent="0.25">
      <c r="A6823" s="8">
        <v>2.7796874999999999E-2</v>
      </c>
    </row>
    <row r="6824" spans="1:1" x14ac:dyDescent="0.25">
      <c r="A6824" s="8">
        <v>1.7500000000000002E-2</v>
      </c>
    </row>
    <row r="6825" spans="1:1" x14ac:dyDescent="0.25">
      <c r="A6825" s="8">
        <v>2.5093750000000001E-2</v>
      </c>
    </row>
    <row r="6826" spans="1:1" x14ac:dyDescent="0.25">
      <c r="A6826" s="8">
        <v>1.8992188000003806E-2</v>
      </c>
    </row>
    <row r="6827" spans="1:1" x14ac:dyDescent="0.25">
      <c r="A6827" s="8">
        <v>1.20625E-2</v>
      </c>
    </row>
    <row r="6828" spans="1:1" x14ac:dyDescent="0.25">
      <c r="A6828" s="8">
        <v>2.1000000000000001E-2</v>
      </c>
    </row>
    <row r="6829" spans="1:1" x14ac:dyDescent="0.25">
      <c r="A6829" s="8">
        <v>1.6382811999996194E-2</v>
      </c>
    </row>
    <row r="6830" spans="1:1" x14ac:dyDescent="0.25">
      <c r="A6830" s="8">
        <v>2.5328125E-2</v>
      </c>
    </row>
    <row r="6831" spans="1:1" x14ac:dyDescent="0.25">
      <c r="A6831" s="8">
        <v>4.2164061999996193E-2</v>
      </c>
    </row>
    <row r="6832" spans="1:1" x14ac:dyDescent="0.25">
      <c r="A6832" s="8">
        <v>5.6531249999999998E-2</v>
      </c>
    </row>
    <row r="6833" spans="1:1" x14ac:dyDescent="0.25">
      <c r="A6833" s="8">
        <v>1.3296875E-2</v>
      </c>
    </row>
    <row r="6834" spans="1:1" x14ac:dyDescent="0.25">
      <c r="A6834" s="8">
        <v>1.51875E-2</v>
      </c>
    </row>
    <row r="6835" spans="1:1" x14ac:dyDescent="0.25">
      <c r="A6835" s="8">
        <v>2.5406249999999998E-2</v>
      </c>
    </row>
    <row r="6836" spans="1:1" x14ac:dyDescent="0.25">
      <c r="A6836" s="8">
        <v>1.4E-2</v>
      </c>
    </row>
    <row r="6837" spans="1:1" x14ac:dyDescent="0.25">
      <c r="A6837" s="8">
        <v>1.3890625E-2</v>
      </c>
    </row>
    <row r="6838" spans="1:1" x14ac:dyDescent="0.25">
      <c r="A6838" s="8">
        <v>1.3375E-2</v>
      </c>
    </row>
    <row r="6839" spans="1:1" x14ac:dyDescent="0.25">
      <c r="A6839" s="8">
        <v>1.6484374999999999E-2</v>
      </c>
    </row>
    <row r="6840" spans="1:1" x14ac:dyDescent="0.25">
      <c r="A6840" s="8">
        <v>1.7765625E-2</v>
      </c>
    </row>
    <row r="6841" spans="1:1" x14ac:dyDescent="0.25">
      <c r="A6841" s="8">
        <v>1.0859374999999999E-2</v>
      </c>
    </row>
    <row r="6842" spans="1:1" x14ac:dyDescent="0.25">
      <c r="A6842" s="8">
        <v>2.0390624999999999E-2</v>
      </c>
    </row>
    <row r="6843" spans="1:1" x14ac:dyDescent="0.25">
      <c r="A6843" s="8">
        <v>1.8156249999999999E-2</v>
      </c>
    </row>
    <row r="6844" spans="1:1" x14ac:dyDescent="0.25">
      <c r="A6844" s="8">
        <v>2.0921875E-2</v>
      </c>
    </row>
    <row r="6845" spans="1:1" x14ac:dyDescent="0.25">
      <c r="A6845" s="8">
        <v>2.0140624999999999E-2</v>
      </c>
    </row>
    <row r="6846" spans="1:1" x14ac:dyDescent="0.25">
      <c r="A6846" s="8">
        <v>1.5546875E-2</v>
      </c>
    </row>
    <row r="6847" spans="1:1" x14ac:dyDescent="0.25">
      <c r="A6847" s="8">
        <v>1.2296875000000001E-2</v>
      </c>
    </row>
    <row r="6848" spans="1:1" x14ac:dyDescent="0.25">
      <c r="A6848" s="8">
        <v>2.0593750000000001E-2</v>
      </c>
    </row>
    <row r="6849" spans="1:1" x14ac:dyDescent="0.25">
      <c r="A6849" s="8">
        <v>1.703320299999905E-2</v>
      </c>
    </row>
    <row r="6850" spans="1:1" x14ac:dyDescent="0.25">
      <c r="A6850" s="8">
        <v>1.1511718000001565E-2</v>
      </c>
    </row>
    <row r="6851" spans="1:1" x14ac:dyDescent="0.25">
      <c r="A6851" s="8">
        <v>1.8820312999996532E-2</v>
      </c>
    </row>
    <row r="6852" spans="1:1" x14ac:dyDescent="0.25">
      <c r="A6852" s="8">
        <v>1.3689452999999048E-2</v>
      </c>
    </row>
    <row r="6853" spans="1:1" x14ac:dyDescent="0.25">
      <c r="A6853" s="8">
        <v>1.4445311999996192E-2</v>
      </c>
    </row>
    <row r="6854" spans="1:1" x14ac:dyDescent="0.25">
      <c r="A6854" s="8">
        <v>2.7984374999999999E-2</v>
      </c>
    </row>
    <row r="6855" spans="1:1" x14ac:dyDescent="0.25">
      <c r="A6855" s="8">
        <v>4.0492186999996189E-2</v>
      </c>
    </row>
    <row r="6856" spans="1:1" x14ac:dyDescent="0.25">
      <c r="A6856" s="8">
        <v>2.0351561999996194E-2</v>
      </c>
    </row>
    <row r="6857" spans="1:1" x14ac:dyDescent="0.25">
      <c r="A6857" s="8">
        <v>1.9660155999998097E-2</v>
      </c>
    </row>
    <row r="6858" spans="1:1" x14ac:dyDescent="0.25">
      <c r="A6858" s="8">
        <v>1.4425781000005373E-2</v>
      </c>
    </row>
    <row r="6859" spans="1:1" x14ac:dyDescent="0.25">
      <c r="A6859" s="8">
        <v>1.4277344000001904E-2</v>
      </c>
    </row>
    <row r="6860" spans="1:1" x14ac:dyDescent="0.25">
      <c r="A6860" s="8">
        <v>1.6917969000001903E-2</v>
      </c>
    </row>
    <row r="6861" spans="1:1" x14ac:dyDescent="0.25">
      <c r="A6861" s="8">
        <v>1.7519530999998097E-2</v>
      </c>
    </row>
    <row r="6862" spans="1:1" x14ac:dyDescent="0.25">
      <c r="A6862" s="8">
        <v>1.371875E-2</v>
      </c>
    </row>
    <row r="6863" spans="1:1" x14ac:dyDescent="0.25">
      <c r="A6863" s="8">
        <v>1.6882811999996191E-2</v>
      </c>
    </row>
    <row r="6864" spans="1:1" x14ac:dyDescent="0.25">
      <c r="A6864" s="8">
        <v>2.1734375E-2</v>
      </c>
    </row>
    <row r="6865" spans="1:1" x14ac:dyDescent="0.25">
      <c r="A6865" s="8">
        <v>7.7499999999999999E-3</v>
      </c>
    </row>
    <row r="6866" spans="1:1" x14ac:dyDescent="0.25">
      <c r="A6866" s="8">
        <v>2.0695313000003806E-2</v>
      </c>
    </row>
    <row r="6867" spans="1:1" x14ac:dyDescent="0.25">
      <c r="A6867" s="8">
        <v>1.9328125000000002E-2</v>
      </c>
    </row>
    <row r="6868" spans="1:1" x14ac:dyDescent="0.25">
      <c r="A6868" s="8">
        <v>2.6093749999999999E-2</v>
      </c>
    </row>
    <row r="6869" spans="1:1" x14ac:dyDescent="0.25">
      <c r="A6869" s="8">
        <v>7.6249999999999998E-3</v>
      </c>
    </row>
    <row r="6870" spans="1:1" x14ac:dyDescent="0.25">
      <c r="A6870" s="8">
        <v>1.2101561999996192E-2</v>
      </c>
    </row>
    <row r="6871" spans="1:1" x14ac:dyDescent="0.25">
      <c r="A6871" s="8">
        <v>0.02</v>
      </c>
    </row>
    <row r="6872" spans="1:1" x14ac:dyDescent="0.25">
      <c r="A6872" s="8">
        <v>2.4234374999999999E-2</v>
      </c>
    </row>
    <row r="6873" spans="1:1" x14ac:dyDescent="0.25">
      <c r="A6873" s="8">
        <v>2.1703125E-2</v>
      </c>
    </row>
    <row r="6874" spans="1:1" x14ac:dyDescent="0.25">
      <c r="A6874" s="8">
        <v>1.6835936999996193E-2</v>
      </c>
    </row>
    <row r="6875" spans="1:1" x14ac:dyDescent="0.25">
      <c r="A6875" s="8">
        <v>1.5921874999999999E-2</v>
      </c>
    </row>
    <row r="6876" spans="1:1" x14ac:dyDescent="0.25">
      <c r="A6876" s="8">
        <v>2.1632811999996192E-2</v>
      </c>
    </row>
    <row r="6877" spans="1:1" x14ac:dyDescent="0.25">
      <c r="A6877" s="8">
        <v>2.4328124999999999E-2</v>
      </c>
    </row>
    <row r="6878" spans="1:1" x14ac:dyDescent="0.25">
      <c r="A6878" s="8">
        <v>8.5234380000038072E-3</v>
      </c>
    </row>
    <row r="6879" spans="1:1" x14ac:dyDescent="0.25">
      <c r="A6879" s="8">
        <v>2.4750000000000001E-2</v>
      </c>
    </row>
    <row r="6880" spans="1:1" x14ac:dyDescent="0.25">
      <c r="A6880" s="8">
        <v>8.8828119999961926E-3</v>
      </c>
    </row>
    <row r="6881" spans="1:1" x14ac:dyDescent="0.25">
      <c r="A6881" s="8">
        <v>2.5624999999999998E-2</v>
      </c>
    </row>
    <row r="6882" spans="1:1" x14ac:dyDescent="0.25">
      <c r="A6882" s="8">
        <v>7.6015619999961924E-3</v>
      </c>
    </row>
    <row r="6883" spans="1:1" x14ac:dyDescent="0.25">
      <c r="A6883" s="8">
        <v>1.390625E-2</v>
      </c>
    </row>
    <row r="6884" spans="1:1" x14ac:dyDescent="0.25">
      <c r="A6884" s="8">
        <v>1.1765625E-2</v>
      </c>
    </row>
    <row r="6885" spans="1:1" x14ac:dyDescent="0.25">
      <c r="A6885" s="8">
        <v>1.3054688000003808E-2</v>
      </c>
    </row>
    <row r="6886" spans="1:1" x14ac:dyDescent="0.25">
      <c r="A6886" s="8">
        <v>1.8421875000000001E-2</v>
      </c>
    </row>
    <row r="6887" spans="1:1" x14ac:dyDescent="0.25">
      <c r="A6887" s="8">
        <v>4.6945311999996193E-2</v>
      </c>
    </row>
    <row r="6888" spans="1:1" x14ac:dyDescent="0.25">
      <c r="A6888" s="8">
        <v>1.0585936999996192E-2</v>
      </c>
    </row>
    <row r="6889" spans="1:1" x14ac:dyDescent="0.25">
      <c r="A6889" s="8">
        <v>2.1031250000000001E-2</v>
      </c>
    </row>
    <row r="6890" spans="1:1" x14ac:dyDescent="0.25">
      <c r="A6890" s="8">
        <v>7.6562499999999999E-3</v>
      </c>
    </row>
    <row r="6891" spans="1:1" x14ac:dyDescent="0.25">
      <c r="A6891" s="8">
        <v>2.5296875E-2</v>
      </c>
    </row>
    <row r="6892" spans="1:1" x14ac:dyDescent="0.25">
      <c r="A6892" s="8">
        <v>2.4367188000003807E-2</v>
      </c>
    </row>
    <row r="6893" spans="1:1" x14ac:dyDescent="0.25">
      <c r="A6893" s="8">
        <v>1.0757813000003807E-2</v>
      </c>
    </row>
    <row r="6894" spans="1:1" x14ac:dyDescent="0.25">
      <c r="A6894" s="8">
        <v>1.9921874999999999E-2</v>
      </c>
    </row>
    <row r="6895" spans="1:1" x14ac:dyDescent="0.25">
      <c r="A6895" s="8">
        <v>1.6656250000000001E-2</v>
      </c>
    </row>
    <row r="6896" spans="1:1" x14ac:dyDescent="0.25">
      <c r="A6896" s="8">
        <v>7.9218750000000001E-3</v>
      </c>
    </row>
    <row r="6897" spans="1:1" x14ac:dyDescent="0.25">
      <c r="A6897" s="8">
        <v>1.2976561999996193E-2</v>
      </c>
    </row>
    <row r="6898" spans="1:1" x14ac:dyDescent="0.25">
      <c r="A6898" s="8">
        <v>2.3046875000000001E-2</v>
      </c>
    </row>
    <row r="6899" spans="1:1" x14ac:dyDescent="0.25">
      <c r="A6899" s="8">
        <v>5.2257811999996191E-2</v>
      </c>
    </row>
    <row r="6900" spans="1:1" x14ac:dyDescent="0.25">
      <c r="A6900" s="8">
        <v>2.6031249999999999E-2</v>
      </c>
    </row>
    <row r="6901" spans="1:1" x14ac:dyDescent="0.25">
      <c r="A6901" s="8">
        <v>1.1015624999999999E-2</v>
      </c>
    </row>
    <row r="6902" spans="1:1" x14ac:dyDescent="0.25">
      <c r="A6902" s="8">
        <v>1.8093749999999999E-2</v>
      </c>
    </row>
    <row r="6903" spans="1:1" x14ac:dyDescent="0.25">
      <c r="A6903" s="8">
        <v>1.7250000000000001E-2</v>
      </c>
    </row>
    <row r="6904" spans="1:1" x14ac:dyDescent="0.25">
      <c r="A6904" s="8">
        <v>1.9421875000000002E-2</v>
      </c>
    </row>
    <row r="6905" spans="1:1" x14ac:dyDescent="0.25">
      <c r="A6905" s="8">
        <v>2.690625E-2</v>
      </c>
    </row>
    <row r="6906" spans="1:1" x14ac:dyDescent="0.25">
      <c r="A6906" s="8">
        <v>1.2671875000000001E-2</v>
      </c>
    </row>
    <row r="6907" spans="1:1" x14ac:dyDescent="0.25">
      <c r="A6907" s="8">
        <v>2.0625000000000001E-2</v>
      </c>
    </row>
    <row r="6908" spans="1:1" x14ac:dyDescent="0.25">
      <c r="A6908" s="8">
        <v>1.7687499999999998E-2</v>
      </c>
    </row>
    <row r="6909" spans="1:1" x14ac:dyDescent="0.25">
      <c r="A6909" s="8">
        <v>2.2328125000000001E-2</v>
      </c>
    </row>
    <row r="6910" spans="1:1" x14ac:dyDescent="0.25">
      <c r="A6910" s="8">
        <v>1.4E-2</v>
      </c>
    </row>
    <row r="6911" spans="1:1" x14ac:dyDescent="0.25">
      <c r="A6911" s="8">
        <v>1.8906249999999999E-2</v>
      </c>
    </row>
    <row r="6912" spans="1:1" x14ac:dyDescent="0.25">
      <c r="A6912" s="8">
        <v>2.4250000000000001E-2</v>
      </c>
    </row>
    <row r="6913" spans="1:1" x14ac:dyDescent="0.25">
      <c r="A6913" s="8">
        <v>1.4125E-2</v>
      </c>
    </row>
    <row r="6914" spans="1:1" x14ac:dyDescent="0.25">
      <c r="A6914" s="8">
        <v>2.0437500000000001E-2</v>
      </c>
    </row>
    <row r="6915" spans="1:1" x14ac:dyDescent="0.25">
      <c r="A6915" s="8">
        <v>9.3124999999999996E-3</v>
      </c>
    </row>
    <row r="6916" spans="1:1" x14ac:dyDescent="0.25">
      <c r="A6916" s="8">
        <v>2.6593749999999999E-2</v>
      </c>
    </row>
    <row r="6917" spans="1:1" x14ac:dyDescent="0.25">
      <c r="A6917" s="8">
        <v>2.2593749999999999E-2</v>
      </c>
    </row>
    <row r="6918" spans="1:1" x14ac:dyDescent="0.25">
      <c r="A6918" s="8">
        <v>2.0937500000000001E-2</v>
      </c>
    </row>
    <row r="6919" spans="1:1" x14ac:dyDescent="0.25">
      <c r="A6919" s="8">
        <v>2.4083984000000783E-2</v>
      </c>
    </row>
    <row r="6920" spans="1:1" x14ac:dyDescent="0.25">
      <c r="A6920" s="8">
        <v>1.0681640999999218E-2</v>
      </c>
    </row>
    <row r="6921" spans="1:1" x14ac:dyDescent="0.25">
      <c r="A6921" s="8">
        <v>1.0716797000000952E-2</v>
      </c>
    </row>
    <row r="6922" spans="1:1" x14ac:dyDescent="0.25">
      <c r="A6922" s="8">
        <v>2.0181640999999216E-2</v>
      </c>
    </row>
    <row r="6923" spans="1:1" x14ac:dyDescent="0.25">
      <c r="A6923" s="8">
        <v>2.992968799999653E-2</v>
      </c>
    </row>
    <row r="6924" spans="1:1" x14ac:dyDescent="0.25">
      <c r="A6924" s="8">
        <v>1.0763672000000953E-2</v>
      </c>
    </row>
    <row r="6925" spans="1:1" x14ac:dyDescent="0.25">
      <c r="A6925" s="8">
        <v>1.8917968999998265E-2</v>
      </c>
    </row>
    <row r="6926" spans="1:1" x14ac:dyDescent="0.25">
      <c r="A6926" s="8">
        <v>1.16875E-2</v>
      </c>
    </row>
    <row r="6927" spans="1:1" x14ac:dyDescent="0.25">
      <c r="A6927" s="8">
        <v>2.0027344000001904E-2</v>
      </c>
    </row>
    <row r="6928" spans="1:1" x14ac:dyDescent="0.25">
      <c r="A6928" s="8">
        <v>2.1171875E-2</v>
      </c>
    </row>
    <row r="6929" spans="1:1" x14ac:dyDescent="0.25">
      <c r="A6929" s="8">
        <v>1.7175781999998436E-2</v>
      </c>
    </row>
    <row r="6930" spans="1:1" x14ac:dyDescent="0.25">
      <c r="A6930" s="8">
        <v>1.0417968999994628E-2</v>
      </c>
    </row>
    <row r="6931" spans="1:1" x14ac:dyDescent="0.25">
      <c r="A6931" s="8">
        <v>1.4726562000003468E-2</v>
      </c>
    </row>
    <row r="6932" spans="1:1" x14ac:dyDescent="0.25">
      <c r="A6932" s="8">
        <v>2.0988281999998436E-2</v>
      </c>
    </row>
    <row r="6933" spans="1:1" x14ac:dyDescent="0.25">
      <c r="A6933" s="8">
        <v>1.5039062999996531E-2</v>
      </c>
    </row>
    <row r="6934" spans="1:1" x14ac:dyDescent="0.25">
      <c r="A6934" s="8">
        <v>1.3011718000001565E-2</v>
      </c>
    </row>
    <row r="6935" spans="1:1" x14ac:dyDescent="0.25">
      <c r="A6935" s="8">
        <v>2.4625000000000001E-2</v>
      </c>
    </row>
    <row r="6936" spans="1:1" x14ac:dyDescent="0.25">
      <c r="A6936" s="8">
        <v>2.4406250000000001E-2</v>
      </c>
    </row>
    <row r="6937" spans="1:1" x14ac:dyDescent="0.25">
      <c r="A6937" s="8">
        <v>2.0656250000000001E-2</v>
      </c>
    </row>
    <row r="6938" spans="1:1" x14ac:dyDescent="0.25">
      <c r="A6938" s="8">
        <v>9.0437500000000004E-2</v>
      </c>
    </row>
    <row r="6939" spans="1:1" x14ac:dyDescent="0.25">
      <c r="A6939" s="8">
        <v>1.9792968999994626E-2</v>
      </c>
    </row>
    <row r="6940" spans="1:1" x14ac:dyDescent="0.25">
      <c r="A6940" s="8">
        <v>1.6906250000000001E-2</v>
      </c>
    </row>
    <row r="6941" spans="1:1" x14ac:dyDescent="0.25">
      <c r="A6941" s="8">
        <v>2.6253906999998435E-2</v>
      </c>
    </row>
    <row r="6942" spans="1:1" x14ac:dyDescent="0.25">
      <c r="A6942" s="8">
        <v>1.9695313000003808E-2</v>
      </c>
    </row>
    <row r="6943" spans="1:1" x14ac:dyDescent="0.25">
      <c r="A6943" s="8">
        <v>2.0015624999999999E-2</v>
      </c>
    </row>
    <row r="6944" spans="1:1" x14ac:dyDescent="0.25">
      <c r="A6944" s="8">
        <v>1.6429688000003807E-2</v>
      </c>
    </row>
    <row r="6945" spans="1:1" x14ac:dyDescent="0.25">
      <c r="A6945" s="8">
        <v>7.2226559999980962E-3</v>
      </c>
    </row>
    <row r="6946" spans="1:1" x14ac:dyDescent="0.25">
      <c r="A6946" s="8">
        <v>2.4878905999998098E-2</v>
      </c>
    </row>
    <row r="6947" spans="1:1" x14ac:dyDescent="0.25">
      <c r="A6947" s="8">
        <v>1.7976563000003807E-2</v>
      </c>
    </row>
    <row r="6948" spans="1:1" x14ac:dyDescent="0.25">
      <c r="A6948" s="8">
        <v>2.3953124999999999E-2</v>
      </c>
    </row>
    <row r="6949" spans="1:1" x14ac:dyDescent="0.25">
      <c r="A6949" s="8">
        <v>8.9765630000038076E-3</v>
      </c>
    </row>
    <row r="6950" spans="1:1" x14ac:dyDescent="0.25">
      <c r="A6950" s="8">
        <v>1.959375E-2</v>
      </c>
    </row>
    <row r="6951" spans="1:1" x14ac:dyDescent="0.25">
      <c r="A6951" s="8">
        <v>9.9140619999961935E-3</v>
      </c>
    </row>
    <row r="6952" spans="1:1" x14ac:dyDescent="0.25">
      <c r="A6952" s="8">
        <v>2.0203124999999999E-2</v>
      </c>
    </row>
    <row r="6953" spans="1:1" x14ac:dyDescent="0.25">
      <c r="A6953" s="8">
        <v>7.5703119999961923E-3</v>
      </c>
    </row>
    <row r="6954" spans="1:1" x14ac:dyDescent="0.25">
      <c r="A6954" s="8">
        <v>2.2359375000000001E-2</v>
      </c>
    </row>
    <row r="6955" spans="1:1" x14ac:dyDescent="0.25">
      <c r="A6955" s="8">
        <v>1.3367186999996193E-2</v>
      </c>
    </row>
    <row r="6956" spans="1:1" x14ac:dyDescent="0.25">
      <c r="A6956" s="8">
        <v>2.1734375E-2</v>
      </c>
    </row>
    <row r="6957" spans="1:1" x14ac:dyDescent="0.25">
      <c r="A6957" s="8">
        <v>2.2929686999996191E-2</v>
      </c>
    </row>
    <row r="6958" spans="1:1" x14ac:dyDescent="0.25">
      <c r="A6958" s="8">
        <v>1.3804686999996194E-2</v>
      </c>
    </row>
    <row r="6959" spans="1:1" x14ac:dyDescent="0.25">
      <c r="A6959" s="8">
        <v>2.2351563000003807E-2</v>
      </c>
    </row>
    <row r="6960" spans="1:1" x14ac:dyDescent="0.25">
      <c r="A6960" s="8">
        <v>1.3539063000003806E-2</v>
      </c>
    </row>
    <row r="6961" spans="1:1" x14ac:dyDescent="0.25">
      <c r="A6961" s="8">
        <v>9.6406249999999999E-3</v>
      </c>
    </row>
    <row r="6962" spans="1:1" x14ac:dyDescent="0.25">
      <c r="A6962" s="8">
        <v>2.6156249999999999E-2</v>
      </c>
    </row>
    <row r="6963" spans="1:1" x14ac:dyDescent="0.25">
      <c r="A6963" s="8">
        <v>2.6945313000003808E-2</v>
      </c>
    </row>
    <row r="6964" spans="1:1" x14ac:dyDescent="0.25">
      <c r="A6964" s="8">
        <v>1.4445311999996192E-2</v>
      </c>
    </row>
    <row r="6965" spans="1:1" x14ac:dyDescent="0.25">
      <c r="A6965" s="8">
        <v>1.6804686999996193E-2</v>
      </c>
    </row>
    <row r="6966" spans="1:1" x14ac:dyDescent="0.25">
      <c r="A6966" s="8">
        <v>1.33125E-2</v>
      </c>
    </row>
    <row r="6967" spans="1:1" x14ac:dyDescent="0.25">
      <c r="A6967" s="8">
        <v>2.4468750000000001E-2</v>
      </c>
    </row>
    <row r="6968" spans="1:1" x14ac:dyDescent="0.25">
      <c r="A6968" s="8">
        <v>1.5742188000003807E-2</v>
      </c>
    </row>
    <row r="6969" spans="1:1" x14ac:dyDescent="0.25">
      <c r="A6969" s="8">
        <v>1.9976563000003809E-2</v>
      </c>
    </row>
    <row r="6970" spans="1:1" x14ac:dyDescent="0.25">
      <c r="A6970" s="8">
        <v>7.859375E-3</v>
      </c>
    </row>
    <row r="6971" spans="1:1" x14ac:dyDescent="0.25">
      <c r="A6971" s="8">
        <v>1.9460936999996192E-2</v>
      </c>
    </row>
    <row r="6972" spans="1:1" x14ac:dyDescent="0.25">
      <c r="A6972" s="8">
        <v>1.2265625E-2</v>
      </c>
    </row>
    <row r="6973" spans="1:1" x14ac:dyDescent="0.25">
      <c r="A6973" s="8">
        <v>1.2640625000000001E-2</v>
      </c>
    </row>
    <row r="6974" spans="1:1" x14ac:dyDescent="0.25">
      <c r="A6974" s="8">
        <v>1.4671874999999999E-2</v>
      </c>
    </row>
    <row r="6975" spans="1:1" x14ac:dyDescent="0.25">
      <c r="A6975" s="8">
        <v>1.55E-2</v>
      </c>
    </row>
    <row r="6976" spans="1:1" x14ac:dyDescent="0.25">
      <c r="A6976" s="8">
        <v>1.2312500000000001E-2</v>
      </c>
    </row>
    <row r="6977" spans="1:1" x14ac:dyDescent="0.25">
      <c r="A6977" s="8">
        <v>1.96875E-2</v>
      </c>
    </row>
    <row r="6978" spans="1:1" x14ac:dyDescent="0.25">
      <c r="A6978" s="8">
        <v>1.9359375000000002E-2</v>
      </c>
    </row>
    <row r="6979" spans="1:1" x14ac:dyDescent="0.25">
      <c r="A6979" s="8">
        <v>2.7859374999999999E-2</v>
      </c>
    </row>
    <row r="6980" spans="1:1" x14ac:dyDescent="0.25">
      <c r="A6980" s="8">
        <v>1.2453125000000001E-2</v>
      </c>
    </row>
    <row r="6981" spans="1:1" x14ac:dyDescent="0.25">
      <c r="A6981" s="8">
        <v>2.4093750000000001E-2</v>
      </c>
    </row>
    <row r="6982" spans="1:1" x14ac:dyDescent="0.25">
      <c r="A6982" s="8">
        <v>1.7890625E-2</v>
      </c>
    </row>
    <row r="6983" spans="1:1" x14ac:dyDescent="0.25">
      <c r="A6983" s="8">
        <v>9.1562499999999995E-3</v>
      </c>
    </row>
    <row r="6984" spans="1:1" x14ac:dyDescent="0.25">
      <c r="A6984" s="8">
        <v>7.4218749999999997E-3</v>
      </c>
    </row>
    <row r="6985" spans="1:1" x14ac:dyDescent="0.25">
      <c r="A6985" s="8">
        <v>1.903125E-2</v>
      </c>
    </row>
    <row r="6986" spans="1:1" x14ac:dyDescent="0.25">
      <c r="A6986" s="8">
        <v>1.0843749999999999E-2</v>
      </c>
    </row>
    <row r="6987" spans="1:1" x14ac:dyDescent="0.25">
      <c r="A6987" s="8">
        <v>1.3421875E-2</v>
      </c>
    </row>
    <row r="6988" spans="1:1" x14ac:dyDescent="0.25">
      <c r="A6988" s="8">
        <v>2.6134765999999216E-2</v>
      </c>
    </row>
    <row r="6989" spans="1:1" x14ac:dyDescent="0.25">
      <c r="A6989" s="8">
        <v>1.6191406999998433E-2</v>
      </c>
    </row>
    <row r="6990" spans="1:1" x14ac:dyDescent="0.25">
      <c r="A6990" s="8">
        <v>1.1972656999998435E-2</v>
      </c>
    </row>
    <row r="6991" spans="1:1" x14ac:dyDescent="0.25">
      <c r="A6991" s="8">
        <v>1.0494140999999218E-2</v>
      </c>
    </row>
    <row r="6992" spans="1:1" x14ac:dyDescent="0.25">
      <c r="A6992" s="8">
        <v>1.1644531000001734E-2</v>
      </c>
    </row>
    <row r="6993" spans="1:1" x14ac:dyDescent="0.25">
      <c r="A6993" s="8">
        <v>2.2312499999999999E-2</v>
      </c>
    </row>
    <row r="6994" spans="1:1" x14ac:dyDescent="0.25">
      <c r="A6994" s="8">
        <v>1.7496093999994626E-2</v>
      </c>
    </row>
    <row r="6995" spans="1:1" x14ac:dyDescent="0.25">
      <c r="A6995" s="8">
        <v>1.1230468999994627E-2</v>
      </c>
    </row>
    <row r="6996" spans="1:1" x14ac:dyDescent="0.25">
      <c r="A6996" s="8">
        <v>2.1351563000003806E-2</v>
      </c>
    </row>
    <row r="6997" spans="1:1" x14ac:dyDescent="0.25">
      <c r="A6997" s="8">
        <v>2.0785156000005373E-2</v>
      </c>
    </row>
    <row r="6998" spans="1:1" x14ac:dyDescent="0.25">
      <c r="A6998" s="8">
        <v>1.3476563000003806E-2</v>
      </c>
    </row>
    <row r="6999" spans="1:1" x14ac:dyDescent="0.25">
      <c r="A6999" s="8">
        <v>9.1816405999998102E-2</v>
      </c>
    </row>
    <row r="7000" spans="1:1" x14ac:dyDescent="0.25">
      <c r="A7000" s="8">
        <v>1.5253906999998434E-2</v>
      </c>
    </row>
    <row r="7001" spans="1:1" x14ac:dyDescent="0.25">
      <c r="A7001" s="8">
        <v>2.0542969000001902E-2</v>
      </c>
    </row>
    <row r="7002" spans="1:1" x14ac:dyDescent="0.25">
      <c r="A7002" s="8">
        <v>1.6890624999999999E-2</v>
      </c>
    </row>
    <row r="7003" spans="1:1" x14ac:dyDescent="0.25">
      <c r="A7003" s="8">
        <v>1.4390625000000001E-2</v>
      </c>
    </row>
    <row r="7004" spans="1:1" x14ac:dyDescent="0.25">
      <c r="A7004" s="8">
        <v>1.2703124999999999E-2</v>
      </c>
    </row>
    <row r="7005" spans="1:1" x14ac:dyDescent="0.25">
      <c r="A7005" s="8">
        <v>2.0339843999994629E-2</v>
      </c>
    </row>
    <row r="7006" spans="1:1" x14ac:dyDescent="0.25">
      <c r="A7006" s="8">
        <v>1.3695313000003807E-2</v>
      </c>
    </row>
    <row r="7007" spans="1:1" x14ac:dyDescent="0.25">
      <c r="A7007" s="8">
        <v>1.5890624999999999E-2</v>
      </c>
    </row>
    <row r="7008" spans="1:1" x14ac:dyDescent="0.25">
      <c r="A7008" s="8">
        <v>1.7375000000000002E-2</v>
      </c>
    </row>
    <row r="7009" spans="1:1" x14ac:dyDescent="0.25">
      <c r="A7009" s="8">
        <v>1.96875E-2</v>
      </c>
    </row>
    <row r="7010" spans="1:1" x14ac:dyDescent="0.25">
      <c r="A7010" s="8">
        <v>9.6328119999961933E-3</v>
      </c>
    </row>
    <row r="7011" spans="1:1" x14ac:dyDescent="0.25">
      <c r="A7011" s="8">
        <v>1.3554686999996193E-2</v>
      </c>
    </row>
    <row r="7012" spans="1:1" x14ac:dyDescent="0.25">
      <c r="A7012" s="8">
        <v>1.0414063000003807E-2</v>
      </c>
    </row>
    <row r="7013" spans="1:1" x14ac:dyDescent="0.25">
      <c r="A7013" s="8">
        <v>1.315625E-2</v>
      </c>
    </row>
    <row r="7014" spans="1:1" x14ac:dyDescent="0.25">
      <c r="A7014" s="8">
        <v>7.7734380000038074E-3</v>
      </c>
    </row>
    <row r="7015" spans="1:1" x14ac:dyDescent="0.25">
      <c r="A7015" s="8">
        <v>1.1523438000003806E-2</v>
      </c>
    </row>
    <row r="7016" spans="1:1" x14ac:dyDescent="0.25">
      <c r="A7016" s="8">
        <v>1.34375E-2</v>
      </c>
    </row>
    <row r="7017" spans="1:1" x14ac:dyDescent="0.25">
      <c r="A7017" s="8">
        <v>8.2343750000000004E-3</v>
      </c>
    </row>
    <row r="7018" spans="1:1" x14ac:dyDescent="0.25">
      <c r="A7018" s="8">
        <v>1.1601563000003806E-2</v>
      </c>
    </row>
    <row r="7019" spans="1:1" x14ac:dyDescent="0.25">
      <c r="A7019" s="8">
        <v>1.1507811999996193E-2</v>
      </c>
    </row>
    <row r="7020" spans="1:1" x14ac:dyDescent="0.25">
      <c r="A7020" s="8">
        <v>1.8757811999996193E-2</v>
      </c>
    </row>
    <row r="7021" spans="1:1" x14ac:dyDescent="0.25">
      <c r="A7021" s="8">
        <v>2.4421874999999999E-2</v>
      </c>
    </row>
    <row r="7022" spans="1:1" x14ac:dyDescent="0.25">
      <c r="A7022" s="8">
        <v>2.1640625E-2</v>
      </c>
    </row>
    <row r="7023" spans="1:1" x14ac:dyDescent="0.25">
      <c r="A7023" s="8">
        <v>1.15625E-2</v>
      </c>
    </row>
    <row r="7024" spans="1:1" x14ac:dyDescent="0.25">
      <c r="A7024" s="8">
        <v>1.9296875000000002E-2</v>
      </c>
    </row>
    <row r="7025" spans="1:1" x14ac:dyDescent="0.25">
      <c r="A7025" s="8">
        <v>2.0609374999999999E-2</v>
      </c>
    </row>
    <row r="7026" spans="1:1" x14ac:dyDescent="0.25">
      <c r="A7026" s="8">
        <v>2.0734374999999999E-2</v>
      </c>
    </row>
    <row r="7027" spans="1:1" x14ac:dyDescent="0.25">
      <c r="A7027" s="8">
        <v>1.5820313000003808E-2</v>
      </c>
    </row>
    <row r="7028" spans="1:1" x14ac:dyDescent="0.25">
      <c r="A7028" s="8">
        <v>3.0601561999996193E-2</v>
      </c>
    </row>
    <row r="7029" spans="1:1" x14ac:dyDescent="0.25">
      <c r="A7029" s="8">
        <v>2.684375E-2</v>
      </c>
    </row>
    <row r="7030" spans="1:1" x14ac:dyDescent="0.25">
      <c r="A7030" s="8">
        <v>2.4375000000000001E-2</v>
      </c>
    </row>
    <row r="7031" spans="1:1" x14ac:dyDescent="0.25">
      <c r="A7031" s="8">
        <v>9.2187499999999995E-3</v>
      </c>
    </row>
    <row r="7032" spans="1:1" x14ac:dyDescent="0.25">
      <c r="A7032" s="8">
        <v>2.1320311999996192E-2</v>
      </c>
    </row>
    <row r="7033" spans="1:1" x14ac:dyDescent="0.25">
      <c r="A7033" s="8">
        <v>7.8828119999961935E-3</v>
      </c>
    </row>
    <row r="7034" spans="1:1" x14ac:dyDescent="0.25">
      <c r="A7034" s="8">
        <v>1.95E-2</v>
      </c>
    </row>
    <row r="7035" spans="1:1" x14ac:dyDescent="0.25">
      <c r="A7035" s="8">
        <v>1.2015625E-2</v>
      </c>
    </row>
    <row r="7036" spans="1:1" x14ac:dyDescent="0.25">
      <c r="A7036" s="8">
        <v>1.3578125E-2</v>
      </c>
    </row>
    <row r="7037" spans="1:1" x14ac:dyDescent="0.25">
      <c r="A7037" s="8">
        <v>7.9921869999961936E-3</v>
      </c>
    </row>
    <row r="7038" spans="1:1" x14ac:dyDescent="0.25">
      <c r="A7038" s="8">
        <v>1.6921874999999999E-2</v>
      </c>
    </row>
    <row r="7039" spans="1:1" x14ac:dyDescent="0.25">
      <c r="A7039" s="8">
        <v>2.2523438000003806E-2</v>
      </c>
    </row>
    <row r="7040" spans="1:1" x14ac:dyDescent="0.25">
      <c r="A7040" s="8">
        <v>2.0648436999996193E-2</v>
      </c>
    </row>
    <row r="7041" spans="1:1" x14ac:dyDescent="0.25">
      <c r="A7041" s="8">
        <v>2.1812499999999999E-2</v>
      </c>
    </row>
    <row r="7042" spans="1:1" x14ac:dyDescent="0.25">
      <c r="A7042" s="8">
        <v>2.8296874999999999E-2</v>
      </c>
    </row>
    <row r="7043" spans="1:1" x14ac:dyDescent="0.25">
      <c r="A7043" s="8">
        <v>1.4859374999999999E-2</v>
      </c>
    </row>
    <row r="7044" spans="1:1" x14ac:dyDescent="0.25">
      <c r="A7044" s="8">
        <v>2.9890625000000001E-2</v>
      </c>
    </row>
    <row r="7045" spans="1:1" x14ac:dyDescent="0.25">
      <c r="A7045" s="8">
        <v>1.5765624999999998E-2</v>
      </c>
    </row>
    <row r="7046" spans="1:1" x14ac:dyDescent="0.25">
      <c r="A7046" s="8">
        <v>2.9859375E-2</v>
      </c>
    </row>
    <row r="7047" spans="1:1" x14ac:dyDescent="0.25">
      <c r="A7047" s="8">
        <v>2.0953125E-2</v>
      </c>
    </row>
    <row r="7048" spans="1:1" x14ac:dyDescent="0.25">
      <c r="A7048" s="8">
        <v>1.8671875000000001E-2</v>
      </c>
    </row>
    <row r="7049" spans="1:1" x14ac:dyDescent="0.25">
      <c r="A7049" s="8">
        <v>2.0812500000000001E-2</v>
      </c>
    </row>
    <row r="7050" spans="1:1" x14ac:dyDescent="0.25">
      <c r="A7050" s="8">
        <v>1.6953124999999999E-2</v>
      </c>
    </row>
    <row r="7051" spans="1:1" x14ac:dyDescent="0.25">
      <c r="A7051" s="8">
        <v>1.7250000000000001E-2</v>
      </c>
    </row>
    <row r="7052" spans="1:1" x14ac:dyDescent="0.25">
      <c r="A7052" s="8">
        <v>9.6249999999999999E-3</v>
      </c>
    </row>
    <row r="7053" spans="1:1" x14ac:dyDescent="0.25">
      <c r="A7053" s="8">
        <v>7.5468749999999998E-3</v>
      </c>
    </row>
    <row r="7054" spans="1:1" x14ac:dyDescent="0.25">
      <c r="A7054" s="8">
        <v>1.1609375E-2</v>
      </c>
    </row>
    <row r="7055" spans="1:1" x14ac:dyDescent="0.25">
      <c r="A7055" s="8">
        <v>9.71875E-3</v>
      </c>
    </row>
    <row r="7056" spans="1:1" x14ac:dyDescent="0.25">
      <c r="A7056" s="8">
        <v>5.7187500000000002E-2</v>
      </c>
    </row>
    <row r="7057" spans="1:1" x14ac:dyDescent="0.25">
      <c r="A7057" s="8">
        <v>1.4359375000000001E-2</v>
      </c>
    </row>
    <row r="7058" spans="1:1" x14ac:dyDescent="0.25">
      <c r="A7058" s="8">
        <v>3.7900390999999214E-2</v>
      </c>
    </row>
    <row r="7059" spans="1:1" x14ac:dyDescent="0.25">
      <c r="A7059" s="8">
        <v>2.6263672000000952E-2</v>
      </c>
    </row>
    <row r="7060" spans="1:1" x14ac:dyDescent="0.25">
      <c r="A7060" s="8">
        <v>1.7515625E-2</v>
      </c>
    </row>
    <row r="7061" spans="1:1" x14ac:dyDescent="0.25">
      <c r="A7061" s="8">
        <v>1.8013671999997313E-2</v>
      </c>
    </row>
    <row r="7062" spans="1:1" x14ac:dyDescent="0.25">
      <c r="A7062" s="8">
        <v>1.8748047000000951E-2</v>
      </c>
    </row>
    <row r="7063" spans="1:1" x14ac:dyDescent="0.25">
      <c r="A7063" s="8">
        <v>7.7343749999999999E-3</v>
      </c>
    </row>
    <row r="7064" spans="1:1" x14ac:dyDescent="0.25">
      <c r="A7064" s="8">
        <v>8.0039059999980969E-3</v>
      </c>
    </row>
    <row r="7065" spans="1:1" x14ac:dyDescent="0.25">
      <c r="A7065" s="8">
        <v>7.5585940000019039E-3</v>
      </c>
    </row>
    <row r="7066" spans="1:1" x14ac:dyDescent="0.25">
      <c r="A7066" s="8">
        <v>1.0500000000000001E-2</v>
      </c>
    </row>
    <row r="7067" spans="1:1" x14ac:dyDescent="0.25">
      <c r="A7067" s="8">
        <v>1.7402343000001565E-2</v>
      </c>
    </row>
    <row r="7068" spans="1:1" x14ac:dyDescent="0.25">
      <c r="A7068" s="8">
        <v>1.8734375000000001E-2</v>
      </c>
    </row>
    <row r="7069" spans="1:1" x14ac:dyDescent="0.25">
      <c r="A7069" s="8">
        <v>2.1152344000001905E-2</v>
      </c>
    </row>
    <row r="7070" spans="1:1" x14ac:dyDescent="0.25">
      <c r="A7070" s="8">
        <v>1.7929686999996194E-2</v>
      </c>
    </row>
    <row r="7071" spans="1:1" x14ac:dyDescent="0.25">
      <c r="A7071" s="8">
        <v>1.3128906000005372E-2</v>
      </c>
    </row>
    <row r="7072" spans="1:1" x14ac:dyDescent="0.25">
      <c r="A7072" s="8">
        <v>1.3136718000001565E-2</v>
      </c>
    </row>
    <row r="7073" spans="1:1" x14ac:dyDescent="0.25">
      <c r="A7073" s="8">
        <v>1.1164063000003808E-2</v>
      </c>
    </row>
    <row r="7074" spans="1:1" x14ac:dyDescent="0.25">
      <c r="A7074" s="8">
        <v>1.3746093000001566E-2</v>
      </c>
    </row>
    <row r="7075" spans="1:1" x14ac:dyDescent="0.25">
      <c r="A7075" s="8">
        <v>2.0007813000003809E-2</v>
      </c>
    </row>
    <row r="7076" spans="1:1" x14ac:dyDescent="0.25">
      <c r="A7076" s="8">
        <v>1.025E-2</v>
      </c>
    </row>
    <row r="7077" spans="1:1" x14ac:dyDescent="0.25">
      <c r="A7077" s="8">
        <v>3.0785155999998096E-2</v>
      </c>
    </row>
    <row r="7078" spans="1:1" x14ac:dyDescent="0.25">
      <c r="A7078" s="8">
        <v>7.5312499999999998E-3</v>
      </c>
    </row>
    <row r="7079" spans="1:1" x14ac:dyDescent="0.25">
      <c r="A7079" s="8">
        <v>1.9015625000000001E-2</v>
      </c>
    </row>
    <row r="7080" spans="1:1" x14ac:dyDescent="0.25">
      <c r="A7080" s="8">
        <v>9.2421880000038079E-3</v>
      </c>
    </row>
    <row r="7081" spans="1:1" x14ac:dyDescent="0.25">
      <c r="A7081" s="8">
        <v>2.5882811999996192E-2</v>
      </c>
    </row>
    <row r="7082" spans="1:1" x14ac:dyDescent="0.25">
      <c r="A7082" s="8">
        <v>1.7507811999996192E-2</v>
      </c>
    </row>
    <row r="7083" spans="1:1" x14ac:dyDescent="0.25">
      <c r="A7083" s="8">
        <v>7.6874999999999999E-3</v>
      </c>
    </row>
    <row r="7084" spans="1:1" x14ac:dyDescent="0.25">
      <c r="A7084" s="8">
        <v>1.8070311999996192E-2</v>
      </c>
    </row>
    <row r="7085" spans="1:1" x14ac:dyDescent="0.25">
      <c r="A7085" s="8">
        <v>1.8210936999996194E-2</v>
      </c>
    </row>
    <row r="7086" spans="1:1" x14ac:dyDescent="0.25">
      <c r="A7086" s="8">
        <v>1.8335938000003806E-2</v>
      </c>
    </row>
    <row r="7087" spans="1:1" x14ac:dyDescent="0.25">
      <c r="A7087" s="8">
        <v>1.9914061999996194E-2</v>
      </c>
    </row>
    <row r="7088" spans="1:1" x14ac:dyDescent="0.25">
      <c r="A7088" s="8">
        <v>1.6640624999999999E-2</v>
      </c>
    </row>
    <row r="7089" spans="1:1" x14ac:dyDescent="0.25">
      <c r="A7089" s="8">
        <v>1.1945311999996194E-2</v>
      </c>
    </row>
    <row r="7090" spans="1:1" x14ac:dyDescent="0.25">
      <c r="A7090" s="8">
        <v>1.1429688000003808E-2</v>
      </c>
    </row>
    <row r="7091" spans="1:1" x14ac:dyDescent="0.25">
      <c r="A7091" s="8">
        <v>7.8750000000000001E-3</v>
      </c>
    </row>
    <row r="7092" spans="1:1" x14ac:dyDescent="0.25">
      <c r="A7092" s="8">
        <v>4.4117188000003804E-2</v>
      </c>
    </row>
    <row r="7093" spans="1:1" x14ac:dyDescent="0.25">
      <c r="A7093" s="8">
        <v>8.8749999999999992E-3</v>
      </c>
    </row>
    <row r="7094" spans="1:1" x14ac:dyDescent="0.25">
      <c r="A7094" s="8">
        <v>1.1539063000003806E-2</v>
      </c>
    </row>
    <row r="7095" spans="1:1" x14ac:dyDescent="0.25">
      <c r="A7095" s="8">
        <v>1.4484375000000001E-2</v>
      </c>
    </row>
    <row r="7096" spans="1:1" x14ac:dyDescent="0.25">
      <c r="A7096" s="8">
        <v>2.2156249999999999E-2</v>
      </c>
    </row>
    <row r="7097" spans="1:1" x14ac:dyDescent="0.25">
      <c r="A7097" s="8">
        <v>1.7828125E-2</v>
      </c>
    </row>
    <row r="7098" spans="1:1" x14ac:dyDescent="0.25">
      <c r="A7098" s="8">
        <v>1.8367186999996194E-2</v>
      </c>
    </row>
    <row r="7099" spans="1:1" x14ac:dyDescent="0.25">
      <c r="A7099" s="8">
        <v>2.328125E-2</v>
      </c>
    </row>
    <row r="7100" spans="1:1" x14ac:dyDescent="0.25">
      <c r="A7100" s="8">
        <v>2.4070313000003809E-2</v>
      </c>
    </row>
    <row r="7101" spans="1:1" x14ac:dyDescent="0.25">
      <c r="A7101" s="8">
        <v>1.5929688000003807E-2</v>
      </c>
    </row>
    <row r="7102" spans="1:1" x14ac:dyDescent="0.25">
      <c r="A7102" s="8">
        <v>1.1914063000003807E-2</v>
      </c>
    </row>
    <row r="7103" spans="1:1" x14ac:dyDescent="0.25">
      <c r="A7103" s="8">
        <v>1.1609375E-2</v>
      </c>
    </row>
    <row r="7104" spans="1:1" x14ac:dyDescent="0.25">
      <c r="A7104" s="8">
        <v>1.1023438000003808E-2</v>
      </c>
    </row>
    <row r="7105" spans="1:1" x14ac:dyDescent="0.25">
      <c r="A7105" s="8">
        <v>1.7242186999996193E-2</v>
      </c>
    </row>
    <row r="7106" spans="1:1" x14ac:dyDescent="0.25">
      <c r="A7106" s="8">
        <v>1.4648436999996193E-2</v>
      </c>
    </row>
    <row r="7107" spans="1:1" x14ac:dyDescent="0.25">
      <c r="A7107" s="8">
        <v>1.8078125E-2</v>
      </c>
    </row>
    <row r="7108" spans="1:1" x14ac:dyDescent="0.25">
      <c r="A7108" s="8">
        <v>1.165625E-2</v>
      </c>
    </row>
    <row r="7109" spans="1:1" x14ac:dyDescent="0.25">
      <c r="A7109" s="8">
        <v>1.7078125E-2</v>
      </c>
    </row>
    <row r="7110" spans="1:1" x14ac:dyDescent="0.25">
      <c r="A7110" s="8">
        <v>1.2640625000000001E-2</v>
      </c>
    </row>
    <row r="7111" spans="1:1" x14ac:dyDescent="0.25">
      <c r="A7111" s="8">
        <v>1.7250000000000001E-2</v>
      </c>
    </row>
    <row r="7112" spans="1:1" x14ac:dyDescent="0.25">
      <c r="A7112" s="8">
        <v>1.5265625E-2</v>
      </c>
    </row>
    <row r="7113" spans="1:1" x14ac:dyDescent="0.25">
      <c r="A7113" s="8">
        <v>2.371875E-2</v>
      </c>
    </row>
    <row r="7114" spans="1:1" x14ac:dyDescent="0.25">
      <c r="A7114" s="8">
        <v>2.6734375000000001E-2</v>
      </c>
    </row>
    <row r="7115" spans="1:1" x14ac:dyDescent="0.25">
      <c r="A7115" s="8">
        <v>6.20625E-2</v>
      </c>
    </row>
    <row r="7116" spans="1:1" x14ac:dyDescent="0.25">
      <c r="A7116" s="8">
        <v>2.4203124999999999E-2</v>
      </c>
    </row>
    <row r="7117" spans="1:1" x14ac:dyDescent="0.25">
      <c r="A7117" s="8">
        <v>1.7874999999999999E-2</v>
      </c>
    </row>
    <row r="7118" spans="1:1" x14ac:dyDescent="0.25">
      <c r="A7118" s="8">
        <v>1.7609375E-2</v>
      </c>
    </row>
    <row r="7119" spans="1:1" x14ac:dyDescent="0.25">
      <c r="A7119" s="8">
        <v>1.7281250000000001E-2</v>
      </c>
    </row>
    <row r="7120" spans="1:1" x14ac:dyDescent="0.25">
      <c r="A7120" s="8">
        <v>2.340625E-2</v>
      </c>
    </row>
    <row r="7121" spans="1:1" x14ac:dyDescent="0.25">
      <c r="A7121" s="8">
        <v>1.6968750000000001E-2</v>
      </c>
    </row>
    <row r="7122" spans="1:1" x14ac:dyDescent="0.25">
      <c r="A7122" s="8">
        <v>4.6859375000000002E-2</v>
      </c>
    </row>
    <row r="7123" spans="1:1" x14ac:dyDescent="0.25">
      <c r="A7123" s="8">
        <v>1.4843749999999999E-2</v>
      </c>
    </row>
    <row r="7124" spans="1:1" x14ac:dyDescent="0.25">
      <c r="A7124" s="8">
        <v>2.4296874999999999E-2</v>
      </c>
    </row>
    <row r="7125" spans="1:1" x14ac:dyDescent="0.25">
      <c r="A7125" s="8">
        <v>1.3640625E-2</v>
      </c>
    </row>
    <row r="7126" spans="1:1" x14ac:dyDescent="0.25">
      <c r="A7126" s="8">
        <v>7.859375E-3</v>
      </c>
    </row>
    <row r="7127" spans="1:1" x14ac:dyDescent="0.25">
      <c r="A7127" s="8">
        <v>1.3546875E-2</v>
      </c>
    </row>
    <row r="7128" spans="1:1" x14ac:dyDescent="0.25">
      <c r="A7128" s="8">
        <v>2.6093749999999999E-2</v>
      </c>
    </row>
    <row r="7129" spans="1:1" x14ac:dyDescent="0.25">
      <c r="A7129" s="8">
        <v>2.9857421999997313E-2</v>
      </c>
    </row>
    <row r="7130" spans="1:1" x14ac:dyDescent="0.25">
      <c r="A7130" s="8">
        <v>2.0283203999999385E-2</v>
      </c>
    </row>
    <row r="7131" spans="1:1" x14ac:dyDescent="0.25">
      <c r="A7131" s="8">
        <v>1.6800781000001735E-2</v>
      </c>
    </row>
    <row r="7132" spans="1:1" x14ac:dyDescent="0.25">
      <c r="A7132" s="8">
        <v>1.1197265000002517E-2</v>
      </c>
    </row>
    <row r="7133" spans="1:1" x14ac:dyDescent="0.25">
      <c r="A7133" s="8">
        <v>7.7050779999990483E-3</v>
      </c>
    </row>
    <row r="7134" spans="1:1" x14ac:dyDescent="0.25">
      <c r="A7134" s="8">
        <v>2.1568359000000783E-2</v>
      </c>
    </row>
    <row r="7135" spans="1:1" x14ac:dyDescent="0.25">
      <c r="A7135" s="8">
        <v>1.4714843000001565E-2</v>
      </c>
    </row>
    <row r="7136" spans="1:1" x14ac:dyDescent="0.25">
      <c r="A7136" s="8">
        <v>1.4941405999998096E-2</v>
      </c>
    </row>
    <row r="7137" spans="1:1" x14ac:dyDescent="0.25">
      <c r="A7137" s="8">
        <v>2.8117188000003807E-2</v>
      </c>
    </row>
    <row r="7138" spans="1:1" x14ac:dyDescent="0.25">
      <c r="A7138" s="8">
        <v>1.1128905999998096E-2</v>
      </c>
    </row>
    <row r="7139" spans="1:1" x14ac:dyDescent="0.25">
      <c r="A7139" s="8">
        <v>1.0386719000001904E-2</v>
      </c>
    </row>
    <row r="7140" spans="1:1" x14ac:dyDescent="0.25">
      <c r="A7140" s="8">
        <v>1.2910155999998096E-2</v>
      </c>
    </row>
    <row r="7141" spans="1:1" x14ac:dyDescent="0.25">
      <c r="A7141" s="8">
        <v>1.9652344000001903E-2</v>
      </c>
    </row>
    <row r="7142" spans="1:1" x14ac:dyDescent="0.25">
      <c r="A7142" s="8">
        <v>2.5996093000001566E-2</v>
      </c>
    </row>
    <row r="7143" spans="1:1" x14ac:dyDescent="0.25">
      <c r="A7143" s="8">
        <v>9.1792968999994631E-2</v>
      </c>
    </row>
    <row r="7144" spans="1:1" x14ac:dyDescent="0.25">
      <c r="A7144" s="8">
        <v>1.546875E-2</v>
      </c>
    </row>
    <row r="7145" spans="1:1" x14ac:dyDescent="0.25">
      <c r="A7145" s="8">
        <v>1.4867188000003808E-2</v>
      </c>
    </row>
    <row r="7146" spans="1:1" x14ac:dyDescent="0.25">
      <c r="A7146" s="8">
        <v>8.1367180000015658E-3</v>
      </c>
    </row>
    <row r="7147" spans="1:1" x14ac:dyDescent="0.25">
      <c r="A7147" s="8">
        <v>1.9976563000003809E-2</v>
      </c>
    </row>
    <row r="7148" spans="1:1" x14ac:dyDescent="0.25">
      <c r="A7148" s="8">
        <v>1.7218750000000001E-2</v>
      </c>
    </row>
    <row r="7149" spans="1:1" x14ac:dyDescent="0.25">
      <c r="A7149" s="8">
        <v>1.7308593999994629E-2</v>
      </c>
    </row>
    <row r="7150" spans="1:1" x14ac:dyDescent="0.25">
      <c r="A7150" s="8">
        <v>1.3160156999998436E-2</v>
      </c>
    </row>
    <row r="7151" spans="1:1" x14ac:dyDescent="0.25">
      <c r="A7151" s="8">
        <v>1.0656250000000001E-2</v>
      </c>
    </row>
    <row r="7152" spans="1:1" x14ac:dyDescent="0.25">
      <c r="A7152" s="8">
        <v>1.7296875E-2</v>
      </c>
    </row>
    <row r="7153" spans="1:1" x14ac:dyDescent="0.25">
      <c r="A7153" s="8">
        <v>8.6523439999946269E-3</v>
      </c>
    </row>
    <row r="7154" spans="1:1" x14ac:dyDescent="0.25">
      <c r="A7154" s="8">
        <v>1.6175780999998095E-2</v>
      </c>
    </row>
    <row r="7155" spans="1:1" x14ac:dyDescent="0.25">
      <c r="A7155" s="8">
        <v>4.6871094000001903E-2</v>
      </c>
    </row>
    <row r="7156" spans="1:1" x14ac:dyDescent="0.25">
      <c r="A7156" s="8">
        <v>2.0921875E-2</v>
      </c>
    </row>
    <row r="7157" spans="1:1" x14ac:dyDescent="0.25">
      <c r="A7157" s="8">
        <v>1.2E-2</v>
      </c>
    </row>
    <row r="7158" spans="1:1" x14ac:dyDescent="0.25">
      <c r="A7158" s="8">
        <v>9.5781249999999998E-3</v>
      </c>
    </row>
    <row r="7159" spans="1:1" x14ac:dyDescent="0.25">
      <c r="A7159" s="8">
        <v>1.7554686999996193E-2</v>
      </c>
    </row>
    <row r="7160" spans="1:1" x14ac:dyDescent="0.25">
      <c r="A7160" s="8">
        <v>9.3359380000038079E-3</v>
      </c>
    </row>
    <row r="7161" spans="1:1" x14ac:dyDescent="0.25">
      <c r="A7161" s="8">
        <v>1.5460938000003806E-2</v>
      </c>
    </row>
    <row r="7162" spans="1:1" x14ac:dyDescent="0.25">
      <c r="A7162" s="8">
        <v>1.4351563000003807E-2</v>
      </c>
    </row>
    <row r="7163" spans="1:1" x14ac:dyDescent="0.25">
      <c r="A7163" s="8">
        <v>1.1015624999999999E-2</v>
      </c>
    </row>
    <row r="7164" spans="1:1" x14ac:dyDescent="0.25">
      <c r="A7164" s="8">
        <v>2.4445313000003806E-2</v>
      </c>
    </row>
    <row r="7165" spans="1:1" x14ac:dyDescent="0.25">
      <c r="A7165" s="8">
        <v>1.7031250000000001E-2</v>
      </c>
    </row>
    <row r="7166" spans="1:1" x14ac:dyDescent="0.25">
      <c r="A7166" s="8">
        <v>2.5851561999996192E-2</v>
      </c>
    </row>
    <row r="7167" spans="1:1" x14ac:dyDescent="0.25">
      <c r="A7167" s="8">
        <v>1.1273438000003808E-2</v>
      </c>
    </row>
    <row r="7168" spans="1:1" x14ac:dyDescent="0.25">
      <c r="A7168" s="8">
        <v>1.7601563000003807E-2</v>
      </c>
    </row>
    <row r="7169" spans="1:1" x14ac:dyDescent="0.25">
      <c r="A7169" s="8">
        <v>2.0914063000003806E-2</v>
      </c>
    </row>
    <row r="7170" spans="1:1" x14ac:dyDescent="0.25">
      <c r="A7170" s="8">
        <v>2.6070311999996192E-2</v>
      </c>
    </row>
    <row r="7171" spans="1:1" x14ac:dyDescent="0.25">
      <c r="A7171" s="8">
        <v>7.8984380000038067E-3</v>
      </c>
    </row>
    <row r="7172" spans="1:1" x14ac:dyDescent="0.25">
      <c r="A7172" s="8">
        <v>7.9531250000000001E-3</v>
      </c>
    </row>
    <row r="7173" spans="1:1" x14ac:dyDescent="0.25">
      <c r="A7173" s="8">
        <v>1.6906250000000001E-2</v>
      </c>
    </row>
    <row r="7174" spans="1:1" x14ac:dyDescent="0.25">
      <c r="A7174" s="8">
        <v>7.6015619999961924E-3</v>
      </c>
    </row>
    <row r="7175" spans="1:1" x14ac:dyDescent="0.25">
      <c r="A7175" s="8">
        <v>7.8515630000038066E-3</v>
      </c>
    </row>
    <row r="7176" spans="1:1" x14ac:dyDescent="0.25">
      <c r="A7176" s="8">
        <v>1.8406249999999999E-2</v>
      </c>
    </row>
    <row r="7177" spans="1:1" x14ac:dyDescent="0.25">
      <c r="A7177" s="8">
        <v>1.1124999999999999E-2</v>
      </c>
    </row>
    <row r="7178" spans="1:1" x14ac:dyDescent="0.25">
      <c r="A7178" s="8">
        <v>2.0406250000000001E-2</v>
      </c>
    </row>
    <row r="7179" spans="1:1" x14ac:dyDescent="0.25">
      <c r="A7179" s="8">
        <v>7.6953130000038074E-3</v>
      </c>
    </row>
    <row r="7180" spans="1:1" x14ac:dyDescent="0.25">
      <c r="A7180" s="8">
        <v>1.3921875E-2</v>
      </c>
    </row>
    <row r="7181" spans="1:1" x14ac:dyDescent="0.25">
      <c r="A7181" s="8">
        <v>1.0445313000003807E-2</v>
      </c>
    </row>
    <row r="7182" spans="1:1" x14ac:dyDescent="0.25">
      <c r="A7182" s="8">
        <v>1.7101563000003806E-2</v>
      </c>
    </row>
    <row r="7183" spans="1:1" x14ac:dyDescent="0.25">
      <c r="A7183" s="8">
        <v>2.690625E-2</v>
      </c>
    </row>
    <row r="7184" spans="1:1" x14ac:dyDescent="0.25">
      <c r="A7184" s="8">
        <v>1.4695313000003807E-2</v>
      </c>
    </row>
    <row r="7185" spans="1:1" x14ac:dyDescent="0.25">
      <c r="A7185" s="8">
        <v>1.95625E-2</v>
      </c>
    </row>
    <row r="7186" spans="1:1" x14ac:dyDescent="0.25">
      <c r="A7186" s="8">
        <v>1.7960936999996194E-2</v>
      </c>
    </row>
    <row r="7187" spans="1:1" x14ac:dyDescent="0.25">
      <c r="A7187" s="8">
        <v>9.382813000003808E-3</v>
      </c>
    </row>
    <row r="7188" spans="1:1" x14ac:dyDescent="0.25">
      <c r="A7188" s="8">
        <v>3.0484375000000001E-2</v>
      </c>
    </row>
    <row r="7189" spans="1:1" x14ac:dyDescent="0.25">
      <c r="A7189" s="8">
        <v>8.8437499999999992E-3</v>
      </c>
    </row>
    <row r="7190" spans="1:1" x14ac:dyDescent="0.25">
      <c r="A7190" s="8">
        <v>7.4687499999999997E-3</v>
      </c>
    </row>
    <row r="7191" spans="1:1" x14ac:dyDescent="0.25">
      <c r="A7191" s="8">
        <v>2.2953125000000001E-2</v>
      </c>
    </row>
    <row r="7192" spans="1:1" x14ac:dyDescent="0.25">
      <c r="A7192" s="8">
        <v>1.3328125E-2</v>
      </c>
    </row>
    <row r="7193" spans="1:1" x14ac:dyDescent="0.25">
      <c r="A7193" s="8">
        <v>1.0718750000000001E-2</v>
      </c>
    </row>
    <row r="7194" spans="1:1" x14ac:dyDescent="0.25">
      <c r="A7194" s="8">
        <v>2.384375E-2</v>
      </c>
    </row>
    <row r="7195" spans="1:1" x14ac:dyDescent="0.25">
      <c r="A7195" s="8">
        <v>7.5937499999999998E-3</v>
      </c>
    </row>
    <row r="7196" spans="1:1" x14ac:dyDescent="0.25">
      <c r="A7196" s="8">
        <v>2.0406250000000001E-2</v>
      </c>
    </row>
    <row r="7197" spans="1:1" x14ac:dyDescent="0.25">
      <c r="A7197" s="8">
        <v>2.1109375E-2</v>
      </c>
    </row>
    <row r="7198" spans="1:1" x14ac:dyDescent="0.25">
      <c r="A7198" s="8">
        <v>8.6406250000000007E-3</v>
      </c>
    </row>
    <row r="7199" spans="1:1" x14ac:dyDescent="0.25">
      <c r="A7199" s="8">
        <v>2.8765625E-2</v>
      </c>
    </row>
    <row r="7200" spans="1:1" x14ac:dyDescent="0.25">
      <c r="A7200" s="8">
        <v>1.9875E-2</v>
      </c>
    </row>
    <row r="7201" spans="1:1" x14ac:dyDescent="0.25">
      <c r="A7201" s="8">
        <v>1.8468749999999999E-2</v>
      </c>
    </row>
    <row r="7202" spans="1:1" x14ac:dyDescent="0.25">
      <c r="A7202" s="8">
        <v>1.359375E-2</v>
      </c>
    </row>
    <row r="7203" spans="1:1" x14ac:dyDescent="0.25">
      <c r="A7203" s="8">
        <v>2.0343750000000001E-2</v>
      </c>
    </row>
    <row r="7204" spans="1:1" x14ac:dyDescent="0.25">
      <c r="A7204" s="8">
        <v>3.2609375000000003E-2</v>
      </c>
    </row>
    <row r="7205" spans="1:1" x14ac:dyDescent="0.25">
      <c r="A7205" s="8">
        <v>2.2078125000000001E-2</v>
      </c>
    </row>
    <row r="7206" spans="1:1" x14ac:dyDescent="0.25">
      <c r="A7206" s="8">
        <v>2.39375E-2</v>
      </c>
    </row>
    <row r="7207" spans="1:1" x14ac:dyDescent="0.25">
      <c r="A7207" s="8">
        <v>7.9531250000000001E-3</v>
      </c>
    </row>
    <row r="7208" spans="1:1" x14ac:dyDescent="0.25">
      <c r="A7208" s="8">
        <v>1.7281250000000001E-2</v>
      </c>
    </row>
    <row r="7209" spans="1:1" x14ac:dyDescent="0.25">
      <c r="A7209" s="8">
        <v>1.0140625E-2</v>
      </c>
    </row>
    <row r="7210" spans="1:1" x14ac:dyDescent="0.25">
      <c r="A7210" s="8">
        <v>1.8296875000000001E-2</v>
      </c>
    </row>
    <row r="7211" spans="1:1" x14ac:dyDescent="0.25">
      <c r="A7211" s="8">
        <v>2.8421874999999999E-2</v>
      </c>
    </row>
    <row r="7212" spans="1:1" x14ac:dyDescent="0.25">
      <c r="A7212" s="8">
        <v>2.9701172000000952E-2</v>
      </c>
    </row>
    <row r="7213" spans="1:1" x14ac:dyDescent="0.25">
      <c r="A7213" s="8">
        <v>1.4189452999999049E-2</v>
      </c>
    </row>
    <row r="7214" spans="1:1" x14ac:dyDescent="0.25">
      <c r="A7214" s="8">
        <v>2.8003906999998433E-2</v>
      </c>
    </row>
    <row r="7215" spans="1:1" x14ac:dyDescent="0.25">
      <c r="A7215" s="8">
        <v>2.087695299999905E-2</v>
      </c>
    </row>
    <row r="7216" spans="1:1" x14ac:dyDescent="0.25">
      <c r="A7216" s="8">
        <v>2.4968750000000001E-2</v>
      </c>
    </row>
    <row r="7217" spans="1:1" x14ac:dyDescent="0.25">
      <c r="A7217" s="8">
        <v>1.5044922000000951E-2</v>
      </c>
    </row>
    <row r="7218" spans="1:1" x14ac:dyDescent="0.25">
      <c r="A7218" s="8">
        <v>1.7220703999999386E-2</v>
      </c>
    </row>
    <row r="7219" spans="1:1" x14ac:dyDescent="0.25">
      <c r="A7219" s="8">
        <v>1.9146484000000782E-2</v>
      </c>
    </row>
    <row r="7220" spans="1:1" x14ac:dyDescent="0.25">
      <c r="A7220" s="8">
        <v>1.2949218000001565E-2</v>
      </c>
    </row>
    <row r="7221" spans="1:1" x14ac:dyDescent="0.25">
      <c r="A7221" s="8">
        <v>1.1230468000001565E-2</v>
      </c>
    </row>
    <row r="7222" spans="1:1" x14ac:dyDescent="0.25">
      <c r="A7222" s="8">
        <v>1.9066405999998096E-2</v>
      </c>
    </row>
    <row r="7223" spans="1:1" x14ac:dyDescent="0.25">
      <c r="A7223" s="8">
        <v>7.2656250000000004E-3</v>
      </c>
    </row>
    <row r="7224" spans="1:1" x14ac:dyDescent="0.25">
      <c r="A7224" s="8">
        <v>1.2765624999999999E-2</v>
      </c>
    </row>
    <row r="7225" spans="1:1" x14ac:dyDescent="0.25">
      <c r="A7225" s="8">
        <v>1.0917968999994627E-2</v>
      </c>
    </row>
    <row r="7226" spans="1:1" x14ac:dyDescent="0.25">
      <c r="A7226" s="8">
        <v>2.384375E-2</v>
      </c>
    </row>
    <row r="7227" spans="1:1" x14ac:dyDescent="0.25">
      <c r="A7227" s="8">
        <v>1.7492188000003808E-2</v>
      </c>
    </row>
    <row r="7228" spans="1:1" x14ac:dyDescent="0.25">
      <c r="A7228" s="8">
        <v>2.3074219000001905E-2</v>
      </c>
    </row>
    <row r="7229" spans="1:1" x14ac:dyDescent="0.25">
      <c r="A7229" s="8">
        <v>2.2078125000000001E-2</v>
      </c>
    </row>
    <row r="7230" spans="1:1" x14ac:dyDescent="0.25">
      <c r="A7230" s="8">
        <v>9.5976559999980966E-3</v>
      </c>
    </row>
    <row r="7231" spans="1:1" x14ac:dyDescent="0.25">
      <c r="A7231" s="8">
        <v>1.6753906999998434E-2</v>
      </c>
    </row>
    <row r="7232" spans="1:1" x14ac:dyDescent="0.25">
      <c r="A7232" s="8">
        <v>1.5296875E-2</v>
      </c>
    </row>
    <row r="7233" spans="1:1" x14ac:dyDescent="0.25">
      <c r="A7233" s="8">
        <v>1.6132813000003809E-2</v>
      </c>
    </row>
    <row r="7234" spans="1:1" x14ac:dyDescent="0.25">
      <c r="A7234" s="8">
        <v>1.4203125E-2</v>
      </c>
    </row>
    <row r="7235" spans="1:1" x14ac:dyDescent="0.25">
      <c r="A7235" s="8">
        <v>1.025E-2</v>
      </c>
    </row>
    <row r="7236" spans="1:1" x14ac:dyDescent="0.25">
      <c r="A7236" s="8">
        <v>1.5546875E-2</v>
      </c>
    </row>
    <row r="7237" spans="1:1" x14ac:dyDescent="0.25">
      <c r="A7237" s="8">
        <v>1.0867186999996193E-2</v>
      </c>
    </row>
    <row r="7238" spans="1:1" x14ac:dyDescent="0.25">
      <c r="A7238" s="8">
        <v>1.0554688000003807E-2</v>
      </c>
    </row>
    <row r="7239" spans="1:1" x14ac:dyDescent="0.25">
      <c r="A7239" s="8">
        <v>2.3476563000003808E-2</v>
      </c>
    </row>
    <row r="7240" spans="1:1" x14ac:dyDescent="0.25">
      <c r="A7240" s="8">
        <v>1.6835936999996193E-2</v>
      </c>
    </row>
    <row r="7241" spans="1:1" x14ac:dyDescent="0.25">
      <c r="A7241" s="8">
        <v>1.0726563000003807E-2</v>
      </c>
    </row>
    <row r="7242" spans="1:1" x14ac:dyDescent="0.25">
      <c r="A7242" s="8">
        <v>2.70625E-2</v>
      </c>
    </row>
    <row r="7243" spans="1:1" x14ac:dyDescent="0.25">
      <c r="A7243" s="8">
        <v>2.1804688000003809E-2</v>
      </c>
    </row>
    <row r="7244" spans="1:1" x14ac:dyDescent="0.25">
      <c r="A7244" s="8">
        <v>1.0109375E-2</v>
      </c>
    </row>
    <row r="7245" spans="1:1" x14ac:dyDescent="0.25">
      <c r="A7245" s="8">
        <v>5.3593750000000002E-2</v>
      </c>
    </row>
    <row r="7246" spans="1:1" x14ac:dyDescent="0.25">
      <c r="A7246" s="8">
        <v>7.4374999999999997E-3</v>
      </c>
    </row>
    <row r="7247" spans="1:1" x14ac:dyDescent="0.25">
      <c r="A7247" s="8">
        <v>1.7640625E-2</v>
      </c>
    </row>
    <row r="7248" spans="1:1" x14ac:dyDescent="0.25">
      <c r="A7248" s="8">
        <v>3.347656300000381E-2</v>
      </c>
    </row>
    <row r="7249" spans="1:1" x14ac:dyDescent="0.25">
      <c r="A7249" s="8">
        <v>7.335938000003807E-3</v>
      </c>
    </row>
    <row r="7250" spans="1:1" x14ac:dyDescent="0.25">
      <c r="A7250" s="8">
        <v>1.0593750000000001E-2</v>
      </c>
    </row>
    <row r="7251" spans="1:1" x14ac:dyDescent="0.25">
      <c r="A7251" s="8">
        <v>2.4718750000000001E-2</v>
      </c>
    </row>
    <row r="7252" spans="1:1" x14ac:dyDescent="0.25">
      <c r="A7252" s="8">
        <v>1.340625E-2</v>
      </c>
    </row>
    <row r="7253" spans="1:1" x14ac:dyDescent="0.25">
      <c r="A7253" s="8">
        <v>1.9734374999999998E-2</v>
      </c>
    </row>
    <row r="7254" spans="1:1" x14ac:dyDescent="0.25">
      <c r="A7254" s="8">
        <v>2.4523436999996193E-2</v>
      </c>
    </row>
    <row r="7255" spans="1:1" x14ac:dyDescent="0.25">
      <c r="A7255" s="8">
        <v>2.4960938000003808E-2</v>
      </c>
    </row>
    <row r="7256" spans="1:1" x14ac:dyDescent="0.25">
      <c r="A7256" s="8">
        <v>1.2492188000003807E-2</v>
      </c>
    </row>
    <row r="7257" spans="1:1" x14ac:dyDescent="0.25">
      <c r="A7257" s="8">
        <v>2.9265625E-2</v>
      </c>
    </row>
    <row r="7258" spans="1:1" x14ac:dyDescent="0.25">
      <c r="A7258" s="8">
        <v>1.409375E-2</v>
      </c>
    </row>
    <row r="7259" spans="1:1" x14ac:dyDescent="0.25">
      <c r="A7259" s="8">
        <v>2.3875E-2</v>
      </c>
    </row>
    <row r="7260" spans="1:1" x14ac:dyDescent="0.25">
      <c r="A7260" s="8">
        <v>8.5156250000000006E-3</v>
      </c>
    </row>
    <row r="7261" spans="1:1" x14ac:dyDescent="0.25">
      <c r="A7261" s="8">
        <v>1.6601563000003806E-2</v>
      </c>
    </row>
    <row r="7262" spans="1:1" x14ac:dyDescent="0.25">
      <c r="A7262" s="8">
        <v>8.0546869999961919E-3</v>
      </c>
    </row>
    <row r="7263" spans="1:1" x14ac:dyDescent="0.25">
      <c r="A7263" s="8">
        <v>7.2187500000000003E-3</v>
      </c>
    </row>
    <row r="7264" spans="1:1" x14ac:dyDescent="0.25">
      <c r="A7264" s="8">
        <v>1.6914063000003806E-2</v>
      </c>
    </row>
    <row r="7265" spans="1:1" x14ac:dyDescent="0.25">
      <c r="A7265" s="8">
        <v>2.2609375000000001E-2</v>
      </c>
    </row>
    <row r="7266" spans="1:1" x14ac:dyDescent="0.25">
      <c r="A7266" s="8">
        <v>1.0617188000003807E-2</v>
      </c>
    </row>
    <row r="7267" spans="1:1" x14ac:dyDescent="0.25">
      <c r="A7267" s="8">
        <v>2.2195313000003807E-2</v>
      </c>
    </row>
    <row r="7268" spans="1:1" x14ac:dyDescent="0.25">
      <c r="A7268" s="8">
        <v>7.4687499999999997E-3</v>
      </c>
    </row>
    <row r="7269" spans="1:1" x14ac:dyDescent="0.25">
      <c r="A7269" s="8">
        <v>1.8039061999996192E-2</v>
      </c>
    </row>
    <row r="7270" spans="1:1" x14ac:dyDescent="0.25">
      <c r="A7270" s="8">
        <v>1.5546875E-2</v>
      </c>
    </row>
    <row r="7271" spans="1:1" x14ac:dyDescent="0.25">
      <c r="A7271" s="8">
        <v>1.7601561999996192E-2</v>
      </c>
    </row>
    <row r="7272" spans="1:1" x14ac:dyDescent="0.25">
      <c r="A7272" s="8">
        <v>1.8062499999999999E-2</v>
      </c>
    </row>
    <row r="7273" spans="1:1" x14ac:dyDescent="0.25">
      <c r="A7273" s="8">
        <v>2.1554686999996193E-2</v>
      </c>
    </row>
    <row r="7274" spans="1:1" x14ac:dyDescent="0.25">
      <c r="A7274" s="8">
        <v>1.4843749999999999E-2</v>
      </c>
    </row>
    <row r="7275" spans="1:1" x14ac:dyDescent="0.25">
      <c r="A7275" s="8">
        <v>1.3796875E-2</v>
      </c>
    </row>
    <row r="7276" spans="1:1" x14ac:dyDescent="0.25">
      <c r="A7276" s="8">
        <v>1.1390625E-2</v>
      </c>
    </row>
    <row r="7277" spans="1:1" x14ac:dyDescent="0.25">
      <c r="A7277" s="8">
        <v>2.1015625E-2</v>
      </c>
    </row>
    <row r="7278" spans="1:1" x14ac:dyDescent="0.25">
      <c r="A7278" s="8">
        <v>1.5171875E-2</v>
      </c>
    </row>
    <row r="7279" spans="1:1" x14ac:dyDescent="0.25">
      <c r="A7279" s="8">
        <v>7.1562500000000003E-3</v>
      </c>
    </row>
    <row r="7280" spans="1:1" x14ac:dyDescent="0.25">
      <c r="A7280" s="8">
        <v>1.3171875E-2</v>
      </c>
    </row>
    <row r="7281" spans="1:1" x14ac:dyDescent="0.25">
      <c r="A7281" s="8">
        <v>1.2046875E-2</v>
      </c>
    </row>
    <row r="7282" spans="1:1" x14ac:dyDescent="0.25">
      <c r="A7282" s="8">
        <v>1.0687500000000001E-2</v>
      </c>
    </row>
    <row r="7283" spans="1:1" x14ac:dyDescent="0.25">
      <c r="A7283" s="8">
        <v>8.6875000000000008E-3</v>
      </c>
    </row>
    <row r="7284" spans="1:1" x14ac:dyDescent="0.25">
      <c r="A7284" s="8">
        <v>7.3281249999999996E-3</v>
      </c>
    </row>
    <row r="7285" spans="1:1" x14ac:dyDescent="0.25">
      <c r="A7285" s="8">
        <v>2.1078125E-2</v>
      </c>
    </row>
    <row r="7286" spans="1:1" x14ac:dyDescent="0.25">
      <c r="A7286" s="8">
        <v>9.8750000000000001E-3</v>
      </c>
    </row>
    <row r="7287" spans="1:1" x14ac:dyDescent="0.25">
      <c r="A7287" s="8">
        <v>1.4343750000000001E-2</v>
      </c>
    </row>
    <row r="7288" spans="1:1" x14ac:dyDescent="0.25">
      <c r="A7288" s="8">
        <v>1.8171875000000001E-2</v>
      </c>
    </row>
    <row r="7289" spans="1:1" x14ac:dyDescent="0.25">
      <c r="A7289" s="8">
        <v>2.6156249999999999E-2</v>
      </c>
    </row>
    <row r="7290" spans="1:1" x14ac:dyDescent="0.25">
      <c r="A7290" s="8">
        <v>9.0359375000000006E-2</v>
      </c>
    </row>
    <row r="7291" spans="1:1" x14ac:dyDescent="0.25">
      <c r="A7291" s="8">
        <v>7.1562500000000003E-3</v>
      </c>
    </row>
    <row r="7292" spans="1:1" x14ac:dyDescent="0.25">
      <c r="A7292" s="8">
        <v>1.4421875000000001E-2</v>
      </c>
    </row>
    <row r="7293" spans="1:1" x14ac:dyDescent="0.25">
      <c r="A7293" s="8">
        <v>2.0005859000000781E-2</v>
      </c>
    </row>
    <row r="7294" spans="1:1" x14ac:dyDescent="0.25">
      <c r="A7294" s="8">
        <v>2.6031249999999999E-2</v>
      </c>
    </row>
    <row r="7295" spans="1:1" x14ac:dyDescent="0.25">
      <c r="A7295" s="8">
        <v>1.7216796000000614E-2</v>
      </c>
    </row>
    <row r="7296" spans="1:1" x14ac:dyDescent="0.25">
      <c r="A7296" s="8">
        <v>7.6249999999999998E-3</v>
      </c>
    </row>
    <row r="7297" spans="1:1" x14ac:dyDescent="0.25">
      <c r="A7297" s="8">
        <v>2.283593700000347E-2</v>
      </c>
    </row>
    <row r="7298" spans="1:1" x14ac:dyDescent="0.25">
      <c r="A7298" s="8">
        <v>8.5468750000000007E-3</v>
      </c>
    </row>
    <row r="7299" spans="1:1" x14ac:dyDescent="0.25">
      <c r="A7299" s="8">
        <v>1.6812500000000001E-2</v>
      </c>
    </row>
    <row r="7300" spans="1:1" x14ac:dyDescent="0.25">
      <c r="A7300" s="8">
        <v>1.5242187000003469E-2</v>
      </c>
    </row>
    <row r="7301" spans="1:1" x14ac:dyDescent="0.25">
      <c r="A7301" s="8">
        <v>2.3738280999998095E-2</v>
      </c>
    </row>
    <row r="7302" spans="1:1" x14ac:dyDescent="0.25">
      <c r="A7302" s="8">
        <v>2.2640625000000001E-2</v>
      </c>
    </row>
    <row r="7303" spans="1:1" x14ac:dyDescent="0.25">
      <c r="A7303" s="8">
        <v>1.4003906999998435E-2</v>
      </c>
    </row>
    <row r="7304" spans="1:1" x14ac:dyDescent="0.25">
      <c r="A7304" s="8">
        <v>1.3753905999998097E-2</v>
      </c>
    </row>
    <row r="7305" spans="1:1" x14ac:dyDescent="0.25">
      <c r="A7305" s="8">
        <v>1.4042968999994628E-2</v>
      </c>
    </row>
    <row r="7306" spans="1:1" x14ac:dyDescent="0.25">
      <c r="A7306" s="8">
        <v>3.1144531999998434E-2</v>
      </c>
    </row>
    <row r="7307" spans="1:1" x14ac:dyDescent="0.25">
      <c r="A7307" s="8">
        <v>7.679687999996531E-3</v>
      </c>
    </row>
    <row r="7308" spans="1:1" x14ac:dyDescent="0.25">
      <c r="A7308" s="8">
        <v>2.378125E-2</v>
      </c>
    </row>
    <row r="7309" spans="1:1" x14ac:dyDescent="0.25">
      <c r="A7309" s="8">
        <v>1.7226561999996191E-2</v>
      </c>
    </row>
    <row r="7310" spans="1:1" x14ac:dyDescent="0.25">
      <c r="A7310" s="8">
        <v>1.3632811999996193E-2</v>
      </c>
    </row>
    <row r="7311" spans="1:1" x14ac:dyDescent="0.25">
      <c r="A7311" s="8">
        <v>2.0710936999996193E-2</v>
      </c>
    </row>
    <row r="7312" spans="1:1" x14ac:dyDescent="0.25">
      <c r="A7312" s="8">
        <v>2.4937500000000001E-2</v>
      </c>
    </row>
    <row r="7313" spans="1:1" x14ac:dyDescent="0.25">
      <c r="A7313" s="8">
        <v>8.5468750000000007E-3</v>
      </c>
    </row>
    <row r="7314" spans="1:1" x14ac:dyDescent="0.25">
      <c r="A7314" s="8">
        <v>2.6742186999996191E-2</v>
      </c>
    </row>
    <row r="7315" spans="1:1" x14ac:dyDescent="0.25">
      <c r="A7315" s="8">
        <v>2.375E-2</v>
      </c>
    </row>
    <row r="7316" spans="1:1" x14ac:dyDescent="0.25">
      <c r="A7316" s="8">
        <v>1.8484375000000001E-2</v>
      </c>
    </row>
    <row r="7317" spans="1:1" x14ac:dyDescent="0.25">
      <c r="A7317" s="8">
        <v>1.8124999999999999E-2</v>
      </c>
    </row>
    <row r="7318" spans="1:1" x14ac:dyDescent="0.25">
      <c r="A7318" s="8">
        <v>1.3601561999996193E-2</v>
      </c>
    </row>
    <row r="7319" spans="1:1" x14ac:dyDescent="0.25">
      <c r="A7319" s="8">
        <v>1.0796874999999999E-2</v>
      </c>
    </row>
    <row r="7320" spans="1:1" x14ac:dyDescent="0.25">
      <c r="A7320" s="8">
        <v>7.7031249999999999E-3</v>
      </c>
    </row>
    <row r="7321" spans="1:1" x14ac:dyDescent="0.25">
      <c r="A7321" s="8">
        <v>1.3796875E-2</v>
      </c>
    </row>
    <row r="7322" spans="1:1" x14ac:dyDescent="0.25">
      <c r="A7322" s="8">
        <v>1.7226561999996191E-2</v>
      </c>
    </row>
    <row r="7323" spans="1:1" x14ac:dyDescent="0.25">
      <c r="A7323" s="8">
        <v>2.5281250000000002E-2</v>
      </c>
    </row>
    <row r="7324" spans="1:1" x14ac:dyDescent="0.25">
      <c r="A7324" s="8">
        <v>2.3445311999996193E-2</v>
      </c>
    </row>
    <row r="7325" spans="1:1" x14ac:dyDescent="0.25">
      <c r="A7325" s="8">
        <v>1.5710938000003807E-2</v>
      </c>
    </row>
    <row r="7326" spans="1:1" x14ac:dyDescent="0.25">
      <c r="A7326" s="8">
        <v>1.134375E-2</v>
      </c>
    </row>
    <row r="7327" spans="1:1" x14ac:dyDescent="0.25">
      <c r="A7327" s="8">
        <v>1.6703124999999999E-2</v>
      </c>
    </row>
    <row r="7328" spans="1:1" x14ac:dyDescent="0.25">
      <c r="A7328" s="8">
        <v>2.38125E-2</v>
      </c>
    </row>
    <row r="7329" spans="1:1" x14ac:dyDescent="0.25">
      <c r="A7329" s="8">
        <v>2.3078125000000001E-2</v>
      </c>
    </row>
    <row r="7330" spans="1:1" x14ac:dyDescent="0.25">
      <c r="A7330" s="8">
        <v>1.7781249999999998E-2</v>
      </c>
    </row>
    <row r="7331" spans="1:1" x14ac:dyDescent="0.25">
      <c r="A7331" s="8">
        <v>7.9140619999961935E-3</v>
      </c>
    </row>
    <row r="7332" spans="1:1" x14ac:dyDescent="0.25">
      <c r="A7332" s="8">
        <v>2.7429688000003807E-2</v>
      </c>
    </row>
    <row r="7333" spans="1:1" x14ac:dyDescent="0.25">
      <c r="A7333" s="8">
        <v>2.3867186999996192E-2</v>
      </c>
    </row>
    <row r="7334" spans="1:1" x14ac:dyDescent="0.25">
      <c r="A7334" s="8">
        <v>1.225E-2</v>
      </c>
    </row>
    <row r="7335" spans="1:1" x14ac:dyDescent="0.25">
      <c r="A7335" s="8">
        <v>1.35625E-2</v>
      </c>
    </row>
    <row r="7336" spans="1:1" x14ac:dyDescent="0.25">
      <c r="A7336" s="8">
        <v>1.3945313000003807E-2</v>
      </c>
    </row>
    <row r="7337" spans="1:1" x14ac:dyDescent="0.25">
      <c r="A7337" s="8">
        <v>7.6406249999999998E-3</v>
      </c>
    </row>
    <row r="7338" spans="1:1" x14ac:dyDescent="0.25">
      <c r="A7338" s="8">
        <v>2.696875E-2</v>
      </c>
    </row>
    <row r="7339" spans="1:1" x14ac:dyDescent="0.25">
      <c r="A7339" s="8">
        <v>1.1507811999996193E-2</v>
      </c>
    </row>
    <row r="7340" spans="1:1" x14ac:dyDescent="0.25">
      <c r="A7340" s="8">
        <v>1.7390625E-2</v>
      </c>
    </row>
    <row r="7341" spans="1:1" x14ac:dyDescent="0.25">
      <c r="A7341" s="8">
        <v>2.2734375000000001E-2</v>
      </c>
    </row>
    <row r="7342" spans="1:1" x14ac:dyDescent="0.25">
      <c r="A7342" s="8">
        <v>1.146875E-2</v>
      </c>
    </row>
    <row r="7343" spans="1:1" x14ac:dyDescent="0.25">
      <c r="A7343" s="8">
        <v>1.2921874999999999E-2</v>
      </c>
    </row>
    <row r="7344" spans="1:1" x14ac:dyDescent="0.25">
      <c r="A7344" s="8">
        <v>1.6937500000000001E-2</v>
      </c>
    </row>
    <row r="7345" spans="1:1" x14ac:dyDescent="0.25">
      <c r="A7345" s="8">
        <v>1.0375000000000001E-2</v>
      </c>
    </row>
    <row r="7346" spans="1:1" x14ac:dyDescent="0.25">
      <c r="A7346" s="8">
        <v>2.0968750000000001E-2</v>
      </c>
    </row>
    <row r="7347" spans="1:1" x14ac:dyDescent="0.25">
      <c r="A7347" s="8">
        <v>1.7624999999999998E-2</v>
      </c>
    </row>
    <row r="7348" spans="1:1" x14ac:dyDescent="0.25">
      <c r="A7348" s="8">
        <v>2.2515625000000001E-2</v>
      </c>
    </row>
    <row r="7349" spans="1:1" x14ac:dyDescent="0.25">
      <c r="A7349" s="8">
        <v>1.7765625E-2</v>
      </c>
    </row>
    <row r="7350" spans="1:1" x14ac:dyDescent="0.25">
      <c r="A7350" s="8">
        <v>4.5609375000000001E-2</v>
      </c>
    </row>
    <row r="7351" spans="1:1" x14ac:dyDescent="0.25">
      <c r="A7351" s="8">
        <v>1.2703124999999999E-2</v>
      </c>
    </row>
    <row r="7352" spans="1:1" x14ac:dyDescent="0.25">
      <c r="A7352" s="8">
        <v>2.36875E-2</v>
      </c>
    </row>
    <row r="7353" spans="1:1" x14ac:dyDescent="0.25">
      <c r="A7353" s="8">
        <v>1.1828125E-2</v>
      </c>
    </row>
    <row r="7354" spans="1:1" x14ac:dyDescent="0.25">
      <c r="A7354" s="8">
        <v>1.55625E-2</v>
      </c>
    </row>
    <row r="7355" spans="1:1" x14ac:dyDescent="0.25">
      <c r="A7355" s="8">
        <v>1.3421875E-2</v>
      </c>
    </row>
    <row r="7356" spans="1:1" x14ac:dyDescent="0.25">
      <c r="A7356" s="8">
        <v>1.0796874999999999E-2</v>
      </c>
    </row>
    <row r="7357" spans="1:1" x14ac:dyDescent="0.25">
      <c r="A7357" s="8">
        <v>1.125E-2</v>
      </c>
    </row>
    <row r="7358" spans="1:1" x14ac:dyDescent="0.25">
      <c r="A7358" s="8">
        <v>1.7343750000000002E-2</v>
      </c>
    </row>
    <row r="7359" spans="1:1" x14ac:dyDescent="0.25">
      <c r="A7359" s="8">
        <v>0.12106835900000078</v>
      </c>
    </row>
    <row r="7360" spans="1:1" x14ac:dyDescent="0.25">
      <c r="A7360" s="8">
        <v>1.097656299999653E-2</v>
      </c>
    </row>
    <row r="7361" spans="1:1" x14ac:dyDescent="0.25">
      <c r="A7361" s="8">
        <v>2.0187500000000001E-2</v>
      </c>
    </row>
    <row r="7362" spans="1:1" x14ac:dyDescent="0.25">
      <c r="A7362" s="8">
        <v>1.2638672000000952E-2</v>
      </c>
    </row>
    <row r="7363" spans="1:1" x14ac:dyDescent="0.25">
      <c r="A7363" s="8">
        <v>1.2517578999999387E-2</v>
      </c>
    </row>
    <row r="7364" spans="1:1" x14ac:dyDescent="0.25">
      <c r="A7364" s="8">
        <v>2.9896484000000782E-2</v>
      </c>
    </row>
    <row r="7365" spans="1:1" x14ac:dyDescent="0.25">
      <c r="A7365" s="8">
        <v>1.0818359999997484E-2</v>
      </c>
    </row>
    <row r="7366" spans="1:1" x14ac:dyDescent="0.25">
      <c r="A7366" s="8">
        <v>1.1792968000001566E-2</v>
      </c>
    </row>
    <row r="7367" spans="1:1" x14ac:dyDescent="0.25">
      <c r="A7367" s="8">
        <v>2.5882813000003807E-2</v>
      </c>
    </row>
    <row r="7368" spans="1:1" x14ac:dyDescent="0.25">
      <c r="A7368" s="8">
        <v>2.416406299999653E-2</v>
      </c>
    </row>
    <row r="7369" spans="1:1" x14ac:dyDescent="0.25">
      <c r="A7369" s="8">
        <v>2.7039063000003808E-2</v>
      </c>
    </row>
    <row r="7370" spans="1:1" x14ac:dyDescent="0.25">
      <c r="A7370" s="8">
        <v>1.0382811999996192E-2</v>
      </c>
    </row>
    <row r="7371" spans="1:1" x14ac:dyDescent="0.25">
      <c r="A7371" s="8">
        <v>1.8972655999998096E-2</v>
      </c>
    </row>
    <row r="7372" spans="1:1" x14ac:dyDescent="0.25">
      <c r="A7372" s="8">
        <v>1.9738280999998095E-2</v>
      </c>
    </row>
    <row r="7373" spans="1:1" x14ac:dyDescent="0.25">
      <c r="A7373" s="8">
        <v>9.1640619999961929E-3</v>
      </c>
    </row>
    <row r="7374" spans="1:1" x14ac:dyDescent="0.25">
      <c r="A7374" s="8">
        <v>1.0113280999998097E-2</v>
      </c>
    </row>
    <row r="7375" spans="1:1" x14ac:dyDescent="0.25">
      <c r="A7375" s="8">
        <v>2.4691405999998098E-2</v>
      </c>
    </row>
    <row r="7376" spans="1:1" x14ac:dyDescent="0.25">
      <c r="A7376" s="8">
        <v>1.9730468000001566E-2</v>
      </c>
    </row>
    <row r="7377" spans="1:1" x14ac:dyDescent="0.25">
      <c r="A7377" s="8">
        <v>7.2070309999980962E-3</v>
      </c>
    </row>
    <row r="7378" spans="1:1" x14ac:dyDescent="0.25">
      <c r="A7378" s="8">
        <v>7.7343749999999999E-3</v>
      </c>
    </row>
    <row r="7379" spans="1:1" x14ac:dyDescent="0.25">
      <c r="A7379" s="8">
        <v>1.5140625E-2</v>
      </c>
    </row>
    <row r="7380" spans="1:1" x14ac:dyDescent="0.25">
      <c r="A7380" s="8">
        <v>2.0644531000005371E-2</v>
      </c>
    </row>
    <row r="7381" spans="1:1" x14ac:dyDescent="0.25">
      <c r="A7381" s="8">
        <v>2.2777344000001903E-2</v>
      </c>
    </row>
    <row r="7382" spans="1:1" x14ac:dyDescent="0.25">
      <c r="A7382" s="8">
        <v>1.534375E-2</v>
      </c>
    </row>
    <row r="7383" spans="1:1" x14ac:dyDescent="0.25">
      <c r="A7383" s="8">
        <v>2.3382812000003469E-2</v>
      </c>
    </row>
    <row r="7384" spans="1:1" x14ac:dyDescent="0.25">
      <c r="A7384" s="8">
        <v>2.6308594000001902E-2</v>
      </c>
    </row>
    <row r="7385" spans="1:1" x14ac:dyDescent="0.25">
      <c r="A7385" s="8">
        <v>2.8281250000000001E-2</v>
      </c>
    </row>
    <row r="7386" spans="1:1" x14ac:dyDescent="0.25">
      <c r="A7386" s="8">
        <v>1.7148437000003468E-2</v>
      </c>
    </row>
    <row r="7387" spans="1:1" x14ac:dyDescent="0.25">
      <c r="A7387" s="8">
        <v>2.1828125E-2</v>
      </c>
    </row>
    <row r="7388" spans="1:1" x14ac:dyDescent="0.25">
      <c r="A7388" s="8">
        <v>2.2609375000000001E-2</v>
      </c>
    </row>
    <row r="7389" spans="1:1" x14ac:dyDescent="0.25">
      <c r="A7389" s="8">
        <v>9.1015620000034683E-3</v>
      </c>
    </row>
    <row r="7390" spans="1:1" x14ac:dyDescent="0.25">
      <c r="A7390" s="8">
        <v>2.1257811999996191E-2</v>
      </c>
    </row>
    <row r="7391" spans="1:1" x14ac:dyDescent="0.25">
      <c r="A7391" s="8">
        <v>1.0789061999996193E-2</v>
      </c>
    </row>
    <row r="7392" spans="1:1" x14ac:dyDescent="0.25">
      <c r="A7392" s="8">
        <v>1.9640624999999998E-2</v>
      </c>
    </row>
    <row r="7393" spans="1:1" x14ac:dyDescent="0.25">
      <c r="A7393" s="8">
        <v>7.7265619999961925E-3</v>
      </c>
    </row>
    <row r="7394" spans="1:1" x14ac:dyDescent="0.25">
      <c r="A7394" s="8">
        <v>8.8203130000038075E-3</v>
      </c>
    </row>
    <row r="7395" spans="1:1" x14ac:dyDescent="0.25">
      <c r="A7395" s="8">
        <v>0.13834374999999999</v>
      </c>
    </row>
    <row r="7396" spans="1:1" x14ac:dyDescent="0.25">
      <c r="A7396" s="8">
        <v>2.0695313000003806E-2</v>
      </c>
    </row>
    <row r="7397" spans="1:1" x14ac:dyDescent="0.25">
      <c r="A7397" s="8">
        <v>9.1796875E-2</v>
      </c>
    </row>
    <row r="7398" spans="1:1" x14ac:dyDescent="0.25">
      <c r="A7398" s="8">
        <v>8.8749999999999992E-3</v>
      </c>
    </row>
    <row r="7399" spans="1:1" x14ac:dyDescent="0.25">
      <c r="A7399" s="8">
        <v>2.1570311999996192E-2</v>
      </c>
    </row>
    <row r="7400" spans="1:1" x14ac:dyDescent="0.25">
      <c r="A7400" s="8">
        <v>8.4921880000038072E-3</v>
      </c>
    </row>
    <row r="7401" spans="1:1" x14ac:dyDescent="0.25">
      <c r="A7401" s="8">
        <v>1.134375E-2</v>
      </c>
    </row>
    <row r="7402" spans="1:1" x14ac:dyDescent="0.25">
      <c r="A7402" s="8">
        <v>1.4078125E-2</v>
      </c>
    </row>
    <row r="7403" spans="1:1" x14ac:dyDescent="0.25">
      <c r="A7403" s="8">
        <v>1.0359375000000001E-2</v>
      </c>
    </row>
    <row r="7404" spans="1:1" x14ac:dyDescent="0.25">
      <c r="A7404" s="8">
        <v>2.2820313000003808E-2</v>
      </c>
    </row>
    <row r="7405" spans="1:1" x14ac:dyDescent="0.25">
      <c r="A7405" s="8">
        <v>1.2476561999996192E-2</v>
      </c>
    </row>
    <row r="7406" spans="1:1" x14ac:dyDescent="0.25">
      <c r="A7406" s="8">
        <v>1.3335938000003808E-2</v>
      </c>
    </row>
    <row r="7407" spans="1:1" x14ac:dyDescent="0.25">
      <c r="A7407" s="8">
        <v>1.346875E-2</v>
      </c>
    </row>
    <row r="7408" spans="1:1" x14ac:dyDescent="0.25">
      <c r="A7408" s="8">
        <v>1.6906250000000001E-2</v>
      </c>
    </row>
    <row r="7409" spans="1:1" x14ac:dyDescent="0.25">
      <c r="A7409" s="8">
        <v>2.0914061999996191E-2</v>
      </c>
    </row>
    <row r="7410" spans="1:1" x14ac:dyDescent="0.25">
      <c r="A7410" s="8">
        <v>1.8210938000003809E-2</v>
      </c>
    </row>
    <row r="7411" spans="1:1" x14ac:dyDescent="0.25">
      <c r="A7411" s="8">
        <v>1.7757813000003807E-2</v>
      </c>
    </row>
    <row r="7412" spans="1:1" x14ac:dyDescent="0.25">
      <c r="A7412" s="8">
        <v>9.6007811999996195E-2</v>
      </c>
    </row>
    <row r="7413" spans="1:1" x14ac:dyDescent="0.25">
      <c r="A7413" s="8">
        <v>1.1171875E-2</v>
      </c>
    </row>
    <row r="7414" spans="1:1" x14ac:dyDescent="0.25">
      <c r="A7414" s="8">
        <v>2.2234375000000001E-2</v>
      </c>
    </row>
    <row r="7415" spans="1:1" x14ac:dyDescent="0.25">
      <c r="A7415" s="8">
        <v>1.4E-2</v>
      </c>
    </row>
    <row r="7416" spans="1:1" x14ac:dyDescent="0.25">
      <c r="A7416" s="8">
        <v>1.115625E-2</v>
      </c>
    </row>
    <row r="7417" spans="1:1" x14ac:dyDescent="0.25">
      <c r="A7417" s="8">
        <v>7.9375000000000001E-3</v>
      </c>
    </row>
    <row r="7418" spans="1:1" x14ac:dyDescent="0.25">
      <c r="A7418" s="8">
        <v>7.7578119999961925E-3</v>
      </c>
    </row>
    <row r="7419" spans="1:1" x14ac:dyDescent="0.25">
      <c r="A7419" s="8">
        <v>1.5984374999999999E-2</v>
      </c>
    </row>
    <row r="7420" spans="1:1" x14ac:dyDescent="0.25">
      <c r="A7420" s="8">
        <v>1.4968749999999999E-2</v>
      </c>
    </row>
    <row r="7421" spans="1:1" x14ac:dyDescent="0.25">
      <c r="A7421" s="8">
        <v>1.6875000000000001E-2</v>
      </c>
    </row>
    <row r="7422" spans="1:1" x14ac:dyDescent="0.25">
      <c r="A7422" s="8">
        <v>1.5203125E-2</v>
      </c>
    </row>
    <row r="7423" spans="1:1" x14ac:dyDescent="0.25">
      <c r="A7423" s="8">
        <v>2.1976563000003807E-2</v>
      </c>
    </row>
    <row r="7424" spans="1:1" x14ac:dyDescent="0.25">
      <c r="A7424" s="8">
        <v>2.6671875000000001E-2</v>
      </c>
    </row>
    <row r="7425" spans="1:1" x14ac:dyDescent="0.25">
      <c r="A7425" s="8">
        <v>1.7617186999996193E-2</v>
      </c>
    </row>
    <row r="7426" spans="1:1" x14ac:dyDescent="0.25">
      <c r="A7426" s="8">
        <v>1.7953125E-2</v>
      </c>
    </row>
    <row r="7427" spans="1:1" x14ac:dyDescent="0.25">
      <c r="A7427" s="8">
        <v>1.5632811999996193E-2</v>
      </c>
    </row>
    <row r="7428" spans="1:1" x14ac:dyDescent="0.25">
      <c r="A7428" s="8">
        <v>2.0070313000003809E-2</v>
      </c>
    </row>
    <row r="7429" spans="1:1" x14ac:dyDescent="0.25">
      <c r="A7429" s="8">
        <v>1.7624999999999998E-2</v>
      </c>
    </row>
    <row r="7430" spans="1:1" x14ac:dyDescent="0.25">
      <c r="A7430" s="8">
        <v>1.4367186999996192E-2</v>
      </c>
    </row>
    <row r="7431" spans="1:1" x14ac:dyDescent="0.25">
      <c r="A7431" s="8">
        <v>2.68125E-2</v>
      </c>
    </row>
    <row r="7432" spans="1:1" x14ac:dyDescent="0.25">
      <c r="A7432" s="8">
        <v>2.4843750000000001E-2</v>
      </c>
    </row>
    <row r="7433" spans="1:1" x14ac:dyDescent="0.25">
      <c r="A7433" s="8">
        <v>2.5468749999999998E-2</v>
      </c>
    </row>
    <row r="7434" spans="1:1" x14ac:dyDescent="0.25">
      <c r="A7434" s="8">
        <v>1.7062500000000001E-2</v>
      </c>
    </row>
    <row r="7435" spans="1:1" x14ac:dyDescent="0.25">
      <c r="A7435" s="8">
        <v>9.2812499999999996E-3</v>
      </c>
    </row>
    <row r="7436" spans="1:1" x14ac:dyDescent="0.25">
      <c r="A7436" s="8">
        <v>2.1421875E-2</v>
      </c>
    </row>
    <row r="7437" spans="1:1" x14ac:dyDescent="0.25">
      <c r="A7437" s="8">
        <v>1.3171875E-2</v>
      </c>
    </row>
    <row r="7438" spans="1:1" x14ac:dyDescent="0.25">
      <c r="A7438" s="8">
        <v>2.0328124999999999E-2</v>
      </c>
    </row>
    <row r="7439" spans="1:1" x14ac:dyDescent="0.25">
      <c r="A7439" s="8">
        <v>1.7609375E-2</v>
      </c>
    </row>
    <row r="7440" spans="1:1" x14ac:dyDescent="0.25">
      <c r="A7440" s="8">
        <v>8.4375000000000006E-3</v>
      </c>
    </row>
    <row r="7441" spans="1:1" x14ac:dyDescent="0.25">
      <c r="A7441" s="8">
        <v>2.0578124999999999E-2</v>
      </c>
    </row>
    <row r="7442" spans="1:1" x14ac:dyDescent="0.25">
      <c r="A7442" s="8">
        <v>2.2093749999999999E-2</v>
      </c>
    </row>
    <row r="7443" spans="1:1" x14ac:dyDescent="0.25">
      <c r="A7443" s="8">
        <v>1.1265625E-2</v>
      </c>
    </row>
    <row r="7444" spans="1:1" x14ac:dyDescent="0.25">
      <c r="A7444" s="8">
        <v>1.8609375000000001E-2</v>
      </c>
    </row>
    <row r="7445" spans="1:1" x14ac:dyDescent="0.25">
      <c r="A7445" s="8">
        <v>2.1281250000000002E-2</v>
      </c>
    </row>
    <row r="7446" spans="1:1" x14ac:dyDescent="0.25">
      <c r="A7446" s="8">
        <v>2.4718750000000001E-2</v>
      </c>
    </row>
    <row r="7447" spans="1:1" x14ac:dyDescent="0.25">
      <c r="A7447" s="8">
        <v>1.6953124999999999E-2</v>
      </c>
    </row>
    <row r="7448" spans="1:1" x14ac:dyDescent="0.25">
      <c r="A7448" s="8">
        <v>8.7500000000000008E-3</v>
      </c>
    </row>
    <row r="7449" spans="1:1" x14ac:dyDescent="0.25">
      <c r="A7449" s="8">
        <v>2.5609375E-2</v>
      </c>
    </row>
    <row r="7450" spans="1:1" x14ac:dyDescent="0.25">
      <c r="A7450" s="8">
        <v>1.1734375E-2</v>
      </c>
    </row>
    <row r="7451" spans="1:1" x14ac:dyDescent="0.25">
      <c r="A7451" s="8">
        <v>0</v>
      </c>
    </row>
    <row r="7452" spans="1:1" x14ac:dyDescent="0.25">
      <c r="A7452" s="8">
        <v>0</v>
      </c>
    </row>
  </sheetData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3"/>
  <sheetViews>
    <sheetView topLeftCell="H1" zoomScale="120" zoomScaleNormal="120" workbookViewId="0">
      <selection activeCell="K30" sqref="K30"/>
    </sheetView>
  </sheetViews>
  <sheetFormatPr baseColWidth="10" defaultRowHeight="15" x14ac:dyDescent="0.25"/>
  <cols>
    <col min="1" max="1" width="12.85546875" style="1" bestFit="1" customWidth="1"/>
    <col min="2" max="2" width="13.42578125" style="1" bestFit="1" customWidth="1"/>
    <col min="3" max="3" width="26" style="1" bestFit="1" customWidth="1"/>
    <col min="4" max="4" width="13.42578125" style="1" bestFit="1" customWidth="1"/>
    <col min="5" max="5" width="12.85546875" style="1" bestFit="1" customWidth="1"/>
    <col min="6" max="7" width="13.42578125" style="1" bestFit="1" customWidth="1"/>
    <col min="8" max="8" width="12.85546875" style="1" bestFit="1" customWidth="1"/>
    <col min="9" max="9" width="9.7109375" style="1" bestFit="1" customWidth="1"/>
    <col min="10" max="11" width="9.140625" style="1" bestFit="1" customWidth="1"/>
    <col min="12" max="12" width="15.7109375" style="1" bestFit="1" customWidth="1"/>
    <col min="13" max="13" width="12.85546875" style="1" bestFit="1" customWidth="1"/>
    <col min="14" max="14" width="34.85546875" style="1" bestFit="1" customWidth="1"/>
    <col min="15" max="15" width="16.42578125" style="1" bestFit="1" customWidth="1"/>
    <col min="16" max="16" width="12.85546875" style="1" bestFit="1" customWidth="1"/>
    <col min="17" max="17" width="17.85546875" style="1" bestFit="1" customWidth="1"/>
    <col min="18" max="16384" width="11.42578125" style="1"/>
  </cols>
  <sheetData>
    <row r="1" spans="1:35" ht="15.75" thickBot="1" x14ac:dyDescent="0.3">
      <c r="A1" s="4"/>
      <c r="B1" s="4"/>
      <c r="C1" s="5" t="s">
        <v>0</v>
      </c>
      <c r="D1" s="4"/>
      <c r="E1" s="4"/>
      <c r="H1" s="43" t="s">
        <v>68</v>
      </c>
      <c r="I1" s="43"/>
      <c r="J1" s="43"/>
      <c r="K1" s="43"/>
      <c r="L1" s="43"/>
      <c r="O1" s="9" t="s">
        <v>65</v>
      </c>
      <c r="P1" s="8">
        <f>COUNT(A3:A11)</f>
        <v>9</v>
      </c>
    </row>
    <row r="2" spans="1:35" ht="15.75" thickBot="1" x14ac:dyDescent="0.3">
      <c r="A2" s="15" t="s">
        <v>1</v>
      </c>
      <c r="B2" s="18" t="s">
        <v>2</v>
      </c>
      <c r="C2" s="18" t="s">
        <v>3</v>
      </c>
      <c r="D2" s="21" t="s">
        <v>4</v>
      </c>
      <c r="E2" s="15" t="s">
        <v>5</v>
      </c>
      <c r="G2" s="14" t="s">
        <v>67</v>
      </c>
      <c r="H2" s="14" t="s">
        <v>69</v>
      </c>
      <c r="I2" s="14" t="s">
        <v>70</v>
      </c>
      <c r="J2" s="14" t="s">
        <v>71</v>
      </c>
      <c r="K2" s="14" t="s">
        <v>72</v>
      </c>
      <c r="O2" s="14" t="s">
        <v>66</v>
      </c>
      <c r="P2" s="8">
        <v>4</v>
      </c>
    </row>
    <row r="3" spans="1:35" ht="15.75" thickBot="1" x14ac:dyDescent="0.3">
      <c r="A3" s="16">
        <v>1</v>
      </c>
      <c r="B3" s="19">
        <v>3.8530000000000002</v>
      </c>
      <c r="C3" s="19">
        <v>2.2149999999999999</v>
      </c>
      <c r="D3" s="22">
        <v>2.355</v>
      </c>
      <c r="E3" s="24">
        <v>2.2349999999999999</v>
      </c>
      <c r="F3" s="2"/>
      <c r="G3" s="1">
        <f>AVERAGE(B3:E3)</f>
        <v>2.6644999999999999</v>
      </c>
      <c r="H3" s="2">
        <f>B3-$G$3</f>
        <v>1.1885000000000003</v>
      </c>
      <c r="I3" s="2">
        <f>C3-$G$3</f>
        <v>-0.44950000000000001</v>
      </c>
      <c r="J3" s="2">
        <f>D3-$G$3</f>
        <v>-0.30949999999999989</v>
      </c>
      <c r="K3" s="2">
        <f>E3-$G$3</f>
        <v>-0.42949999999999999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5.75" thickBot="1" x14ac:dyDescent="0.3">
      <c r="A4" s="16">
        <v>2</v>
      </c>
      <c r="B4" s="19">
        <v>3.4529999999999998</v>
      </c>
      <c r="C4" s="19">
        <v>3.0049999999999999</v>
      </c>
      <c r="D4" s="22">
        <v>2.3119999999999998</v>
      </c>
      <c r="E4" s="24">
        <v>3.214</v>
      </c>
      <c r="F4" s="2"/>
      <c r="G4" s="1">
        <f t="shared" ref="G4:G10" si="0">AVERAGE(B4:E4)</f>
        <v>2.996</v>
      </c>
      <c r="H4" s="2">
        <f>B4-$G$4</f>
        <v>0.45699999999999985</v>
      </c>
      <c r="I4" s="2">
        <f>C4-$G$4</f>
        <v>8.999999999999897E-3</v>
      </c>
      <c r="J4" s="2">
        <f>D4-$G$4</f>
        <v>-0.68400000000000016</v>
      </c>
      <c r="K4" s="2">
        <f>E4-$G$4</f>
        <v>0.21799999999999997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15.75" thickBot="1" x14ac:dyDescent="0.3">
      <c r="A5" s="16">
        <v>3</v>
      </c>
      <c r="B5" s="19">
        <v>3.536</v>
      </c>
      <c r="C5" s="19">
        <v>2.956</v>
      </c>
      <c r="D5" s="22">
        <v>2.1859999999999999</v>
      </c>
      <c r="E5" s="24">
        <v>1.9870000000000001</v>
      </c>
      <c r="F5" s="2"/>
      <c r="G5" s="1">
        <f t="shared" si="0"/>
        <v>2.6662500000000002</v>
      </c>
      <c r="H5" s="2">
        <f>B5-$G$5</f>
        <v>0.8697499999999998</v>
      </c>
      <c r="I5" s="2">
        <f>C5-$G$5</f>
        <v>0.28974999999999973</v>
      </c>
      <c r="J5" s="2">
        <f>D5-$G$5</f>
        <v>-0.48025000000000029</v>
      </c>
      <c r="K5" s="2">
        <f>E5-$G$5</f>
        <v>-0.67925000000000013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5" ht="15.75" thickBot="1" x14ac:dyDescent="0.3">
      <c r="A6" s="16">
        <v>4</v>
      </c>
      <c r="B6" s="19">
        <v>2.9580000000000002</v>
      </c>
      <c r="C6" s="19">
        <v>3.0169999999999999</v>
      </c>
      <c r="D6" s="22">
        <v>2.5939999999999999</v>
      </c>
      <c r="E6" s="24">
        <v>3.456</v>
      </c>
      <c r="F6" s="3"/>
      <c r="G6" s="1">
        <f t="shared" si="0"/>
        <v>3.0062499999999996</v>
      </c>
      <c r="H6" s="3">
        <f>B6-$G$6</f>
        <v>-4.824999999999946E-2</v>
      </c>
      <c r="I6" s="3">
        <f>C6-$G$6</f>
        <v>1.0750000000000259E-2</v>
      </c>
      <c r="J6" s="3">
        <f>D6-$G$6</f>
        <v>-0.41224999999999978</v>
      </c>
      <c r="K6" s="3">
        <f>E6-$G$6</f>
        <v>0.44975000000000032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35" ht="15.75" thickBot="1" x14ac:dyDescent="0.3">
      <c r="A7" s="16">
        <v>5</v>
      </c>
      <c r="B7" s="19">
        <v>2.9180000000000001</v>
      </c>
      <c r="C7" s="19">
        <v>3.125</v>
      </c>
      <c r="D7" s="22">
        <v>2.3250000000000002</v>
      </c>
      <c r="E7" s="24">
        <v>2.9540000000000002</v>
      </c>
      <c r="F7" s="3"/>
      <c r="G7" s="1">
        <f t="shared" si="0"/>
        <v>2.8305000000000002</v>
      </c>
      <c r="H7" s="3">
        <f>B7-$G$7</f>
        <v>8.7499999999999911E-2</v>
      </c>
      <c r="I7" s="3">
        <f>C7-$G$7</f>
        <v>0.29449999999999976</v>
      </c>
      <c r="J7" s="3">
        <f>D7-$G$7</f>
        <v>-0.50550000000000006</v>
      </c>
      <c r="K7" s="3">
        <f>E7-$G$7</f>
        <v>0.12349999999999994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 spans="1:35" ht="15.75" thickBot="1" x14ac:dyDescent="0.3">
      <c r="A8" s="16">
        <v>6</v>
      </c>
      <c r="B8" s="19">
        <v>3.0150000000000001</v>
      </c>
      <c r="C8" s="19">
        <v>3.74</v>
      </c>
      <c r="D8" s="22">
        <v>2.6749999999999998</v>
      </c>
      <c r="E8" s="24">
        <v>3.5609999999999999</v>
      </c>
      <c r="F8" s="3"/>
      <c r="G8" s="1">
        <f t="shared" si="0"/>
        <v>3.2477499999999999</v>
      </c>
      <c r="H8" s="3">
        <f>B8-$G$8</f>
        <v>-0.23274999999999979</v>
      </c>
      <c r="I8" s="3">
        <f>C8-$G$8</f>
        <v>0.4922500000000003</v>
      </c>
      <c r="J8" s="3">
        <f>D8-$G$8</f>
        <v>-0.57275000000000009</v>
      </c>
      <c r="K8" s="3">
        <f>E8-$G$8</f>
        <v>0.31325000000000003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 spans="1:35" ht="15.75" thickBot="1" x14ac:dyDescent="0.3">
      <c r="A9" s="16">
        <v>7</v>
      </c>
      <c r="B9" s="19">
        <v>3.121</v>
      </c>
      <c r="C9" s="19">
        <v>3.2570000000000001</v>
      </c>
      <c r="D9" s="22">
        <v>2.456</v>
      </c>
      <c r="E9" s="24">
        <v>3.726</v>
      </c>
      <c r="F9" s="3"/>
      <c r="G9" s="1">
        <f t="shared" si="0"/>
        <v>3.1399999999999997</v>
      </c>
      <c r="H9" s="3">
        <f>B9-$G$9</f>
        <v>-1.8999999999999684E-2</v>
      </c>
      <c r="I9" s="3">
        <f>C9-$G$9</f>
        <v>0.11700000000000044</v>
      </c>
      <c r="J9" s="3">
        <f>D9-$G$9</f>
        <v>-0.68399999999999972</v>
      </c>
      <c r="K9" s="3">
        <f>E9-$G$9</f>
        <v>0.5860000000000003</v>
      </c>
      <c r="L9" s="3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</row>
    <row r="10" spans="1:35" ht="15.75" thickBot="1" x14ac:dyDescent="0.3">
      <c r="A10" s="17">
        <v>8</v>
      </c>
      <c r="B10" s="19">
        <v>3.0249999999999999</v>
      </c>
      <c r="C10" s="20">
        <v>3.298</v>
      </c>
      <c r="D10" s="23">
        <v>2.569</v>
      </c>
      <c r="E10" s="24">
        <v>3.8740000000000001</v>
      </c>
      <c r="F10" s="3"/>
      <c r="G10" s="1">
        <f t="shared" si="0"/>
        <v>3.1915</v>
      </c>
      <c r="H10" s="3">
        <f>B10-$G$10</f>
        <v>-0.16650000000000009</v>
      </c>
      <c r="I10" s="3">
        <f>C10-$G$10</f>
        <v>0.10650000000000004</v>
      </c>
      <c r="J10" s="3">
        <f>D10-$G$10</f>
        <v>-0.62250000000000005</v>
      </c>
      <c r="K10" s="3">
        <f>E10-$G$10</f>
        <v>0.68250000000000011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r="11" spans="1:35" ht="16.5" thickTop="1" thickBot="1" x14ac:dyDescent="0.3">
      <c r="A11" s="15">
        <v>9</v>
      </c>
      <c r="B11" s="18">
        <v>3.4950000000000001</v>
      </c>
      <c r="C11" s="18">
        <v>2.3140000000000001</v>
      </c>
      <c r="D11" s="21">
        <v>2.3450000000000002</v>
      </c>
      <c r="E11" s="15">
        <v>3.0720000000000001</v>
      </c>
      <c r="F11" s="3"/>
      <c r="G11" s="1">
        <f>AVERAGE(B11:E11)</f>
        <v>2.8064999999999998</v>
      </c>
      <c r="H11" s="3">
        <f>B11-$G$11</f>
        <v>0.68850000000000033</v>
      </c>
      <c r="I11" s="3">
        <f>C11-$G$11</f>
        <v>-0.49249999999999972</v>
      </c>
      <c r="J11" s="3">
        <f>D11-$G$11</f>
        <v>-0.46149999999999958</v>
      </c>
      <c r="K11" s="3">
        <f>E11-$G$11</f>
        <v>0.26550000000000029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 spans="1:35" x14ac:dyDescent="0.25">
      <c r="A12" s="2"/>
      <c r="B12" s="2"/>
      <c r="C12" s="3"/>
      <c r="D12" s="3"/>
      <c r="E12" s="3"/>
      <c r="F12" s="3"/>
      <c r="G12" s="3"/>
      <c r="H12" s="3"/>
      <c r="I12" s="3"/>
      <c r="J12" s="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5" x14ac:dyDescent="0.25">
      <c r="A13" s="2"/>
      <c r="B13" s="2"/>
      <c r="C13" s="3"/>
      <c r="D13" s="3"/>
      <c r="E13" s="3"/>
      <c r="F13" s="3"/>
      <c r="G13" s="3"/>
      <c r="H13" s="3"/>
      <c r="I13" s="3"/>
      <c r="J13" s="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spans="1:35" x14ac:dyDescent="0.25">
      <c r="A14" s="2"/>
      <c r="B14" s="2"/>
      <c r="C14" s="9" t="s">
        <v>75</v>
      </c>
      <c r="D14" s="8">
        <f>AVERAGE(B3:E11)</f>
        <v>2.9499166666666676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 spans="1:3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 spans="1:35" x14ac:dyDescent="0.25">
      <c r="A16" s="25" t="s">
        <v>76</v>
      </c>
      <c r="B16" s="25" t="s">
        <v>77</v>
      </c>
      <c r="C16" s="25" t="s">
        <v>78</v>
      </c>
      <c r="D16" s="25" t="s">
        <v>79</v>
      </c>
      <c r="E16" s="25" t="s">
        <v>80</v>
      </c>
      <c r="F16" s="25" t="s">
        <v>81</v>
      </c>
      <c r="G16" s="25" t="s">
        <v>82</v>
      </c>
      <c r="H16" s="25" t="s">
        <v>83</v>
      </c>
      <c r="I16" s="25" t="s">
        <v>84</v>
      </c>
      <c r="J16" s="2"/>
      <c r="K16" s="2"/>
      <c r="L16" s="25" t="s">
        <v>98</v>
      </c>
      <c r="M16" s="2">
        <f>COUNT(B3:E11)</f>
        <v>36</v>
      </c>
      <c r="N16" s="28" t="s">
        <v>110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</row>
    <row r="17" spans="1:35" x14ac:dyDescent="0.25">
      <c r="A17" s="26">
        <v>1</v>
      </c>
      <c r="B17" s="27">
        <v>1</v>
      </c>
      <c r="C17" s="27">
        <v>1</v>
      </c>
      <c r="D17" s="27">
        <v>1</v>
      </c>
      <c r="E17" s="27">
        <f t="shared" ref="E17:E24" si="1">B17*C17</f>
        <v>1</v>
      </c>
      <c r="F17" s="27">
        <f t="shared" ref="F17:F24" si="2">B17*D17</f>
        <v>1</v>
      </c>
      <c r="G17" s="27">
        <f t="shared" ref="G17:G24" si="3">C17*D17</f>
        <v>1</v>
      </c>
      <c r="H17" s="27">
        <f t="shared" ref="H17:H24" si="4">B17*C17*D17</f>
        <v>1</v>
      </c>
      <c r="I17" s="2">
        <f>G3</f>
        <v>2.6644999999999999</v>
      </c>
      <c r="J17" s="2"/>
      <c r="K17" s="2"/>
      <c r="L17" s="31" t="s">
        <v>99</v>
      </c>
      <c r="M17" s="1">
        <f>SUMSQ(B3:E11)</f>
        <v>323.14513900000009</v>
      </c>
      <c r="N17" s="28" t="s">
        <v>111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</row>
    <row r="18" spans="1:35" x14ac:dyDescent="0.25">
      <c r="A18" s="26">
        <v>1</v>
      </c>
      <c r="B18" s="27">
        <v>1</v>
      </c>
      <c r="C18" s="27">
        <v>1</v>
      </c>
      <c r="D18" s="27">
        <v>-1</v>
      </c>
      <c r="E18" s="27">
        <f t="shared" si="1"/>
        <v>1</v>
      </c>
      <c r="F18" s="27">
        <f t="shared" si="2"/>
        <v>-1</v>
      </c>
      <c r="G18" s="27">
        <f t="shared" si="3"/>
        <v>-1</v>
      </c>
      <c r="H18" s="27">
        <f t="shared" si="4"/>
        <v>-1</v>
      </c>
      <c r="I18" s="2">
        <f t="shared" ref="I18:I24" si="5">G4</f>
        <v>2.996</v>
      </c>
      <c r="J18" s="2"/>
      <c r="K18" s="2"/>
      <c r="L18" s="31" t="s">
        <v>100</v>
      </c>
      <c r="M18" s="1">
        <f>(2^$J$29)*$P$2*POWER(A28,2)</f>
        <v>222.70347755555562</v>
      </c>
      <c r="N18" s="28" t="s">
        <v>112</v>
      </c>
      <c r="O18" s="2"/>
      <c r="P18" s="30" t="s">
        <v>124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</row>
    <row r="19" spans="1:35" x14ac:dyDescent="0.25">
      <c r="A19" s="26">
        <v>1</v>
      </c>
      <c r="B19" s="27">
        <v>1</v>
      </c>
      <c r="C19" s="27">
        <v>-1</v>
      </c>
      <c r="D19" s="27">
        <v>1</v>
      </c>
      <c r="E19" s="27">
        <f t="shared" si="1"/>
        <v>-1</v>
      </c>
      <c r="F19" s="27">
        <f t="shared" si="2"/>
        <v>1</v>
      </c>
      <c r="G19" s="27">
        <f t="shared" si="3"/>
        <v>-1</v>
      </c>
      <c r="H19" s="27">
        <f t="shared" si="4"/>
        <v>-1</v>
      </c>
      <c r="I19" s="2">
        <f t="shared" si="5"/>
        <v>2.6662500000000002</v>
      </c>
      <c r="J19" s="2"/>
      <c r="K19" s="2"/>
      <c r="L19" s="31" t="s">
        <v>101</v>
      </c>
      <c r="M19" s="1">
        <f>(2^$J$29)*$P$2*POWER(B28,2)</f>
        <v>0.45803083950617296</v>
      </c>
      <c r="N19" s="28" t="s">
        <v>113</v>
      </c>
      <c r="O19" s="30" t="s">
        <v>77</v>
      </c>
      <c r="P19" s="2">
        <f>M19/$M$27*100</f>
        <v>0.45601678916822336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 spans="1:35" x14ac:dyDescent="0.25">
      <c r="A20" s="26">
        <v>1</v>
      </c>
      <c r="B20" s="27">
        <v>1</v>
      </c>
      <c r="C20" s="27">
        <v>-1</v>
      </c>
      <c r="D20" s="27">
        <v>-1</v>
      </c>
      <c r="E20" s="27">
        <f t="shared" si="1"/>
        <v>-1</v>
      </c>
      <c r="F20" s="27">
        <f t="shared" si="2"/>
        <v>-1</v>
      </c>
      <c r="G20" s="27">
        <f t="shared" si="3"/>
        <v>1</v>
      </c>
      <c r="H20" s="27">
        <f t="shared" si="4"/>
        <v>1</v>
      </c>
      <c r="I20" s="2">
        <f t="shared" si="5"/>
        <v>3.0062499999999996</v>
      </c>
      <c r="J20" s="2"/>
      <c r="K20" s="2"/>
      <c r="L20" s="31" t="s">
        <v>102</v>
      </c>
      <c r="M20" s="1">
        <f>(2^$J$29)*$P$2*POWER(C28,2)</f>
        <v>2.7795580246913483E-2</v>
      </c>
      <c r="N20" s="28" t="s">
        <v>114</v>
      </c>
      <c r="O20" s="30" t="s">
        <v>78</v>
      </c>
      <c r="P20" s="2">
        <f t="shared" ref="P20:P26" si="6">M20/$M$27*100</f>
        <v>2.7673357695588863E-2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 spans="1:35" x14ac:dyDescent="0.25">
      <c r="A21" s="26">
        <v>1</v>
      </c>
      <c r="B21" s="27">
        <v>-1</v>
      </c>
      <c r="C21" s="27">
        <v>1</v>
      </c>
      <c r="D21" s="27">
        <v>1</v>
      </c>
      <c r="E21" s="27">
        <f t="shared" si="1"/>
        <v>-1</v>
      </c>
      <c r="F21" s="27">
        <f t="shared" si="2"/>
        <v>-1</v>
      </c>
      <c r="G21" s="27">
        <f t="shared" si="3"/>
        <v>1</v>
      </c>
      <c r="H21" s="27">
        <f t="shared" si="4"/>
        <v>-1</v>
      </c>
      <c r="I21" s="2">
        <f t="shared" si="5"/>
        <v>2.8305000000000002</v>
      </c>
      <c r="J21" s="2"/>
      <c r="K21" s="2"/>
      <c r="L21" s="31" t="s">
        <v>103</v>
      </c>
      <c r="M21" s="1">
        <f>(2^$J$29)*$P$2*POWER(D28,2)</f>
        <v>0.51364743209876496</v>
      </c>
      <c r="N21" s="28" t="s">
        <v>115</v>
      </c>
      <c r="O21" s="30" t="s">
        <v>79</v>
      </c>
      <c r="P21" s="2">
        <f t="shared" si="6"/>
        <v>0.51138882482830073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r="22" spans="1:35" x14ac:dyDescent="0.25">
      <c r="A22" s="26">
        <v>1</v>
      </c>
      <c r="B22" s="27">
        <v>-1</v>
      </c>
      <c r="C22" s="27">
        <v>1</v>
      </c>
      <c r="D22" s="27">
        <v>-1</v>
      </c>
      <c r="E22" s="27">
        <f t="shared" si="1"/>
        <v>-1</v>
      </c>
      <c r="F22" s="27">
        <f t="shared" si="2"/>
        <v>1</v>
      </c>
      <c r="G22" s="27">
        <f t="shared" si="3"/>
        <v>-1</v>
      </c>
      <c r="H22" s="27">
        <f t="shared" si="4"/>
        <v>1</v>
      </c>
      <c r="I22" s="2">
        <f t="shared" si="5"/>
        <v>3.2477499999999999</v>
      </c>
      <c r="J22" s="2"/>
      <c r="K22" s="2"/>
      <c r="L22" s="31" t="s">
        <v>104</v>
      </c>
      <c r="M22" s="1">
        <f>(2^$J$29)*$P$2*POWER(E28,2)</f>
        <v>2.299320987654312E-2</v>
      </c>
      <c r="N22" s="28" t="s">
        <v>116</v>
      </c>
      <c r="O22" s="30" t="s">
        <v>80</v>
      </c>
      <c r="P22" s="2">
        <f t="shared" si="6"/>
        <v>2.2892104278124624E-2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 spans="1:35" x14ac:dyDescent="0.25">
      <c r="A23" s="26">
        <v>1</v>
      </c>
      <c r="B23" s="27">
        <v>-1</v>
      </c>
      <c r="C23" s="27">
        <v>-1</v>
      </c>
      <c r="D23" s="27">
        <v>1</v>
      </c>
      <c r="E23" s="27">
        <f t="shared" si="1"/>
        <v>1</v>
      </c>
      <c r="F23" s="27">
        <f t="shared" si="2"/>
        <v>-1</v>
      </c>
      <c r="G23" s="27">
        <f t="shared" si="3"/>
        <v>-1</v>
      </c>
      <c r="H23" s="27">
        <f t="shared" si="4"/>
        <v>1</v>
      </c>
      <c r="I23" s="2">
        <f t="shared" si="5"/>
        <v>3.1399999999999997</v>
      </c>
      <c r="J23" s="2"/>
      <c r="K23" s="2"/>
      <c r="L23" s="31" t="s">
        <v>105</v>
      </c>
      <c r="M23" s="1">
        <f>(2^$J$29)*$P$2*POWER(F28,2)</f>
        <v>1.6240024691357952E-2</v>
      </c>
      <c r="N23" s="28" t="s">
        <v>117</v>
      </c>
      <c r="O23" s="30" t="s">
        <v>81</v>
      </c>
      <c r="P23" s="2">
        <f>M23/$M$27*100</f>
        <v>1.616861415652758E-2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r="24" spans="1:35" x14ac:dyDescent="0.25">
      <c r="A24" s="26">
        <v>1</v>
      </c>
      <c r="B24" s="27">
        <v>-1</v>
      </c>
      <c r="C24" s="27">
        <v>-1</v>
      </c>
      <c r="D24" s="27">
        <v>-1</v>
      </c>
      <c r="E24" s="27">
        <f t="shared" si="1"/>
        <v>1</v>
      </c>
      <c r="F24" s="27">
        <f t="shared" si="2"/>
        <v>1</v>
      </c>
      <c r="G24" s="27">
        <f t="shared" si="3"/>
        <v>1</v>
      </c>
      <c r="H24" s="27">
        <f t="shared" si="4"/>
        <v>-1</v>
      </c>
      <c r="I24" s="2">
        <f t="shared" si="5"/>
        <v>3.1915</v>
      </c>
      <c r="J24" s="2"/>
      <c r="K24" s="2"/>
      <c r="L24" s="31" t="s">
        <v>106</v>
      </c>
      <c r="M24" s="1">
        <f>(2^$J$29)*$P$2*POWER(G28,2)</f>
        <v>5.042076543209878E-2</v>
      </c>
      <c r="N24" s="28" t="s">
        <v>118</v>
      </c>
      <c r="O24" s="30" t="s">
        <v>82</v>
      </c>
      <c r="P24" s="2">
        <f t="shared" si="6"/>
        <v>5.0199055558222856E-2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x14ac:dyDescent="0.25">
      <c r="A25" s="44" t="s">
        <v>85</v>
      </c>
      <c r="B25" s="44"/>
      <c r="C25" s="44"/>
      <c r="D25" s="44"/>
      <c r="E25" s="44"/>
      <c r="F25" s="44"/>
      <c r="G25" s="44"/>
      <c r="H25" s="44"/>
      <c r="I25" s="2"/>
      <c r="J25" s="2"/>
      <c r="K25" s="2"/>
      <c r="L25" s="31" t="s">
        <v>107</v>
      </c>
      <c r="M25" s="1">
        <f>(2^$J$29)*$P$2*POWER(H28,2)</f>
        <v>5.533355555555515E-2</v>
      </c>
      <c r="N25" s="28" t="s">
        <v>119</v>
      </c>
      <c r="O25" s="30" t="s">
        <v>83</v>
      </c>
      <c r="P25" s="2">
        <f t="shared" si="6"/>
        <v>5.5090243191726597E-2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</row>
    <row r="26" spans="1:35" x14ac:dyDescent="0.25">
      <c r="A26" s="2">
        <f>SUMPRODUCT(A17:A24,$I$17:$I$24)</f>
        <v>23.742750000000004</v>
      </c>
      <c r="B26" s="2">
        <f t="shared" ref="B26:G26" si="7">SUMPRODUCT(B17:B24,$I$17:$I$24)</f>
        <v>-1.0767500000000001</v>
      </c>
      <c r="C26" s="2">
        <f t="shared" si="7"/>
        <v>-0.26524999999999954</v>
      </c>
      <c r="D26" s="2">
        <f t="shared" si="7"/>
        <v>-1.1402499999999995</v>
      </c>
      <c r="E26" s="2">
        <f t="shared" si="7"/>
        <v>0.24124999999999952</v>
      </c>
      <c r="F26" s="2">
        <f t="shared" si="7"/>
        <v>-0.20274999999999954</v>
      </c>
      <c r="G26" s="2">
        <f t="shared" si="7"/>
        <v>-0.35725000000000007</v>
      </c>
      <c r="H26" s="2">
        <f>SUMPRODUCT(H17:H24,$I$17:$I$24)</f>
        <v>0.37424999999999864</v>
      </c>
      <c r="I26" s="28" t="s">
        <v>86</v>
      </c>
      <c r="J26" s="2"/>
      <c r="K26" s="2"/>
      <c r="L26" s="31" t="s">
        <v>108</v>
      </c>
      <c r="M26" s="1">
        <f>M27-SUM(M19:M25)</f>
        <v>99.297200037037058</v>
      </c>
      <c r="N26" s="28" t="s">
        <v>120</v>
      </c>
      <c r="O26" s="30" t="s">
        <v>122</v>
      </c>
      <c r="P26" s="2">
        <f t="shared" si="6"/>
        <v>98.860571011123284</v>
      </c>
      <c r="Q26" s="32" t="s">
        <v>125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 x14ac:dyDescent="0.25">
      <c r="A27" s="44" t="s">
        <v>87</v>
      </c>
      <c r="B27" s="44"/>
      <c r="C27" s="44"/>
      <c r="D27" s="44"/>
      <c r="E27" s="44"/>
      <c r="F27" s="44"/>
      <c r="G27" s="44"/>
      <c r="H27" s="44"/>
      <c r="I27" s="2"/>
      <c r="J27" s="2"/>
      <c r="K27" s="2"/>
      <c r="L27" s="31" t="s">
        <v>109</v>
      </c>
      <c r="M27" s="1">
        <f>M17-M18</f>
        <v>100.44166144444446</v>
      </c>
      <c r="N27" s="28" t="s">
        <v>121</v>
      </c>
      <c r="O27" s="30" t="s">
        <v>123</v>
      </c>
      <c r="P27" s="2">
        <f>M27/$M$27*100</f>
        <v>100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 spans="1:35" x14ac:dyDescent="0.25">
      <c r="A28" s="2">
        <f>A26/$P$1</f>
        <v>2.6380833333333338</v>
      </c>
      <c r="B28" s="2">
        <f t="shared" ref="B28:H28" si="8">B26/$P$1</f>
        <v>-0.11963888888888891</v>
      </c>
      <c r="C28" s="2">
        <f t="shared" si="8"/>
        <v>-2.9472222222222171E-2</v>
      </c>
      <c r="D28" s="2">
        <f t="shared" si="8"/>
        <v>-0.12669444444444439</v>
      </c>
      <c r="E28" s="2">
        <f t="shared" si="8"/>
        <v>2.6805555555555503E-2</v>
      </c>
      <c r="F28" s="2">
        <f t="shared" si="8"/>
        <v>-2.2527777777777726E-2</v>
      </c>
      <c r="G28" s="2">
        <f t="shared" si="8"/>
        <v>-3.9694444444444449E-2</v>
      </c>
      <c r="H28" s="2">
        <f t="shared" si="8"/>
        <v>4.1583333333333181E-2</v>
      </c>
      <c r="I28" s="28" t="s">
        <v>88</v>
      </c>
      <c r="J28" s="8" t="s">
        <v>97</v>
      </c>
      <c r="K28" s="2"/>
      <c r="L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 spans="1:35" x14ac:dyDescent="0.25">
      <c r="A29" s="29" t="s">
        <v>89</v>
      </c>
      <c r="B29" s="29" t="s">
        <v>90</v>
      </c>
      <c r="C29" s="29" t="s">
        <v>91</v>
      </c>
      <c r="D29" s="29" t="s">
        <v>92</v>
      </c>
      <c r="E29" s="29" t="s">
        <v>93</v>
      </c>
      <c r="F29" s="29" t="s">
        <v>94</v>
      </c>
      <c r="G29" s="29" t="s">
        <v>95</v>
      </c>
      <c r="H29" s="29" t="s">
        <v>96</v>
      </c>
      <c r="I29" s="2"/>
      <c r="J29" s="30">
        <v>3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</row>
    <row r="30" spans="1:3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</row>
    <row r="31" spans="1:3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 spans="1:3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 spans="1:3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 spans="1:3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 spans="1:3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1:3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 spans="1:3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 spans="1:3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 spans="1:3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</row>
    <row r="41" spans="1:3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1:3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 spans="1:3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 spans="1:3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 spans="1:3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 spans="1:3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1:3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spans="1:3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1:3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 spans="1:3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1:3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 spans="1:3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</sheetData>
  <mergeCells count="3">
    <mergeCell ref="H1:L1"/>
    <mergeCell ref="A25:H25"/>
    <mergeCell ref="A27:H27"/>
  </mergeCells>
  <pageMargins left="0.7" right="0.7" top="0.75" bottom="0.75" header="0.3" footer="0.3"/>
  <pageSetup paperSize="9"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selection activeCell="C17" sqref="C17"/>
    </sheetView>
  </sheetViews>
  <sheetFormatPr baseColWidth="10" defaultRowHeight="15" x14ac:dyDescent="0.25"/>
  <cols>
    <col min="1" max="1" width="4.85546875" bestFit="1" customWidth="1"/>
    <col min="2" max="2" width="12" bestFit="1" customWidth="1"/>
    <col min="3" max="3" width="21" bestFit="1" customWidth="1"/>
    <col min="4" max="4" width="37.42578125" bestFit="1" customWidth="1"/>
    <col min="5" max="5" width="38.140625" bestFit="1" customWidth="1"/>
  </cols>
  <sheetData>
    <row r="1" spans="1:5" x14ac:dyDescent="0.25">
      <c r="A1" s="7" t="s">
        <v>6</v>
      </c>
      <c r="B1" s="7" t="s">
        <v>7</v>
      </c>
      <c r="C1" t="s">
        <v>130</v>
      </c>
      <c r="D1" t="s">
        <v>131</v>
      </c>
      <c r="E1" t="s">
        <v>132</v>
      </c>
    </row>
    <row r="2" spans="1:5" x14ac:dyDescent="0.25">
      <c r="A2" s="6">
        <v>1</v>
      </c>
      <c r="B2" s="6">
        <v>20</v>
      </c>
    </row>
    <row r="3" spans="1:5" x14ac:dyDescent="0.25">
      <c r="A3" s="6">
        <v>2</v>
      </c>
      <c r="B3" s="6">
        <v>35</v>
      </c>
    </row>
    <row r="4" spans="1:5" x14ac:dyDescent="0.25">
      <c r="A4" s="6">
        <v>3</v>
      </c>
      <c r="B4" s="6">
        <v>67</v>
      </c>
    </row>
    <row r="5" spans="1:5" x14ac:dyDescent="0.25">
      <c r="A5" s="6">
        <v>4</v>
      </c>
      <c r="B5" s="6">
        <v>81</v>
      </c>
    </row>
    <row r="6" spans="1:5" x14ac:dyDescent="0.25">
      <c r="A6" s="6">
        <v>5</v>
      </c>
      <c r="B6" s="6">
        <v>95</v>
      </c>
    </row>
    <row r="7" spans="1:5" x14ac:dyDescent="0.25">
      <c r="A7" s="6">
        <v>6</v>
      </c>
      <c r="B7" s="6">
        <v>125</v>
      </c>
    </row>
    <row r="8" spans="1:5" x14ac:dyDescent="0.25">
      <c r="A8" s="6">
        <v>7</v>
      </c>
      <c r="B8" s="6">
        <v>145</v>
      </c>
    </row>
    <row r="9" spans="1:5" x14ac:dyDescent="0.25">
      <c r="A9" s="6">
        <v>8</v>
      </c>
      <c r="B9" s="6">
        <v>152</v>
      </c>
    </row>
    <row r="10" spans="1:5" x14ac:dyDescent="0.25">
      <c r="A10" s="6">
        <v>9</v>
      </c>
      <c r="B10" s="6">
        <v>171</v>
      </c>
    </row>
    <row r="11" spans="1:5" x14ac:dyDescent="0.25">
      <c r="A11" s="6">
        <v>10</v>
      </c>
      <c r="B11" s="6">
        <v>182</v>
      </c>
    </row>
    <row r="12" spans="1:5" x14ac:dyDescent="0.25">
      <c r="A12" s="6">
        <v>11</v>
      </c>
      <c r="B12" s="6">
        <v>190</v>
      </c>
    </row>
    <row r="13" spans="1:5" x14ac:dyDescent="0.25">
      <c r="A13" s="6">
        <v>12</v>
      </c>
      <c r="B13" s="6">
        <v>204</v>
      </c>
      <c r="C13">
        <v>204</v>
      </c>
      <c r="D13">
        <v>204</v>
      </c>
      <c r="E13">
        <v>204</v>
      </c>
    </row>
    <row r="14" spans="1:5" x14ac:dyDescent="0.25">
      <c r="A14" s="35">
        <v>13</v>
      </c>
      <c r="B14" s="36">
        <f>ROUND(C14,0)</f>
        <v>216</v>
      </c>
      <c r="C14">
        <f>_xlfn.FORECAST.ETS(A14,$B$2:$B$13,$A$2:$A$13)</f>
        <v>216.4432170649379</v>
      </c>
      <c r="D14">
        <v>199.58758749328172</v>
      </c>
      <c r="E14">
        <v>233.29884663659408</v>
      </c>
    </row>
    <row r="15" spans="1:5" x14ac:dyDescent="0.25">
      <c r="A15" s="35">
        <v>14</v>
      </c>
      <c r="B15" s="36">
        <f t="shared" ref="B15:B25" si="0">ROUND(C15,0)</f>
        <v>229</v>
      </c>
      <c r="C15" s="4">
        <f>_xlfn.FORECAST.ETS(A15,$B$2:$B$13,$A$2:$A$13)</f>
        <v>228.89257764882683</v>
      </c>
      <c r="D15">
        <v>198.54772052919589</v>
      </c>
      <c r="E15">
        <v>259.23743476845777</v>
      </c>
    </row>
    <row r="16" spans="1:5" x14ac:dyDescent="0.25">
      <c r="A16" s="35">
        <v>15</v>
      </c>
      <c r="B16" s="36">
        <f t="shared" si="0"/>
        <v>241</v>
      </c>
      <c r="C16" s="4">
        <f>_xlfn.FORECAST.ETS(A16,$B$2:$B$13,$A$2:$A$13)</f>
        <v>241.34193823271579</v>
      </c>
      <c r="D16">
        <v>196.03500613107994</v>
      </c>
      <c r="E16">
        <v>286.64887033435161</v>
      </c>
    </row>
    <row r="17" spans="1:5" x14ac:dyDescent="0.25">
      <c r="A17" s="35">
        <v>16</v>
      </c>
      <c r="B17" s="36">
        <f t="shared" si="0"/>
        <v>254</v>
      </c>
      <c r="C17" s="4">
        <f t="shared" ref="C16:C25" si="1">_xlfn.FORECAST.ETS(A17,$B$2:$B$13,$A$2:$A$13)</f>
        <v>253.79129881660475</v>
      </c>
      <c r="D17">
        <v>191.97444072216911</v>
      </c>
      <c r="E17">
        <v>315.6081569110404</v>
      </c>
    </row>
    <row r="18" spans="1:5" x14ac:dyDescent="0.25">
      <c r="A18" s="35">
        <v>17</v>
      </c>
      <c r="B18" s="36">
        <f t="shared" si="0"/>
        <v>266</v>
      </c>
      <c r="C18" s="4">
        <f t="shared" si="1"/>
        <v>266.24065940049366</v>
      </c>
      <c r="D18">
        <v>186.44018091769698</v>
      </c>
      <c r="E18">
        <v>346.04113788329033</v>
      </c>
    </row>
    <row r="19" spans="1:5" x14ac:dyDescent="0.25">
      <c r="A19" s="35">
        <v>18</v>
      </c>
      <c r="B19" s="36">
        <f t="shared" si="0"/>
        <v>279</v>
      </c>
      <c r="C19" s="4">
        <f t="shared" si="1"/>
        <v>278.69001998438262</v>
      </c>
      <c r="D19">
        <v>179.52054973992793</v>
      </c>
      <c r="E19">
        <v>377.85949022883733</v>
      </c>
    </row>
    <row r="20" spans="1:5" x14ac:dyDescent="0.25">
      <c r="A20" s="35">
        <v>19</v>
      </c>
      <c r="B20" s="36">
        <f t="shared" si="0"/>
        <v>291</v>
      </c>
      <c r="C20" s="4">
        <f t="shared" si="1"/>
        <v>291.13938056827158</v>
      </c>
      <c r="D20">
        <v>171.29692231589976</v>
      </c>
      <c r="E20">
        <v>410.98183882064336</v>
      </c>
    </row>
    <row r="21" spans="1:5" x14ac:dyDescent="0.25">
      <c r="A21" s="35">
        <v>20</v>
      </c>
      <c r="B21" s="36">
        <f t="shared" si="0"/>
        <v>304</v>
      </c>
      <c r="C21" s="4">
        <f t="shared" si="1"/>
        <v>303.58874115216054</v>
      </c>
      <c r="D21">
        <v>161.840733236152</v>
      </c>
      <c r="E21">
        <v>445.33674906816907</v>
      </c>
    </row>
    <row r="22" spans="1:5" x14ac:dyDescent="0.25">
      <c r="A22" s="35">
        <v>21</v>
      </c>
      <c r="B22" s="36">
        <f t="shared" si="0"/>
        <v>316</v>
      </c>
      <c r="C22" s="4">
        <f t="shared" si="1"/>
        <v>316.0381017360495</v>
      </c>
      <c r="D22">
        <v>151.21419224177066</v>
      </c>
      <c r="E22">
        <v>480.86201123032833</v>
      </c>
    </row>
    <row r="23" spans="1:5" x14ac:dyDescent="0.25">
      <c r="A23" s="35">
        <v>22</v>
      </c>
      <c r="B23" s="36">
        <f t="shared" si="0"/>
        <v>328</v>
      </c>
      <c r="C23" s="4">
        <f t="shared" si="1"/>
        <v>328.48746231993846</v>
      </c>
      <c r="D23">
        <v>139.47166021256936</v>
      </c>
      <c r="E23">
        <v>517.50326442730761</v>
      </c>
    </row>
    <row r="24" spans="1:5" x14ac:dyDescent="0.25">
      <c r="A24" s="35">
        <v>23</v>
      </c>
      <c r="B24" s="36">
        <f t="shared" si="0"/>
        <v>341</v>
      </c>
      <c r="C24" s="4">
        <f t="shared" si="1"/>
        <v>340.93682290382742</v>
      </c>
      <c r="D24">
        <v>126.66096534643728</v>
      </c>
      <c r="E24">
        <v>555.21268046121759</v>
      </c>
    </row>
    <row r="25" spans="1:5" x14ac:dyDescent="0.25">
      <c r="A25" s="35">
        <v>24</v>
      </c>
      <c r="B25" s="36">
        <f t="shared" si="0"/>
        <v>353</v>
      </c>
      <c r="C25" s="4">
        <f t="shared" si="1"/>
        <v>353.38618348771638</v>
      </c>
      <c r="D25">
        <v>112.82451017747542</v>
      </c>
      <c r="E25">
        <v>593.94785679795734</v>
      </c>
    </row>
    <row r="31" spans="1:5" x14ac:dyDescent="0.25">
      <c r="D31" s="37"/>
    </row>
    <row r="33" spans="7:7" x14ac:dyDescent="0.25">
      <c r="G33" s="4"/>
    </row>
    <row r="34" spans="7:7" x14ac:dyDescent="0.25">
      <c r="G34" s="4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abSelected="1" topLeftCell="B1" workbookViewId="0">
      <selection activeCell="D21" sqref="D21"/>
    </sheetView>
  </sheetViews>
  <sheetFormatPr baseColWidth="10" defaultRowHeight="15" x14ac:dyDescent="0.25"/>
  <cols>
    <col min="1" max="1" width="24.140625" bestFit="1" customWidth="1"/>
    <col min="2" max="2" width="12" bestFit="1" customWidth="1"/>
    <col min="7" max="7" width="17.140625" customWidth="1"/>
    <col min="9" max="9" width="15" customWidth="1"/>
  </cols>
  <sheetData>
    <row r="1" spans="1:9" x14ac:dyDescent="0.25">
      <c r="A1" s="38" t="s">
        <v>155</v>
      </c>
      <c r="B1" s="39">
        <v>198.63399999999999</v>
      </c>
    </row>
    <row r="2" spans="1:9" x14ac:dyDescent="0.25">
      <c r="A2" s="38" t="s">
        <v>133</v>
      </c>
      <c r="B2" s="39">
        <v>353</v>
      </c>
    </row>
    <row r="3" spans="1:9" x14ac:dyDescent="0.25">
      <c r="A3" s="38" t="s">
        <v>134</v>
      </c>
      <c r="B3" s="39">
        <v>0.4</v>
      </c>
    </row>
    <row r="4" spans="1:9" x14ac:dyDescent="0.25">
      <c r="A4" s="38" t="s">
        <v>135</v>
      </c>
      <c r="B4" s="39">
        <v>2</v>
      </c>
    </row>
    <row r="5" spans="1:9" x14ac:dyDescent="0.25">
      <c r="A5" s="38" t="s">
        <v>136</v>
      </c>
      <c r="B5" s="39">
        <f>B2/(B3+B4)</f>
        <v>147.08333333333334</v>
      </c>
    </row>
    <row r="6" spans="1:9" x14ac:dyDescent="0.25">
      <c r="A6" s="38" t="s">
        <v>137</v>
      </c>
      <c r="B6" s="39">
        <v>0.85</v>
      </c>
    </row>
    <row r="8" spans="1:9" x14ac:dyDescent="0.25">
      <c r="A8" s="38" t="s">
        <v>138</v>
      </c>
      <c r="B8" s="39">
        <f>A30</f>
        <v>5</v>
      </c>
      <c r="D8" s="45"/>
      <c r="E8" s="45"/>
      <c r="H8" s="38" t="s">
        <v>149</v>
      </c>
      <c r="I8" s="39">
        <f>B8*$B$5/$B$6</f>
        <v>865.19607843137271</v>
      </c>
    </row>
    <row r="9" spans="1:9" x14ac:dyDescent="0.25">
      <c r="A9" s="38" t="s">
        <v>139</v>
      </c>
      <c r="B9" s="39">
        <f>C30</f>
        <v>2</v>
      </c>
      <c r="D9" s="45"/>
      <c r="E9" s="45"/>
      <c r="H9" s="38" t="s">
        <v>150</v>
      </c>
      <c r="I9" s="39">
        <f>B9*$B$5/$B$6</f>
        <v>346.07843137254906</v>
      </c>
    </row>
    <row r="10" spans="1:9" x14ac:dyDescent="0.25">
      <c r="A10" s="38" t="s">
        <v>140</v>
      </c>
      <c r="B10" s="39">
        <f>B30</f>
        <v>4</v>
      </c>
      <c r="D10" s="45"/>
      <c r="E10" s="45"/>
      <c r="H10" s="38" t="s">
        <v>151</v>
      </c>
      <c r="I10" s="39">
        <f>B10*$B$5/$B$6</f>
        <v>692.15686274509812</v>
      </c>
    </row>
    <row r="11" spans="1:9" x14ac:dyDescent="0.25">
      <c r="H11" s="6"/>
      <c r="I11" s="6"/>
    </row>
    <row r="12" spans="1:9" x14ac:dyDescent="0.25">
      <c r="A12" s="38" t="s">
        <v>141</v>
      </c>
      <c r="B12" s="40">
        <f>A33</f>
        <v>2.0027593929335542E-2</v>
      </c>
      <c r="H12" s="45"/>
      <c r="I12" s="45"/>
    </row>
    <row r="13" spans="1:9" x14ac:dyDescent="0.25">
      <c r="A13" s="38" t="s">
        <v>142</v>
      </c>
      <c r="B13" s="41">
        <f>C33</f>
        <v>9.9978004838935427E-3</v>
      </c>
      <c r="H13" s="38" t="s">
        <v>152</v>
      </c>
      <c r="I13" s="39">
        <f>I8*B12*B16/B20</f>
        <v>86.638978640385389</v>
      </c>
    </row>
    <row r="14" spans="1:9" x14ac:dyDescent="0.25">
      <c r="A14" s="38" t="s">
        <v>143</v>
      </c>
      <c r="B14" s="39">
        <f>B33</f>
        <v>1.4996700725840313E-3</v>
      </c>
      <c r="H14" s="38" t="s">
        <v>153</v>
      </c>
      <c r="I14" s="41">
        <f>I9*B13*B17</f>
        <v>346.00231086415891</v>
      </c>
    </row>
    <row r="15" spans="1:9" x14ac:dyDescent="0.25">
      <c r="H15" s="38" t="s">
        <v>154</v>
      </c>
      <c r="I15" s="39">
        <f>I10*B14*B18</f>
        <v>763.9731023880629</v>
      </c>
    </row>
    <row r="16" spans="1:9" x14ac:dyDescent="0.25">
      <c r="A16" s="38" t="s">
        <v>144</v>
      </c>
      <c r="B16" s="39">
        <v>40</v>
      </c>
    </row>
    <row r="17" spans="1:10" x14ac:dyDescent="0.25">
      <c r="A17" s="38" t="s">
        <v>145</v>
      </c>
      <c r="B17" s="39">
        <v>100</v>
      </c>
      <c r="H17" s="38" t="s">
        <v>166</v>
      </c>
      <c r="I17" s="39">
        <v>96.6</v>
      </c>
      <c r="J17" s="47" t="s">
        <v>169</v>
      </c>
    </row>
    <row r="18" spans="1:10" x14ac:dyDescent="0.25">
      <c r="A18" s="38" t="s">
        <v>146</v>
      </c>
      <c r="B18" s="39">
        <v>736</v>
      </c>
      <c r="H18" s="38" t="s">
        <v>167</v>
      </c>
      <c r="I18" s="39">
        <v>100</v>
      </c>
      <c r="J18" t="s">
        <v>170</v>
      </c>
    </row>
    <row r="19" spans="1:10" x14ac:dyDescent="0.25">
      <c r="H19" s="38" t="s">
        <v>168</v>
      </c>
      <c r="I19" s="39">
        <f>479*2</f>
        <v>958</v>
      </c>
      <c r="J19" s="47" t="s">
        <v>171</v>
      </c>
    </row>
    <row r="20" spans="1:10" x14ac:dyDescent="0.25">
      <c r="A20" s="38" t="s">
        <v>147</v>
      </c>
      <c r="B20" s="39">
        <v>8</v>
      </c>
    </row>
    <row r="21" spans="1:10" x14ac:dyDescent="0.25">
      <c r="A21" s="38" t="s">
        <v>148</v>
      </c>
      <c r="B21" s="39">
        <v>8</v>
      </c>
    </row>
    <row r="25" spans="1:10" x14ac:dyDescent="0.25">
      <c r="A25" s="34" t="s">
        <v>157</v>
      </c>
      <c r="B25" s="34" t="s">
        <v>158</v>
      </c>
      <c r="C25" s="34" t="s">
        <v>159</v>
      </c>
      <c r="D25" s="34" t="s">
        <v>160</v>
      </c>
      <c r="E25" s="34" t="s">
        <v>63</v>
      </c>
      <c r="F25" s="34" t="s">
        <v>156</v>
      </c>
      <c r="G25" s="34" t="s">
        <v>161</v>
      </c>
      <c r="H25" s="34" t="s">
        <v>162</v>
      </c>
      <c r="I25" s="34" t="s">
        <v>74</v>
      </c>
    </row>
    <row r="26" spans="1:10" x14ac:dyDescent="0.25">
      <c r="A26" s="34">
        <v>50.011000000000003</v>
      </c>
      <c r="B26" s="34">
        <f>0.626*100</f>
        <v>62.6</v>
      </c>
      <c r="C26" s="34">
        <f>1*100</f>
        <v>100</v>
      </c>
      <c r="D26" s="34">
        <f>0.3*100</f>
        <v>30</v>
      </c>
      <c r="E26" s="46">
        <v>201.477</v>
      </c>
      <c r="F26">
        <f>B26/100/A26*B20</f>
        <v>0.10013796964667772</v>
      </c>
      <c r="G26">
        <f>D26/100/A26</f>
        <v>5.9986802903361251E-3</v>
      </c>
      <c r="H26">
        <f>C26/100/A26</f>
        <v>1.9995600967787085E-2</v>
      </c>
      <c r="I26">
        <f>E26/A26</f>
        <v>4.0286536961868391</v>
      </c>
    </row>
    <row r="27" spans="1:10" x14ac:dyDescent="0.25">
      <c r="A27" s="34"/>
      <c r="B27" s="34"/>
      <c r="C27" s="34"/>
      <c r="D27" s="34"/>
    </row>
    <row r="28" spans="1:10" x14ac:dyDescent="0.25">
      <c r="A28" s="34"/>
      <c r="B28" s="34"/>
      <c r="C28" s="34"/>
      <c r="D28" s="34"/>
    </row>
    <row r="29" spans="1:10" x14ac:dyDescent="0.25">
      <c r="A29" t="s">
        <v>138</v>
      </c>
      <c r="B29" t="s">
        <v>74</v>
      </c>
      <c r="C29" t="s">
        <v>163</v>
      </c>
    </row>
    <row r="30" spans="1:10" x14ac:dyDescent="0.25">
      <c r="A30">
        <f>B30+1</f>
        <v>5</v>
      </c>
      <c r="B30">
        <f>ROUND(I26,0)</f>
        <v>4</v>
      </c>
      <c r="C30">
        <v>2</v>
      </c>
    </row>
    <row r="32" spans="1:10" x14ac:dyDescent="0.25">
      <c r="A32" t="s">
        <v>141</v>
      </c>
      <c r="B32" t="s">
        <v>164</v>
      </c>
      <c r="C32" t="s">
        <v>165</v>
      </c>
    </row>
    <row r="33" spans="1:3" x14ac:dyDescent="0.25">
      <c r="A33">
        <f>F26/A30</f>
        <v>2.0027593929335542E-2</v>
      </c>
      <c r="B33">
        <f>G26/B30</f>
        <v>1.4996700725840313E-3</v>
      </c>
      <c r="C33">
        <f>H26/C30</f>
        <v>9.9978004838935427E-3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Hoja1</vt:lpstr>
      <vt:lpstr>Hoja2</vt:lpstr>
      <vt:lpstr>Histograma</vt:lpstr>
      <vt:lpstr>Hoja4</vt:lpstr>
      <vt:lpstr>Hoja5</vt:lpstr>
      <vt:lpstr>Hoja6</vt:lpstr>
      <vt:lpstr>Hoja2!DataCollector01</vt:lpstr>
      <vt:lpstr>Hoja1!info</vt:lpstr>
    </vt:vector>
  </TitlesOfParts>
  <Company>Universidad de Oviedo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García Vázquez</dc:creator>
  <cp:lastModifiedBy>Becario</cp:lastModifiedBy>
  <dcterms:created xsi:type="dcterms:W3CDTF">2018-01-09T16:52:11Z</dcterms:created>
  <dcterms:modified xsi:type="dcterms:W3CDTF">2023-01-19T17:19:01Z</dcterms:modified>
</cp:coreProperties>
</file>